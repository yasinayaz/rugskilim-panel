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0" yWindow="1830" windowWidth="28800" windowHeight="15435" tabRatio="600" firstSheet="1" activeTab="1" autoFilterDateGrouping="1"/>
  </bookViews>
  <sheets>
    <sheet xmlns:r="http://schemas.openxmlformats.org/officeDocument/2006/relationships" name="VİNTAGE RUG" sheetId="1" state="visible" r:id="rId1"/>
    <sheet xmlns:r="http://schemas.openxmlformats.org/officeDocument/2006/relationships" name="SATILANLAR" sheetId="2" state="visible" r:id="rId2"/>
    <sheet xmlns:r="http://schemas.openxmlformats.org/officeDocument/2006/relationships" name="DOOR MAT RUGS" sheetId="3" state="visible" r:id="rId3"/>
    <sheet xmlns:r="http://schemas.openxmlformats.org/officeDocument/2006/relationships" name="KILIM RUG" sheetId="4" state="visible" r:id="rId4"/>
    <sheet xmlns:r="http://schemas.openxmlformats.org/officeDocument/2006/relationships" name="MAİLLER VE ŞİFRELER" sheetId="5" state="visible" r:id="rId5"/>
    <sheet xmlns:r="http://schemas.openxmlformats.org/officeDocument/2006/relationships" name="2024 OCAK " sheetId="6" state="hidden" r:id="rId6"/>
    <sheet xmlns:r="http://schemas.openxmlformats.org/officeDocument/2006/relationships" name="Sayfa2" sheetId="7" state="hidden" r:id="rId7"/>
    <sheet xmlns:r="http://schemas.openxmlformats.org/officeDocument/2006/relationships" name="KAHVECİOĞLU CİRO HESAP BİLGİSİ" sheetId="8" state="hidden" r:id="rId8"/>
    <sheet xmlns:r="http://schemas.openxmlformats.org/officeDocument/2006/relationships" name="MACHINE" sheetId="9" state="visible" r:id="rId9"/>
    <sheet xmlns:r="http://schemas.openxmlformats.org/officeDocument/2006/relationships" name="ÇEKİM TAKİP" sheetId="10" state="visible" r:id="rId10"/>
  </sheets>
  <definedNames>
    <definedName name="_xlnm._FilterDatabase" localSheetId="0" hidden="1">'VİNTAGE RUG'!$Q$1:$Q$2990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_-&quot;₺&quot;* #,##0.00_-;\-&quot;₺&quot;* #,##0.00_-;_-&quot;₺&quot;* &quot;-&quot;??_-;_-@_-"/>
    <numFmt numFmtId="166" formatCode="_-[$$-409]* #,##0.00_ ;_-[$$-409]* \-#,##0.00\ ;_-[$$-409]* &quot;-&quot;??_ ;_-@_ "/>
    <numFmt numFmtId="167" formatCode="0.000"/>
  </numFmts>
  <fonts count="67">
    <font>
      <name val="Calibri"/>
      <charset val="162"/>
      <family val="2"/>
      <color theme="1"/>
      <sz val="11"/>
      <scheme val="minor"/>
    </font>
    <font>
      <name val="Comic Sans MS"/>
      <charset val="162"/>
      <family val="4"/>
      <color rgb="FF000000"/>
      <sz val="11"/>
    </font>
    <font>
      <name val="Comic Sans MS"/>
      <charset val="162"/>
      <family val="4"/>
      <b val="1"/>
      <color rgb="FFFF0000"/>
      <sz val="11"/>
    </font>
    <font>
      <name val="Calibri"/>
      <charset val="162"/>
      <family val="2"/>
      <color rgb="FF5B9BD5"/>
      <sz val="11"/>
      <scheme val="minor"/>
    </font>
    <font>
      <name val="Calibri"/>
      <charset val="162"/>
      <family val="2"/>
      <color theme="3" tint="-0.499984740745262"/>
      <sz val="11"/>
      <scheme val="minor"/>
    </font>
    <font>
      <name val="Calibri"/>
      <charset val="162"/>
      <family val="2"/>
      <b val="1"/>
      <color theme="3" tint="-0.499984740745262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omic Sans MS"/>
      <charset val="162"/>
      <family val="4"/>
      <b val="1"/>
      <color rgb="FF000000"/>
      <sz val="11"/>
    </font>
    <font>
      <name val="Calibri"/>
      <b val="1"/>
      <color rgb="FF000000"/>
      <sz val="11"/>
    </font>
    <font>
      <name val="Calibri"/>
      <color rgb="FF5B9BD5"/>
      <sz val="11"/>
    </font>
    <font>
      <name val="Calibri"/>
      <charset val="162"/>
      <family val="2"/>
      <b val="1"/>
      <color rgb="FF000000"/>
      <sz val="11"/>
      <scheme val="minor"/>
    </font>
    <font>
      <name val="Calibri"/>
      <charset val="162"/>
      <family val="2"/>
      <color rgb="FF000000"/>
      <sz val="11"/>
      <scheme val="minor"/>
    </font>
    <font>
      <name val="Calibri"/>
      <charset val="162"/>
      <family val="2"/>
      <b val="1"/>
      <color rgb="FFFF0000"/>
      <sz val="11"/>
      <scheme val="minor"/>
    </font>
    <font>
      <name val="Calibri"/>
      <charset val="162"/>
      <family val="2"/>
      <b val="1"/>
      <color rgb="FF002060"/>
      <sz val="11"/>
      <scheme val="minor"/>
    </font>
    <font>
      <name val="Calibri"/>
      <charset val="162"/>
      <family val="2"/>
      <color rgb="FF002060"/>
      <sz val="11"/>
      <scheme val="minor"/>
    </font>
    <font>
      <name val="Calibri"/>
      <charset val="162"/>
      <family val="2"/>
      <b val="1"/>
      <color rgb="FFC00000"/>
      <sz val="11"/>
      <scheme val="minor"/>
    </font>
    <font>
      <name val="Calibri"/>
      <charset val="162"/>
      <family val="2"/>
      <color rgb="FFC00000"/>
      <sz val="11"/>
      <scheme val="minor"/>
    </font>
    <font>
      <name val="Calibri"/>
      <charset val="162"/>
      <family val="2"/>
      <color rgb="FFFFFFFF"/>
      <sz val="11"/>
      <scheme val="minor"/>
    </font>
    <font>
      <name val="Calibri"/>
      <charset val="162"/>
      <family val="2"/>
      <color theme="10"/>
      <sz val="11"/>
      <u val="single"/>
      <scheme val="minor"/>
    </font>
    <font>
      <name val="Calibri"/>
      <charset val="162"/>
      <family val="2"/>
      <color rgb="FF000000"/>
      <sz val="11"/>
      <u val="single"/>
      <scheme val="minor"/>
    </font>
    <font>
      <name val="Comic Sans MS"/>
      <family val="4"/>
      <color rgb="FF000000"/>
      <sz val="11"/>
    </font>
    <font>
      <name val="Comic Sans MS"/>
      <family val="4"/>
      <b val="1"/>
      <color rgb="FFFF0000"/>
      <sz val="11"/>
    </font>
    <font>
      <name val="Calibri"/>
      <charset val="162"/>
      <family val="2"/>
      <b val="1"/>
      <color theme="4"/>
      <sz val="11"/>
      <scheme val="minor"/>
    </font>
    <font>
      <name val="Calibri"/>
      <charset val="162"/>
      <family val="2"/>
      <color theme="4"/>
      <sz val="11"/>
      <scheme val="minor"/>
    </font>
    <font>
      <name val="Calibri"/>
      <charset val="162"/>
      <family val="2"/>
      <b val="1"/>
      <color theme="0"/>
      <sz val="11"/>
      <scheme val="minor"/>
    </font>
    <font>
      <name val="Calibri"/>
      <charset val="162"/>
      <family val="2"/>
      <color theme="0"/>
      <sz val="11"/>
      <scheme val="minor"/>
    </font>
    <font>
      <name val="Comic Sans MS"/>
      <family val="4"/>
      <b val="1"/>
      <color rgb="FF000000"/>
      <sz val="11"/>
    </font>
    <font>
      <name val="Calibri"/>
      <color rgb="FFFFFFFF"/>
      <sz val="11"/>
      <scheme val="minor"/>
    </font>
    <font>
      <name val="Calibri"/>
      <color rgb="FF000000"/>
      <sz val="11"/>
      <scheme val="minor"/>
    </font>
    <font>
      <name val="Calibri"/>
      <color theme="0"/>
      <sz val="11"/>
      <scheme val="minor"/>
    </font>
    <font>
      <name val="Calibri"/>
      <charset val="1"/>
      <color rgb="FF000000"/>
      <sz val="11"/>
    </font>
    <font>
      <name val="Calibri"/>
      <charset val="162"/>
      <family val="2"/>
      <b val="1"/>
      <i val="1"/>
      <color theme="1"/>
      <sz val="11"/>
      <scheme val="minor"/>
    </font>
    <font>
      <name val="Calibri"/>
      <charset val="162"/>
      <family val="2"/>
      <b val="1"/>
      <color theme="1"/>
      <sz val="11"/>
      <u val="single"/>
      <scheme val="minor"/>
    </font>
    <font>
      <name val="Calibri"/>
      <charset val="1"/>
      <b val="1"/>
      <color rgb="FF000000"/>
      <sz val="11"/>
    </font>
    <font>
      <name val="Calibri"/>
      <b val="1"/>
      <color rgb="FF000000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8"/>
      <sz val="11"/>
      <scheme val="minor"/>
    </font>
    <font>
      <name val="Calibri"/>
      <charset val="162"/>
      <family val="2"/>
      <color theme="7" tint="0.7999816888943144"/>
      <sz val="11"/>
      <scheme val="minor"/>
    </font>
    <font>
      <name val="Calibri"/>
      <b val="1"/>
      <color rgb="FF95B3D7"/>
      <sz val="11"/>
      <scheme val="minor"/>
    </font>
    <font>
      <name val="Calibri"/>
      <b val="1"/>
      <color rgb="FF262626"/>
      <sz val="11"/>
      <scheme val="minor"/>
    </font>
    <font>
      <name val="Calibri"/>
      <color rgb="FF538DD5"/>
      <sz val="11"/>
      <scheme val="minor"/>
    </font>
    <font>
      <name val="Comic Sans MS"/>
      <family val="4"/>
      <color rgb="FFFF0000"/>
      <sz val="11"/>
    </font>
    <font>
      <name val="Calibri"/>
      <charset val="162"/>
      <family val="2"/>
      <color theme="3" tint="0.5999938962981048"/>
      <sz val="11"/>
      <scheme val="minor"/>
    </font>
    <font>
      <name val="Calibri"/>
      <b val="1"/>
      <color rgb="FF8DB4E2"/>
      <sz val="11"/>
      <scheme val="minor"/>
    </font>
    <font>
      <name val="Calibri"/>
      <b val="1"/>
      <color theme="4" tint="0.3999755851924192"/>
      <sz val="11"/>
      <scheme val="minor"/>
    </font>
    <font>
      <name val="Calibri"/>
      <charset val="162"/>
      <family val="2"/>
      <b val="1"/>
      <color theme="4" tint="0.3999755851924192"/>
      <sz val="11"/>
      <scheme val="minor"/>
    </font>
    <font>
      <name val="Calibri"/>
      <color rgb="FF538DD5"/>
      <sz val="10"/>
      <scheme val="minor"/>
    </font>
    <font>
      <name val="Calibri"/>
      <color rgb="FF8DB4E2"/>
      <sz val="11"/>
      <scheme val="minor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b val="1"/>
      <color theme="1"/>
      <sz val="11"/>
      <u val="single"/>
    </font>
    <font>
      <name val="Calibri"/>
      <b val="1"/>
      <color rgb="FFFF0000"/>
      <sz val="11"/>
      <u val="double"/>
    </font>
    <font>
      <name val="Calibri"/>
      <charset val="162"/>
      <family val="2"/>
      <b val="1"/>
      <color rgb="FFFF0000"/>
      <sz val="11"/>
      <u val="double"/>
      <scheme val="minor"/>
    </font>
    <font>
      <name val="Calibri"/>
      <charset val="162"/>
      <family val="2"/>
      <color rgb="FF538DD5"/>
      <sz val="11"/>
      <scheme val="minor"/>
    </font>
    <font>
      <name val="Calibri"/>
      <color rgb="FF95B3D7"/>
      <sz val="11"/>
      <scheme val="minor"/>
    </font>
    <font>
      <name val="Calibri"/>
      <charset val="162"/>
      <family val="2"/>
      <color rgb="FF8DB4E2"/>
      <sz val="11"/>
      <scheme val="minor"/>
    </font>
    <font>
      <name val="Calibri"/>
      <color rgb="FF00B0F0"/>
      <sz val="11"/>
      <scheme val="minor"/>
    </font>
    <font>
      <name val="Calibri"/>
      <charset val="162"/>
      <family val="2"/>
      <color rgb="FF4F81BD"/>
      <sz val="11"/>
      <scheme val="minor"/>
    </font>
    <font>
      <name val="Calibri"/>
      <color rgb="FF4F81BD"/>
      <sz val="11"/>
      <scheme val="minor"/>
    </font>
    <font>
      <name val="Arial"/>
      <charset val="1"/>
      <color rgb="FF000000"/>
      <sz val="11"/>
    </font>
    <font>
      <name val="Arial"/>
      <charset val="1"/>
      <color theme="1"/>
      <sz val="11"/>
    </font>
    <font>
      <name val="Arial"/>
      <charset val="1"/>
      <color rgb="FF467886"/>
      <sz val="11"/>
    </font>
    <font>
      <name val="Calibri"/>
      <charset val="1"/>
      <color rgb="FF0000FF"/>
      <sz val="11"/>
      <u val="single"/>
    </font>
    <font>
      <name val="Arial"/>
      <color rgb="FFFFFFFF"/>
      <sz val="11"/>
    </font>
    <font>
      <name val="Calibri"/>
      <b val="1"/>
      <color rgb="FFC0504D"/>
      <sz val="11"/>
      <scheme val="minor"/>
    </font>
    <font>
      <name val="Calibri"/>
      <b val="1"/>
      <color rgb="FF5B9BD5"/>
      <sz val="11"/>
    </font>
    <font>
      <name val="Calibri"/>
      <color theme="1"/>
      <sz val="11"/>
      <scheme val="minor"/>
    </font>
  </fonts>
  <fills count="5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</borders>
  <cellStyleXfs count="2">
    <xf numFmtId="0" fontId="0" fillId="0" borderId="0"/>
    <xf numFmtId="0" fontId="18" fillId="0" borderId="0"/>
  </cellStyleXfs>
  <cellXfs count="78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2" fillId="2" borderId="4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164" fontId="9" fillId="2" borderId="4" applyAlignment="1" pivotButton="0" quotePrefix="0" xfId="0">
      <alignment horizontal="center" vertical="center"/>
    </xf>
    <xf numFmtId="164" fontId="9" fillId="2" borderId="11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 wrapText="1"/>
    </xf>
    <xf numFmtId="2" fontId="1" fillId="2" borderId="4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2" fontId="1" fillId="2" borderId="13" applyAlignment="1" pivotButton="0" quotePrefix="0" xfId="0">
      <alignment horizontal="center" vertical="center"/>
    </xf>
    <xf numFmtId="164" fontId="2" fillId="2" borderId="1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164" fontId="9" fillId="2" borderId="16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2" fillId="2" borderId="1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/>
    </xf>
    <xf numFmtId="0" fontId="15" fillId="6" borderId="11" applyAlignment="1" pivotButton="0" quotePrefix="0" xfId="0">
      <alignment horizontal="center" vertical="center"/>
    </xf>
    <xf numFmtId="0" fontId="16" fillId="6" borderId="11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14" fillId="7" borderId="6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/>
    </xf>
    <xf numFmtId="0" fontId="16" fillId="7" borderId="9" applyAlignment="1" pivotButton="0" quotePrefix="0" xfId="0">
      <alignment horizontal="center" vertical="center"/>
    </xf>
    <xf numFmtId="0" fontId="11" fillId="7" borderId="10" applyAlignment="1" pivotButton="0" quotePrefix="0" xfId="0">
      <alignment horizontal="center" vertical="center"/>
    </xf>
    <xf numFmtId="0" fontId="19" fillId="7" borderId="4" applyAlignment="1" pivotButton="0" quotePrefix="0" xfId="1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1" fillId="5" borderId="17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7" fillId="7" borderId="9" applyAlignment="1" pivotButton="0" quotePrefix="0" xfId="0">
      <alignment horizontal="center" vertical="center"/>
    </xf>
    <xf numFmtId="0" fontId="11" fillId="7" borderId="19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0" fontId="6" fillId="11" borderId="15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0" fontId="11" fillId="12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11" fillId="12" borderId="9" applyAlignment="1" pivotButton="0" quotePrefix="0" xfId="0">
      <alignment horizontal="center" vertical="center"/>
    </xf>
    <xf numFmtId="0" fontId="11" fillId="13" borderId="9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0" fontId="0" fillId="0" borderId="4" pivotButton="0" quotePrefix="0" xfId="0"/>
    <xf numFmtId="0" fontId="20" fillId="2" borderId="1" applyAlignment="1" pivotButton="0" quotePrefix="0" xfId="0">
      <alignment horizontal="center" vertical="center" wrapText="1"/>
    </xf>
    <xf numFmtId="2" fontId="20" fillId="2" borderId="1" applyAlignment="1" pivotButton="0" quotePrefix="0" xfId="0">
      <alignment horizontal="center" vertical="center"/>
    </xf>
    <xf numFmtId="164" fontId="21" fillId="2" borderId="2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8" borderId="9" applyAlignment="1" pivotButton="0" quotePrefix="0" xfId="0">
      <alignment horizontal="center" vertical="center"/>
    </xf>
    <xf numFmtId="0" fontId="11" fillId="8" borderId="17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0" fontId="14" fillId="8" borderId="10" applyAlignment="1" pivotButton="0" quotePrefix="0" xfId="0">
      <alignment horizontal="center" vertical="center"/>
    </xf>
    <xf numFmtId="0" fontId="11" fillId="14" borderId="4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14" borderId="10" applyAlignment="1" pivotButton="0" quotePrefix="0" xfId="0">
      <alignment horizontal="center" vertical="center"/>
    </xf>
    <xf numFmtId="0" fontId="22" fillId="8" borderId="6" applyAlignment="1" pivotButton="0" quotePrefix="0" xfId="0">
      <alignment horizontal="center" vertical="center"/>
    </xf>
    <xf numFmtId="0" fontId="23" fillId="8" borderId="6" applyAlignment="1" pivotButton="0" quotePrefix="0" xfId="0">
      <alignment horizontal="center" vertical="center"/>
    </xf>
    <xf numFmtId="0" fontId="23" fillId="0" borderId="0" pivotButton="0" quotePrefix="0" xfId="0"/>
    <xf numFmtId="0" fontId="6" fillId="3" borderId="11" applyAlignment="1" pivotButton="0" quotePrefix="0" xfId="0">
      <alignment horizontal="center" vertical="center"/>
    </xf>
    <xf numFmtId="0" fontId="25" fillId="15" borderId="4" applyAlignment="1" pivotButton="0" quotePrefix="0" xfId="0">
      <alignment horizontal="center" vertical="center"/>
    </xf>
    <xf numFmtId="0" fontId="25" fillId="0" borderId="0" pivotButton="0" quotePrefix="0" xfId="0"/>
    <xf numFmtId="0" fontId="24" fillId="15" borderId="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0" fontId="0" fillId="14" borderId="1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5" borderId="1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9" fillId="2" borderId="9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8" fillId="2" borderId="4" applyAlignment="1" pivotButton="0" quotePrefix="0" xfId="1">
      <alignment horizontal="center" vertical="center"/>
    </xf>
    <xf numFmtId="0" fontId="8" fillId="10" borderId="15" applyAlignment="1" pivotButton="0" quotePrefix="0" xfId="0">
      <alignment horizontal="center" vertical="center"/>
    </xf>
    <xf numFmtId="0" fontId="17" fillId="9" borderId="11" applyAlignment="1" pivotButton="0" quotePrefix="0" xfId="0">
      <alignment horizontal="center" vertical="center"/>
    </xf>
    <xf numFmtId="0" fontId="0" fillId="18" borderId="4" applyAlignment="1" pivotButton="0" quotePrefix="0" xfId="0">
      <alignment horizontal="center" vertical="center"/>
    </xf>
    <xf numFmtId="0" fontId="6" fillId="9" borderId="11" applyAlignment="1" pivotButton="0" quotePrefix="0" xfId="0">
      <alignment horizontal="center" vertical="center"/>
    </xf>
    <xf numFmtId="0" fontId="6" fillId="19" borderId="4" applyAlignment="1" pivotButton="0" quotePrefix="0" xfId="0">
      <alignment horizontal="center"/>
    </xf>
    <xf numFmtId="0" fontId="6" fillId="26" borderId="11" applyAlignment="1" pivotButton="0" quotePrefix="0" xfId="0">
      <alignment horizontal="center"/>
    </xf>
    <xf numFmtId="17" fontId="31" fillId="3" borderId="11" applyAlignment="1" pivotButton="0" quotePrefix="0" xfId="0">
      <alignment horizontal="center" vertical="center"/>
    </xf>
    <xf numFmtId="0" fontId="30" fillId="20" borderId="11" pivotButton="0" quotePrefix="0" xfId="0"/>
    <xf numFmtId="0" fontId="0" fillId="21" borderId="11" pivotButton="0" quotePrefix="0" xfId="0"/>
    <xf numFmtId="0" fontId="0" fillId="22" borderId="11" pivotButton="0" quotePrefix="0" xfId="0"/>
    <xf numFmtId="0" fontId="0" fillId="23" borderId="11" pivotButton="0" quotePrefix="0" xfId="0"/>
    <xf numFmtId="0" fontId="0" fillId="24" borderId="11" pivotButton="0" quotePrefix="0" xfId="0"/>
    <xf numFmtId="0" fontId="0" fillId="25" borderId="11" pivotButton="0" quotePrefix="0" xfId="0"/>
    <xf numFmtId="0" fontId="10" fillId="14" borderId="11" pivotButton="0" quotePrefix="0" xfId="0"/>
    <xf numFmtId="0" fontId="31" fillId="3" borderId="11" applyAlignment="1" pivotButton="0" quotePrefix="0" xfId="0">
      <alignment horizontal="center"/>
    </xf>
    <xf numFmtId="0" fontId="0" fillId="19" borderId="4" pivotButton="0" quotePrefix="0" xfId="0"/>
    <xf numFmtId="0" fontId="30" fillId="20" borderId="7" pivotButton="0" quotePrefix="0" xfId="0"/>
    <xf numFmtId="0" fontId="0" fillId="21" borderId="7" pivotButton="0" quotePrefix="0" xfId="0"/>
    <xf numFmtId="0" fontId="0" fillId="22" borderId="7" pivotButton="0" quotePrefix="0" xfId="0"/>
    <xf numFmtId="0" fontId="0" fillId="23" borderId="7" pivotButton="0" quotePrefix="0" xfId="0"/>
    <xf numFmtId="0" fontId="0" fillId="24" borderId="7" pivotButton="0" quotePrefix="0" xfId="0"/>
    <xf numFmtId="0" fontId="0" fillId="25" borderId="7" pivotButton="0" quotePrefix="0" xfId="0"/>
    <xf numFmtId="0" fontId="10" fillId="14" borderId="7" pivotButton="0" quotePrefix="0" xfId="0"/>
    <xf numFmtId="0" fontId="6" fillId="27" borderId="4" applyAlignment="1" pivotButton="0" quotePrefix="0" xfId="0">
      <alignment horizontal="center"/>
    </xf>
    <xf numFmtId="0" fontId="0" fillId="19" borderId="7" pivotButton="0" quotePrefix="0" xfId="0"/>
    <xf numFmtId="0" fontId="6" fillId="19" borderId="7" applyAlignment="1" pivotButton="0" quotePrefix="0" xfId="0">
      <alignment horizontal="center"/>
    </xf>
    <xf numFmtId="0" fontId="10" fillId="13" borderId="4" applyAlignment="1" pivotButton="0" quotePrefix="0" xfId="0">
      <alignment horizontal="center" vertical="center"/>
    </xf>
    <xf numFmtId="0" fontId="6" fillId="28" borderId="4" pivotButton="0" quotePrefix="0" xfId="0"/>
    <xf numFmtId="0" fontId="6" fillId="13" borderId="4" applyAlignment="1" pivotButton="0" quotePrefix="0" xfId="0">
      <alignment horizontal="center" vertical="center"/>
    </xf>
    <xf numFmtId="165" fontId="6" fillId="3" borderId="4" applyAlignment="1" pivotButton="0" quotePrefix="0" xfId="0">
      <alignment horizontal="center"/>
    </xf>
    <xf numFmtId="165" fontId="0" fillId="0" borderId="4" pivotButton="0" quotePrefix="0" xfId="0"/>
    <xf numFmtId="165" fontId="6" fillId="27" borderId="4" applyAlignment="1" pivotButton="0" quotePrefix="0" xfId="0">
      <alignment horizontal="center"/>
    </xf>
    <xf numFmtId="165" fontId="0" fillId="3" borderId="4" pivotButton="0" quotePrefix="0" xfId="0"/>
    <xf numFmtId="165" fontId="6" fillId="3" borderId="11" applyAlignment="1" pivotButton="0" quotePrefix="0" xfId="0">
      <alignment horizontal="center"/>
    </xf>
    <xf numFmtId="165" fontId="0" fillId="0" borderId="11" pivotButton="0" quotePrefix="0" xfId="0"/>
    <xf numFmtId="165" fontId="6" fillId="27" borderId="11" applyAlignment="1" pivotButton="0" quotePrefix="0" xfId="0">
      <alignment horizontal="center"/>
    </xf>
    <xf numFmtId="165" fontId="0" fillId="3" borderId="11" pivotButton="0" quotePrefix="0" xfId="0"/>
    <xf numFmtId="0" fontId="0" fillId="19" borderId="9" pivotButton="0" quotePrefix="0" xfId="0"/>
    <xf numFmtId="0" fontId="6" fillId="29" borderId="4" pivotButton="0" quotePrefix="0" xfId="0"/>
    <xf numFmtId="0" fontId="0" fillId="29" borderId="4" pivotButton="0" quotePrefix="0" xfId="0"/>
    <xf numFmtId="165" fontId="33" fillId="20" borderId="4" pivotButton="0" quotePrefix="0" xfId="0"/>
    <xf numFmtId="165" fontId="6" fillId="21" borderId="4" pivotButton="0" quotePrefix="0" xfId="0"/>
    <xf numFmtId="165" fontId="6" fillId="22" borderId="4" pivotButton="0" quotePrefix="0" xfId="0"/>
    <xf numFmtId="165" fontId="6" fillId="23" borderId="4" pivotButton="0" quotePrefix="0" xfId="0"/>
    <xf numFmtId="165" fontId="6" fillId="24" borderId="4" pivotButton="0" quotePrefix="0" xfId="0"/>
    <xf numFmtId="165" fontId="6" fillId="25" borderId="4" pivotButton="0" quotePrefix="0" xfId="0"/>
    <xf numFmtId="0" fontId="6" fillId="29" borderId="7" pivotButton="0" quotePrefix="0" xfId="0"/>
    <xf numFmtId="0" fontId="33" fillId="20" borderId="7" pivotButton="0" quotePrefix="0" xfId="0"/>
    <xf numFmtId="0" fontId="6" fillId="21" borderId="7" pivotButton="0" quotePrefix="0" xfId="0"/>
    <xf numFmtId="0" fontId="6" fillId="22" borderId="7" pivotButton="0" quotePrefix="0" xfId="0"/>
    <xf numFmtId="0" fontId="6" fillId="23" borderId="7" pivotButton="0" quotePrefix="0" xfId="0"/>
    <xf numFmtId="0" fontId="6" fillId="24" borderId="7" pivotButton="0" quotePrefix="0" xfId="0"/>
    <xf numFmtId="0" fontId="6" fillId="25" borderId="7" pivotButton="0" quotePrefix="0" xfId="0"/>
    <xf numFmtId="0" fontId="0" fillId="19" borderId="17" pivotButton="0" quotePrefix="0" xfId="0"/>
    <xf numFmtId="165" fontId="6" fillId="12" borderId="4" applyAlignment="1" pivotButton="0" quotePrefix="0" xfId="0">
      <alignment horizontal="center"/>
    </xf>
    <xf numFmtId="0" fontId="10" fillId="14" borderId="10" pivotButton="0" quotePrefix="0" xfId="0"/>
    <xf numFmtId="165" fontId="6" fillId="25" borderId="9" pivotButton="0" quotePrefix="0" xfId="0"/>
    <xf numFmtId="0" fontId="30" fillId="0" borderId="0" pivotButton="0" quotePrefix="0" xfId="0"/>
    <xf numFmtId="0" fontId="6" fillId="19" borderId="8" applyAlignment="1" pivotButton="0" quotePrefix="0" xfId="0">
      <alignment horizontal="center"/>
    </xf>
    <xf numFmtId="0" fontId="6" fillId="19" borderId="9" applyAlignment="1" pivotButton="0" quotePrefix="0" xfId="0">
      <alignment horizontal="center"/>
    </xf>
    <xf numFmtId="0" fontId="18" fillId="31" borderId="8" applyAlignment="1" pivotButton="0" quotePrefix="0" xfId="1">
      <alignment horizontal="left" vertical="center"/>
    </xf>
    <xf numFmtId="0" fontId="18" fillId="31" borderId="4" applyAlignment="1" pivotButton="0" quotePrefix="0" xfId="1">
      <alignment horizontal="left" vertical="center"/>
    </xf>
    <xf numFmtId="0" fontId="18" fillId="31" borderId="4" pivotButton="0" quotePrefix="0" xfId="1"/>
    <xf numFmtId="0" fontId="18" fillId="31" borderId="9" pivotButton="0" quotePrefix="0" xfId="1"/>
    <xf numFmtId="0" fontId="18" fillId="31" borderId="8" pivotButton="0" quotePrefix="0" xfId="1"/>
    <xf numFmtId="0" fontId="0" fillId="31" borderId="4" applyAlignment="1" pivotButton="0" quotePrefix="0" xfId="0">
      <alignment horizontal="center" vertical="center"/>
    </xf>
    <xf numFmtId="0" fontId="6" fillId="3" borderId="8" pivotButton="0" quotePrefix="0" xfId="0"/>
    <xf numFmtId="0" fontId="31" fillId="30" borderId="4" pivotButton="0" quotePrefix="0" xfId="0"/>
    <xf numFmtId="0" fontId="31" fillId="30" borderId="8" pivotButton="0" quotePrefix="0" xfId="0"/>
    <xf numFmtId="0" fontId="31" fillId="30" borderId="9" pivotButton="0" quotePrefix="0" xfId="0"/>
    <xf numFmtId="0" fontId="31" fillId="28" borderId="8" pivotButton="0" quotePrefix="0" xfId="0"/>
    <xf numFmtId="0" fontId="31" fillId="28" borderId="4" pivotButton="0" quotePrefix="0" xfId="0"/>
    <xf numFmtId="0" fontId="31" fillId="28" borderId="9" pivotButton="0" quotePrefix="0" xfId="0"/>
    <xf numFmtId="0" fontId="31" fillId="26" borderId="8" pivotButton="0" quotePrefix="0" xfId="0"/>
    <xf numFmtId="0" fontId="31" fillId="26" borderId="4" pivotButton="0" quotePrefix="0" xfId="0"/>
    <xf numFmtId="0" fontId="31" fillId="26" borderId="9" pivotButton="0" quotePrefix="0" xfId="0"/>
    <xf numFmtId="0" fontId="31" fillId="16" borderId="4" pivotButton="0" quotePrefix="0" xfId="0"/>
    <xf numFmtId="0" fontId="0" fillId="33" borderId="11" pivotButton="0" quotePrefix="0" xfId="0"/>
    <xf numFmtId="0" fontId="0" fillId="33" borderId="16" pivotButton="0" quotePrefix="0" xfId="0"/>
    <xf numFmtId="0" fontId="0" fillId="33" borderId="8" pivotButton="0" quotePrefix="0" xfId="0"/>
    <xf numFmtId="0" fontId="0" fillId="33" borderId="4" pivotButton="0" quotePrefix="0" xfId="0"/>
    <xf numFmtId="0" fontId="0" fillId="33" borderId="9" pivotButton="0" quotePrefix="0" xfId="0"/>
    <xf numFmtId="0" fontId="0" fillId="35" borderId="4" pivotButton="0" quotePrefix="0" xfId="0"/>
    <xf numFmtId="0" fontId="0" fillId="28" borderId="0" pivotButton="0" quotePrefix="0" xfId="0"/>
    <xf numFmtId="0" fontId="10" fillId="14" borderId="4" pivotButton="0" quotePrefix="0" xfId="0"/>
    <xf numFmtId="165" fontId="6" fillId="12" borderId="10" applyAlignment="1" pivotButton="0" quotePrefix="0" xfId="0">
      <alignment horizontal="center"/>
    </xf>
    <xf numFmtId="0" fontId="6" fillId="25" borderId="17" pivotButton="0" quotePrefix="0" xfId="0"/>
    <xf numFmtId="0" fontId="0" fillId="14" borderId="11" applyAlignment="1" pivotButton="0" quotePrefix="0" xfId="0">
      <alignment horizontal="center" vertical="center"/>
    </xf>
    <xf numFmtId="0" fontId="6" fillId="3" borderId="18" applyAlignment="1" pivotButton="0" quotePrefix="0" xfId="0">
      <alignment horizontal="center" vertical="center"/>
    </xf>
    <xf numFmtId="0" fontId="6" fillId="19" borderId="0" pivotButton="0" quotePrefix="0" xfId="0"/>
    <xf numFmtId="0" fontId="6" fillId="14" borderId="23" pivotButton="0" quotePrefix="0" xfId="0"/>
    <xf numFmtId="0" fontId="6" fillId="27" borderId="19" pivotButton="0" quotePrefix="0" xfId="0"/>
    <xf numFmtId="0" fontId="6" fillId="19" borderId="19" pivotButton="0" quotePrefix="0" xfId="0"/>
    <xf numFmtId="0" fontId="6" fillId="3" borderId="6" pivotButton="0" quotePrefix="0" xfId="0"/>
    <xf numFmtId="0" fontId="6" fillId="31" borderId="19" applyAlignment="1" pivotButton="0" quotePrefix="0" xfId="0">
      <alignment horizontal="left" vertical="center"/>
    </xf>
    <xf numFmtId="0" fontId="6" fillId="14" borderId="6" pivotButton="0" quotePrefix="0" xfId="0"/>
    <xf numFmtId="0" fontId="0" fillId="39" borderId="0" applyAlignment="1" pivotButton="0" quotePrefix="0" xfId="0">
      <alignment horizontal="left" vertical="center"/>
    </xf>
    <xf numFmtId="165" fontId="6" fillId="39" borderId="4" pivotButton="0" quotePrefix="0" xfId="0"/>
    <xf numFmtId="165" fontId="6" fillId="40" borderId="11" pivotButton="0" quotePrefix="0" xfId="0"/>
    <xf numFmtId="165" fontId="6" fillId="39" borderId="11" pivotButton="0" quotePrefix="0" xfId="0"/>
    <xf numFmtId="165" fontId="6" fillId="40" borderId="4" pivotButton="0" quotePrefix="0" xfId="0"/>
    <xf numFmtId="0" fontId="6" fillId="17" borderId="0" applyAlignment="1" pivotButton="0" quotePrefix="0" xfId="0">
      <alignment horizontal="left" vertical="center"/>
    </xf>
    <xf numFmtId="0" fontId="6" fillId="19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166" fontId="6" fillId="12" borderId="0" applyAlignment="1" pivotButton="0" quotePrefix="0" xfId="0">
      <alignment horizontal="center"/>
    </xf>
    <xf numFmtId="0" fontId="6" fillId="18" borderId="11" applyAlignment="1" pivotButton="0" quotePrefix="0" xfId="0">
      <alignment horizontal="center" vertical="center"/>
    </xf>
    <xf numFmtId="0" fontId="0" fillId="18" borderId="11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66" fontId="0" fillId="29" borderId="4" pivotButton="0" quotePrefix="0" xfId="0"/>
    <xf numFmtId="166" fontId="6" fillId="21" borderId="4" pivotButton="0" quotePrefix="0" xfId="0"/>
    <xf numFmtId="166" fontId="6" fillId="22" borderId="4" pivotButton="0" quotePrefix="0" xfId="0"/>
    <xf numFmtId="166" fontId="6" fillId="23" borderId="4" pivotButton="0" quotePrefix="0" xfId="0"/>
    <xf numFmtId="166" fontId="6" fillId="24" borderId="4" pivotButton="0" quotePrefix="0" xfId="0"/>
    <xf numFmtId="166" fontId="6" fillId="25" borderId="4" pivotButton="0" quotePrefix="0" xfId="0"/>
    <xf numFmtId="0" fontId="28" fillId="29" borderId="11" pivotButton="0" quotePrefix="0" xfId="0"/>
    <xf numFmtId="165" fontId="33" fillId="20" borderId="11" pivotButton="0" quotePrefix="0" xfId="0"/>
    <xf numFmtId="165" fontId="6" fillId="21" borderId="11" pivotButton="0" quotePrefix="0" xfId="0"/>
    <xf numFmtId="165" fontId="6" fillId="22" borderId="11" pivotButton="0" quotePrefix="0" xfId="0"/>
    <xf numFmtId="165" fontId="6" fillId="23" borderId="11" pivotButton="0" quotePrefix="0" xfId="0"/>
    <xf numFmtId="165" fontId="6" fillId="24" borderId="11" pivotButton="0" quotePrefix="0" xfId="0"/>
    <xf numFmtId="165" fontId="6" fillId="25" borderId="16" pivotButton="0" quotePrefix="0" xfId="0"/>
    <xf numFmtId="166" fontId="0" fillId="0" borderId="4" pivotButton="0" quotePrefix="0" xfId="0"/>
    <xf numFmtId="166" fontId="6" fillId="3" borderId="9" applyAlignment="1" pivotButton="0" quotePrefix="0" xfId="0">
      <alignment horizontal="center"/>
    </xf>
    <xf numFmtId="166" fontId="6" fillId="27" borderId="8" applyAlignment="1" pivotButton="0" quotePrefix="0" xfId="0">
      <alignment horizontal="center"/>
    </xf>
    <xf numFmtId="166" fontId="0" fillId="3" borderId="9" pivotButton="0" quotePrefix="0" xfId="0"/>
    <xf numFmtId="166" fontId="6" fillId="27" borderId="15" applyAlignment="1" pivotButton="0" quotePrefix="0" xfId="0">
      <alignment horizontal="center"/>
    </xf>
    <xf numFmtId="166" fontId="33" fillId="20" borderId="8" pivotButton="0" quotePrefix="0" xfId="0"/>
    <xf numFmtId="0" fontId="18" fillId="31" borderId="16" pivotButton="0" quotePrefix="0" xfId="1"/>
    <xf numFmtId="0" fontId="14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/>
    </xf>
    <xf numFmtId="0" fontId="20" fillId="2" borderId="13" applyAlignment="1" pivotButton="0" quotePrefix="0" xfId="0">
      <alignment horizontal="center" vertical="center" wrapText="1"/>
    </xf>
    <xf numFmtId="2" fontId="20" fillId="2" borderId="13" applyAlignment="1" pivotButton="0" quotePrefix="0" xfId="0">
      <alignment horizontal="center" vertical="center"/>
    </xf>
    <xf numFmtId="164" fontId="21" fillId="2" borderId="14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 wrapText="1"/>
    </xf>
    <xf numFmtId="0" fontId="35" fillId="2" borderId="4" applyAlignment="1" pivotButton="0" quotePrefix="0" xfId="0">
      <alignment horizontal="center" vertical="center"/>
    </xf>
    <xf numFmtId="0" fontId="14" fillId="14" borderId="4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0" fillId="2" borderId="0" pivotButton="0" quotePrefix="0" xfId="0"/>
    <xf numFmtId="0" fontId="12" fillId="5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0" fillId="0" borderId="11" pivotButton="0" quotePrefix="0" xfId="0"/>
    <xf numFmtId="0" fontId="0" fillId="15" borderId="11" applyAlignment="1" pivotButton="0" quotePrefix="0" xfId="0">
      <alignment horizontal="center"/>
    </xf>
    <xf numFmtId="0" fontId="0" fillId="29" borderId="4" applyAlignment="1" pivotButton="0" quotePrefix="0" xfId="0">
      <alignment horizontal="center"/>
    </xf>
    <xf numFmtId="0" fontId="0" fillId="29" borderId="1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0" fillId="21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18" borderId="4" applyAlignment="1" pivotButton="0" quotePrefix="0" xfId="0">
      <alignment horizontal="center"/>
    </xf>
    <xf numFmtId="0" fontId="0" fillId="2" borderId="9" pivotButton="0" quotePrefix="0" xfId="0"/>
    <xf numFmtId="167" fontId="0" fillId="0" borderId="0" pivotButton="0" quotePrefix="0" xfId="0"/>
    <xf numFmtId="0" fontId="0" fillId="30" borderId="4" applyAlignment="1" pivotButton="0" quotePrefix="0" xfId="0">
      <alignment horizontal="center" vertical="center"/>
    </xf>
    <xf numFmtId="0" fontId="6" fillId="17" borderId="6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0" fontId="0" fillId="14" borderId="6" applyAlignment="1" pivotButton="0" quotePrefix="0" xfId="0">
      <alignment horizontal="center" vertical="center"/>
    </xf>
    <xf numFmtId="0" fontId="0" fillId="17" borderId="11" applyAlignment="1" pivotButton="0" quotePrefix="0" xfId="0">
      <alignment horizontal="center" vertical="center"/>
    </xf>
    <xf numFmtId="0" fontId="5" fillId="30" borderId="4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4" fillId="14" borderId="9" applyAlignment="1" pivotButton="0" quotePrefix="0" xfId="0">
      <alignment horizontal="center" vertical="center"/>
    </xf>
    <xf numFmtId="0" fontId="37" fillId="33" borderId="0" applyAlignment="1" pivotButton="0" quotePrefix="0" xfId="0">
      <alignment horizontal="center" vertical="center"/>
    </xf>
    <xf numFmtId="0" fontId="5" fillId="33" borderId="4" applyAlignment="1" pivotButton="0" quotePrefix="0" xfId="0">
      <alignment horizontal="center" vertical="center"/>
    </xf>
    <xf numFmtId="0" fontId="0" fillId="33" borderId="4" applyAlignment="1" pivotButton="0" quotePrefix="0" xfId="0">
      <alignment horizontal="center" vertical="center"/>
    </xf>
    <xf numFmtId="0" fontId="36" fillId="0" borderId="16" applyAlignment="1" pivotButton="0" quotePrefix="0" xfId="0">
      <alignment horizontal="center" vertical="center"/>
    </xf>
    <xf numFmtId="0" fontId="23" fillId="8" borderId="10" applyAlignment="1" pivotButton="0" quotePrefix="0" xfId="0">
      <alignment horizontal="center" vertical="center"/>
    </xf>
    <xf numFmtId="0" fontId="16" fillId="6" borderId="16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25" fillId="15" borderId="9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49" fontId="0" fillId="0" borderId="0" pivotButton="0" quotePrefix="0" xfId="0"/>
    <xf numFmtId="0" fontId="5" fillId="41" borderId="4" applyAlignment="1" pivotButton="0" quotePrefix="0" xfId="0">
      <alignment horizontal="center" vertical="center"/>
    </xf>
    <xf numFmtId="0" fontId="0" fillId="41" borderId="4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0" fillId="12" borderId="9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40" fillId="0" borderId="11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/>
    </xf>
    <xf numFmtId="0" fontId="40" fillId="0" borderId="16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164" fontId="41" fillId="2" borderId="2" applyAlignment="1" pivotButton="0" quotePrefix="0" xfId="0">
      <alignment horizontal="center" vertical="center"/>
    </xf>
    <xf numFmtId="0" fontId="42" fillId="0" borderId="11" applyAlignment="1" pivotButton="0" quotePrefix="0" xfId="0">
      <alignment horizontal="center" vertical="center"/>
    </xf>
    <xf numFmtId="0" fontId="40" fillId="0" borderId="20" applyAlignment="1" pivotButton="0" quotePrefix="0" xfId="0">
      <alignment horizontal="center" vertical="center"/>
    </xf>
    <xf numFmtId="0" fontId="11" fillId="14" borderId="6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14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9" fillId="38" borderId="4" applyAlignment="1" pivotButton="0" quotePrefix="0" xfId="0">
      <alignment horizontal="center"/>
    </xf>
    <xf numFmtId="0" fontId="52" fillId="22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48" fillId="3" borderId="4" applyAlignment="1" pivotButton="0" quotePrefix="1" xfId="0">
      <alignment horizontal="center"/>
    </xf>
    <xf numFmtId="0" fontId="48" fillId="3" borderId="11" applyAlignment="1" pivotButton="0" quotePrefix="1" xfId="0">
      <alignment horizontal="center"/>
    </xf>
    <xf numFmtId="0" fontId="48" fillId="3" borderId="11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0" fillId="0" borderId="0" pivotButton="0" quotePrefix="0" xfId="0"/>
    <xf numFmtId="0" fontId="32" fillId="42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48" fillId="3" borderId="4" applyAlignment="1" pivotButton="0" quotePrefix="0" xfId="0">
      <alignment horizontal="center"/>
    </xf>
    <xf numFmtId="0" fontId="50" fillId="3" borderId="11" applyAlignment="1" pivotButton="0" quotePrefix="0" xfId="0">
      <alignment horizontal="center"/>
    </xf>
    <xf numFmtId="0" fontId="51" fillId="38" borderId="9" applyAlignment="1" pivotButton="0" quotePrefix="0" xfId="0">
      <alignment horizontal="center"/>
    </xf>
    <xf numFmtId="0" fontId="0" fillId="0" borderId="7" pivotButton="0" quotePrefix="0" xfId="0"/>
    <xf numFmtId="0" fontId="47" fillId="0" borderId="16" applyAlignment="1" pivotButton="0" quotePrefix="0" xfId="0">
      <alignment horizontal="center" vertical="center"/>
    </xf>
    <xf numFmtId="0" fontId="0" fillId="14" borderId="10" applyAlignment="1" pivotButton="0" quotePrefix="0" xfId="0">
      <alignment horizontal="center" vertical="center"/>
    </xf>
    <xf numFmtId="0" fontId="53" fillId="0" borderId="4" applyAlignment="1" pivotButton="0" quotePrefix="0" xfId="0">
      <alignment horizontal="center" vertical="center"/>
    </xf>
    <xf numFmtId="0" fontId="28" fillId="14" borderId="4" applyAlignment="1" pivotButton="0" quotePrefix="0" xfId="0">
      <alignment horizontal="center" vertical="center"/>
    </xf>
    <xf numFmtId="0" fontId="28" fillId="14" borderId="4" applyAlignment="1" pivotButton="0" quotePrefix="0" xfId="0">
      <alignment horizontal="center" vertical="center" wrapText="1"/>
    </xf>
    <xf numFmtId="0" fontId="42" fillId="0" borderId="16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 wrapText="1"/>
    </xf>
    <xf numFmtId="0" fontId="28" fillId="14" borderId="9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wrapText="1"/>
    </xf>
    <xf numFmtId="0" fontId="34" fillId="37" borderId="28" applyAlignment="1" pivotButton="0" quotePrefix="0" xfId="0">
      <alignment horizontal="center"/>
    </xf>
    <xf numFmtId="0" fontId="6" fillId="35" borderId="29" applyAlignment="1" pivotButton="0" quotePrefix="0" xfId="0">
      <alignment horizontal="center"/>
    </xf>
    <xf numFmtId="0" fontId="6" fillId="21" borderId="30" applyAlignment="1" pivotButton="0" quotePrefix="0" xfId="0">
      <alignment horizontal="center"/>
    </xf>
    <xf numFmtId="0" fontId="6" fillId="23" borderId="31" applyAlignment="1" pivotButton="0" quotePrefix="0" xfId="0">
      <alignment horizontal="center"/>
    </xf>
    <xf numFmtId="0" fontId="6" fillId="3" borderId="24" applyAlignment="1" pivotButton="0" quotePrefix="0" xfId="0">
      <alignment horizontal="center"/>
    </xf>
    <xf numFmtId="14" fontId="0" fillId="3" borderId="26" pivotButton="0" quotePrefix="0" xfId="0"/>
    <xf numFmtId="14" fontId="0" fillId="3" borderId="27" pivotButton="0" quotePrefix="0" xfId="0"/>
    <xf numFmtId="14" fontId="0" fillId="3" borderId="25" pivotButton="0" quotePrefix="0" xfId="0"/>
    <xf numFmtId="0" fontId="0" fillId="3" borderId="25" pivotButton="0" quotePrefix="0" xfId="0"/>
    <xf numFmtId="0" fontId="56" fillId="0" borderId="9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56" fillId="0" borderId="4" applyAlignment="1" pivotButton="0" quotePrefix="0" xfId="0">
      <alignment horizontal="center" vertical="center"/>
    </xf>
    <xf numFmtId="0" fontId="36" fillId="0" borderId="15" applyAlignment="1" pivotButton="0" quotePrefix="0" xfId="0">
      <alignment horizontal="center" vertical="center"/>
    </xf>
    <xf numFmtId="0" fontId="0" fillId="0" borderId="9" pivotButton="0" quotePrefix="0" xfId="0"/>
    <xf numFmtId="0" fontId="53" fillId="0" borderId="16" applyAlignment="1" pivotButton="0" quotePrefix="0" xfId="0">
      <alignment horizontal="center" vertical="center"/>
    </xf>
    <xf numFmtId="0" fontId="0" fillId="14" borderId="6" applyAlignment="1" pivotButton="0" quotePrefix="0" xfId="0">
      <alignment horizontal="center" vertical="center"/>
    </xf>
    <xf numFmtId="0" fontId="0" fillId="14" borderId="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55" fillId="0" borderId="16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wrapText="1"/>
    </xf>
    <xf numFmtId="14" fontId="0" fillId="3" borderId="4" pivotButton="0" quotePrefix="0" xfId="0"/>
    <xf numFmtId="14" fontId="0" fillId="3" borderId="32" pivotButton="0" quotePrefix="0" xfId="0"/>
    <xf numFmtId="14" fontId="0" fillId="3" borderId="11" pivotButton="0" quotePrefix="0" xfId="0"/>
    <xf numFmtId="14" fontId="0" fillId="3" borderId="16" pivotButton="0" quotePrefix="0" xfId="0"/>
    <xf numFmtId="14" fontId="0" fillId="3" borderId="8" pivotButton="0" quotePrefix="0" xfId="0"/>
    <xf numFmtId="17" fontId="0" fillId="0" borderId="4" applyAlignment="1" pivotButton="0" quotePrefix="0" xfId="0">
      <alignment horizontal="center"/>
    </xf>
    <xf numFmtId="0" fontId="42" fillId="0" borderId="9" applyAlignment="1" pivotButton="0" quotePrefix="0" xfId="0">
      <alignment horizontal="center" vertical="center"/>
    </xf>
    <xf numFmtId="17" fontId="0" fillId="0" borderId="4" pivotButton="0" quotePrefix="0" xfId="0"/>
    <xf numFmtId="0" fontId="55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/>
    </xf>
    <xf numFmtId="0" fontId="0" fillId="2" borderId="17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14" fillId="14" borderId="6" applyAlignment="1" pivotButton="0" quotePrefix="0" xfId="0">
      <alignment horizontal="center" vertical="center"/>
    </xf>
    <xf numFmtId="0" fontId="0" fillId="43" borderId="0" pivotButton="0" quotePrefix="0" xfId="0"/>
    <xf numFmtId="0" fontId="18" fillId="35" borderId="4" pivotButton="0" quotePrefix="0" xfId="1"/>
    <xf numFmtId="0" fontId="0" fillId="33" borderId="0" applyAlignment="1" pivotButton="0" quotePrefix="0" xfId="0">
      <alignment horizontal="center"/>
    </xf>
    <xf numFmtId="0" fontId="59" fillId="0" borderId="0" pivotButton="0" quotePrefix="0" xfId="0"/>
    <xf numFmtId="0" fontId="0" fillId="33" borderId="18" applyAlignment="1" pivotButton="0" quotePrefix="0" xfId="0">
      <alignment horizontal="center"/>
    </xf>
    <xf numFmtId="0" fontId="60" fillId="21" borderId="4" applyAlignment="1" pivotButton="0" quotePrefix="0" xfId="0">
      <alignment horizontal="center"/>
    </xf>
    <xf numFmtId="0" fontId="0" fillId="21" borderId="4" applyAlignment="1" pivotButton="0" quotePrefix="0" xfId="0">
      <alignment horizontal="center"/>
    </xf>
    <xf numFmtId="0" fontId="0" fillId="21" borderId="4" applyAlignment="1" pivotButton="0" quotePrefix="0" xfId="0">
      <alignment horizontal="center" wrapText="1"/>
    </xf>
    <xf numFmtId="0" fontId="0" fillId="46" borderId="4" applyAlignment="1" pivotButton="0" quotePrefix="0" xfId="0">
      <alignment horizontal="center"/>
    </xf>
    <xf numFmtId="0" fontId="60" fillId="21" borderId="4" applyAlignment="1" pivotButton="0" quotePrefix="0" xfId="0">
      <alignment horizontal="center" wrapText="1"/>
    </xf>
    <xf numFmtId="0" fontId="0" fillId="30" borderId="4" applyAlignment="1" pivotButton="0" quotePrefix="0" xfId="0">
      <alignment horizontal="center"/>
    </xf>
    <xf numFmtId="0" fontId="18" fillId="24" borderId="4" applyAlignment="1" pivotButton="0" quotePrefix="0" xfId="1">
      <alignment horizontal="center"/>
    </xf>
    <xf numFmtId="0" fontId="0" fillId="21" borderId="9" applyAlignment="1" pivotButton="0" quotePrefix="0" xfId="0">
      <alignment horizontal="center"/>
    </xf>
    <xf numFmtId="0" fontId="22" fillId="0" borderId="4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 wrapText="1"/>
    </xf>
    <xf numFmtId="2" fontId="20" fillId="2" borderId="5" applyAlignment="1" pivotButton="0" quotePrefix="0" xfId="0">
      <alignment horizontal="center" vertical="center"/>
    </xf>
    <xf numFmtId="164" fontId="21" fillId="2" borderId="3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0" fontId="16" fillId="6" borderId="18" applyAlignment="1" pivotButton="0" quotePrefix="0" xfId="0">
      <alignment horizontal="center" vertical="center"/>
    </xf>
    <xf numFmtId="0" fontId="0" fillId="3" borderId="18" applyAlignment="1" pivotButton="0" quotePrefix="0" xfId="0">
      <alignment horizontal="center" vertical="center"/>
    </xf>
    <xf numFmtId="0" fontId="17" fillId="9" borderId="18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6" borderId="8" applyAlignment="1" pivotButton="0" quotePrefix="0" xfId="0">
      <alignment horizontal="center" vertical="center"/>
    </xf>
    <xf numFmtId="0" fontId="0" fillId="17" borderId="18" applyAlignment="1" pivotButton="0" quotePrefix="0" xfId="0">
      <alignment horizontal="center" vertical="center"/>
    </xf>
    <xf numFmtId="0" fontId="0" fillId="30" borderId="8" applyAlignment="1" pivotButton="0" quotePrefix="0" xfId="0">
      <alignment horizontal="center" vertical="center"/>
    </xf>
    <xf numFmtId="0" fontId="0" fillId="33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65" fillId="0" borderId="35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65" fillId="0" borderId="39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31" fillId="30" borderId="15" pivotButton="0" quotePrefix="0" xfId="0"/>
    <xf numFmtId="0" fontId="0" fillId="30" borderId="0" applyAlignment="1" pivotButton="0" quotePrefix="0" xfId="0">
      <alignment horizontal="center"/>
    </xf>
    <xf numFmtId="0" fontId="62" fillId="24" borderId="18" applyAlignment="1" pivotButton="0" quotePrefix="0" xfId="0">
      <alignment horizontal="center"/>
    </xf>
    <xf numFmtId="0" fontId="59" fillId="21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18" fillId="31" borderId="20" pivotButton="0" quotePrefix="0" xfId="1"/>
    <xf numFmtId="0" fontId="18" fillId="3" borderId="4" applyAlignment="1" pivotButton="0" quotePrefix="0" xfId="1">
      <alignment horizontal="center" vertical="center"/>
    </xf>
    <xf numFmtId="0" fontId="6" fillId="34" borderId="4" applyAlignment="1" pivotButton="0" quotePrefix="0" xfId="0">
      <alignment horizontal="center" vertical="center"/>
    </xf>
    <xf numFmtId="0" fontId="27" fillId="44" borderId="4" applyAlignment="1" pivotButton="0" quotePrefix="0" xfId="0">
      <alignment horizontal="center"/>
    </xf>
    <xf numFmtId="0" fontId="63" fillId="45" borderId="4" applyAlignment="1" pivotButton="0" quotePrefix="0" xfId="0">
      <alignment horizontal="center"/>
    </xf>
    <xf numFmtId="0" fontId="60" fillId="24" borderId="4" applyAlignment="1" pivotButton="0" quotePrefix="0" xfId="0">
      <alignment horizontal="center"/>
    </xf>
    <xf numFmtId="0" fontId="0" fillId="24" borderId="4" applyAlignment="1" pivotButton="0" quotePrefix="0" xfId="0">
      <alignment horizontal="center"/>
    </xf>
    <xf numFmtId="0" fontId="61" fillId="24" borderId="4" applyAlignment="1" pivotButton="0" quotePrefix="0" xfId="0">
      <alignment horizontal="center"/>
    </xf>
    <xf numFmtId="0" fontId="0" fillId="47" borderId="4" pivotButton="0" quotePrefix="0" xfId="0"/>
    <xf numFmtId="0" fontId="0" fillId="48" borderId="4" pivotButton="0" quotePrefix="0" xfId="0"/>
    <xf numFmtId="0" fontId="0" fillId="49" borderId="4" applyAlignment="1" pivotButton="0" quotePrefix="0" xfId="0">
      <alignment horizontal="center"/>
    </xf>
    <xf numFmtId="0" fontId="59" fillId="21" borderId="4" applyAlignment="1" pivotButton="0" quotePrefix="0" xfId="0">
      <alignment horizontal="center"/>
    </xf>
    <xf numFmtId="0" fontId="31" fillId="30" borderId="4" applyAlignment="1" pivotButton="0" quotePrefix="0" xfId="0">
      <alignment horizontal="center"/>
    </xf>
    <xf numFmtId="0" fontId="62" fillId="24" borderId="4" applyAlignment="1" pivotButton="0" quotePrefix="0" xfId="0">
      <alignment horizontal="center"/>
    </xf>
    <xf numFmtId="0" fontId="27" fillId="14" borderId="6" applyAlignment="1" pivotButton="0" quotePrefix="0" xfId="0">
      <alignment horizontal="center"/>
    </xf>
    <xf numFmtId="0" fontId="0" fillId="25" borderId="6" applyAlignment="1" pivotButton="0" quotePrefix="0" xfId="0">
      <alignment horizontal="center" wrapText="1"/>
    </xf>
    <xf numFmtId="0" fontId="0" fillId="25" borderId="6" applyAlignment="1" pivotButton="0" quotePrefix="0" xfId="0">
      <alignment horizontal="center"/>
    </xf>
    <xf numFmtId="0" fontId="60" fillId="25" borderId="6" applyAlignment="1" pivotButton="0" quotePrefix="0" xfId="0">
      <alignment horizontal="center"/>
    </xf>
    <xf numFmtId="0" fontId="0" fillId="25" borderId="10" applyAlignment="1" pivotButton="0" quotePrefix="0" xfId="0">
      <alignment horizontal="center"/>
    </xf>
    <xf numFmtId="0" fontId="0" fillId="25" borderId="7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1" fillId="14" borderId="19" applyAlignment="1" pivotButton="0" quotePrefix="0" xfId="0">
      <alignment horizontal="center" vertical="center"/>
    </xf>
    <xf numFmtId="0" fontId="11" fillId="14" borderId="38" applyAlignment="1" pivotButton="0" quotePrefix="0" xfId="0">
      <alignment horizontal="center" vertical="center"/>
    </xf>
    <xf numFmtId="0" fontId="11" fillId="14" borderId="10" applyAlignment="1" pivotButton="0" quotePrefix="0" xfId="0">
      <alignment horizontal="center" vertical="center"/>
    </xf>
    <xf numFmtId="0" fontId="11" fillId="14" borderId="40" applyAlignment="1" pivotButton="0" quotePrefix="0" xfId="0">
      <alignment horizontal="center" vertical="center"/>
    </xf>
    <xf numFmtId="0" fontId="11" fillId="14" borderId="36" applyAlignment="1" pivotButton="0" quotePrefix="0" xfId="0">
      <alignment horizontal="center" vertical="center"/>
    </xf>
    <xf numFmtId="0" fontId="11" fillId="14" borderId="6" applyAlignment="1" pivotButton="0" quotePrefix="0" xfId="0">
      <alignment horizontal="center" vertical="center" wrapText="1"/>
    </xf>
    <xf numFmtId="0" fontId="11" fillId="19" borderId="6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11" fillId="50" borderId="6" applyAlignment="1" pivotButton="0" quotePrefix="0" xfId="0">
      <alignment horizontal="center" vertical="center"/>
    </xf>
    <xf numFmtId="0" fontId="11" fillId="36" borderId="6" applyAlignment="1" pivotButton="0" quotePrefix="0" xfId="0">
      <alignment horizontal="center" vertical="center"/>
    </xf>
    <xf numFmtId="2" fontId="0" fillId="33" borderId="8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14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14" borderId="9" applyAlignment="1" pivotButton="0" quotePrefix="0" xfId="0">
      <alignment horizontal="center" vertical="center"/>
    </xf>
    <xf numFmtId="0" fontId="0" fillId="14" borderId="15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0" fillId="14" borderId="9" applyAlignment="1" pivotButton="0" quotePrefix="0" xfId="0">
      <alignment horizontal="center" vertical="center" wrapText="1"/>
    </xf>
    <xf numFmtId="0" fontId="0" fillId="14" borderId="9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0" fillId="14" borderId="15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40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0" fillId="14" borderId="1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/>
    </xf>
    <xf numFmtId="0" fontId="9" fillId="7" borderId="16" applyAlignment="1" pivotButton="0" quotePrefix="0" xfId="0">
      <alignment horizontal="center" vertical="center"/>
    </xf>
    <xf numFmtId="0" fontId="9" fillId="7" borderId="20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11" fillId="7" borderId="9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9" fillId="2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14" borderId="17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36" fillId="0" borderId="9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32" fillId="26" borderId="4" applyAlignment="1" pivotButton="0" quotePrefix="0" xfId="0">
      <alignment horizontal="center" vertical="center"/>
    </xf>
    <xf numFmtId="0" fontId="6" fillId="27" borderId="11" applyAlignment="1" pivotButton="0" quotePrefix="0" xfId="0">
      <alignment horizontal="center"/>
    </xf>
    <xf numFmtId="0" fontId="6" fillId="16" borderId="4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51" borderId="6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40" fillId="0" borderId="9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11" fillId="14" borderId="9" applyAlignment="1" pivotButton="0" quotePrefix="0" xfId="0">
      <alignment horizontal="center" vertical="center"/>
    </xf>
    <xf numFmtId="0" fontId="11" fillId="14" borderId="8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1" fillId="14" borderId="9" applyAlignment="1" pivotButton="0" quotePrefix="0" xfId="0">
      <alignment vertical="center"/>
    </xf>
    <xf numFmtId="0" fontId="11" fillId="14" borderId="15" applyAlignment="1" pivotButton="0" quotePrefix="0" xfId="0">
      <alignment vertical="center"/>
    </xf>
    <xf numFmtId="0" fontId="11" fillId="14" borderId="8" applyAlignment="1" pivotButton="0" quotePrefix="0" xfId="0">
      <alignment vertical="center"/>
    </xf>
    <xf numFmtId="0" fontId="0" fillId="14" borderId="9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66" fillId="14" borderId="9" applyAlignment="1" pivotButton="0" quotePrefix="0" xfId="0">
      <alignment horizontal="center" vertical="center" wrapText="1"/>
    </xf>
    <xf numFmtId="0" fontId="6" fillId="14" borderId="15" applyAlignment="1" pivotButton="0" quotePrefix="0" xfId="0">
      <alignment horizontal="center" vertical="center"/>
    </xf>
    <xf numFmtId="0" fontId="6" fillId="14" borderId="8" applyAlignment="1" pivotButton="0" quotePrefix="0" xfId="0">
      <alignment horizontal="center" vertical="center"/>
    </xf>
    <xf numFmtId="0" fontId="11" fillId="14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6" fillId="0" borderId="9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14" borderId="15" applyAlignment="1" pivotButton="0" quotePrefix="0" xfId="0">
      <alignment horizontal="center" vertical="center"/>
    </xf>
    <xf numFmtId="0" fontId="47" fillId="0" borderId="9" applyAlignment="1" pivotButton="0" quotePrefix="0" xfId="0">
      <alignment horizontal="center" vertical="center"/>
    </xf>
    <xf numFmtId="0" fontId="36" fillId="0" borderId="9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43" fillId="0" borderId="9" applyAlignment="1" pivotButton="0" quotePrefix="0" xfId="0">
      <alignment horizontal="center" vertical="center"/>
    </xf>
    <xf numFmtId="0" fontId="53" fillId="0" borderId="9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/>
    </xf>
    <xf numFmtId="0" fontId="47" fillId="2" borderId="9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55" fillId="0" borderId="9" applyAlignment="1" pivotButton="0" quotePrefix="0" xfId="0">
      <alignment horizontal="center" vertical="center"/>
    </xf>
    <xf numFmtId="0" fontId="0" fillId="14" borderId="9" applyAlignment="1" pivotButton="0" quotePrefix="0" xfId="0">
      <alignment horizontal="center" vertical="center"/>
    </xf>
    <xf numFmtId="0" fontId="0" fillId="14" borderId="15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30" fillId="14" borderId="9" applyAlignment="1" pivotButton="0" quotePrefix="0" xfId="0">
      <alignment horizontal="center" vertical="center"/>
    </xf>
    <xf numFmtId="0" fontId="30" fillId="2" borderId="9" applyAlignment="1" pivotButton="0" quotePrefix="0" xfId="0">
      <alignment horizontal="center" vertical="center"/>
    </xf>
    <xf numFmtId="0" fontId="54" fillId="0" borderId="9" applyAlignment="1" pivotButton="0" quotePrefix="0" xfId="0">
      <alignment horizontal="center" vertical="center"/>
    </xf>
    <xf numFmtId="0" fontId="44" fillId="0" borderId="9" applyAlignment="1" pivotButton="0" quotePrefix="0" xfId="0">
      <alignment horizontal="center" vertical="center"/>
    </xf>
    <xf numFmtId="0" fontId="45" fillId="0" borderId="8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38" fillId="0" borderId="9" applyAlignment="1" pivotButton="0" quotePrefix="0" xfId="0">
      <alignment horizontal="center" vertical="center"/>
    </xf>
    <xf numFmtId="0" fontId="0" fillId="14" borderId="16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/>
    </xf>
    <xf numFmtId="0" fontId="9" fillId="7" borderId="15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14" borderId="17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 wrapText="1"/>
    </xf>
    <xf numFmtId="0" fontId="0" fillId="14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11" fillId="14" borderId="15" applyAlignment="1" pivotButton="0" quotePrefix="0" xfId="0">
      <alignment horizontal="center" vertical="center"/>
    </xf>
    <xf numFmtId="0" fontId="11" fillId="7" borderId="9" applyAlignment="1" pivotButton="0" quotePrefix="0" xfId="0">
      <alignment horizontal="center" vertical="center" wrapText="1"/>
    </xf>
    <xf numFmtId="0" fontId="11" fillId="7" borderId="15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0" fillId="16" borderId="9" applyAlignment="1" pivotButton="0" quotePrefix="0" xfId="0">
      <alignment horizontal="center" vertical="center"/>
    </xf>
    <xf numFmtId="0" fontId="0" fillId="16" borderId="15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11" fillId="7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11" fillId="5" borderId="9" applyAlignment="1" pivotButton="0" quotePrefix="0" xfId="0">
      <alignment horizontal="center" vertical="center"/>
    </xf>
    <xf numFmtId="0" fontId="11" fillId="5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/>
    </xf>
    <xf numFmtId="164" fontId="9" fillId="2" borderId="9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11" fillId="7" borderId="21" applyAlignment="1" pivotButton="0" quotePrefix="0" xfId="0">
      <alignment horizontal="center" vertical="center"/>
    </xf>
    <xf numFmtId="0" fontId="11" fillId="5" borderId="15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9" fillId="7" borderId="16" applyAlignment="1" pivotButton="0" quotePrefix="0" xfId="0">
      <alignment horizontal="center" vertical="center"/>
    </xf>
    <xf numFmtId="0" fontId="9" fillId="7" borderId="20" applyAlignment="1" pivotButton="0" quotePrefix="0" xfId="0">
      <alignment horizontal="center" vertical="center"/>
    </xf>
    <xf numFmtId="0" fontId="9" fillId="7" borderId="1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0" fillId="14" borderId="9" applyAlignment="1" pivotButton="0" quotePrefix="0" xfId="0">
      <alignment vertical="center"/>
    </xf>
    <xf numFmtId="0" fontId="0" fillId="14" borderId="8" applyAlignment="1" pivotButton="0" quotePrefix="0" xfId="0">
      <alignment vertical="center"/>
    </xf>
    <xf numFmtId="0" fontId="39" fillId="14" borderId="9" applyAlignment="1" pivotButton="0" quotePrefix="0" xfId="0">
      <alignment horizontal="center" vertical="center" wrapText="1"/>
    </xf>
    <xf numFmtId="0" fontId="36" fillId="2" borderId="9" applyAlignment="1" pivotButton="0" quotePrefix="0" xfId="0">
      <alignment horizontal="center" vertical="center"/>
    </xf>
    <xf numFmtId="0" fontId="36" fillId="2" borderId="15" applyAlignment="1" pivotButton="0" quotePrefix="0" xfId="0">
      <alignment horizontal="center" vertical="center"/>
    </xf>
    <xf numFmtId="0" fontId="36" fillId="2" borderId="8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0" fillId="13" borderId="15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58" fillId="0" borderId="9" applyAlignment="1" pivotButton="0" quotePrefix="0" xfId="0">
      <alignment horizontal="center" vertical="center"/>
    </xf>
    <xf numFmtId="0" fontId="57" fillId="0" borderId="9" applyAlignment="1" pivotButton="0" quotePrefix="0" xfId="0">
      <alignment horizontal="center" vertical="center"/>
    </xf>
    <xf numFmtId="0" fontId="0" fillId="14" borderId="9" applyAlignment="1" pivotButton="0" quotePrefix="0" xfId="0">
      <alignment horizontal="center" vertical="center" wrapText="1"/>
    </xf>
    <xf numFmtId="0" fontId="0" fillId="14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40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0" fillId="14" borderId="17" applyAlignment="1" pivotButton="0" quotePrefix="0" xfId="0">
      <alignment horizontal="center" vertical="center"/>
    </xf>
    <xf numFmtId="0" fontId="0" fillId="14" borderId="23" applyAlignment="1" pivotButton="0" quotePrefix="0" xfId="0">
      <alignment horizontal="center" vertical="center"/>
    </xf>
    <xf numFmtId="0" fontId="40" fillId="2" borderId="9" applyAlignment="1" pivotButton="0" quotePrefix="0" xfId="0">
      <alignment horizontal="center" vertical="center"/>
    </xf>
    <xf numFmtId="0" fontId="66" fillId="14" borderId="9" applyAlignment="1" pivotButton="0" quotePrefix="0" xfId="0">
      <alignment horizontal="center" vertical="center"/>
    </xf>
    <xf numFmtId="0" fontId="64" fillId="2" borderId="9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14" borderId="17" applyAlignment="1" pivotButton="0" quotePrefix="0" xfId="0">
      <alignment horizontal="center" vertical="center"/>
    </xf>
    <xf numFmtId="0" fontId="11" fillId="14" borderId="21" applyAlignment="1" pivotButton="0" quotePrefix="0" xfId="0">
      <alignment horizontal="center" vertical="center"/>
    </xf>
    <xf numFmtId="0" fontId="11" fillId="14" borderId="23" applyAlignment="1" pivotButton="0" quotePrefix="0" xfId="0">
      <alignment horizontal="center" vertical="center"/>
    </xf>
    <xf numFmtId="0" fontId="6" fillId="32" borderId="4" applyAlignment="1" pivotButton="0" quotePrefix="0" xfId="0">
      <alignment horizontal="center"/>
    </xf>
    <xf numFmtId="0" fontId="0" fillId="12" borderId="4" applyAlignment="1" pivotButton="0" quotePrefix="0" xfId="0">
      <alignment horizontal="center" vertical="center"/>
    </xf>
    <xf numFmtId="0" fontId="6" fillId="32" borderId="8" applyAlignment="1" pivotButton="0" quotePrefix="0" xfId="0">
      <alignment horizontal="center"/>
    </xf>
    <xf numFmtId="0" fontId="6" fillId="3" borderId="4" applyAlignment="1" pivotButton="0" quotePrefix="0" xfId="0">
      <alignment horizontal="left" vertical="center"/>
    </xf>
    <xf numFmtId="0" fontId="6" fillId="3" borderId="9" applyAlignment="1" pivotButton="0" quotePrefix="0" xfId="0">
      <alignment horizontal="left" vertical="center"/>
    </xf>
    <xf numFmtId="0" fontId="6" fillId="17" borderId="4" applyAlignment="1" pivotButton="0" quotePrefix="0" xfId="0">
      <alignment horizontal="left" vertical="center"/>
    </xf>
    <xf numFmtId="165" fontId="6" fillId="19" borderId="4" applyAlignment="1" pivotButton="0" quotePrefix="0" xfId="0">
      <alignment horizontal="center" vertical="center"/>
    </xf>
    <xf numFmtId="0" fontId="6" fillId="19" borderId="4" applyAlignment="1" pivotButton="0" quotePrefix="0" xfId="0">
      <alignment horizontal="center" vertical="center"/>
    </xf>
    <xf numFmtId="165" fontId="6" fillId="3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165" fontId="6" fillId="17" borderId="4" applyAlignment="1" pivotButton="0" quotePrefix="0" xfId="0">
      <alignment horizontal="left" vertical="center"/>
    </xf>
    <xf numFmtId="0" fontId="6" fillId="19" borderId="8" applyAlignment="1" pivotButton="0" quotePrefix="0" xfId="0">
      <alignment horizontal="center" vertical="center"/>
    </xf>
    <xf numFmtId="0" fontId="6" fillId="19" borderId="15" applyAlignment="1" pivotButton="0" quotePrefix="0" xfId="0">
      <alignment horizontal="center" vertical="center"/>
    </xf>
    <xf numFmtId="0" fontId="0" fillId="39" borderId="8" applyAlignment="1" pivotButton="0" quotePrefix="0" xfId="0">
      <alignment horizontal="left" vertical="center"/>
    </xf>
    <xf numFmtId="0" fontId="0" fillId="39" borderId="18" applyAlignment="1" pivotButton="0" quotePrefix="0" xfId="0">
      <alignment horizontal="left" vertical="center"/>
    </xf>
    <xf numFmtId="0" fontId="0" fillId="40" borderId="8" applyAlignment="1" pivotButton="0" quotePrefix="0" xfId="0">
      <alignment horizontal="left" vertical="center"/>
    </xf>
    <xf numFmtId="0" fontId="0" fillId="40" borderId="11" applyAlignment="1" pivotButton="0" quotePrefix="0" xfId="0">
      <alignment horizontal="left" vertical="center"/>
    </xf>
    <xf numFmtId="0" fontId="0" fillId="40" borderId="4" applyAlignment="1" pivotButton="0" quotePrefix="0" xfId="0">
      <alignment horizontal="left" vertical="center"/>
    </xf>
    <xf numFmtId="0" fontId="0" fillId="39" borderId="4" applyAlignment="1" pivotButton="0" quotePrefix="0" xfId="0">
      <alignment horizontal="left" vertical="center"/>
    </xf>
    <xf numFmtId="0" fontId="0" fillId="39" borderId="11" applyAlignment="1" pivotButton="0" quotePrefix="0" xfId="0">
      <alignment horizontal="left" vertical="center"/>
    </xf>
    <xf numFmtId="0" fontId="6" fillId="19" borderId="4" applyAlignment="1" pivotButton="0" quotePrefix="0" xfId="0">
      <alignment horizontal="left" vertical="center"/>
    </xf>
    <xf numFmtId="0" fontId="6" fillId="19" borderId="9" applyAlignment="1" pivotButton="0" quotePrefix="0" xfId="0">
      <alignment horizontal="left" vertical="center"/>
    </xf>
    <xf numFmtId="0" fontId="6" fillId="14" borderId="4" applyAlignment="1" pivotButton="0" quotePrefix="0" xfId="0">
      <alignment horizontal="center"/>
    </xf>
    <xf numFmtId="0" fontId="0" fillId="39" borderId="9" applyAlignment="1" pivotButton="0" quotePrefix="0" xfId="0">
      <alignment horizontal="left" vertical="center"/>
    </xf>
    <xf numFmtId="165" fontId="6" fillId="25" borderId="4" applyAlignment="1" pivotButton="0" quotePrefix="0" xfId="0">
      <alignment horizontal="center"/>
    </xf>
    <xf numFmtId="165" fontId="6" fillId="38" borderId="4" applyAlignment="1" pivotButton="0" quotePrefix="0" xfId="0">
      <alignment horizontal="center" vertical="center"/>
    </xf>
    <xf numFmtId="165" fontId="6" fillId="38" borderId="9" applyAlignment="1" pivotButton="0" quotePrefix="0" xfId="0">
      <alignment horizontal="center" vertical="center"/>
    </xf>
    <xf numFmtId="0" fontId="6" fillId="36" borderId="4" applyAlignment="1" pivotButton="0" quotePrefix="0" xfId="0">
      <alignment horizontal="center" vertical="center"/>
    </xf>
    <xf numFmtId="0" fontId="6" fillId="36" borderId="11" applyAlignment="1" pivotButton="0" quotePrefix="0" xfId="0">
      <alignment horizontal="center" vertical="center"/>
    </xf>
    <xf numFmtId="165" fontId="6" fillId="31" borderId="4" applyAlignment="1" pivotButton="0" quotePrefix="0" xfId="0">
      <alignment horizontal="center" vertical="center"/>
    </xf>
    <xf numFmtId="0" fontId="6" fillId="31" borderId="4" applyAlignment="1" pivotButton="0" quotePrefix="0" xfId="0">
      <alignment horizontal="center" vertical="center"/>
    </xf>
    <xf numFmtId="0" fontId="6" fillId="36" borderId="8" applyAlignment="1" pivotButton="0" quotePrefix="0" xfId="0">
      <alignment horizontal="center" vertical="center"/>
    </xf>
    <xf numFmtId="0" fontId="0" fillId="39" borderId="11" applyAlignment="1" pivotButton="0" quotePrefix="0" xfId="0">
      <alignment horizontal="center" vertical="center"/>
    </xf>
    <xf numFmtId="0" fontId="0" fillId="39" borderId="6" applyAlignment="1" pivotButton="0" quotePrefix="0" xfId="0">
      <alignment horizontal="center" vertical="center"/>
    </xf>
    <xf numFmtId="0" fontId="0" fillId="39" borderId="7" applyAlignment="1" pivotButton="0" quotePrefix="0" xfId="0">
      <alignment horizontal="center" vertical="center"/>
    </xf>
    <xf numFmtId="0" fontId="6" fillId="19" borderId="21" applyAlignment="1" pivotButton="0" quotePrefix="0" xfId="0">
      <alignment horizontal="center"/>
    </xf>
    <xf numFmtId="0" fontId="6" fillId="19" borderId="15" applyAlignment="1" pivotButton="0" quotePrefix="0" xfId="0">
      <alignment horizontal="center"/>
    </xf>
    <xf numFmtId="165" fontId="6" fillId="37" borderId="4" applyAlignment="1" pivotButton="0" quotePrefix="0" xfId="0">
      <alignment horizontal="center"/>
    </xf>
    <xf numFmtId="165" fontId="6" fillId="21" borderId="4" applyAlignment="1" pivotButton="0" quotePrefix="0" xfId="0">
      <alignment horizontal="center"/>
    </xf>
    <xf numFmtId="165" fontId="6" fillId="25" borderId="15" applyAlignment="1" pivotButton="0" quotePrefix="0" xfId="0">
      <alignment horizontal="center"/>
    </xf>
    <xf numFmtId="165" fontId="6" fillId="35" borderId="7" applyAlignment="1" pivotButton="0" quotePrefix="0" xfId="0">
      <alignment horizontal="center" vertical="center"/>
    </xf>
    <xf numFmtId="165" fontId="6" fillId="35" borderId="4" applyAlignment="1" pivotButton="0" quotePrefix="0" xfId="0">
      <alignment horizontal="center" vertical="center"/>
    </xf>
    <xf numFmtId="0" fontId="6" fillId="3" borderId="21" applyAlignment="1" pivotButton="0" quotePrefix="0" xfId="0">
      <alignment horizontal="center"/>
    </xf>
    <xf numFmtId="0" fontId="6" fillId="3" borderId="15" applyAlignment="1" pivotButton="0" quotePrefix="0" xfId="0">
      <alignment horizontal="center"/>
    </xf>
    <xf numFmtId="165" fontId="6" fillId="25" borderId="23" applyAlignment="1" pivotButton="0" quotePrefix="0" xfId="0">
      <alignment horizontal="center"/>
    </xf>
    <xf numFmtId="165" fontId="6" fillId="25" borderId="8" applyAlignment="1" pivotButton="0" quotePrefix="0" xfId="0">
      <alignment horizontal="center"/>
    </xf>
    <xf numFmtId="0" fontId="6" fillId="17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/>
    </xf>
    <xf numFmtId="0" fontId="6" fillId="16" borderId="4" applyAlignment="1" pivotButton="0" quotePrefix="0" xfId="0">
      <alignment horizontal="center" vertical="center"/>
    </xf>
    <xf numFmtId="0" fontId="6" fillId="16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165" fontId="31" fillId="28" borderId="16" applyAlignment="1" pivotButton="0" quotePrefix="0" xfId="0">
      <alignment horizontal="center" vertical="center"/>
    </xf>
    <xf numFmtId="165" fontId="31" fillId="28" borderId="10" applyAlignment="1" pivotButton="0" quotePrefix="0" xfId="0">
      <alignment horizontal="center" vertical="center"/>
    </xf>
    <xf numFmtId="165" fontId="31" fillId="28" borderId="0" applyAlignment="1" pivotButton="0" quotePrefix="0" xfId="0">
      <alignment horizontal="center" vertical="center"/>
    </xf>
    <xf numFmtId="165" fontId="31" fillId="28" borderId="17" applyAlignment="1" pivotButton="0" quotePrefix="0" xfId="0">
      <alignment horizontal="center" vertical="center"/>
    </xf>
    <xf numFmtId="165" fontId="31" fillId="28" borderId="18" applyAlignment="1" pivotButton="0" quotePrefix="0" xfId="0">
      <alignment horizontal="center" vertical="center"/>
    </xf>
    <xf numFmtId="165" fontId="31" fillId="28" borderId="19" applyAlignment="1" pivotButton="0" quotePrefix="0" xfId="0">
      <alignment horizontal="center" vertical="center"/>
    </xf>
    <xf numFmtId="165" fontId="31" fillId="28" borderId="21" applyAlignment="1" pivotButton="0" quotePrefix="0" xfId="0">
      <alignment horizontal="center" vertical="center"/>
    </xf>
    <xf numFmtId="0" fontId="32" fillId="26" borderId="4" applyAlignment="1" pivotButton="0" quotePrefix="0" xfId="0">
      <alignment horizontal="center" vertical="center" wrapText="1"/>
    </xf>
    <xf numFmtId="0" fontId="32" fillId="26" borderId="4" applyAlignment="1" pivotButton="0" quotePrefix="0" xfId="0">
      <alignment horizontal="center" vertical="center"/>
    </xf>
    <xf numFmtId="0" fontId="6" fillId="27" borderId="11" applyAlignment="1" pivotButton="0" quotePrefix="0" xfId="0">
      <alignment horizontal="center"/>
    </xf>
    <xf numFmtId="0" fontId="6" fillId="27" borderId="7" applyAlignment="1" pivotButton="0" quotePrefix="0" xfId="0">
      <alignment horizontal="center"/>
    </xf>
    <xf numFmtId="166" fontId="6" fillId="14" borderId="7" applyAlignment="1" pivotButton="0" quotePrefix="0" xfId="0">
      <alignment horizontal="left" vertical="center"/>
    </xf>
    <xf numFmtId="166" fontId="6" fillId="14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8" pivotButton="0" quotePrefix="0" xfId="0"/>
    <xf numFmtId="0" fontId="11" fillId="5" borderId="4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3" pivotButton="0" quotePrefix="0" xfId="0"/>
    <xf numFmtId="0" fontId="0" fillId="0" borderId="20" pivotButton="0" quotePrefix="0" xfId="0"/>
    <xf numFmtId="0" fontId="0" fillId="0" borderId="18" pivotButton="0" quotePrefix="0" xfId="0"/>
    <xf numFmtId="0" fontId="9" fillId="7" borderId="4" applyAlignment="1" pivotButton="0" quotePrefix="0" xfId="0">
      <alignment horizontal="center" vertical="center" wrapText="1"/>
    </xf>
    <xf numFmtId="0" fontId="11" fillId="14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0" borderId="4" applyAlignment="1" pivotButton="0" quotePrefix="0" xfId="0">
      <alignment vertical="center"/>
    </xf>
    <xf numFmtId="0" fontId="0" fillId="14" borderId="4" applyAlignment="1" pivotButton="0" quotePrefix="0" xfId="0">
      <alignment vertical="center"/>
    </xf>
    <xf numFmtId="0" fontId="36" fillId="2" borderId="4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39" fillId="14" borderId="4" applyAlignment="1" pivotButton="0" quotePrefix="0" xfId="0">
      <alignment horizontal="center" vertical="center" wrapText="1"/>
    </xf>
    <xf numFmtId="0" fontId="44" fillId="0" borderId="4" applyAlignment="1" pivotButton="0" quotePrefix="0" xfId="0">
      <alignment horizontal="center" vertical="center"/>
    </xf>
    <xf numFmtId="0" fontId="43" fillId="0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0" fillId="2" borderId="4" applyAlignment="1" pivotButton="0" quotePrefix="0" xfId="0">
      <alignment horizontal="center" vertical="center"/>
    </xf>
    <xf numFmtId="0" fontId="47" fillId="2" borderId="4" applyAlignment="1" pivotButton="0" quotePrefix="0" xfId="0">
      <alignment horizontal="center" vertical="center"/>
    </xf>
    <xf numFmtId="0" fontId="54" fillId="0" borderId="4" applyAlignment="1" pivotButton="0" quotePrefix="0" xfId="0">
      <alignment horizontal="center" vertical="center"/>
    </xf>
    <xf numFmtId="0" fontId="57" fillId="0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0" fontId="58" fillId="0" borderId="4" applyAlignment="1" pivotButton="0" quotePrefix="0" xfId="0">
      <alignment horizontal="center" vertical="center"/>
    </xf>
    <xf numFmtId="0" fontId="64" fillId="2" borderId="4" applyAlignment="1" pivotButton="0" quotePrefix="0" xfId="0">
      <alignment horizontal="center" vertical="center"/>
    </xf>
    <xf numFmtId="0" fontId="66" fillId="14" borderId="4" applyAlignment="1" pivotButton="0" quotePrefix="0" xfId="0">
      <alignment horizontal="center" vertical="center" wrapText="1"/>
    </xf>
    <xf numFmtId="0" fontId="66" fillId="0" borderId="4" applyAlignment="1" pivotButton="0" quotePrefix="0" xfId="0">
      <alignment horizontal="center" vertical="center" wrapText="1"/>
    </xf>
    <xf numFmtId="0" fontId="66" fillId="14" borderId="4" applyAlignment="1" pivotButton="0" quotePrefix="0" xfId="0">
      <alignment horizontal="center" vertical="center"/>
    </xf>
    <xf numFmtId="0" fontId="11" fillId="14" borderId="7" applyAlignment="1" pivotButton="0" quotePrefix="0" xfId="0">
      <alignment horizontal="center" vertical="center"/>
    </xf>
    <xf numFmtId="0" fontId="11" fillId="14" borderId="4" applyAlignment="1" pivotButton="0" quotePrefix="0" xfId="0">
      <alignment vertical="center"/>
    </xf>
    <xf numFmtId="0" fontId="0" fillId="0" borderId="6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17" pivotButton="0" quotePrefix="0" xfId="0"/>
    <xf numFmtId="165" fontId="6" fillId="39" borderId="4" pivotButton="0" quotePrefix="0" xfId="0"/>
    <xf numFmtId="0" fontId="0" fillId="39" borderId="4" applyAlignment="1" pivotButton="0" quotePrefix="0" xfId="0">
      <alignment horizontal="center" vertical="center"/>
    </xf>
    <xf numFmtId="165" fontId="6" fillId="40" borderId="11" pivotButton="0" quotePrefix="0" xfId="0"/>
    <xf numFmtId="165" fontId="6" fillId="38" borderId="4" applyAlignment="1" pivotButton="0" quotePrefix="0" xfId="0">
      <alignment horizontal="center" vertical="center"/>
    </xf>
    <xf numFmtId="165" fontId="6" fillId="39" borderId="11" pivotButton="0" quotePrefix="0" xfId="0"/>
    <xf numFmtId="165" fontId="6" fillId="40" borderId="4" pivotButton="0" quotePrefix="0" xfId="0"/>
    <xf numFmtId="165" fontId="6" fillId="25" borderId="4" applyAlignment="1" pivotButton="0" quotePrefix="0" xfId="0">
      <alignment horizontal="center"/>
    </xf>
    <xf numFmtId="165" fontId="6" fillId="35" borderId="7" applyAlignment="1" pivotButton="0" quotePrefix="0" xfId="0">
      <alignment horizontal="center" vertical="center"/>
    </xf>
    <xf numFmtId="165" fontId="6" fillId="25" borderId="15" applyAlignment="1" pivotButton="0" quotePrefix="0" xfId="0">
      <alignment horizontal="center"/>
    </xf>
    <xf numFmtId="165" fontId="6" fillId="21" borderId="4" applyAlignment="1" pivotButton="0" quotePrefix="0" xfId="0">
      <alignment horizontal="center"/>
    </xf>
    <xf numFmtId="165" fontId="6" fillId="37" borderId="4" applyAlignment="1" pivotButton="0" quotePrefix="0" xfId="0">
      <alignment horizontal="center"/>
    </xf>
    <xf numFmtId="165" fontId="6" fillId="23" borderId="4" pivotButton="0" quotePrefix="0" xfId="0"/>
    <xf numFmtId="165" fontId="6" fillId="25" borderId="23" applyAlignment="1" pivotButton="0" quotePrefix="0" xfId="0">
      <alignment horizontal="center"/>
    </xf>
    <xf numFmtId="165" fontId="6" fillId="31" borderId="4" applyAlignment="1" pivotButton="0" quotePrefix="0" xfId="0">
      <alignment horizontal="center" vertical="center"/>
    </xf>
    <xf numFmtId="165" fontId="6" fillId="19" borderId="4" applyAlignment="1" pivotButton="0" quotePrefix="0" xfId="0">
      <alignment horizontal="center" vertical="center"/>
    </xf>
    <xf numFmtId="165" fontId="6" fillId="3" borderId="8" applyAlignment="1" pivotButton="0" quotePrefix="0" xfId="0">
      <alignment horizontal="center" vertical="center"/>
    </xf>
    <xf numFmtId="165" fontId="6" fillId="17" borderId="4" applyAlignment="1" pivotButton="0" quotePrefix="0" xfId="0">
      <alignment horizontal="left" vertical="center"/>
    </xf>
    <xf numFmtId="165" fontId="6" fillId="3" borderId="11" applyAlignment="1" pivotButton="0" quotePrefix="0" xfId="0">
      <alignment horizontal="center"/>
    </xf>
    <xf numFmtId="165" fontId="6" fillId="3" borderId="4" applyAlignment="1" pivotButton="0" quotePrefix="0" xfId="0">
      <alignment horizontal="center"/>
    </xf>
    <xf numFmtId="166" fontId="6" fillId="3" borderId="9" applyAlignment="1" pivotButton="0" quotePrefix="0" xfId="0">
      <alignment horizontal="center"/>
    </xf>
    <xf numFmtId="165" fontId="0" fillId="0" borderId="11" pivotButton="0" quotePrefix="0" xfId="0"/>
    <xf numFmtId="0" fontId="6" fillId="0" borderId="4" applyAlignment="1" pivotButton="0" quotePrefix="0" xfId="0">
      <alignment horizontal="center" vertical="center"/>
    </xf>
    <xf numFmtId="165" fontId="0" fillId="0" borderId="4" pivotButton="0" quotePrefix="0" xfId="0"/>
    <xf numFmtId="166" fontId="0" fillId="0" borderId="4" pivotButton="0" quotePrefix="0" xfId="0"/>
    <xf numFmtId="0" fontId="6" fillId="0" borderId="7" applyAlignment="1" pivotButton="0" quotePrefix="0" xfId="0">
      <alignment horizontal="center" vertical="center"/>
    </xf>
    <xf numFmtId="165" fontId="6" fillId="27" borderId="11" applyAlignment="1" pivotButton="0" quotePrefix="0" xfId="0">
      <alignment horizontal="center"/>
    </xf>
    <xf numFmtId="165" fontId="6" fillId="27" borderId="4" applyAlignment="1" pivotButton="0" quotePrefix="0" xfId="0">
      <alignment horizontal="center"/>
    </xf>
    <xf numFmtId="166" fontId="6" fillId="27" borderId="8" applyAlignment="1" pivotButton="0" quotePrefix="0" xfId="0">
      <alignment horizontal="center"/>
    </xf>
    <xf numFmtId="165" fontId="0" fillId="3" borderId="11" pivotButton="0" quotePrefix="0" xfId="0"/>
    <xf numFmtId="165" fontId="0" fillId="3" borderId="4" pivotButton="0" quotePrefix="0" xfId="0"/>
    <xf numFmtId="166" fontId="0" fillId="3" borderId="9" pivotButton="0" quotePrefix="0" xfId="0"/>
    <xf numFmtId="166" fontId="6" fillId="27" borderId="15" applyAlignment="1" pivotButton="0" quotePrefix="0" xfId="0">
      <alignment horizontal="center"/>
    </xf>
    <xf numFmtId="166" fontId="0" fillId="29" borderId="4" pivotButton="0" quotePrefix="0" xfId="0"/>
    <xf numFmtId="165" fontId="33" fillId="20" borderId="4" pivotButton="0" quotePrefix="0" xfId="0"/>
    <xf numFmtId="165" fontId="33" fillId="20" borderId="11" pivotButton="0" quotePrefix="0" xfId="0"/>
    <xf numFmtId="166" fontId="33" fillId="20" borderId="8" pivotButton="0" quotePrefix="0" xfId="0"/>
    <xf numFmtId="165" fontId="6" fillId="21" borderId="4" pivotButton="0" quotePrefix="0" xfId="0"/>
    <xf numFmtId="165" fontId="6" fillId="21" borderId="11" pivotButton="0" quotePrefix="0" xfId="0"/>
    <xf numFmtId="166" fontId="6" fillId="21" borderId="4" pivotButton="0" quotePrefix="0" xfId="0"/>
    <xf numFmtId="165" fontId="6" fillId="22" borderId="4" pivotButton="0" quotePrefix="0" xfId="0"/>
    <xf numFmtId="165" fontId="6" fillId="22" borderId="11" pivotButton="0" quotePrefix="0" xfId="0"/>
    <xf numFmtId="166" fontId="6" fillId="22" borderId="4" pivotButton="0" quotePrefix="0" xfId="0"/>
    <xf numFmtId="165" fontId="6" fillId="23" borderId="11" pivotButton="0" quotePrefix="0" xfId="0"/>
    <xf numFmtId="166" fontId="6" fillId="23" borderId="4" pivotButton="0" quotePrefix="0" xfId="0"/>
    <xf numFmtId="165" fontId="6" fillId="24" borderId="4" pivotButton="0" quotePrefix="0" xfId="0"/>
    <xf numFmtId="165" fontId="6" fillId="24" borderId="11" pivotButton="0" quotePrefix="0" xfId="0"/>
    <xf numFmtId="166" fontId="6" fillId="24" borderId="4" pivotButton="0" quotePrefix="0" xfId="0"/>
    <xf numFmtId="165" fontId="6" fillId="25" borderId="4" pivotButton="0" quotePrefix="0" xfId="0"/>
    <xf numFmtId="165" fontId="6" fillId="25" borderId="9" pivotButton="0" quotePrefix="0" xfId="0"/>
    <xf numFmtId="165" fontId="6" fillId="25" borderId="16" pivotButton="0" quotePrefix="0" xfId="0"/>
    <xf numFmtId="166" fontId="6" fillId="25" borderId="4" pivotButton="0" quotePrefix="0" xfId="0"/>
    <xf numFmtId="165" fontId="6" fillId="12" borderId="10" applyAlignment="1" pivotButton="0" quotePrefix="0" xfId="0">
      <alignment horizontal="center"/>
    </xf>
    <xf numFmtId="165" fontId="6" fillId="12" borderId="4" applyAlignment="1" pivotButton="0" quotePrefix="0" xfId="0">
      <alignment horizontal="center"/>
    </xf>
    <xf numFmtId="166" fontId="6" fillId="12" borderId="0" applyAlignment="1" pivotButton="0" quotePrefix="0" xfId="0">
      <alignment horizontal="center"/>
    </xf>
    <xf numFmtId="165" fontId="31" fillId="28" borderId="9" applyAlignment="1" pivotButton="0" quotePrefix="0" xfId="0">
      <alignment horizontal="center" vertical="center"/>
    </xf>
    <xf numFmtId="166" fontId="6" fillId="14" borderId="7" applyAlignment="1" pivotButton="0" quotePrefix="0" xfId="0">
      <alignment horizontal="left" vertical="center"/>
    </xf>
  </cellXfs>
  <cellStyles count="2">
    <cellStyle name="Normal" xfId="0" builtinId="0"/>
    <cellStyle name="Hyperlink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E-Kathrynevansmiller@gmail.com" TargetMode="External" Id="rId1"/><Relationship Type="http://schemas.openxmlformats.org/officeDocument/2006/relationships/hyperlink" Target="mailto:lgwygant@gmail.com" TargetMode="External" Id="rId2"/><Relationship Type="http://schemas.openxmlformats.org/officeDocument/2006/relationships/hyperlink" Target="mailto:mbchristo@yahoo.co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mailto:woolhandwovenrugs@gmail.com" TargetMode="External" Id="rId1"/><Relationship Type="http://schemas.openxmlformats.org/officeDocument/2006/relationships/hyperlink" Target="mailto:rugskilimm@gmail.com" TargetMode="External" Id="rId2"/><Relationship Type="http://schemas.openxmlformats.org/officeDocument/2006/relationships/hyperlink" Target="mailto:malatyapatcharts@gmail.com" TargetMode="External" Id="rId3"/><Relationship Type="http://schemas.openxmlformats.org/officeDocument/2006/relationships/hyperlink" Target="mailto:oldnewrugs@gmail.com" TargetMode="External" Id="rId4"/><Relationship Type="http://schemas.openxmlformats.org/officeDocument/2006/relationships/hyperlink" Target="mailto:rugshopturkey@gmail.com" TargetMode="External" Id="rId5"/><Relationship Type="http://schemas.openxmlformats.org/officeDocument/2006/relationships/hyperlink" Target="mailto:woventurkishrugs@gmail.com" TargetMode="External" Id="rId6"/><Relationship Type="http://schemas.openxmlformats.org/officeDocument/2006/relationships/hyperlink" Target="mailto:bohorughouse@gmail.com" TargetMode="External" Id="rId7"/><Relationship Type="http://schemas.openxmlformats.org/officeDocument/2006/relationships/hyperlink" Target="mailto:bohorughouse@gmail.com" TargetMode="External" Id="rId8"/><Relationship Type="http://schemas.openxmlformats.org/officeDocument/2006/relationships/hyperlink" Target="mailto:loomixrugs@gmail.com" TargetMode="External" Id="rId9"/><Relationship Type="http://schemas.openxmlformats.org/officeDocument/2006/relationships/hyperlink" Target="mailto:loomixrugs@gmail.com" TargetMode="External" Id="rId10"/><Relationship Type="http://schemas.openxmlformats.org/officeDocument/2006/relationships/hyperlink" Target="mailto:looprugstore@gmail.com" TargetMode="External" Id="rId11"/><Relationship Type="http://schemas.openxmlformats.org/officeDocument/2006/relationships/hyperlink" Target="mailto:wovenloomrug@gmail.com" TargetMode="External" Id="rId12"/><Relationship Type="http://schemas.openxmlformats.org/officeDocument/2006/relationships/hyperlink" Target="mailto:woolhandwovenrugs@gmail.com" TargetMode="External" Id="rId13"/><Relationship Type="http://schemas.openxmlformats.org/officeDocument/2006/relationships/hyperlink" Target="mailto:hello@rugskilim.com" TargetMode="External" Id="rId14"/><Relationship Type="http://schemas.openxmlformats.org/officeDocument/2006/relationships/hyperlink" Target="mailto:vintageworldrug@gmail.com" TargetMode="External" Id="rId15"/><Relationship Type="http://schemas.openxmlformats.org/officeDocument/2006/relationships/hyperlink" Target="mailto:vintageworldrug@gmail.com" TargetMode="External" Id="rId16"/><Relationship Type="http://schemas.openxmlformats.org/officeDocument/2006/relationships/hyperlink" Target="mailto:woodcutdesignya@gmail.com" TargetMode="External" Id="rId17"/><Relationship Type="http://schemas.openxmlformats.org/officeDocument/2006/relationships/hyperlink" Target="mailto:woodcutdesignya@gmail.com" TargetMode="External" Id="rId18"/><Relationship Type="http://schemas.openxmlformats.org/officeDocument/2006/relationships/hyperlink" Target="mailto:oushakloomrugs@gmail.com" TargetMode="External" Id="rId19"/><Relationship Type="http://schemas.openxmlformats.org/officeDocument/2006/relationships/hyperlink" Target="mailto:oushakloomrugs@gmail.com" TargetMode="External" Id="rId20"/><Relationship Type="http://schemas.openxmlformats.org/officeDocument/2006/relationships/hyperlink" Target="mailto:rugfairr@gmail.com" TargetMode="External" Id="rId21"/><Relationship Type="http://schemas.openxmlformats.org/officeDocument/2006/relationships/hyperlink" Target="mailto:Lulurugs0@gmail.com" TargetMode="External" Id="rId22"/><Relationship Type="http://schemas.openxmlformats.org/officeDocument/2006/relationships/hyperlink" Target="mailto:Lulurugs0@gmail.com" TargetMode="External" Id="rId23"/><Relationship Type="http://schemas.openxmlformats.org/officeDocument/2006/relationships/hyperlink" Target="mailto:ilmekrugs@gmail.com" TargetMode="External" Id="rId24"/><Relationship Type="http://schemas.openxmlformats.org/officeDocument/2006/relationships/hyperlink" Target="mailto:oldanatolianrugs@gmail.com" TargetMode="External" Id="rId25"/><Relationship Type="http://schemas.openxmlformats.org/officeDocument/2006/relationships/hyperlink" Target="mailto:oldanatolianrugs@hotmail.com" TargetMode="External" Id="rId26"/><Relationship Type="http://schemas.openxmlformats.org/officeDocument/2006/relationships/hyperlink" Target="mailto:hasanbennakahveci@hotmail.com" TargetMode="External" Id="rId27"/><Relationship Type="http://schemas.openxmlformats.org/officeDocument/2006/relationships/hyperlink" Target="mailto:hasanbennakahveci@hotmail.com" TargetMode="External" Id="rId28"/><Relationship Type="http://schemas.openxmlformats.org/officeDocument/2006/relationships/hyperlink" Target="mailto:mchd.orhan@gmail.com" TargetMode="External" Id="rId29"/><Relationship Type="http://schemas.openxmlformats.org/officeDocument/2006/relationships/hyperlink" Target="mailto:hasanbennakahveci@gmail.com" TargetMode="External" Id="rId30"/><Relationship Type="http://schemas.openxmlformats.org/officeDocument/2006/relationships/hyperlink" Target="mailto:oldanatolianrugs@gmail.com" TargetMode="External" Id="rId31"/><Relationship Type="http://schemas.openxmlformats.org/officeDocument/2006/relationships/hyperlink" Target="mailto:vintageworldrug@gmail.com" TargetMode="External" Id="rId32"/><Relationship Type="http://schemas.openxmlformats.org/officeDocument/2006/relationships/hyperlink" Target="mailto:calismapc44@gmail.com" TargetMode="External" Id="rId33"/><Relationship Type="http://schemas.openxmlformats.org/officeDocument/2006/relationships/hyperlink" Target="mailto:calismasibel@gmail.com" TargetMode="External" Id="rId34"/><Relationship Type="http://schemas.openxmlformats.org/officeDocument/2006/relationships/hyperlink" Target="mailto:sibelcalisma@gmail.com" TargetMode="External" Id="rId35"/><Relationship Type="http://schemas.openxmlformats.org/officeDocument/2006/relationships/hyperlink" Target="mailto:hasank.4426@gmail.com" TargetMode="External" Id="rId36"/><Relationship Type="http://schemas.openxmlformats.org/officeDocument/2006/relationships/hyperlink" Target="mailto:oldnewrugs@gmail.com" TargetMode="External" Id="rId37"/><Relationship Type="http://schemas.openxmlformats.org/officeDocument/2006/relationships/hyperlink" Target="mailto:hasank.2544@gmail.com" TargetMode="External" Id="rId38"/><Relationship Type="http://schemas.openxmlformats.org/officeDocument/2006/relationships/hyperlink" Target="mailto:efesrugshop@gmail.com" TargetMode="External" Id="rId39"/><Relationship Type="http://schemas.openxmlformats.org/officeDocument/2006/relationships/hyperlink" Target="mailto:hello@rugskilim.com" TargetMode="External" Id="rId40"/><Relationship Type="http://schemas.openxmlformats.org/officeDocument/2006/relationships/hyperlink" Target="mailto:hello@rugskilim.com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6"/>
  <sheetViews>
    <sheetView topLeftCell="A38" workbookViewId="0">
      <selection activeCell="A39" sqref="A39:G39"/>
    </sheetView>
  </sheetViews>
  <sheetFormatPr baseColWidth="8" defaultColWidth="8.85546875" defaultRowHeight="15"/>
  <cols>
    <col width="8.85546875" customWidth="1" style="8" min="1" max="1"/>
    <col width="8.85546875" customWidth="1" style="5" min="2" max="2"/>
    <col width="8.85546875" customWidth="1" style="1" min="3" max="3"/>
    <col width="8.85546875" customWidth="1" style="5" min="4" max="4"/>
    <col width="9.5703125" bestFit="1" customWidth="1" style="1" min="5" max="5"/>
    <col width="8.85546875" customWidth="1" style="1" min="6" max="6"/>
    <col width="8.85546875" customWidth="1" style="10" min="7" max="7"/>
    <col width="14.5703125" customWidth="1" style="615" min="8" max="8"/>
    <col width="13.7109375" bestFit="1" customWidth="1" style="49" min="9" max="9"/>
    <col width="8.85546875" customWidth="1" style="48" min="10" max="10"/>
    <col width="8.85546875" customWidth="1" style="51" min="11" max="11"/>
    <col width="8.85546875" customWidth="1" style="105" min="12" max="12"/>
    <col width="8.7109375" bestFit="1" customWidth="1" style="106" min="13" max="13"/>
    <col width="9.140625" bestFit="1" customWidth="1" style="1" min="14" max="14"/>
    <col width="8.85546875" customWidth="1" style="265" min="15" max="15"/>
    <col width="8.85546875" customWidth="1" style="261" min="16" max="16"/>
    <col width="14.28515625" customWidth="1" style="269" min="17" max="17"/>
    <col width="8.85546875" customWidth="1" style="438" min="18" max="18"/>
    <col width="8.85546875" customWidth="1" style="1" min="19" max="16384"/>
  </cols>
  <sheetData>
    <row r="1" ht="18" customFormat="1" customHeight="1" s="4">
      <c r="A1" s="7" t="inlineStr">
        <is>
          <t>KOD</t>
        </is>
      </c>
      <c r="B1" s="12" t="inlineStr">
        <is>
          <t>CM1</t>
        </is>
      </c>
      <c r="C1" s="13" t="inlineStr">
        <is>
          <t>X</t>
        </is>
      </c>
      <c r="D1" s="12" t="inlineStr">
        <is>
          <t>CM2</t>
        </is>
      </c>
      <c r="E1" s="14" t="inlineStr">
        <is>
          <t>M2</t>
        </is>
      </c>
      <c r="F1" s="14" t="inlineStr">
        <is>
          <t>FT1</t>
        </is>
      </c>
      <c r="G1" s="15" t="inlineStr">
        <is>
          <t>FT2</t>
        </is>
      </c>
      <c r="H1" s="24" t="inlineStr">
        <is>
          <t>HALI DURUMU</t>
        </is>
      </c>
      <c r="I1" s="46" t="inlineStr">
        <is>
          <t>SİTE</t>
        </is>
      </c>
      <c r="J1" s="47" t="inlineStr">
        <is>
          <t>SİTE</t>
        </is>
      </c>
      <c r="K1" s="50" t="inlineStr">
        <is>
          <t>SİTE</t>
        </is>
      </c>
      <c r="L1" s="107" t="inlineStr">
        <is>
          <t>SİTE</t>
        </is>
      </c>
      <c r="M1" s="209" t="inlineStr">
        <is>
          <t>RugsKilim</t>
        </is>
      </c>
      <c r="N1" s="674" t="inlineStr">
        <is>
          <t>Web Site</t>
        </is>
      </c>
      <c r="O1" s="262" t="inlineStr">
        <is>
          <t>SİBEL</t>
        </is>
      </c>
      <c r="P1" s="266" t="inlineStr">
        <is>
          <t>SİTE</t>
        </is>
      </c>
      <c r="Q1" s="270" t="inlineStr">
        <is>
          <t>RugsShopTurkey</t>
        </is>
      </c>
      <c r="R1" s="281" t="inlineStr">
        <is>
          <t>SİTE-BYZ</t>
        </is>
      </c>
    </row>
    <row r="2" ht="18" customHeight="1" s="305">
      <c r="A2" s="8" t="n">
        <v>49</v>
      </c>
      <c r="B2" s="5" t="n">
        <v>88</v>
      </c>
      <c r="C2" s="6" t="inlineStr">
        <is>
          <t>X</t>
        </is>
      </c>
      <c r="D2" s="5" t="n">
        <v>53</v>
      </c>
      <c r="E2" s="2">
        <f>B2*D2/10000</f>
        <v/>
      </c>
      <c r="F2" s="3">
        <f>B2/30.48</f>
        <v/>
      </c>
      <c r="G2" s="3">
        <f>D2/30.48</f>
        <v/>
      </c>
      <c r="H2" s="11" t="n"/>
      <c r="I2" s="49" t="inlineStr">
        <is>
          <t>OLD</t>
        </is>
      </c>
      <c r="M2" s="210" t="n"/>
      <c r="N2" s="211" t="n"/>
      <c r="O2" s="263" t="n"/>
      <c r="Q2" s="271" t="n"/>
      <c r="R2" s="282" t="n"/>
    </row>
    <row r="3" ht="18" customHeight="1" s="305">
      <c r="A3" s="8" t="n">
        <v>65</v>
      </c>
      <c r="B3" s="5" t="n">
        <v>89</v>
      </c>
      <c r="C3" s="6" t="inlineStr">
        <is>
          <t>X</t>
        </is>
      </c>
      <c r="D3" s="5" t="n">
        <v>51</v>
      </c>
      <c r="E3" s="2">
        <f>B3*D3/10000</f>
        <v/>
      </c>
      <c r="F3" s="3">
        <f>B3/30.48</f>
        <v/>
      </c>
      <c r="G3" s="3">
        <f>D3/30.48</f>
        <v/>
      </c>
      <c r="H3" s="11" t="inlineStr">
        <is>
          <t>tamir</t>
        </is>
      </c>
      <c r="I3" s="49" t="inlineStr">
        <is>
          <t>OLD</t>
        </is>
      </c>
      <c r="M3" s="210" t="n"/>
      <c r="N3" s="211" t="n"/>
      <c r="O3" s="263" t="n"/>
      <c r="Q3" s="271" t="n"/>
      <c r="R3" s="282" t="n"/>
    </row>
    <row r="4" ht="18" customHeight="1" s="305">
      <c r="A4" s="8" t="n">
        <v>86</v>
      </c>
      <c r="B4" s="5" t="n">
        <v>94</v>
      </c>
      <c r="C4" s="6" t="inlineStr">
        <is>
          <t>X</t>
        </is>
      </c>
      <c r="D4" s="5" t="n">
        <v>50</v>
      </c>
      <c r="E4" s="2">
        <f>B4*D4/10000</f>
        <v/>
      </c>
      <c r="F4" s="3">
        <f>B4/30.48</f>
        <v/>
      </c>
      <c r="G4" s="3">
        <f>D4/30.48</f>
        <v/>
      </c>
      <c r="H4" s="11" t="n"/>
      <c r="I4" s="49" t="inlineStr">
        <is>
          <t>OLD</t>
        </is>
      </c>
      <c r="M4" s="210" t="n"/>
      <c r="N4" s="211" t="n"/>
      <c r="O4" s="263" t="n"/>
      <c r="Q4" s="271" t="n"/>
      <c r="R4" s="282" t="n"/>
    </row>
    <row r="5" ht="18" customHeight="1" s="305">
      <c r="A5" s="8" t="n">
        <v>127</v>
      </c>
      <c r="B5" s="5" t="n">
        <v>77</v>
      </c>
      <c r="C5" s="6" t="inlineStr">
        <is>
          <t>X</t>
        </is>
      </c>
      <c r="D5" s="5" t="n">
        <v>48</v>
      </c>
      <c r="E5" s="2">
        <f>B5*D5/10000</f>
        <v/>
      </c>
      <c r="F5" s="3">
        <f>B5/30.48</f>
        <v/>
      </c>
      <c r="G5" s="3">
        <f>D5/30.48</f>
        <v/>
      </c>
      <c r="H5" s="11" t="n"/>
      <c r="I5" s="49" t="inlineStr">
        <is>
          <t>OLD</t>
        </is>
      </c>
      <c r="M5" s="210" t="inlineStr">
        <is>
          <t>RK</t>
        </is>
      </c>
      <c r="N5" s="211" t="n"/>
      <c r="O5" s="263" t="n"/>
      <c r="Q5" s="271" t="n"/>
      <c r="R5" s="282" t="n"/>
    </row>
    <row r="6" ht="18" customHeight="1" s="305">
      <c r="A6" s="8" t="n">
        <v>129</v>
      </c>
      <c r="B6" s="5" t="n">
        <v>82</v>
      </c>
      <c r="C6" s="6" t="inlineStr">
        <is>
          <t>X</t>
        </is>
      </c>
      <c r="D6" s="5" t="n">
        <v>49</v>
      </c>
      <c r="E6" s="2">
        <f>B6*D6/10000</f>
        <v/>
      </c>
      <c r="F6" s="3">
        <f>B6/30.48</f>
        <v/>
      </c>
      <c r="G6" s="3">
        <f>D6/30.48</f>
        <v/>
      </c>
      <c r="H6" s="11" t="n"/>
      <c r="I6" s="49" t="inlineStr">
        <is>
          <t>OLD</t>
        </is>
      </c>
      <c r="M6" s="210" t="n"/>
      <c r="N6" s="211" t="n"/>
      <c r="O6" s="263" t="n"/>
      <c r="Q6" s="271" t="n"/>
      <c r="R6" s="282" t="n"/>
    </row>
    <row r="7" ht="18" customHeight="1" s="305">
      <c r="A7" s="8" t="n">
        <v>140</v>
      </c>
      <c r="B7" s="5" t="n">
        <v>82</v>
      </c>
      <c r="C7" s="6" t="inlineStr">
        <is>
          <t>X</t>
        </is>
      </c>
      <c r="D7" s="5" t="n">
        <v>47</v>
      </c>
      <c r="E7" s="2">
        <f>B7*D7/10000</f>
        <v/>
      </c>
      <c r="F7" s="3">
        <f>B7/30.48</f>
        <v/>
      </c>
      <c r="G7" s="3">
        <f>D7/30.48</f>
        <v/>
      </c>
      <c r="H7" s="11" t="n"/>
      <c r="I7" s="49" t="inlineStr">
        <is>
          <t>OLD</t>
        </is>
      </c>
      <c r="J7" s="48" t="inlineStr">
        <is>
          <t>TRS</t>
        </is>
      </c>
      <c r="M7" s="210" t="n"/>
      <c r="N7" s="211" t="n"/>
      <c r="O7" s="263" t="n"/>
      <c r="Q7" s="271" t="n"/>
      <c r="R7" s="282" t="n"/>
    </row>
    <row r="8" ht="18" customHeight="1" s="305">
      <c r="A8" s="8" t="n">
        <v>147</v>
      </c>
      <c r="B8" s="5" t="n">
        <v>88</v>
      </c>
      <c r="C8" s="6" t="inlineStr">
        <is>
          <t>X</t>
        </is>
      </c>
      <c r="D8" s="5" t="n">
        <v>52</v>
      </c>
      <c r="E8" s="2">
        <f>B8*D8/10000</f>
        <v/>
      </c>
      <c r="F8" s="3">
        <f>B8/30.48</f>
        <v/>
      </c>
      <c r="G8" s="3">
        <f>D8/30.48</f>
        <v/>
      </c>
      <c r="H8" s="11" t="n"/>
      <c r="I8" s="49" t="inlineStr">
        <is>
          <t>OLD</t>
        </is>
      </c>
      <c r="M8" s="210" t="n"/>
      <c r="N8" s="211" t="n"/>
      <c r="O8" s="263" t="n"/>
      <c r="Q8" s="271" t="n"/>
      <c r="R8" s="282" t="n"/>
    </row>
    <row r="9" ht="18" customHeight="1" s="305">
      <c r="A9" s="8" t="n">
        <v>211</v>
      </c>
      <c r="B9" s="5" t="n">
        <v>98</v>
      </c>
      <c r="C9" s="6" t="inlineStr">
        <is>
          <t>X</t>
        </is>
      </c>
      <c r="D9" s="5" t="n">
        <v>43</v>
      </c>
      <c r="E9" s="2">
        <f>B9*D9/10000</f>
        <v/>
      </c>
      <c r="F9" s="3">
        <f>B9/30.48</f>
        <v/>
      </c>
      <c r="G9" s="3">
        <f>D9/30.48</f>
        <v/>
      </c>
      <c r="H9" s="11" t="n"/>
      <c r="I9" s="49" t="inlineStr">
        <is>
          <t>OLD</t>
        </is>
      </c>
      <c r="M9" s="210" t="n"/>
      <c r="N9" s="211" t="n"/>
      <c r="O9" s="263" t="n"/>
      <c r="Q9" s="271" t="n"/>
      <c r="R9" s="282" t="n"/>
    </row>
    <row r="10" ht="18" customHeight="1" s="305">
      <c r="A10" s="8" t="n">
        <v>216</v>
      </c>
      <c r="B10" s="5" t="n">
        <v>79</v>
      </c>
      <c r="C10" s="6" t="inlineStr">
        <is>
          <t>X</t>
        </is>
      </c>
      <c r="D10" s="5" t="n">
        <v>43</v>
      </c>
      <c r="E10" s="2">
        <f>B10*D10/10000</f>
        <v/>
      </c>
      <c r="F10" s="3">
        <f>B10/30.48</f>
        <v/>
      </c>
      <c r="G10" s="3">
        <f>D10/30.48</f>
        <v/>
      </c>
      <c r="H10" s="11" t="n"/>
      <c r="I10" s="49" t="inlineStr">
        <is>
          <t>OLD</t>
        </is>
      </c>
      <c r="M10" s="210" t="n"/>
      <c r="N10" s="211" t="n"/>
      <c r="O10" s="263" t="n"/>
      <c r="Q10" s="271" t="n"/>
      <c r="R10" s="282" t="n"/>
    </row>
    <row r="11" ht="18" customHeight="1" s="305">
      <c r="A11" s="8" t="n">
        <v>276</v>
      </c>
      <c r="B11" s="5" t="n">
        <v>74</v>
      </c>
      <c r="C11" s="6" t="inlineStr">
        <is>
          <t>X</t>
        </is>
      </c>
      <c r="D11" s="5" t="n">
        <v>52</v>
      </c>
      <c r="E11" s="2">
        <f>B11*D11/10000</f>
        <v/>
      </c>
      <c r="F11" s="3">
        <f>B11/30.48</f>
        <v/>
      </c>
      <c r="G11" s="3">
        <f>D11/30.48</f>
        <v/>
      </c>
      <c r="H11" s="11" t="n"/>
      <c r="I11" s="49" t="inlineStr">
        <is>
          <t>OLD</t>
        </is>
      </c>
      <c r="M11" s="210" t="n"/>
      <c r="N11" s="211" t="n"/>
      <c r="O11" s="263" t="n"/>
      <c r="Q11" s="271" t="n"/>
      <c r="R11" s="282" t="n"/>
    </row>
    <row r="12" ht="18" customHeight="1" s="305">
      <c r="A12" s="8" t="n">
        <v>309</v>
      </c>
      <c r="B12" s="5" t="n">
        <v>95</v>
      </c>
      <c r="C12" s="6" t="inlineStr">
        <is>
          <t>X</t>
        </is>
      </c>
      <c r="D12" s="5" t="n">
        <v>52</v>
      </c>
      <c r="E12" s="2">
        <f>B12*D12/10000</f>
        <v/>
      </c>
      <c r="F12" s="3">
        <f>B12/30.48</f>
        <v/>
      </c>
      <c r="G12" s="3">
        <f>D12/30.48</f>
        <v/>
      </c>
      <c r="H12" s="11" t="n"/>
      <c r="I12" s="49" t="inlineStr">
        <is>
          <t>OLD</t>
        </is>
      </c>
      <c r="J12" s="48" t="inlineStr">
        <is>
          <t>TRS</t>
        </is>
      </c>
      <c r="M12" s="210" t="n"/>
      <c r="N12" s="211" t="n"/>
      <c r="O12" s="263" t="n"/>
      <c r="Q12" s="271" t="n"/>
      <c r="R12" s="282" t="n"/>
    </row>
    <row r="13" ht="18" customHeight="1" s="305">
      <c r="A13" s="8" t="n">
        <v>103</v>
      </c>
      <c r="B13" s="5" t="n">
        <v>85</v>
      </c>
      <c r="C13" s="6" t="inlineStr">
        <is>
          <t>X</t>
        </is>
      </c>
      <c r="D13" s="5" t="n">
        <v>50</v>
      </c>
      <c r="E13" s="2">
        <f>B13*D13/10000</f>
        <v/>
      </c>
      <c r="F13" s="3">
        <f>B13/30.48</f>
        <v/>
      </c>
      <c r="G13" s="3">
        <f>D13/30.48</f>
        <v/>
      </c>
      <c r="H13" s="11" t="inlineStr">
        <is>
          <t>tamir</t>
        </is>
      </c>
      <c r="I13" s="49" t="inlineStr">
        <is>
          <t>OLD</t>
        </is>
      </c>
      <c r="M13" s="210" t="n"/>
      <c r="N13" s="211" t="n"/>
      <c r="O13" s="263" t="n"/>
      <c r="Q13" s="271" t="n"/>
      <c r="R13" s="282" t="n"/>
    </row>
    <row r="14" ht="18" customHeight="1" s="305">
      <c r="A14" s="8" t="n">
        <v>104</v>
      </c>
      <c r="B14" s="5" t="n">
        <v>81</v>
      </c>
      <c r="C14" s="6" t="inlineStr">
        <is>
          <t>X</t>
        </is>
      </c>
      <c r="D14" s="5" t="n">
        <v>44</v>
      </c>
      <c r="E14" s="2">
        <f>B14*D14/10000</f>
        <v/>
      </c>
      <c r="F14" s="3">
        <f>B14/30.48</f>
        <v/>
      </c>
      <c r="G14" s="3">
        <f>D14/30.48</f>
        <v/>
      </c>
      <c r="H14" s="11" t="inlineStr">
        <is>
          <t>tamir</t>
        </is>
      </c>
      <c r="I14" s="49" t="inlineStr">
        <is>
          <t>OLD</t>
        </is>
      </c>
      <c r="M14" s="210" t="n"/>
      <c r="N14" s="211" t="n"/>
      <c r="O14" s="263" t="n"/>
      <c r="Q14" s="271" t="n"/>
      <c r="R14" s="282" t="n"/>
    </row>
    <row r="15" ht="18" customHeight="1" s="305">
      <c r="A15" s="8" t="n">
        <v>105</v>
      </c>
      <c r="B15" s="5" t="n">
        <v>99</v>
      </c>
      <c r="C15" s="6" t="inlineStr">
        <is>
          <t>X</t>
        </is>
      </c>
      <c r="D15" s="5" t="n">
        <v>47</v>
      </c>
      <c r="E15" s="2">
        <f>B15*D15/10000</f>
        <v/>
      </c>
      <c r="F15" s="3">
        <f>B15/30.48</f>
        <v/>
      </c>
      <c r="G15" s="3">
        <f>D15/30.48</f>
        <v/>
      </c>
      <c r="H15" s="11" t="inlineStr">
        <is>
          <t>germe</t>
        </is>
      </c>
      <c r="I15" s="49" t="inlineStr">
        <is>
          <t>OLD</t>
        </is>
      </c>
      <c r="M15" s="210" t="inlineStr">
        <is>
          <t>RK</t>
        </is>
      </c>
      <c r="N15" s="211" t="n"/>
      <c r="O15" s="263" t="n"/>
      <c r="Q15" s="271" t="n"/>
      <c r="R15" s="282" t="n"/>
    </row>
    <row r="16" ht="18" customHeight="1" s="305">
      <c r="A16" s="8" t="n">
        <v>109</v>
      </c>
      <c r="B16" s="5" t="n">
        <v>75</v>
      </c>
      <c r="C16" s="6" t="inlineStr">
        <is>
          <t>X</t>
        </is>
      </c>
      <c r="D16" s="5" t="n">
        <v>36</v>
      </c>
      <c r="E16" s="2">
        <f>B16*D16/10000</f>
        <v/>
      </c>
      <c r="F16" s="3">
        <f>B16/30.48</f>
        <v/>
      </c>
      <c r="G16" s="3">
        <f>D16/30.48</f>
        <v/>
      </c>
      <c r="H16" s="11" t="n"/>
      <c r="I16" s="49" t="inlineStr">
        <is>
          <t>OLD</t>
        </is>
      </c>
      <c r="M16" s="210" t="n"/>
      <c r="N16" s="211" t="n"/>
      <c r="O16" s="263" t="n"/>
      <c r="Q16" s="271" t="n"/>
      <c r="R16" s="282" t="n"/>
    </row>
    <row r="17" ht="18" customHeight="1" s="305">
      <c r="A17" s="8" t="n">
        <v>110</v>
      </c>
      <c r="B17" s="5" t="n">
        <v>86</v>
      </c>
      <c r="C17" s="6" t="inlineStr">
        <is>
          <t>X</t>
        </is>
      </c>
      <c r="D17" s="5" t="n">
        <v>48</v>
      </c>
      <c r="E17" s="2">
        <f>B17*D17/10000</f>
        <v/>
      </c>
      <c r="F17" s="3">
        <f>B17/30.48</f>
        <v/>
      </c>
      <c r="G17" s="3">
        <f>D17/30.48</f>
        <v/>
      </c>
      <c r="H17" s="11" t="n"/>
      <c r="I17" s="49" t="inlineStr">
        <is>
          <t>OLD</t>
        </is>
      </c>
      <c r="M17" s="210" t="n"/>
      <c r="N17" s="211" t="n"/>
      <c r="O17" s="263" t="n"/>
      <c r="Q17" s="271" t="n"/>
      <c r="R17" s="282" t="n"/>
    </row>
    <row r="18" ht="18" customHeight="1" s="305">
      <c r="A18" s="8" t="n">
        <v>121</v>
      </c>
      <c r="B18" s="5" t="n">
        <v>84</v>
      </c>
      <c r="C18" s="6" t="inlineStr">
        <is>
          <t>X</t>
        </is>
      </c>
      <c r="D18" s="5" t="n">
        <v>47</v>
      </c>
      <c r="E18" s="2">
        <f>B18*D18/10000</f>
        <v/>
      </c>
      <c r="F18" s="3">
        <f>B18/30.48</f>
        <v/>
      </c>
      <c r="G18" s="3">
        <f>D18/30.48</f>
        <v/>
      </c>
      <c r="H18" s="11" t="n"/>
      <c r="I18" s="49" t="inlineStr">
        <is>
          <t>OLD</t>
        </is>
      </c>
      <c r="M18" s="210" t="n"/>
      <c r="N18" s="211" t="n"/>
      <c r="O18" s="263" t="n"/>
      <c r="Q18" s="271" t="n"/>
      <c r="R18" s="282" t="n"/>
    </row>
    <row r="19" ht="18" customHeight="1" s="305">
      <c r="A19" s="8" t="n">
        <v>125</v>
      </c>
      <c r="B19" s="5" t="n">
        <v>77</v>
      </c>
      <c r="C19" s="6" t="inlineStr">
        <is>
          <t>X</t>
        </is>
      </c>
      <c r="D19" s="5" t="n">
        <v>54</v>
      </c>
      <c r="E19" s="2">
        <f>B19*D19/10000</f>
        <v/>
      </c>
      <c r="F19" s="3">
        <f>B19/30.48</f>
        <v/>
      </c>
      <c r="G19" s="3">
        <f>D19/30.48</f>
        <v/>
      </c>
      <c r="H19" s="11" t="n"/>
      <c r="I19" s="49" t="inlineStr">
        <is>
          <t>OLD</t>
        </is>
      </c>
      <c r="M19" s="210" t="n"/>
      <c r="N19" s="211" t="n"/>
      <c r="O19" s="263" t="n"/>
      <c r="Q19" s="271" t="n"/>
      <c r="R19" s="282" t="n"/>
    </row>
    <row r="20" ht="18" customHeight="1" s="305">
      <c r="A20" s="8" t="n">
        <v>126</v>
      </c>
      <c r="B20" s="5" t="n">
        <v>74</v>
      </c>
      <c r="C20" s="6" t="inlineStr">
        <is>
          <t>X</t>
        </is>
      </c>
      <c r="D20" s="5" t="n">
        <v>48</v>
      </c>
      <c r="E20" s="2">
        <f>B20*D20/10000</f>
        <v/>
      </c>
      <c r="F20" s="3">
        <f>B20/30.48</f>
        <v/>
      </c>
      <c r="G20" s="3">
        <f>D20/30.48</f>
        <v/>
      </c>
      <c r="H20" s="11" t="n"/>
      <c r="I20" s="49" t="inlineStr">
        <is>
          <t>OLD</t>
        </is>
      </c>
      <c r="M20" s="210" t="n"/>
      <c r="N20" s="211" t="n"/>
      <c r="O20" s="263" t="n"/>
      <c r="Q20" s="271" t="n"/>
      <c r="R20" s="282" t="n"/>
    </row>
    <row r="21" ht="18" customHeight="1" s="305">
      <c r="A21" s="8" t="n">
        <v>128</v>
      </c>
      <c r="B21" s="5" t="n">
        <v>89</v>
      </c>
      <c r="C21" s="6" t="inlineStr">
        <is>
          <t>X</t>
        </is>
      </c>
      <c r="D21" s="5" t="n">
        <v>49</v>
      </c>
      <c r="E21" s="2">
        <f>B21*D21/10000</f>
        <v/>
      </c>
      <c r="F21" s="3">
        <f>B21/30.48</f>
        <v/>
      </c>
      <c r="G21" s="3">
        <f>D21/30.48</f>
        <v/>
      </c>
      <c r="H21" s="11" t="n"/>
      <c r="I21" s="49" t="inlineStr">
        <is>
          <t>OLD</t>
        </is>
      </c>
      <c r="J21" s="48" t="inlineStr">
        <is>
          <t>TRS</t>
        </is>
      </c>
      <c r="M21" s="210" t="n"/>
      <c r="N21" s="211" t="n"/>
      <c r="O21" s="263" t="n"/>
      <c r="Q21" s="271" t="n"/>
      <c r="R21" s="282" t="n"/>
    </row>
    <row r="22" ht="18" customHeight="1" s="305">
      <c r="A22" s="8" t="n">
        <v>133</v>
      </c>
      <c r="B22" s="5" t="n">
        <v>84</v>
      </c>
      <c r="C22" s="6" t="inlineStr">
        <is>
          <t>X</t>
        </is>
      </c>
      <c r="D22" s="5" t="n">
        <v>47</v>
      </c>
      <c r="E22" s="2">
        <f>B22*D22/10000</f>
        <v/>
      </c>
      <c r="F22" s="3">
        <f>B22/30.48</f>
        <v/>
      </c>
      <c r="G22" s="3">
        <f>D22/30.48</f>
        <v/>
      </c>
      <c r="H22" s="11" t="n"/>
      <c r="I22" s="49" t="inlineStr">
        <is>
          <t>OLD</t>
        </is>
      </c>
      <c r="M22" s="210" t="n"/>
      <c r="N22" s="211" t="n"/>
      <c r="O22" s="263" t="n"/>
      <c r="Q22" s="271" t="n"/>
      <c r="R22" s="282" t="n"/>
    </row>
    <row r="23" ht="18" customHeight="1" s="305">
      <c r="A23" s="8" t="n">
        <v>134</v>
      </c>
      <c r="B23" s="5" t="n">
        <v>89</v>
      </c>
      <c r="C23" s="6" t="inlineStr">
        <is>
          <t>X</t>
        </is>
      </c>
      <c r="D23" s="5" t="n">
        <v>46</v>
      </c>
      <c r="E23" s="2">
        <f>B23*D23/10000</f>
        <v/>
      </c>
      <c r="F23" s="3">
        <f>B23/30.48</f>
        <v/>
      </c>
      <c r="G23" s="3">
        <f>D23/30.48</f>
        <v/>
      </c>
      <c r="H23" s="11" t="n"/>
      <c r="I23" s="49" t="inlineStr">
        <is>
          <t>OLD</t>
        </is>
      </c>
      <c r="M23" s="210" t="n"/>
      <c r="N23" s="211" t="n"/>
      <c r="O23" s="263" t="n"/>
      <c r="Q23" s="271" t="n"/>
      <c r="R23" s="282" t="n"/>
    </row>
    <row r="24" ht="18" customHeight="1" s="305">
      <c r="A24" s="8" t="n">
        <v>135</v>
      </c>
      <c r="B24" s="5" t="n">
        <v>96</v>
      </c>
      <c r="C24" s="6" t="inlineStr">
        <is>
          <t>X</t>
        </is>
      </c>
      <c r="D24" s="5" t="n">
        <v>40</v>
      </c>
      <c r="E24" s="2">
        <f>B24*D24/10000</f>
        <v/>
      </c>
      <c r="F24" s="3">
        <f>B24/30.48</f>
        <v/>
      </c>
      <c r="G24" s="3">
        <f>D24/30.48</f>
        <v/>
      </c>
      <c r="H24" s="11" t="n"/>
      <c r="I24" s="49" t="inlineStr">
        <is>
          <t>OLD</t>
        </is>
      </c>
      <c r="M24" s="210" t="n"/>
      <c r="N24" s="211" t="n"/>
      <c r="O24" s="263" t="n"/>
      <c r="Q24" s="271" t="n"/>
      <c r="R24" s="282" t="n"/>
    </row>
    <row r="25" ht="18" customHeight="1" s="305">
      <c r="A25" s="8" t="n">
        <v>138</v>
      </c>
      <c r="B25" s="5" t="n">
        <v>90</v>
      </c>
      <c r="C25" s="6" t="inlineStr">
        <is>
          <t>X</t>
        </is>
      </c>
      <c r="D25" s="5" t="n">
        <v>46</v>
      </c>
      <c r="E25" s="2">
        <f>B25*D25/10000</f>
        <v/>
      </c>
      <c r="F25" s="3">
        <f>B25/30.48</f>
        <v/>
      </c>
      <c r="G25" s="3">
        <f>D25/30.48</f>
        <v/>
      </c>
      <c r="H25" s="11" t="n"/>
      <c r="I25" s="49" t="inlineStr">
        <is>
          <t>OLD</t>
        </is>
      </c>
      <c r="M25" s="210" t="n"/>
      <c r="N25" s="211" t="n"/>
      <c r="O25" s="263" t="n"/>
      <c r="Q25" s="271" t="n"/>
      <c r="R25" s="282" t="n"/>
    </row>
    <row r="26" ht="18" customHeight="1" s="305">
      <c r="A26" s="8" t="n">
        <v>141</v>
      </c>
      <c r="B26" s="5" t="n">
        <v>84</v>
      </c>
      <c r="C26" s="6" t="inlineStr">
        <is>
          <t>X</t>
        </is>
      </c>
      <c r="D26" s="5" t="n">
        <v>50</v>
      </c>
      <c r="E26" s="2">
        <f>B26*D26/10000</f>
        <v/>
      </c>
      <c r="F26" s="3">
        <f>B26/30.48</f>
        <v/>
      </c>
      <c r="G26" s="3">
        <f>D26/30.48</f>
        <v/>
      </c>
      <c r="H26" s="11" t="n"/>
      <c r="I26" s="49" t="inlineStr">
        <is>
          <t>OLD</t>
        </is>
      </c>
      <c r="M26" s="210" t="n"/>
      <c r="N26" s="211" t="n"/>
      <c r="O26" s="263" t="n"/>
      <c r="Q26" s="271" t="n"/>
      <c r="R26" s="282" t="n"/>
    </row>
    <row r="27" ht="18" customHeight="1" s="305">
      <c r="A27" s="8" t="n">
        <v>142</v>
      </c>
      <c r="B27" s="5" t="n">
        <v>84</v>
      </c>
      <c r="C27" s="6" t="inlineStr">
        <is>
          <t>X</t>
        </is>
      </c>
      <c r="D27" s="5" t="n">
        <v>45</v>
      </c>
      <c r="E27" s="2">
        <f>B27*D27/10000</f>
        <v/>
      </c>
      <c r="F27" s="3">
        <f>B27/30.48</f>
        <v/>
      </c>
      <c r="G27" s="3">
        <f>D27/30.48</f>
        <v/>
      </c>
      <c r="H27" s="11" t="n"/>
      <c r="I27" s="49" t="inlineStr">
        <is>
          <t>OLD</t>
        </is>
      </c>
      <c r="J27" s="48" t="inlineStr">
        <is>
          <t>TRS</t>
        </is>
      </c>
      <c r="L27" s="105" t="inlineStr">
        <is>
          <t>VR</t>
        </is>
      </c>
      <c r="M27" s="210" t="inlineStr">
        <is>
          <t>RK</t>
        </is>
      </c>
      <c r="N27" s="211" t="n"/>
      <c r="O27" s="263" t="n"/>
      <c r="Q27" s="271" t="n"/>
      <c r="R27" s="282" t="n"/>
    </row>
    <row r="28" ht="18" customHeight="1" s="305">
      <c r="A28" s="8" t="n">
        <v>144</v>
      </c>
      <c r="B28" s="5" t="n">
        <v>76</v>
      </c>
      <c r="C28" s="6" t="inlineStr">
        <is>
          <t>X</t>
        </is>
      </c>
      <c r="D28" s="5" t="n">
        <v>48</v>
      </c>
      <c r="E28" s="2">
        <f>B28*D28/10000</f>
        <v/>
      </c>
      <c r="F28" s="3">
        <f>B28/30.48</f>
        <v/>
      </c>
      <c r="G28" s="3">
        <f>D28/30.48</f>
        <v/>
      </c>
      <c r="H28" s="11" t="n"/>
      <c r="I28" s="49" t="inlineStr">
        <is>
          <t>OLD</t>
        </is>
      </c>
      <c r="J28" s="48" t="inlineStr">
        <is>
          <t>TRS</t>
        </is>
      </c>
      <c r="M28" s="210" t="n"/>
      <c r="N28" s="211" t="n"/>
      <c r="O28" s="263" t="n"/>
      <c r="Q28" s="271" t="n"/>
      <c r="R28" s="282" t="n"/>
    </row>
    <row r="29" ht="18" customHeight="1" s="305">
      <c r="A29" s="8" t="n">
        <v>148</v>
      </c>
      <c r="B29" s="5" t="n">
        <v>87</v>
      </c>
      <c r="C29" s="6" t="inlineStr">
        <is>
          <t>X</t>
        </is>
      </c>
      <c r="D29" s="5" t="n">
        <v>38</v>
      </c>
      <c r="E29" s="2">
        <f>B29*D29/10000</f>
        <v/>
      </c>
      <c r="F29" s="3">
        <f>B29/30.48</f>
        <v/>
      </c>
      <c r="G29" s="3">
        <f>D29/30.48</f>
        <v/>
      </c>
      <c r="H29" s="11" t="n"/>
      <c r="I29" s="49" t="inlineStr">
        <is>
          <t>OLD</t>
        </is>
      </c>
      <c r="M29" s="210" t="n"/>
      <c r="N29" s="211" t="n"/>
      <c r="O29" s="263" t="n"/>
      <c r="Q29" s="271" t="n"/>
      <c r="R29" s="282" t="n"/>
    </row>
    <row r="30" ht="18" customHeight="1" s="305">
      <c r="A30" s="8" t="n">
        <v>150</v>
      </c>
      <c r="B30" s="5" t="n">
        <v>89</v>
      </c>
      <c r="C30" s="6" t="inlineStr">
        <is>
          <t>X</t>
        </is>
      </c>
      <c r="D30" s="5" t="n">
        <v>44</v>
      </c>
      <c r="E30" s="2">
        <f>B30*D30/10000</f>
        <v/>
      </c>
      <c r="F30" s="3">
        <f>B30/30.48</f>
        <v/>
      </c>
      <c r="G30" s="3">
        <f>D30/30.48</f>
        <v/>
      </c>
      <c r="H30" s="11" t="n"/>
      <c r="I30" s="49" t="inlineStr">
        <is>
          <t>OLD</t>
        </is>
      </c>
      <c r="M30" s="210" t="n"/>
      <c r="N30" s="211" t="n"/>
      <c r="O30" s="263" t="n"/>
      <c r="Q30" s="271" t="n"/>
      <c r="R30" s="282" t="n"/>
    </row>
    <row r="31" ht="18" customHeight="1" s="305">
      <c r="A31" s="8" t="n">
        <v>151</v>
      </c>
      <c r="B31" s="5" t="n">
        <v>91</v>
      </c>
      <c r="C31" s="6" t="inlineStr">
        <is>
          <t>X</t>
        </is>
      </c>
      <c r="D31" s="5" t="n">
        <v>50</v>
      </c>
      <c r="E31" s="2">
        <f>B31*D31/10000</f>
        <v/>
      </c>
      <c r="F31" s="3">
        <f>B31/30.48</f>
        <v/>
      </c>
      <c r="G31" s="3">
        <f>D31/30.48</f>
        <v/>
      </c>
      <c r="H31" s="11" t="n"/>
      <c r="I31" s="49" t="inlineStr">
        <is>
          <t>OLD</t>
        </is>
      </c>
      <c r="M31" s="210" t="n"/>
      <c r="N31" s="211" t="n"/>
      <c r="O31" s="263" t="n"/>
      <c r="Q31" s="271" t="n"/>
      <c r="R31" s="282" t="n"/>
    </row>
    <row r="32" ht="18" customHeight="1" s="305">
      <c r="A32" s="8" t="n">
        <v>152</v>
      </c>
      <c r="B32" s="5" t="n">
        <v>87</v>
      </c>
      <c r="C32" s="6" t="inlineStr">
        <is>
          <t>X</t>
        </is>
      </c>
      <c r="D32" s="5" t="n">
        <v>47</v>
      </c>
      <c r="E32" s="2">
        <f>B32*D32/10000</f>
        <v/>
      </c>
      <c r="F32" s="3">
        <f>B32/30.48</f>
        <v/>
      </c>
      <c r="G32" s="3">
        <f>D32/30.48</f>
        <v/>
      </c>
      <c r="H32" s="11" t="n"/>
      <c r="I32" s="49" t="inlineStr">
        <is>
          <t>OLD</t>
        </is>
      </c>
      <c r="M32" s="210" t="n"/>
      <c r="N32" s="211" t="n"/>
      <c r="O32" s="263" t="n"/>
      <c r="Q32" s="271" t="n"/>
      <c r="R32" s="282" t="n"/>
    </row>
    <row r="33" ht="18" customHeight="1" s="305">
      <c r="A33" s="8" t="n">
        <v>158</v>
      </c>
      <c r="B33" s="5" t="n">
        <v>82</v>
      </c>
      <c r="C33" s="6" t="inlineStr">
        <is>
          <t>X</t>
        </is>
      </c>
      <c r="D33" s="5" t="n">
        <v>40</v>
      </c>
      <c r="E33" s="2">
        <f>B33*D33/10000</f>
        <v/>
      </c>
      <c r="F33" s="3">
        <f>B33/30.48</f>
        <v/>
      </c>
      <c r="G33" s="3">
        <f>D33/30.48</f>
        <v/>
      </c>
      <c r="H33" s="11" t="n"/>
      <c r="I33" s="49" t="inlineStr">
        <is>
          <t>OLD</t>
        </is>
      </c>
      <c r="J33" s="48" t="inlineStr">
        <is>
          <t>TRS</t>
        </is>
      </c>
      <c r="M33" s="210" t="n"/>
      <c r="N33" s="211" t="n"/>
      <c r="O33" s="263" t="n"/>
      <c r="Q33" s="271" t="n"/>
      <c r="R33" s="282" t="n"/>
    </row>
    <row r="34" ht="18" customHeight="1" s="305">
      <c r="A34" s="8" t="n">
        <v>162</v>
      </c>
      <c r="B34" s="5" t="n">
        <v>78</v>
      </c>
      <c r="C34" s="6" t="inlineStr">
        <is>
          <t>X</t>
        </is>
      </c>
      <c r="D34" s="5" t="n">
        <v>53</v>
      </c>
      <c r="E34" s="2">
        <f>B34*D34/10000</f>
        <v/>
      </c>
      <c r="F34" s="3">
        <f>B34/30.48</f>
        <v/>
      </c>
      <c r="G34" s="3">
        <f>D34/30.48</f>
        <v/>
      </c>
      <c r="H34" s="11" t="n"/>
      <c r="I34" s="49" t="inlineStr">
        <is>
          <t>OLD</t>
        </is>
      </c>
      <c r="M34" s="210" t="n"/>
      <c r="N34" s="211" t="n"/>
      <c r="O34" s="263" t="n"/>
      <c r="Q34" s="271" t="n"/>
      <c r="R34" s="282" t="n"/>
    </row>
    <row r="35" ht="18" customHeight="1" s="305">
      <c r="A35" s="8" t="n">
        <v>163</v>
      </c>
      <c r="B35" s="5" t="n">
        <v>89</v>
      </c>
      <c r="C35" s="6" t="inlineStr">
        <is>
          <t>X</t>
        </is>
      </c>
      <c r="D35" s="5" t="n">
        <v>45</v>
      </c>
      <c r="E35" s="2">
        <f>B35*D35/10000</f>
        <v/>
      </c>
      <c r="F35" s="3">
        <f>B35/30.48</f>
        <v/>
      </c>
      <c r="G35" s="3">
        <f>D35/30.48</f>
        <v/>
      </c>
      <c r="H35" s="11" t="n"/>
      <c r="I35" s="49" t="inlineStr">
        <is>
          <t>OLD</t>
        </is>
      </c>
      <c r="M35" s="210" t="n"/>
      <c r="N35" s="211" t="n"/>
      <c r="O35" s="263" t="n"/>
      <c r="Q35" s="271" t="n"/>
      <c r="R35" s="282" t="n"/>
    </row>
    <row r="36" ht="18" customHeight="1" s="305">
      <c r="A36" s="8" t="n">
        <v>164</v>
      </c>
      <c r="B36" s="5" t="n">
        <v>84</v>
      </c>
      <c r="C36" s="6" t="inlineStr">
        <is>
          <t>X</t>
        </is>
      </c>
      <c r="D36" s="5" t="n">
        <v>47</v>
      </c>
      <c r="E36" s="2">
        <f>B36*D36/10000</f>
        <v/>
      </c>
      <c r="F36" s="3">
        <f>B36/30.48</f>
        <v/>
      </c>
      <c r="G36" s="3">
        <f>D36/30.48</f>
        <v/>
      </c>
      <c r="H36" s="11" t="n"/>
      <c r="I36" s="49" t="inlineStr">
        <is>
          <t>OLD</t>
        </is>
      </c>
      <c r="M36" s="210" t="n"/>
      <c r="N36" s="211" t="n"/>
      <c r="O36" s="263" t="n"/>
      <c r="Q36" s="271" t="n"/>
      <c r="R36" s="282" t="n"/>
    </row>
    <row r="37" ht="18" customHeight="1" s="305">
      <c r="A37" s="8" t="n">
        <v>166</v>
      </c>
      <c r="B37" s="5" t="n">
        <v>89</v>
      </c>
      <c r="C37" s="6" t="inlineStr">
        <is>
          <t>X</t>
        </is>
      </c>
      <c r="D37" s="5" t="n">
        <v>50</v>
      </c>
      <c r="E37" s="2">
        <f>B37*D37/10000</f>
        <v/>
      </c>
      <c r="F37" s="3">
        <f>B37/30.48</f>
        <v/>
      </c>
      <c r="G37" s="3">
        <f>D37/30.48</f>
        <v/>
      </c>
      <c r="H37" s="11" t="n"/>
      <c r="I37" s="49" t="inlineStr">
        <is>
          <t>OLD</t>
        </is>
      </c>
      <c r="M37" s="210" t="n"/>
      <c r="N37" s="211" t="n"/>
      <c r="O37" s="263" t="n"/>
      <c r="Q37" s="271" t="n"/>
      <c r="R37" s="282" t="n"/>
    </row>
    <row r="38" ht="18" customHeight="1" s="305">
      <c r="A38" s="8" t="n">
        <v>167</v>
      </c>
      <c r="B38" s="5" t="n">
        <v>83</v>
      </c>
      <c r="C38" s="6" t="inlineStr">
        <is>
          <t>X</t>
        </is>
      </c>
      <c r="D38" s="5" t="n">
        <v>49</v>
      </c>
      <c r="E38" s="2">
        <f>B38*D38/10000</f>
        <v/>
      </c>
      <c r="F38" s="3">
        <f>B38/30.48</f>
        <v/>
      </c>
      <c r="G38" s="3">
        <f>D38/30.48</f>
        <v/>
      </c>
      <c r="H38" s="11" t="n"/>
      <c r="I38" s="49" t="inlineStr">
        <is>
          <t>OLD</t>
        </is>
      </c>
      <c r="J38" s="48" t="inlineStr">
        <is>
          <t>TRS</t>
        </is>
      </c>
      <c r="M38" s="210" t="n"/>
      <c r="N38" s="211" t="n"/>
      <c r="O38" s="263" t="n"/>
      <c r="Q38" s="271" t="n"/>
      <c r="R38" s="282" t="n"/>
    </row>
    <row r="39" ht="18" customHeight="1" s="305">
      <c r="H39" s="11" t="n"/>
      <c r="I39" s="49" t="inlineStr">
        <is>
          <t>OLD</t>
        </is>
      </c>
      <c r="M39" s="210" t="n"/>
      <c r="N39" s="211" t="n"/>
      <c r="O39" s="263" t="n"/>
      <c r="Q39" s="271" t="n"/>
      <c r="R39" s="282" t="n"/>
    </row>
    <row r="40" ht="18" customHeight="1" s="305">
      <c r="A40" s="8" t="n">
        <v>171</v>
      </c>
      <c r="B40" s="5" t="n">
        <v>104</v>
      </c>
      <c r="C40" s="6" t="inlineStr">
        <is>
          <t>X</t>
        </is>
      </c>
      <c r="D40" s="5" t="n">
        <v>52</v>
      </c>
      <c r="E40" s="2">
        <f>B40*D40/10000</f>
        <v/>
      </c>
      <c r="F40" s="3">
        <f>B40/30.48</f>
        <v/>
      </c>
      <c r="G40" s="3">
        <f>D40/30.48</f>
        <v/>
      </c>
      <c r="H40" s="11" t="n"/>
      <c r="I40" s="49" t="inlineStr">
        <is>
          <t>OLD</t>
        </is>
      </c>
      <c r="J40" s="48" t="inlineStr">
        <is>
          <t>TRS</t>
        </is>
      </c>
      <c r="M40" s="210" t="n"/>
      <c r="N40" s="211" t="n"/>
      <c r="O40" s="263" t="n"/>
      <c r="Q40" s="271" t="n"/>
      <c r="R40" s="282" t="n"/>
    </row>
    <row r="41" ht="18" customHeight="1" s="305">
      <c r="A41" s="8" t="n">
        <v>1014</v>
      </c>
      <c r="B41" s="5" t="n">
        <v>89</v>
      </c>
      <c r="C41" s="6" t="inlineStr">
        <is>
          <t>X</t>
        </is>
      </c>
      <c r="D41" s="5" t="n">
        <v>43</v>
      </c>
      <c r="E41" s="2">
        <f>B41*D41/10000</f>
        <v/>
      </c>
      <c r="F41" s="3">
        <f>B41/30.48</f>
        <v/>
      </c>
      <c r="G41" s="3">
        <f>D41/30.48</f>
        <v/>
      </c>
      <c r="H41" s="11" t="n"/>
      <c r="I41" s="49" t="inlineStr">
        <is>
          <t>OLD</t>
        </is>
      </c>
      <c r="M41" s="210" t="n"/>
      <c r="N41" s="211" t="n"/>
      <c r="O41" s="263" t="n"/>
      <c r="Q41" s="271" t="n"/>
      <c r="R41" s="282" t="n"/>
    </row>
    <row r="42" ht="18" customHeight="1" s="305">
      <c r="A42" s="8" t="n">
        <v>1017</v>
      </c>
      <c r="B42" s="5" t="n">
        <v>86</v>
      </c>
      <c r="C42" s="6" t="inlineStr">
        <is>
          <t>X</t>
        </is>
      </c>
      <c r="D42" s="5" t="n">
        <v>48</v>
      </c>
      <c r="E42" s="2">
        <f>B42*D42/10000</f>
        <v/>
      </c>
      <c r="F42" s="3">
        <f>B42/30.48</f>
        <v/>
      </c>
      <c r="G42" s="3">
        <f>D42/30.48</f>
        <v/>
      </c>
      <c r="H42" s="11" t="n"/>
      <c r="I42" s="49" t="inlineStr">
        <is>
          <t>OLD</t>
        </is>
      </c>
      <c r="M42" s="210" t="n"/>
      <c r="N42" s="211" t="n"/>
      <c r="O42" s="263" t="n"/>
      <c r="Q42" s="271" t="n"/>
      <c r="R42" s="282" t="n"/>
    </row>
    <row r="43" ht="18" customHeight="1" s="305">
      <c r="A43" s="8" t="inlineStr">
        <is>
          <t>C 63</t>
        </is>
      </c>
      <c r="B43" s="5" t="n">
        <v>180</v>
      </c>
      <c r="C43" s="6" t="inlineStr">
        <is>
          <t>X</t>
        </is>
      </c>
      <c r="D43" s="5" t="n">
        <v>88</v>
      </c>
      <c r="E43" s="2">
        <f>B43*D43/10000</f>
        <v/>
      </c>
      <c r="F43" s="3">
        <f>B43/30.48</f>
        <v/>
      </c>
      <c r="G43" s="3">
        <f>D43/30.48</f>
        <v/>
      </c>
      <c r="H43" s="11" t="n"/>
      <c r="I43" s="49" t="inlineStr">
        <is>
          <t>OLD</t>
        </is>
      </c>
      <c r="J43" s="48" t="inlineStr">
        <is>
          <t>TRS</t>
        </is>
      </c>
      <c r="K43" s="51" t="inlineStr">
        <is>
          <t>PAC</t>
        </is>
      </c>
      <c r="L43" s="105" t="inlineStr">
        <is>
          <t>VR</t>
        </is>
      </c>
      <c r="M43" s="210" t="inlineStr">
        <is>
          <t>RK</t>
        </is>
      </c>
      <c r="N43" s="211" t="n"/>
      <c r="O43" s="340" t="inlineStr">
        <is>
          <t>SBL</t>
        </is>
      </c>
      <c r="Q43" s="271" t="n"/>
      <c r="R43" s="282" t="n"/>
    </row>
    <row r="44" ht="18" customHeight="1" s="305">
      <c r="A44" s="8" t="inlineStr">
        <is>
          <t>D 140</t>
        </is>
      </c>
      <c r="B44" s="5" t="n">
        <v>100</v>
      </c>
      <c r="C44" s="6" t="inlineStr">
        <is>
          <t>X</t>
        </is>
      </c>
      <c r="D44" s="5" t="n">
        <v>55</v>
      </c>
      <c r="E44" s="2">
        <f>B44*D44/10000</f>
        <v/>
      </c>
      <c r="F44" s="3">
        <f>B44/30.48</f>
        <v/>
      </c>
      <c r="G44" s="3">
        <f>D44/30.48</f>
        <v/>
      </c>
      <c r="H44" s="11" t="n"/>
      <c r="I44" s="49" t="inlineStr">
        <is>
          <t>OLD</t>
        </is>
      </c>
      <c r="M44" s="210" t="n"/>
      <c r="N44" s="211" t="n"/>
      <c r="O44" s="263" t="n"/>
      <c r="Q44" s="271" t="n"/>
      <c r="R44" s="282" t="n"/>
    </row>
    <row r="45" ht="18" customHeight="1" s="305">
      <c r="A45" s="8" t="inlineStr">
        <is>
          <t>D 157</t>
        </is>
      </c>
      <c r="B45" s="5" t="n">
        <v>89</v>
      </c>
      <c r="C45" s="6" t="inlineStr">
        <is>
          <t>X</t>
        </is>
      </c>
      <c r="D45" s="5" t="n">
        <v>49</v>
      </c>
      <c r="E45" s="2">
        <f>B45*D45/10000</f>
        <v/>
      </c>
      <c r="F45" s="3">
        <f>B45/30.48</f>
        <v/>
      </c>
      <c r="G45" s="3">
        <f>D45/30.48</f>
        <v/>
      </c>
      <c r="H45" s="11" t="n"/>
      <c r="I45" s="49" t="inlineStr">
        <is>
          <t>OLD</t>
        </is>
      </c>
      <c r="M45" s="210" t="n"/>
      <c r="N45" s="211" t="n"/>
      <c r="O45" s="263" t="n"/>
      <c r="Q45" s="271" t="n"/>
      <c r="R45" s="282" t="n"/>
    </row>
    <row r="46" ht="18" customHeight="1" s="305">
      <c r="A46" s="8" t="inlineStr">
        <is>
          <t>D 168</t>
        </is>
      </c>
      <c r="B46" s="5" t="n">
        <v>84</v>
      </c>
      <c r="C46" s="6" t="inlineStr">
        <is>
          <t>X</t>
        </is>
      </c>
      <c r="D46" s="5" t="n">
        <v>50</v>
      </c>
      <c r="E46" s="2">
        <f>B46*D46/10000</f>
        <v/>
      </c>
      <c r="F46" s="3">
        <f>B46/30.48</f>
        <v/>
      </c>
      <c r="G46" s="3">
        <f>D46/30.48</f>
        <v/>
      </c>
      <c r="H46" s="11" t="n"/>
      <c r="I46" s="49" t="inlineStr">
        <is>
          <t>OLD</t>
        </is>
      </c>
      <c r="M46" s="210" t="n"/>
      <c r="N46" s="211" t="n"/>
      <c r="O46" s="263" t="n"/>
      <c r="Q46" s="271" t="n"/>
      <c r="R46" s="282" t="n"/>
    </row>
    <row r="47" ht="18" customHeight="1" s="305">
      <c r="A47" s="8" t="inlineStr">
        <is>
          <t>Y 14</t>
        </is>
      </c>
      <c r="B47" s="5" t="n">
        <v>280</v>
      </c>
      <c r="C47" s="6" t="inlineStr">
        <is>
          <t>X</t>
        </is>
      </c>
      <c r="D47" s="5" t="n">
        <v>192</v>
      </c>
      <c r="E47" s="2">
        <f>B47*D47/10000</f>
        <v/>
      </c>
      <c r="F47" s="3">
        <f>B47/30.48</f>
        <v/>
      </c>
      <c r="G47" s="3">
        <f>D47/30.48</f>
        <v/>
      </c>
      <c r="H47" s="11" t="n"/>
      <c r="I47" s="49" t="inlineStr">
        <is>
          <t>OLD</t>
        </is>
      </c>
      <c r="J47" s="48" t="inlineStr">
        <is>
          <t>TRS</t>
        </is>
      </c>
      <c r="K47" s="51" t="inlineStr">
        <is>
          <t>PAC</t>
        </is>
      </c>
      <c r="M47" s="210" t="n"/>
      <c r="N47" s="211" t="n"/>
      <c r="O47" s="263" t="n"/>
      <c r="Q47" s="271" t="n"/>
      <c r="R47" s="282" t="n"/>
    </row>
    <row r="48" ht="18" customHeight="1" s="305">
      <c r="A48" s="8" t="inlineStr">
        <is>
          <t>Y 32</t>
        </is>
      </c>
      <c r="B48" s="5" t="n">
        <v>310</v>
      </c>
      <c r="C48" s="6" t="inlineStr">
        <is>
          <t>X</t>
        </is>
      </c>
      <c r="D48" s="5" t="n">
        <v>180</v>
      </c>
      <c r="E48" s="2">
        <f>B48*D48/10000</f>
        <v/>
      </c>
      <c r="F48" s="3">
        <f>B48/30.48</f>
        <v/>
      </c>
      <c r="G48" s="3">
        <f>D48/30.48</f>
        <v/>
      </c>
      <c r="H48" s="11" t="n"/>
      <c r="I48" s="49" t="inlineStr">
        <is>
          <t>OLD</t>
        </is>
      </c>
      <c r="J48" s="48" t="inlineStr">
        <is>
          <t>TRS</t>
        </is>
      </c>
      <c r="K48" s="51" t="inlineStr">
        <is>
          <t>PAC</t>
        </is>
      </c>
      <c r="M48" s="210" t="n"/>
      <c r="N48" s="211" t="n"/>
      <c r="O48" s="263" t="n"/>
      <c r="Q48" s="271" t="n"/>
      <c r="R48" s="282" t="n"/>
    </row>
    <row r="49" ht="18" customHeight="1" s="305">
      <c r="A49" s="8" t="inlineStr">
        <is>
          <t>Y 153</t>
        </is>
      </c>
      <c r="B49" s="5" t="n">
        <v>256</v>
      </c>
      <c r="C49" s="6" t="inlineStr">
        <is>
          <t>X</t>
        </is>
      </c>
      <c r="D49" s="5" t="n">
        <v>156</v>
      </c>
      <c r="E49" s="2">
        <f>B49*D49/10000</f>
        <v/>
      </c>
      <c r="F49" s="3">
        <f>B49/30.48</f>
        <v/>
      </c>
      <c r="G49" s="3">
        <f>D49/30.48</f>
        <v/>
      </c>
      <c r="H49" s="11" t="n"/>
      <c r="I49" s="49" t="inlineStr">
        <is>
          <t>OLD</t>
        </is>
      </c>
      <c r="J49" s="48" t="inlineStr">
        <is>
          <t>TRS</t>
        </is>
      </c>
      <c r="K49" s="51" t="inlineStr">
        <is>
          <t>PAC</t>
        </is>
      </c>
      <c r="L49" s="105" t="inlineStr">
        <is>
          <t>VR</t>
        </is>
      </c>
      <c r="M49" s="210" t="n"/>
      <c r="N49" s="211" t="n"/>
      <c r="O49" s="263" t="n"/>
      <c r="Q49" s="271" t="n"/>
      <c r="R49" s="282" t="n"/>
    </row>
    <row r="50" ht="18" customHeight="1" s="305">
      <c r="A50" s="8" t="inlineStr">
        <is>
          <t>Y 161</t>
        </is>
      </c>
      <c r="B50" s="5" t="n">
        <v>282</v>
      </c>
      <c r="C50" s="6" t="inlineStr">
        <is>
          <t>X</t>
        </is>
      </c>
      <c r="D50" s="5" t="n">
        <v>183</v>
      </c>
      <c r="E50" s="2">
        <f>B50*D50/10000</f>
        <v/>
      </c>
      <c r="F50" s="3">
        <f>B50/30.48</f>
        <v/>
      </c>
      <c r="G50" s="3">
        <f>D50/30.48</f>
        <v/>
      </c>
      <c r="H50" s="11" t="n"/>
      <c r="I50" s="49" t="inlineStr">
        <is>
          <t>OLD</t>
        </is>
      </c>
      <c r="J50" s="48" t="inlineStr">
        <is>
          <t>TRS</t>
        </is>
      </c>
      <c r="K50" s="51" t="inlineStr">
        <is>
          <t>PAC</t>
        </is>
      </c>
      <c r="M50" s="210" t="n"/>
      <c r="N50" s="211" t="n"/>
      <c r="O50" s="263" t="n"/>
      <c r="Q50" s="271" t="n"/>
      <c r="R50" s="282" t="n"/>
    </row>
    <row r="51" ht="18" customHeight="1" s="305">
      <c r="A51" s="8" t="inlineStr">
        <is>
          <t>Y 305</t>
        </is>
      </c>
      <c r="B51" s="5" t="n">
        <v>310</v>
      </c>
      <c r="C51" s="6" t="inlineStr">
        <is>
          <t>X</t>
        </is>
      </c>
      <c r="D51" s="5" t="n">
        <v>182</v>
      </c>
      <c r="E51" s="2">
        <f>B51*D51/10000</f>
        <v/>
      </c>
      <c r="F51" s="3">
        <f>B51/30.48</f>
        <v/>
      </c>
      <c r="G51" s="3">
        <f>D51/30.48</f>
        <v/>
      </c>
      <c r="H51" s="11" t="n"/>
      <c r="I51" s="49" t="inlineStr">
        <is>
          <t>OLD</t>
        </is>
      </c>
      <c r="J51" s="48" t="inlineStr">
        <is>
          <t>TRS</t>
        </is>
      </c>
      <c r="K51" s="51" t="inlineStr">
        <is>
          <t>PAC</t>
        </is>
      </c>
      <c r="M51" s="210" t="n"/>
      <c r="N51" s="211" t="n"/>
      <c r="O51" s="263" t="n"/>
      <c r="Q51" s="271" t="n"/>
      <c r="R51" s="282" t="n"/>
    </row>
    <row r="52" ht="18" customHeight="1" s="305">
      <c r="A52" s="8" t="inlineStr">
        <is>
          <t>Y 620</t>
        </is>
      </c>
      <c r="B52" s="5" t="n">
        <v>240</v>
      </c>
      <c r="C52" s="6" t="inlineStr">
        <is>
          <t>X</t>
        </is>
      </c>
      <c r="D52" s="5" t="n">
        <v>165</v>
      </c>
      <c r="E52" s="2">
        <f>B52*D52/10000</f>
        <v/>
      </c>
      <c r="F52" s="3">
        <f>B52/30.48</f>
        <v/>
      </c>
      <c r="G52" s="3">
        <f>D52/30.48</f>
        <v/>
      </c>
      <c r="H52" s="11" t="n"/>
      <c r="I52" s="49" t="inlineStr">
        <is>
          <t>OLD</t>
        </is>
      </c>
      <c r="J52" s="48" t="inlineStr">
        <is>
          <t>TRS</t>
        </is>
      </c>
      <c r="K52" s="51" t="inlineStr">
        <is>
          <t>PAC</t>
        </is>
      </c>
      <c r="M52" s="210" t="n"/>
      <c r="N52" s="211" t="n"/>
      <c r="O52" s="263" t="n"/>
      <c r="Q52" s="271" t="n"/>
      <c r="R52" s="282" t="n"/>
    </row>
    <row r="53" ht="18" customHeight="1" s="305">
      <c r="A53" s="8" t="inlineStr">
        <is>
          <t>Y 626</t>
        </is>
      </c>
      <c r="B53" s="5" t="n">
        <v>322</v>
      </c>
      <c r="C53" s="6" t="inlineStr">
        <is>
          <t>X</t>
        </is>
      </c>
      <c r="D53" s="5" t="n">
        <v>80</v>
      </c>
      <c r="E53" s="2">
        <f>B53*D53/10000</f>
        <v/>
      </c>
      <c r="F53" s="3">
        <f>B53/30.48</f>
        <v/>
      </c>
      <c r="G53" s="3">
        <f>D53/30.48</f>
        <v/>
      </c>
      <c r="H53" s="11" t="n"/>
      <c r="I53" s="49" t="inlineStr">
        <is>
          <t>OLD</t>
        </is>
      </c>
      <c r="J53" s="48" t="inlineStr">
        <is>
          <t>TRS</t>
        </is>
      </c>
      <c r="K53" s="51" t="inlineStr">
        <is>
          <t>PAC</t>
        </is>
      </c>
      <c r="M53" s="210" t="n"/>
      <c r="N53" s="211" t="n"/>
      <c r="O53" s="263" t="n"/>
      <c r="Q53" s="271" t="n"/>
      <c r="R53" s="282" t="n"/>
    </row>
    <row r="54" ht="18" customHeight="1" s="305">
      <c r="A54" s="8" t="inlineStr">
        <is>
          <t>Y 654</t>
        </is>
      </c>
      <c r="B54" s="5" t="n">
        <v>266</v>
      </c>
      <c r="C54" s="6" t="inlineStr">
        <is>
          <t>X</t>
        </is>
      </c>
      <c r="D54" s="5" t="n">
        <v>160</v>
      </c>
      <c r="E54" s="2">
        <f>B54*D54/10000</f>
        <v/>
      </c>
      <c r="F54" s="3">
        <f>B54/30.48</f>
        <v/>
      </c>
      <c r="G54" s="3">
        <f>D54/30.48</f>
        <v/>
      </c>
      <c r="H54" s="11" t="n"/>
      <c r="I54" s="49" t="inlineStr">
        <is>
          <t>OLD</t>
        </is>
      </c>
      <c r="J54" s="48" t="inlineStr">
        <is>
          <t>TRS</t>
        </is>
      </c>
      <c r="K54" s="51" t="inlineStr">
        <is>
          <t>PAC</t>
        </is>
      </c>
      <c r="M54" s="210" t="n"/>
      <c r="N54" s="211" t="n"/>
      <c r="O54" s="263" t="n"/>
      <c r="Q54" s="271" t="n"/>
      <c r="R54" s="282" t="n"/>
    </row>
    <row r="55" ht="18" customHeight="1" s="305">
      <c r="A55" s="8" t="inlineStr">
        <is>
          <t>Y 667</t>
        </is>
      </c>
      <c r="B55" s="5" t="n">
        <v>301</v>
      </c>
      <c r="C55" s="6" t="inlineStr">
        <is>
          <t>X</t>
        </is>
      </c>
      <c r="D55" s="5" t="n">
        <v>184</v>
      </c>
      <c r="E55" s="2">
        <f>B55*D55/10000</f>
        <v/>
      </c>
      <c r="F55" s="3">
        <f>B55/30.48</f>
        <v/>
      </c>
      <c r="G55" s="3">
        <f>D55/30.48</f>
        <v/>
      </c>
      <c r="H55" s="11" t="n"/>
      <c r="I55" s="49" t="inlineStr">
        <is>
          <t>OLD</t>
        </is>
      </c>
      <c r="J55" s="48" t="inlineStr">
        <is>
          <t>TRS</t>
        </is>
      </c>
      <c r="K55" s="51" t="inlineStr">
        <is>
          <t>PAC</t>
        </is>
      </c>
      <c r="M55" s="210" t="n"/>
      <c r="N55" s="211" t="n"/>
      <c r="O55" s="263" t="n"/>
      <c r="Q55" s="271" t="n"/>
      <c r="R55" s="282" t="n"/>
    </row>
    <row r="56" ht="18" customHeight="1" s="305">
      <c r="A56" s="8" t="inlineStr">
        <is>
          <t>Y 671</t>
        </is>
      </c>
      <c r="B56" s="5" t="n">
        <v>276</v>
      </c>
      <c r="C56" s="6" t="inlineStr">
        <is>
          <t>X</t>
        </is>
      </c>
      <c r="D56" s="5" t="n">
        <v>167</v>
      </c>
      <c r="E56" s="2">
        <f>B56*D56/10000</f>
        <v/>
      </c>
      <c r="F56" s="3">
        <f>B56/30.48</f>
        <v/>
      </c>
      <c r="G56" s="3">
        <f>D56/30.48</f>
        <v/>
      </c>
      <c r="H56" s="11" t="n"/>
      <c r="I56" s="49" t="inlineStr">
        <is>
          <t>OLD</t>
        </is>
      </c>
      <c r="J56" s="48" t="inlineStr">
        <is>
          <t>TRS</t>
        </is>
      </c>
      <c r="K56" s="51" t="inlineStr">
        <is>
          <t>PAC</t>
        </is>
      </c>
      <c r="L56" s="105" t="inlineStr">
        <is>
          <t>VR</t>
        </is>
      </c>
      <c r="M56" s="210" t="n"/>
      <c r="N56" s="211" t="n"/>
      <c r="O56" s="263" t="n"/>
      <c r="Q56" s="271" t="n"/>
      <c r="R56" s="282" t="n"/>
    </row>
    <row r="57" ht="18" customHeight="1" s="305">
      <c r="A57" s="8" t="inlineStr">
        <is>
          <t>Y 689</t>
        </is>
      </c>
      <c r="B57" s="5" t="n">
        <v>238</v>
      </c>
      <c r="C57" s="6" t="inlineStr">
        <is>
          <t>X</t>
        </is>
      </c>
      <c r="D57" s="5" t="n">
        <v>150</v>
      </c>
      <c r="E57" s="2">
        <f>B57*D57/10000</f>
        <v/>
      </c>
      <c r="F57" s="3">
        <f>B57/30.48</f>
        <v/>
      </c>
      <c r="G57" s="3">
        <f>D57/30.48</f>
        <v/>
      </c>
      <c r="H57" s="11" t="n"/>
      <c r="I57" s="49" t="inlineStr">
        <is>
          <t>OLD</t>
        </is>
      </c>
      <c r="J57" s="48" t="inlineStr">
        <is>
          <t>TRS</t>
        </is>
      </c>
      <c r="K57" s="51" t="inlineStr">
        <is>
          <t>PAC</t>
        </is>
      </c>
      <c r="M57" s="210" t="n"/>
      <c r="N57" s="211" t="n"/>
      <c r="O57" s="263" t="n"/>
      <c r="Q57" s="271" t="n"/>
      <c r="R57" s="282" t="n"/>
    </row>
    <row r="58" ht="18" customHeight="1" s="305">
      <c r="A58" s="8" t="inlineStr">
        <is>
          <t>Y 707</t>
        </is>
      </c>
      <c r="B58" s="5" t="n">
        <v>326</v>
      </c>
      <c r="C58" s="6" t="inlineStr">
        <is>
          <t>X</t>
        </is>
      </c>
      <c r="D58" s="5" t="n">
        <v>85</v>
      </c>
      <c r="E58" s="2">
        <f>B58*D58/10000</f>
        <v/>
      </c>
      <c r="F58" s="3">
        <f>B58/30.48</f>
        <v/>
      </c>
      <c r="G58" s="3">
        <f>D58/30.48</f>
        <v/>
      </c>
      <c r="H58" s="11" t="n"/>
      <c r="I58" s="49" t="inlineStr">
        <is>
          <t>OLD</t>
        </is>
      </c>
      <c r="J58" s="48" t="inlineStr">
        <is>
          <t>TRS</t>
        </is>
      </c>
      <c r="K58" s="51" t="inlineStr">
        <is>
          <t>PAC</t>
        </is>
      </c>
      <c r="M58" s="210" t="n"/>
      <c r="N58" s="211" t="n"/>
      <c r="O58" s="263" t="n"/>
      <c r="Q58" s="271" t="n"/>
      <c r="R58" s="282" t="n"/>
    </row>
    <row r="59" ht="18" customHeight="1" s="305">
      <c r="A59" s="8" t="inlineStr">
        <is>
          <t>Y 774</t>
        </is>
      </c>
      <c r="B59" s="5" t="n">
        <v>342</v>
      </c>
      <c r="C59" s="6" t="inlineStr">
        <is>
          <t>X</t>
        </is>
      </c>
      <c r="D59" s="5" t="n">
        <v>88</v>
      </c>
      <c r="E59" s="2">
        <f>B59*D59/10000</f>
        <v/>
      </c>
      <c r="F59" s="3">
        <f>B59/30.48</f>
        <v/>
      </c>
      <c r="G59" s="3">
        <f>D59/30.48</f>
        <v/>
      </c>
      <c r="H59" s="11" t="inlineStr">
        <is>
          <t>germe</t>
        </is>
      </c>
      <c r="I59" s="49" t="inlineStr">
        <is>
          <t>OLD</t>
        </is>
      </c>
      <c r="J59" s="48" t="inlineStr">
        <is>
          <t>TRS</t>
        </is>
      </c>
      <c r="K59" s="51" t="inlineStr">
        <is>
          <t>PAC</t>
        </is>
      </c>
      <c r="M59" s="210" t="n"/>
      <c r="N59" s="211" t="n"/>
      <c r="O59" s="263" t="n"/>
      <c r="Q59" s="271" t="n"/>
      <c r="R59" s="282" t="n"/>
    </row>
    <row r="60" ht="18" customHeight="1" s="305">
      <c r="A60" s="8" t="inlineStr">
        <is>
          <t>Y 775</t>
        </is>
      </c>
      <c r="B60" s="5" t="n">
        <v>277</v>
      </c>
      <c r="C60" s="6" t="inlineStr">
        <is>
          <t>X</t>
        </is>
      </c>
      <c r="D60" s="5" t="n">
        <v>87</v>
      </c>
      <c r="E60" s="2">
        <f>B60*D60/10000</f>
        <v/>
      </c>
      <c r="F60" s="3">
        <f>B60/30.48</f>
        <v/>
      </c>
      <c r="G60" s="3">
        <f>D60/30.48</f>
        <v/>
      </c>
      <c r="H60" s="11" t="inlineStr">
        <is>
          <t>germe</t>
        </is>
      </c>
      <c r="I60" s="49" t="inlineStr">
        <is>
          <t>OLD</t>
        </is>
      </c>
      <c r="K60" s="51" t="inlineStr">
        <is>
          <t>PAC</t>
        </is>
      </c>
      <c r="M60" s="210" t="n"/>
      <c r="N60" s="211" t="n"/>
      <c r="O60" s="263" t="n"/>
      <c r="Q60" s="271" t="n"/>
      <c r="R60" s="282" t="n"/>
    </row>
    <row r="61" ht="18" customHeight="1" s="305">
      <c r="A61" s="8" t="inlineStr">
        <is>
          <t>Y 777</t>
        </is>
      </c>
      <c r="B61" s="5" t="n">
        <v>334</v>
      </c>
      <c r="C61" s="6" t="inlineStr">
        <is>
          <t>X</t>
        </is>
      </c>
      <c r="D61" s="5" t="n">
        <v>88</v>
      </c>
      <c r="E61" s="2">
        <f>B61*D61/10000</f>
        <v/>
      </c>
      <c r="F61" s="3">
        <f>B61/30.48</f>
        <v/>
      </c>
      <c r="G61" s="3">
        <f>D61/30.48</f>
        <v/>
      </c>
      <c r="H61" s="11" t="n"/>
      <c r="I61" s="49" t="inlineStr">
        <is>
          <t>OLD</t>
        </is>
      </c>
      <c r="J61" s="48" t="inlineStr">
        <is>
          <t>TRS</t>
        </is>
      </c>
      <c r="K61" s="51" t="inlineStr">
        <is>
          <t>PAC</t>
        </is>
      </c>
      <c r="M61" s="210" t="n"/>
      <c r="N61" s="211" t="n"/>
      <c r="O61" s="263" t="n"/>
      <c r="Q61" s="271" t="n"/>
      <c r="R61" s="282" t="n"/>
    </row>
    <row r="62" ht="18" customHeight="1" s="305">
      <c r="A62" s="8" t="inlineStr">
        <is>
          <t>C 12</t>
        </is>
      </c>
      <c r="B62" s="5" t="n">
        <v>269</v>
      </c>
      <c r="C62" s="6" t="inlineStr">
        <is>
          <t>X</t>
        </is>
      </c>
      <c r="D62" s="5" t="n">
        <v>68</v>
      </c>
      <c r="E62" s="2">
        <f>B62*D62/10000</f>
        <v/>
      </c>
      <c r="F62" s="3">
        <f>B62/30.48</f>
        <v/>
      </c>
      <c r="G62" s="3">
        <f>D62/30.48</f>
        <v/>
      </c>
      <c r="H62" s="11" t="n"/>
      <c r="I62" s="49" t="inlineStr">
        <is>
          <t>OLD</t>
        </is>
      </c>
      <c r="J62" s="48" t="inlineStr">
        <is>
          <t>TRS</t>
        </is>
      </c>
      <c r="K62" s="51" t="inlineStr">
        <is>
          <t>PAC</t>
        </is>
      </c>
      <c r="L62" s="105" t="inlineStr">
        <is>
          <t>VR</t>
        </is>
      </c>
      <c r="M62" s="210" t="inlineStr">
        <is>
          <t>RK</t>
        </is>
      </c>
      <c r="N62" s="211" t="n"/>
      <c r="O62" s="340" t="inlineStr">
        <is>
          <t>SBL</t>
        </is>
      </c>
      <c r="Q62" s="271" t="n"/>
      <c r="R62" s="282" t="n"/>
    </row>
    <row r="63" ht="18" customHeight="1" s="305">
      <c r="A63" s="8" t="inlineStr">
        <is>
          <t>C 66</t>
        </is>
      </c>
      <c r="B63" s="5" t="n">
        <v>250</v>
      </c>
      <c r="C63" s="6" t="inlineStr">
        <is>
          <t>X</t>
        </is>
      </c>
      <c r="D63" s="5" t="n">
        <v>138</v>
      </c>
      <c r="E63" s="2">
        <f>B63*D63/10000</f>
        <v/>
      </c>
      <c r="F63" s="3">
        <f>B63/30.48</f>
        <v/>
      </c>
      <c r="G63" s="3">
        <f>D63/30.48</f>
        <v/>
      </c>
      <c r="H63" s="11" t="n"/>
      <c r="I63" s="49" t="inlineStr">
        <is>
          <t>OLD</t>
        </is>
      </c>
      <c r="J63" s="48" t="inlineStr">
        <is>
          <t>TRS</t>
        </is>
      </c>
      <c r="K63" s="51" t="inlineStr">
        <is>
          <t>PAC</t>
        </is>
      </c>
      <c r="L63" s="105" t="inlineStr">
        <is>
          <t>VR</t>
        </is>
      </c>
      <c r="M63" s="210" t="inlineStr">
        <is>
          <t>RK</t>
        </is>
      </c>
      <c r="N63" s="211" t="n"/>
      <c r="O63" s="340" t="inlineStr">
        <is>
          <t>SBL</t>
        </is>
      </c>
      <c r="Q63" s="271" t="n"/>
      <c r="R63" s="282" t="n"/>
    </row>
    <row r="64" ht="18" customHeight="1" s="305">
      <c r="A64" s="8" t="inlineStr">
        <is>
          <t>C 73</t>
        </is>
      </c>
      <c r="B64" s="5" t="n">
        <v>236</v>
      </c>
      <c r="C64" s="6" t="inlineStr">
        <is>
          <t>X</t>
        </is>
      </c>
      <c r="D64" s="5" t="n">
        <v>86</v>
      </c>
      <c r="E64" s="2">
        <f>B64*D64/10000</f>
        <v/>
      </c>
      <c r="F64" s="3">
        <f>B64/30.48</f>
        <v/>
      </c>
      <c r="G64" s="3">
        <f>D64/30.48</f>
        <v/>
      </c>
      <c r="H64" s="11" t="n"/>
      <c r="I64" s="49" t="inlineStr">
        <is>
          <t>OLD</t>
        </is>
      </c>
      <c r="J64" s="48" t="inlineStr">
        <is>
          <t>TRS</t>
        </is>
      </c>
      <c r="K64" s="51" t="inlineStr">
        <is>
          <t>PAC</t>
        </is>
      </c>
      <c r="L64" s="105" t="inlineStr">
        <is>
          <t>VR</t>
        </is>
      </c>
      <c r="M64" s="210" t="inlineStr">
        <is>
          <t>RK</t>
        </is>
      </c>
      <c r="N64" s="211" t="n"/>
      <c r="O64" s="340" t="inlineStr">
        <is>
          <t>SBL</t>
        </is>
      </c>
      <c r="Q64" s="271" t="n"/>
      <c r="R64" s="282" t="n"/>
    </row>
    <row r="65" ht="18" customHeight="1" s="305">
      <c r="A65" s="8" t="inlineStr">
        <is>
          <t>Y 110</t>
        </is>
      </c>
      <c r="B65" s="5" t="n">
        <v>302</v>
      </c>
      <c r="C65" s="6" t="inlineStr">
        <is>
          <t>X</t>
        </is>
      </c>
      <c r="D65" s="5" t="n">
        <v>187</v>
      </c>
      <c r="E65" s="2">
        <f>B65*D65/10000</f>
        <v/>
      </c>
      <c r="F65" s="3">
        <f>B65/30.48</f>
        <v/>
      </c>
      <c r="G65" s="3">
        <f>D65/30.48</f>
        <v/>
      </c>
      <c r="H65" s="11" t="n"/>
      <c r="I65" s="49" t="inlineStr">
        <is>
          <t>OLD</t>
        </is>
      </c>
      <c r="J65" s="48" t="inlineStr">
        <is>
          <t>TRS</t>
        </is>
      </c>
      <c r="K65" s="51" t="inlineStr">
        <is>
          <t>PAC</t>
        </is>
      </c>
      <c r="M65" s="210" t="n"/>
      <c r="N65" s="211" t="n"/>
      <c r="O65" s="263" t="n"/>
      <c r="Q65" s="271" t="n"/>
      <c r="R65" s="282" t="n"/>
    </row>
    <row r="66" ht="18" customHeight="1" s="305">
      <c r="A66" s="8" t="inlineStr">
        <is>
          <t>Y 124</t>
        </is>
      </c>
      <c r="B66" s="5" t="n">
        <v>294</v>
      </c>
      <c r="C66" s="6" t="inlineStr">
        <is>
          <t>X</t>
        </is>
      </c>
      <c r="D66" s="5" t="n">
        <v>206</v>
      </c>
      <c r="E66" s="2">
        <f>B66*D66/10000</f>
        <v/>
      </c>
      <c r="F66" s="3">
        <f>B66/30.48</f>
        <v/>
      </c>
      <c r="G66" s="3">
        <f>D66/30.48</f>
        <v/>
      </c>
      <c r="H66" s="11" t="n"/>
      <c r="I66" s="49" t="inlineStr">
        <is>
          <t>OLD</t>
        </is>
      </c>
      <c r="J66" s="48" t="inlineStr">
        <is>
          <t>TRS</t>
        </is>
      </c>
      <c r="K66" s="51" t="inlineStr">
        <is>
          <t>PAC</t>
        </is>
      </c>
      <c r="M66" s="210" t="n"/>
      <c r="N66" s="211" t="n"/>
      <c r="O66" s="263" t="n"/>
      <c r="Q66" s="271" t="n"/>
      <c r="R66" s="282" t="n"/>
    </row>
    <row r="67" ht="18" customHeight="1" s="305">
      <c r="A67" s="8" t="inlineStr">
        <is>
          <t>Y 154</t>
        </is>
      </c>
      <c r="B67" s="5" t="n">
        <v>267</v>
      </c>
      <c r="C67" s="6" t="inlineStr">
        <is>
          <t>X</t>
        </is>
      </c>
      <c r="D67" s="5" t="n">
        <v>177</v>
      </c>
      <c r="E67" s="2">
        <f>B67*D67/10000</f>
        <v/>
      </c>
      <c r="F67" s="3">
        <f>B67/30.48</f>
        <v/>
      </c>
      <c r="G67" s="3">
        <f>D67/30.48</f>
        <v/>
      </c>
      <c r="H67" s="11" t="n"/>
      <c r="I67" s="49" t="inlineStr">
        <is>
          <t>OLD</t>
        </is>
      </c>
      <c r="J67" s="48" t="inlineStr">
        <is>
          <t>TRS</t>
        </is>
      </c>
      <c r="K67" s="51" t="inlineStr">
        <is>
          <t>PAC</t>
        </is>
      </c>
      <c r="M67" s="210" t="n"/>
      <c r="N67" s="211" t="n"/>
      <c r="O67" s="263" t="n"/>
      <c r="Q67" s="271" t="n"/>
      <c r="R67" s="282" t="n"/>
    </row>
    <row r="68" ht="18" customHeight="1" s="305">
      <c r="A68" s="8" t="inlineStr">
        <is>
          <t>Y 235</t>
        </is>
      </c>
      <c r="B68" s="5" t="n">
        <v>287</v>
      </c>
      <c r="C68" s="6" t="inlineStr">
        <is>
          <t>X</t>
        </is>
      </c>
      <c r="D68" s="5" t="n">
        <v>188</v>
      </c>
      <c r="E68" s="2">
        <f>B68*D68/10000</f>
        <v/>
      </c>
      <c r="F68" s="3">
        <f>B68/30.48</f>
        <v/>
      </c>
      <c r="G68" s="3">
        <f>D68/30.48</f>
        <v/>
      </c>
      <c r="H68" s="11" t="n"/>
      <c r="I68" s="49" t="inlineStr">
        <is>
          <t>OLD</t>
        </is>
      </c>
      <c r="J68" s="48" t="inlineStr">
        <is>
          <t>TRS</t>
        </is>
      </c>
      <c r="K68" s="51" t="inlineStr">
        <is>
          <t>PAC</t>
        </is>
      </c>
      <c r="M68" s="210" t="n"/>
      <c r="N68" s="211" t="n"/>
      <c r="O68" s="263" t="n"/>
      <c r="Q68" s="271" t="n"/>
      <c r="R68" s="282" t="n"/>
    </row>
    <row r="69" ht="18" customHeight="1" s="305">
      <c r="A69" s="8" t="inlineStr">
        <is>
          <t>Y 236</t>
        </is>
      </c>
      <c r="B69" s="5" t="n">
        <v>271</v>
      </c>
      <c r="C69" s="6" t="inlineStr">
        <is>
          <t>X</t>
        </is>
      </c>
      <c r="D69" s="5" t="n">
        <v>177</v>
      </c>
      <c r="E69" s="2">
        <f>B69*D69/10000</f>
        <v/>
      </c>
      <c r="F69" s="3">
        <f>B69/30.48</f>
        <v/>
      </c>
      <c r="G69" s="3">
        <f>D69/30.48</f>
        <v/>
      </c>
      <c r="H69" s="11" t="n"/>
      <c r="I69" s="49" t="inlineStr">
        <is>
          <t>OLD</t>
        </is>
      </c>
      <c r="J69" s="48" t="inlineStr">
        <is>
          <t>TRS</t>
        </is>
      </c>
      <c r="K69" s="51" t="inlineStr">
        <is>
          <t>PAC</t>
        </is>
      </c>
      <c r="M69" s="210" t="n"/>
      <c r="N69" s="211" t="n"/>
      <c r="O69" s="263" t="n"/>
      <c r="Q69" s="271" t="n"/>
      <c r="R69" s="282" t="n"/>
    </row>
    <row r="70" ht="18" customHeight="1" s="305">
      <c r="A70" s="8" t="inlineStr">
        <is>
          <t>Y 241</t>
        </is>
      </c>
      <c r="B70" s="5" t="n">
        <v>296</v>
      </c>
      <c r="C70" s="6" t="inlineStr">
        <is>
          <t>X</t>
        </is>
      </c>
      <c r="D70" s="5" t="n">
        <v>175</v>
      </c>
      <c r="E70" s="2">
        <f>B70*D70/10000</f>
        <v/>
      </c>
      <c r="F70" s="3">
        <f>B70/30.48</f>
        <v/>
      </c>
      <c r="G70" s="3">
        <f>D70/30.48</f>
        <v/>
      </c>
      <c r="H70" s="11" t="n"/>
      <c r="I70" s="49" t="inlineStr">
        <is>
          <t>OLD</t>
        </is>
      </c>
      <c r="J70" s="48" t="inlineStr">
        <is>
          <t>TRS</t>
        </is>
      </c>
      <c r="K70" s="51" t="inlineStr">
        <is>
          <t>PAC</t>
        </is>
      </c>
      <c r="M70" s="210" t="n"/>
      <c r="N70" s="211" t="n"/>
      <c r="O70" s="263" t="n"/>
      <c r="Q70" s="271" t="n"/>
      <c r="R70" s="282" t="n"/>
    </row>
    <row r="71" ht="18" customHeight="1" s="305">
      <c r="A71" s="8" t="inlineStr">
        <is>
          <t>Y 243</t>
        </is>
      </c>
      <c r="B71" s="5" t="n">
        <v>290</v>
      </c>
      <c r="C71" s="6" t="inlineStr">
        <is>
          <t>X</t>
        </is>
      </c>
      <c r="D71" s="5" t="n">
        <v>189</v>
      </c>
      <c r="E71" s="2">
        <f>B71*D71/10000</f>
        <v/>
      </c>
      <c r="F71" s="3">
        <f>B71/30.48</f>
        <v/>
      </c>
      <c r="G71" s="3">
        <f>D71/30.48</f>
        <v/>
      </c>
      <c r="H71" s="11" t="n"/>
      <c r="I71" s="49" t="inlineStr">
        <is>
          <t>OLD</t>
        </is>
      </c>
      <c r="J71" s="48" t="inlineStr">
        <is>
          <t>TRS</t>
        </is>
      </c>
      <c r="K71" s="51" t="inlineStr">
        <is>
          <t>PAC</t>
        </is>
      </c>
      <c r="L71" s="105" t="inlineStr">
        <is>
          <t>VR</t>
        </is>
      </c>
      <c r="M71" s="210" t="n"/>
      <c r="N71" s="211" t="n"/>
      <c r="O71" s="263" t="n"/>
      <c r="Q71" s="271" t="n"/>
      <c r="R71" s="282" t="n"/>
    </row>
    <row r="72" ht="18" customHeight="1" s="305">
      <c r="A72" s="8" t="inlineStr">
        <is>
          <t>Y 363</t>
        </is>
      </c>
      <c r="B72" s="5" t="n">
        <v>250</v>
      </c>
      <c r="C72" s="6" t="inlineStr">
        <is>
          <t>X</t>
        </is>
      </c>
      <c r="D72" s="5" t="n">
        <v>122</v>
      </c>
      <c r="E72" s="2">
        <f>B72*D72/10000</f>
        <v/>
      </c>
      <c r="F72" s="3">
        <f>B72/30.48</f>
        <v/>
      </c>
      <c r="G72" s="3">
        <f>D72/30.48</f>
        <v/>
      </c>
      <c r="H72" s="11" t="n"/>
      <c r="I72" s="49" t="inlineStr">
        <is>
          <t>OLD</t>
        </is>
      </c>
      <c r="J72" s="48" t="inlineStr">
        <is>
          <t>TRS</t>
        </is>
      </c>
      <c r="K72" s="51" t="inlineStr">
        <is>
          <t>PAC</t>
        </is>
      </c>
      <c r="L72" s="105" t="inlineStr">
        <is>
          <t>VR</t>
        </is>
      </c>
      <c r="M72" s="210" t="n"/>
      <c r="N72" s="211" t="n"/>
      <c r="O72" s="263" t="n"/>
      <c r="Q72" s="271" t="n"/>
      <c r="R72" s="282" t="n"/>
    </row>
    <row r="73" ht="18" customHeight="1" s="305">
      <c r="A73" s="8" t="inlineStr">
        <is>
          <t>Y 387</t>
        </is>
      </c>
      <c r="B73" s="5" t="n">
        <v>227</v>
      </c>
      <c r="C73" s="6" t="inlineStr">
        <is>
          <t>X</t>
        </is>
      </c>
      <c r="D73" s="5" t="n">
        <v>151</v>
      </c>
      <c r="E73" s="2">
        <f>B73*D73/10000</f>
        <v/>
      </c>
      <c r="F73" s="3">
        <f>B73/30.48</f>
        <v/>
      </c>
      <c r="G73" s="3">
        <f>D73/30.48</f>
        <v/>
      </c>
      <c r="H73" s="11" t="n"/>
      <c r="I73" s="49" t="inlineStr">
        <is>
          <t>OLD</t>
        </is>
      </c>
      <c r="J73" s="48" t="inlineStr">
        <is>
          <t>TRS</t>
        </is>
      </c>
      <c r="K73" s="51" t="inlineStr">
        <is>
          <t>PAC</t>
        </is>
      </c>
      <c r="L73" s="105" t="inlineStr">
        <is>
          <t>VR</t>
        </is>
      </c>
      <c r="M73" s="210" t="n"/>
      <c r="N73" s="211" t="n"/>
      <c r="O73" s="263" t="n"/>
      <c r="Q73" s="271" t="n"/>
      <c r="R73" s="282" t="n"/>
    </row>
    <row r="74" ht="18" customHeight="1" s="305">
      <c r="A74" s="8" t="inlineStr">
        <is>
          <t>Y 407</t>
        </is>
      </c>
      <c r="B74" s="5" t="n">
        <v>265</v>
      </c>
      <c r="C74" s="6" t="inlineStr">
        <is>
          <t>X</t>
        </is>
      </c>
      <c r="D74" s="5" t="n">
        <v>165</v>
      </c>
      <c r="E74" s="2">
        <f>B74*D74/10000</f>
        <v/>
      </c>
      <c r="F74" s="3">
        <f>B74/30.48</f>
        <v/>
      </c>
      <c r="G74" s="3">
        <f>D74/30.48</f>
        <v/>
      </c>
      <c r="H74" s="11" t="n"/>
      <c r="I74" s="49" t="inlineStr">
        <is>
          <t>OLD</t>
        </is>
      </c>
      <c r="J74" s="48" t="inlineStr">
        <is>
          <t>TRS</t>
        </is>
      </c>
      <c r="K74" s="51" t="inlineStr">
        <is>
          <t>PAC</t>
        </is>
      </c>
      <c r="M74" s="210" t="n"/>
      <c r="N74" s="211" t="n"/>
      <c r="O74" s="263" t="n"/>
      <c r="Q74" s="271" t="n"/>
      <c r="R74" s="282" t="n"/>
    </row>
    <row r="75" ht="18" customHeight="1" s="305">
      <c r="A75" s="8" t="inlineStr">
        <is>
          <t>Y 448</t>
        </is>
      </c>
      <c r="B75" s="5" t="n">
        <v>287</v>
      </c>
      <c r="C75" s="6" t="inlineStr">
        <is>
          <t>X</t>
        </is>
      </c>
      <c r="D75" s="5" t="n">
        <v>137</v>
      </c>
      <c r="E75" s="2">
        <f>B75*D75/10000</f>
        <v/>
      </c>
      <c r="F75" s="3">
        <f>B75/30.48</f>
        <v/>
      </c>
      <c r="G75" s="3">
        <f>D75/30.48</f>
        <v/>
      </c>
      <c r="H75" s="11" t="n"/>
      <c r="I75" s="49" t="inlineStr">
        <is>
          <t>OLD</t>
        </is>
      </c>
      <c r="J75" s="48" t="inlineStr">
        <is>
          <t>TRS</t>
        </is>
      </c>
      <c r="K75" s="51" t="inlineStr">
        <is>
          <t>PAC</t>
        </is>
      </c>
      <c r="L75" s="105" t="inlineStr">
        <is>
          <t>VR</t>
        </is>
      </c>
      <c r="M75" s="210" t="n"/>
      <c r="N75" s="211" t="n"/>
      <c r="O75" s="263" t="n"/>
      <c r="Q75" s="271" t="n"/>
      <c r="R75" s="282" t="n"/>
    </row>
    <row r="76" ht="18" customHeight="1" s="305">
      <c r="A76" s="8" t="inlineStr">
        <is>
          <t>Y 491</t>
        </is>
      </c>
      <c r="B76" s="5" t="n">
        <v>288</v>
      </c>
      <c r="C76" s="6" t="inlineStr">
        <is>
          <t>X</t>
        </is>
      </c>
      <c r="D76" s="5" t="n">
        <v>191</v>
      </c>
      <c r="E76" s="2">
        <f>B76*D76/10000</f>
        <v/>
      </c>
      <c r="F76" s="3">
        <f>B76/30.48</f>
        <v/>
      </c>
      <c r="G76" s="3">
        <f>D76/30.48</f>
        <v/>
      </c>
      <c r="H76" s="11" t="n"/>
      <c r="I76" s="49" t="inlineStr">
        <is>
          <t>OLD</t>
        </is>
      </c>
      <c r="J76" s="48" t="inlineStr">
        <is>
          <t>TRS</t>
        </is>
      </c>
      <c r="K76" s="51" t="inlineStr">
        <is>
          <t>PAC</t>
        </is>
      </c>
      <c r="M76" s="210" t="n"/>
      <c r="N76" s="211" t="n"/>
      <c r="O76" s="263" t="n"/>
      <c r="Q76" s="271" t="n"/>
      <c r="R76" s="282" t="n"/>
    </row>
    <row r="77" ht="18" customHeight="1" s="305">
      <c r="A77" s="8" t="inlineStr">
        <is>
          <t>Y 539</t>
        </is>
      </c>
      <c r="B77" s="5" t="n">
        <v>295</v>
      </c>
      <c r="C77" s="6" t="inlineStr">
        <is>
          <t>X</t>
        </is>
      </c>
      <c r="D77" s="5" t="n">
        <v>146</v>
      </c>
      <c r="E77" s="2">
        <f>B77*D77/10000</f>
        <v/>
      </c>
      <c r="F77" s="3">
        <f>B77/30.48</f>
        <v/>
      </c>
      <c r="G77" s="3">
        <f>D77/30.48</f>
        <v/>
      </c>
      <c r="H77" s="11" t="n"/>
      <c r="I77" s="49" t="inlineStr">
        <is>
          <t>OLD</t>
        </is>
      </c>
      <c r="J77" s="48" t="inlineStr">
        <is>
          <t>TRS</t>
        </is>
      </c>
      <c r="K77" s="51" t="inlineStr">
        <is>
          <t>PAC</t>
        </is>
      </c>
      <c r="M77" s="210" t="n"/>
      <c r="N77" s="211" t="n"/>
      <c r="O77" s="263" t="n"/>
      <c r="Q77" s="271" t="n"/>
      <c r="R77" s="282" t="n"/>
    </row>
    <row r="78" ht="18" customHeight="1" s="305">
      <c r="A78" s="8" t="inlineStr">
        <is>
          <t>Y 546</t>
        </is>
      </c>
      <c r="B78" s="5" t="n">
        <v>290</v>
      </c>
      <c r="C78" s="6" t="inlineStr">
        <is>
          <t>X</t>
        </is>
      </c>
      <c r="D78" s="5" t="n">
        <v>145</v>
      </c>
      <c r="E78" s="2">
        <f>B78*D78/10000</f>
        <v/>
      </c>
      <c r="F78" s="3">
        <f>B78/30.48</f>
        <v/>
      </c>
      <c r="G78" s="3">
        <f>D78/30.48</f>
        <v/>
      </c>
      <c r="H78" s="11" t="n"/>
      <c r="I78" s="49" t="inlineStr">
        <is>
          <t>OLD</t>
        </is>
      </c>
      <c r="J78" s="48" t="inlineStr">
        <is>
          <t>TRS</t>
        </is>
      </c>
      <c r="K78" s="51" t="inlineStr">
        <is>
          <t>PAC</t>
        </is>
      </c>
      <c r="M78" s="210" t="n"/>
      <c r="N78" s="211" t="n"/>
      <c r="O78" s="263" t="n"/>
      <c r="Q78" s="271" t="n"/>
      <c r="R78" s="282" t="n"/>
    </row>
    <row r="79" ht="18" customHeight="1" s="305">
      <c r="A79" s="8" t="inlineStr">
        <is>
          <t>Y 581</t>
        </is>
      </c>
      <c r="B79" s="5" t="n">
        <v>301</v>
      </c>
      <c r="C79" s="6" t="inlineStr">
        <is>
          <t>X</t>
        </is>
      </c>
      <c r="D79" s="5" t="n">
        <v>204</v>
      </c>
      <c r="E79" s="2">
        <f>B79*D79/10000</f>
        <v/>
      </c>
      <c r="F79" s="3">
        <f>B79/30.48</f>
        <v/>
      </c>
      <c r="G79" s="3">
        <f>D79/30.48</f>
        <v/>
      </c>
      <c r="H79" s="11" t="n"/>
      <c r="I79" s="49" t="inlineStr">
        <is>
          <t>OLD</t>
        </is>
      </c>
      <c r="J79" s="48" t="inlineStr">
        <is>
          <t>TRS</t>
        </is>
      </c>
      <c r="K79" s="51" t="inlineStr">
        <is>
          <t>PAC</t>
        </is>
      </c>
      <c r="M79" s="210" t="n"/>
      <c r="N79" s="211" t="n"/>
      <c r="O79" s="263" t="n"/>
      <c r="Q79" s="271" t="n"/>
      <c r="R79" s="282" t="n"/>
    </row>
    <row r="80" ht="18" customHeight="1" s="305">
      <c r="A80" s="8" t="inlineStr">
        <is>
          <t>Y 730</t>
        </is>
      </c>
      <c r="B80" s="5" t="n">
        <v>246</v>
      </c>
      <c r="C80" s="6" t="inlineStr">
        <is>
          <t>X</t>
        </is>
      </c>
      <c r="D80" s="5" t="n">
        <v>148</v>
      </c>
      <c r="E80" s="2">
        <f>B80*D80/10000</f>
        <v/>
      </c>
      <c r="F80" s="3">
        <f>B80/30.48</f>
        <v/>
      </c>
      <c r="G80" s="3">
        <f>D80/30.48</f>
        <v/>
      </c>
      <c r="H80" s="11" t="n"/>
      <c r="I80" s="49" t="inlineStr">
        <is>
          <t>OLD</t>
        </is>
      </c>
      <c r="J80" s="48" t="inlineStr">
        <is>
          <t>TRS</t>
        </is>
      </c>
      <c r="K80" s="51" t="inlineStr">
        <is>
          <t>PAC</t>
        </is>
      </c>
      <c r="L80" s="105" t="inlineStr">
        <is>
          <t>VR</t>
        </is>
      </c>
      <c r="M80" s="210" t="n"/>
      <c r="N80" s="211" t="n"/>
      <c r="O80" s="263" t="n"/>
      <c r="Q80" s="271" t="n"/>
      <c r="R80" s="282" t="n"/>
    </row>
    <row r="81" ht="18" customHeight="1" s="305">
      <c r="A81" s="8" t="inlineStr">
        <is>
          <t>Y 758</t>
        </is>
      </c>
      <c r="B81" s="5" t="n">
        <v>267</v>
      </c>
      <c r="C81" s="6" t="inlineStr">
        <is>
          <t>X</t>
        </is>
      </c>
      <c r="D81" s="5" t="n">
        <v>142</v>
      </c>
      <c r="E81" s="2">
        <f>B81*D81/10000</f>
        <v/>
      </c>
      <c r="F81" s="3">
        <f>B81/30.48</f>
        <v/>
      </c>
      <c r="G81" s="3">
        <f>D81/30.48</f>
        <v/>
      </c>
      <c r="H81" s="11" t="n"/>
      <c r="I81" s="49" t="inlineStr">
        <is>
          <t>OLD</t>
        </is>
      </c>
      <c r="J81" s="48" t="inlineStr">
        <is>
          <t>TRS</t>
        </is>
      </c>
      <c r="K81" s="51" t="inlineStr">
        <is>
          <t>PAC</t>
        </is>
      </c>
      <c r="L81" s="105" t="inlineStr">
        <is>
          <t>VR</t>
        </is>
      </c>
      <c r="M81" s="210" t="n"/>
      <c r="N81" s="211" t="n"/>
      <c r="O81" s="263" t="n"/>
      <c r="Q81" s="271" t="n"/>
      <c r="R81" s="282" t="n"/>
    </row>
    <row r="82" ht="18" customHeight="1" s="305">
      <c r="A82" s="8" t="inlineStr">
        <is>
          <t>Y 899</t>
        </is>
      </c>
      <c r="B82" s="5" t="n">
        <v>243</v>
      </c>
      <c r="C82" s="6" t="inlineStr">
        <is>
          <t>X</t>
        </is>
      </c>
      <c r="D82" s="5" t="n">
        <v>118</v>
      </c>
      <c r="E82" s="2">
        <f>B82*D82/10000</f>
        <v/>
      </c>
      <c r="F82" s="3">
        <f>B82/30.48</f>
        <v/>
      </c>
      <c r="G82" s="3">
        <f>D82/30.48</f>
        <v/>
      </c>
      <c r="H82" s="11" t="n"/>
      <c r="I82" s="49" t="inlineStr">
        <is>
          <t>OLD</t>
        </is>
      </c>
      <c r="J82" s="48" t="inlineStr">
        <is>
          <t>TRS</t>
        </is>
      </c>
      <c r="K82" s="51" t="inlineStr">
        <is>
          <t>PAC</t>
        </is>
      </c>
      <c r="L82" s="105" t="inlineStr">
        <is>
          <t>VR</t>
        </is>
      </c>
      <c r="M82" s="210" t="n"/>
      <c r="N82" s="211" t="n"/>
      <c r="O82" s="263" t="n"/>
      <c r="Q82" s="271" t="n"/>
      <c r="R82" s="282" t="n"/>
    </row>
    <row r="83" ht="18" customHeight="1" s="305">
      <c r="A83" s="8" t="inlineStr">
        <is>
          <t>Y 946</t>
        </is>
      </c>
      <c r="B83" s="5" t="n">
        <v>353</v>
      </c>
      <c r="C83" s="6" t="inlineStr">
        <is>
          <t>X</t>
        </is>
      </c>
      <c r="D83" s="5" t="n">
        <v>83</v>
      </c>
      <c r="E83" s="2">
        <f>B83*D83/10000</f>
        <v/>
      </c>
      <c r="F83" s="3">
        <f>B83/30.48</f>
        <v/>
      </c>
      <c r="G83" s="3">
        <f>D83/30.48</f>
        <v/>
      </c>
      <c r="H83" s="11" t="inlineStr">
        <is>
          <t>tamir</t>
        </is>
      </c>
      <c r="I83" s="49" t="inlineStr">
        <is>
          <t>OLD</t>
        </is>
      </c>
      <c r="K83" s="51" t="inlineStr">
        <is>
          <t>PAC</t>
        </is>
      </c>
      <c r="L83" s="105" t="inlineStr">
        <is>
          <t>VR</t>
        </is>
      </c>
      <c r="M83" s="210" t="n"/>
      <c r="N83" s="211" t="n"/>
      <c r="O83" s="263" t="n"/>
      <c r="Q83" s="271" t="n"/>
      <c r="R83" s="282" t="n"/>
    </row>
    <row r="84" ht="18" customHeight="1" s="305">
      <c r="A84" s="8" t="inlineStr">
        <is>
          <t>C 76</t>
        </is>
      </c>
      <c r="B84" s="5" t="n">
        <v>364</v>
      </c>
      <c r="C84" s="6" t="inlineStr">
        <is>
          <t>X</t>
        </is>
      </c>
      <c r="D84" s="5" t="n">
        <v>122</v>
      </c>
      <c r="E84" s="2">
        <f>B84*D84/10000</f>
        <v/>
      </c>
      <c r="F84" s="3">
        <f>B84/30.48</f>
        <v/>
      </c>
      <c r="G84" s="3">
        <f>D84/30.48</f>
        <v/>
      </c>
      <c r="H84" s="11" t="n"/>
      <c r="I84" s="49" t="inlineStr">
        <is>
          <t>OLD</t>
        </is>
      </c>
      <c r="J84" s="48" t="inlineStr">
        <is>
          <t>TRS</t>
        </is>
      </c>
      <c r="K84" s="51" t="inlineStr">
        <is>
          <t>PAC</t>
        </is>
      </c>
      <c r="L84" s="105" t="inlineStr">
        <is>
          <t>VR</t>
        </is>
      </c>
      <c r="M84" s="210" t="inlineStr">
        <is>
          <t>RK</t>
        </is>
      </c>
      <c r="N84" s="211" t="n"/>
      <c r="O84" s="340" t="inlineStr">
        <is>
          <t>SBL</t>
        </is>
      </c>
      <c r="Q84" s="271" t="n"/>
      <c r="R84" s="282" t="n"/>
    </row>
    <row r="85" ht="18" customHeight="1" s="305">
      <c r="A85" s="8" t="inlineStr">
        <is>
          <t>C 89</t>
        </is>
      </c>
      <c r="B85" s="5" t="n">
        <v>352</v>
      </c>
      <c r="C85" s="6" t="inlineStr">
        <is>
          <t>X</t>
        </is>
      </c>
      <c r="D85" s="5" t="n">
        <v>89</v>
      </c>
      <c r="E85" s="2">
        <f>B85*D85/10000</f>
        <v/>
      </c>
      <c r="F85" s="3">
        <f>B85/30.48</f>
        <v/>
      </c>
      <c r="G85" s="3">
        <f>D85/30.48</f>
        <v/>
      </c>
      <c r="H85" s="11" t="n"/>
      <c r="I85" s="49" t="inlineStr">
        <is>
          <t>OLD</t>
        </is>
      </c>
      <c r="J85" s="48" t="inlineStr">
        <is>
          <t>TRS</t>
        </is>
      </c>
      <c r="K85" s="51" t="inlineStr">
        <is>
          <t>PAC</t>
        </is>
      </c>
      <c r="M85" s="210" t="inlineStr">
        <is>
          <t>RK</t>
        </is>
      </c>
      <c r="N85" s="211" t="n"/>
      <c r="O85" s="340" t="inlineStr">
        <is>
          <t>SBL</t>
        </is>
      </c>
      <c r="Q85" s="271" t="n"/>
      <c r="R85" s="282" t="n"/>
    </row>
    <row r="86" ht="17.25" customHeight="1" s="305">
      <c r="A86" s="8" t="inlineStr">
        <is>
          <t>C 105</t>
        </is>
      </c>
      <c r="B86" s="5" t="n">
        <v>343</v>
      </c>
      <c r="C86" s="6" t="inlineStr">
        <is>
          <t>X</t>
        </is>
      </c>
      <c r="D86" s="5" t="n">
        <v>100</v>
      </c>
      <c r="E86" s="2">
        <f>B86*D86/10000</f>
        <v/>
      </c>
      <c r="F86" s="3">
        <f>B86/30.48</f>
        <v/>
      </c>
      <c r="G86" s="3">
        <f>D86/30.48</f>
        <v/>
      </c>
      <c r="H86" s="11" t="n"/>
      <c r="I86" s="49" t="inlineStr">
        <is>
          <t>OLD</t>
        </is>
      </c>
      <c r="J86" s="48" t="inlineStr">
        <is>
          <t>TRS</t>
        </is>
      </c>
      <c r="K86" s="51" t="inlineStr">
        <is>
          <t>PAC</t>
        </is>
      </c>
      <c r="M86" s="210" t="inlineStr">
        <is>
          <t>RK</t>
        </is>
      </c>
      <c r="N86" s="211" t="n"/>
      <c r="O86" s="340" t="inlineStr">
        <is>
          <t>SBL</t>
        </is>
      </c>
      <c r="Q86" s="271" t="n"/>
      <c r="R86" s="282" t="n"/>
    </row>
    <row r="87" ht="18" customHeight="1" s="305">
      <c r="A87" s="8" t="inlineStr">
        <is>
          <t>C 106</t>
        </is>
      </c>
      <c r="B87" s="5" t="n">
        <v>380</v>
      </c>
      <c r="C87" s="6" t="inlineStr">
        <is>
          <t>X</t>
        </is>
      </c>
      <c r="D87" s="5" t="n">
        <v>87</v>
      </c>
      <c r="E87" s="2">
        <f>B87*D87/10000</f>
        <v/>
      </c>
      <c r="F87" s="3">
        <f>B87/30.48</f>
        <v/>
      </c>
      <c r="G87" s="3">
        <f>D87/30.48</f>
        <v/>
      </c>
      <c r="H87" s="11" t="n"/>
      <c r="I87" s="49" t="inlineStr">
        <is>
          <t>OLD</t>
        </is>
      </c>
      <c r="J87" s="48" t="inlineStr">
        <is>
          <t>TRS</t>
        </is>
      </c>
      <c r="K87" s="51" t="inlineStr">
        <is>
          <t>PAC</t>
        </is>
      </c>
      <c r="M87" s="210" t="inlineStr">
        <is>
          <t>RK</t>
        </is>
      </c>
      <c r="N87" s="211" t="n"/>
      <c r="O87" s="340" t="inlineStr">
        <is>
          <t>SBL</t>
        </is>
      </c>
      <c r="Q87" s="271" t="n"/>
      <c r="R87" s="282" t="n"/>
    </row>
    <row r="88" ht="18" customHeight="1" s="305">
      <c r="A88" s="8" t="inlineStr">
        <is>
          <t>C 109</t>
        </is>
      </c>
      <c r="B88" s="5" t="n">
        <v>325</v>
      </c>
      <c r="C88" s="6" t="inlineStr">
        <is>
          <t>X</t>
        </is>
      </c>
      <c r="D88" s="5" t="n">
        <v>85</v>
      </c>
      <c r="E88" s="2">
        <f>B88*D88/10000</f>
        <v/>
      </c>
      <c r="F88" s="3">
        <f>B88/30.48</f>
        <v/>
      </c>
      <c r="G88" s="3">
        <f>D88/30.48</f>
        <v/>
      </c>
      <c r="H88" s="11" t="n"/>
      <c r="I88" s="49" t="inlineStr">
        <is>
          <t>OLD</t>
        </is>
      </c>
      <c r="J88" s="48" t="inlineStr">
        <is>
          <t>TRS</t>
        </is>
      </c>
      <c r="K88" s="51" t="inlineStr">
        <is>
          <t>PAC</t>
        </is>
      </c>
      <c r="M88" s="210" t="n"/>
      <c r="N88" s="211" t="n"/>
      <c r="O88" s="340" t="inlineStr">
        <is>
          <t>SBL</t>
        </is>
      </c>
      <c r="Q88" s="271" t="n"/>
      <c r="R88" s="282" t="n"/>
    </row>
    <row r="89" ht="18" customHeight="1" s="305">
      <c r="A89" s="8" t="inlineStr">
        <is>
          <t>M 17</t>
        </is>
      </c>
      <c r="B89" s="5" t="n">
        <v>350</v>
      </c>
      <c r="C89" s="6" t="inlineStr">
        <is>
          <t>X</t>
        </is>
      </c>
      <c r="D89" s="5" t="n">
        <v>94</v>
      </c>
      <c r="E89" s="2">
        <f>B89*D89/10000</f>
        <v/>
      </c>
      <c r="F89" s="3">
        <f>B89/30.48</f>
        <v/>
      </c>
      <c r="G89" s="3">
        <f>D89/30.48</f>
        <v/>
      </c>
      <c r="H89" s="11" t="inlineStr">
        <is>
          <t xml:space="preserve">germe </t>
        </is>
      </c>
      <c r="I89" s="49" t="inlineStr">
        <is>
          <t>OLD</t>
        </is>
      </c>
      <c r="M89" s="210" t="n"/>
      <c r="N89" s="211" t="n"/>
      <c r="O89" s="263" t="n"/>
      <c r="Q89" s="271" t="n"/>
      <c r="R89" s="282" t="n"/>
    </row>
    <row r="90" ht="18" customHeight="1" s="305">
      <c r="A90" s="8" t="inlineStr">
        <is>
          <t>Y 45</t>
        </is>
      </c>
      <c r="B90" s="5" t="n">
        <v>306</v>
      </c>
      <c r="C90" s="6" t="inlineStr">
        <is>
          <t>X</t>
        </is>
      </c>
      <c r="D90" s="5" t="n">
        <v>115</v>
      </c>
      <c r="E90" s="2">
        <f>B90*D90/10000</f>
        <v/>
      </c>
      <c r="F90" s="3">
        <f>B90/30.48</f>
        <v/>
      </c>
      <c r="G90" s="3">
        <f>D90/30.48</f>
        <v/>
      </c>
      <c r="H90" s="11" t="inlineStr">
        <is>
          <t>tamir</t>
        </is>
      </c>
      <c r="I90" s="49" t="inlineStr">
        <is>
          <t>OLD</t>
        </is>
      </c>
      <c r="K90" s="51" t="inlineStr">
        <is>
          <t>PAC</t>
        </is>
      </c>
      <c r="M90" s="210" t="n"/>
      <c r="N90" s="211" t="n"/>
      <c r="O90" s="263" t="n"/>
      <c r="Q90" s="271" t="n"/>
      <c r="R90" s="282" t="n"/>
    </row>
    <row r="91" ht="18" customHeight="1" s="305">
      <c r="A91" s="8" t="inlineStr">
        <is>
          <t>Y 46</t>
        </is>
      </c>
      <c r="B91" s="5" t="n">
        <v>300</v>
      </c>
      <c r="C91" s="6" t="inlineStr">
        <is>
          <t>X</t>
        </is>
      </c>
      <c r="D91" s="5" t="n">
        <v>104</v>
      </c>
      <c r="E91" s="2">
        <f>B91*D91/10000</f>
        <v/>
      </c>
      <c r="F91" s="3">
        <f>B91/30.48</f>
        <v/>
      </c>
      <c r="G91" s="3">
        <f>D91/30.48</f>
        <v/>
      </c>
      <c r="H91" s="11" t="n"/>
      <c r="I91" s="49" t="inlineStr">
        <is>
          <t>OLD</t>
        </is>
      </c>
      <c r="J91" s="48" t="inlineStr">
        <is>
          <t>TRS</t>
        </is>
      </c>
      <c r="K91" s="51" t="inlineStr">
        <is>
          <t>PAC</t>
        </is>
      </c>
      <c r="M91" s="210" t="n"/>
      <c r="N91" s="211" t="n"/>
      <c r="O91" s="263" t="n"/>
      <c r="Q91" s="271" t="n"/>
      <c r="R91" s="282" t="n"/>
    </row>
    <row r="92" ht="18" customHeight="1" s="305">
      <c r="A92" s="8" t="inlineStr">
        <is>
          <t>Y 293</t>
        </is>
      </c>
      <c r="B92" s="5" t="n">
        <v>404</v>
      </c>
      <c r="C92" s="6" t="inlineStr">
        <is>
          <t>X</t>
        </is>
      </c>
      <c r="D92" s="5" t="n">
        <v>98</v>
      </c>
      <c r="E92" s="2">
        <f>B92*D92/10000</f>
        <v/>
      </c>
      <c r="F92" s="3">
        <f>B92/30.48</f>
        <v/>
      </c>
      <c r="G92" s="3">
        <f>D92/30.48</f>
        <v/>
      </c>
      <c r="H92" s="11" t="inlineStr">
        <is>
          <t>germe</t>
        </is>
      </c>
      <c r="I92" s="49" t="inlineStr">
        <is>
          <t>OLD</t>
        </is>
      </c>
      <c r="K92" s="51" t="inlineStr">
        <is>
          <t>PAC</t>
        </is>
      </c>
      <c r="M92" s="210" t="n"/>
      <c r="N92" s="211" t="n"/>
      <c r="O92" s="263" t="n"/>
      <c r="Q92" s="271" t="n"/>
      <c r="R92" s="282" t="n"/>
    </row>
    <row r="93" ht="18" customHeight="1" s="305">
      <c r="A93" s="8" t="inlineStr">
        <is>
          <t>Y 299</t>
        </is>
      </c>
      <c r="B93" s="5" t="n">
        <v>364</v>
      </c>
      <c r="C93" s="6" t="inlineStr">
        <is>
          <t>X</t>
        </is>
      </c>
      <c r="D93" s="5" t="n">
        <v>82</v>
      </c>
      <c r="E93" s="2">
        <f>B93*D93/10000</f>
        <v/>
      </c>
      <c r="F93" s="3">
        <f>B93/30.48</f>
        <v/>
      </c>
      <c r="G93" s="3">
        <f>D93/30.48</f>
        <v/>
      </c>
      <c r="H93" s="11" t="inlineStr">
        <is>
          <t>germe</t>
        </is>
      </c>
      <c r="I93" s="49" t="inlineStr">
        <is>
          <t>OLD</t>
        </is>
      </c>
      <c r="K93" s="51" t="inlineStr">
        <is>
          <t>PAC</t>
        </is>
      </c>
      <c r="M93" s="210" t="n"/>
      <c r="N93" s="211" t="n"/>
      <c r="O93" s="263" t="n"/>
      <c r="Q93" s="271" t="n"/>
      <c r="R93" s="282" t="n"/>
    </row>
    <row r="94" ht="18" customHeight="1" s="305">
      <c r="A94" s="8" t="inlineStr">
        <is>
          <t>Y 311</t>
        </is>
      </c>
      <c r="B94" s="5" t="n">
        <v>324</v>
      </c>
      <c r="C94" s="6" t="inlineStr">
        <is>
          <t>X</t>
        </is>
      </c>
      <c r="D94" s="5" t="n">
        <v>77</v>
      </c>
      <c r="E94" s="2">
        <f>B94*D94/10000</f>
        <v/>
      </c>
      <c r="F94" s="3">
        <f>B94/30.48</f>
        <v/>
      </c>
      <c r="G94" s="3">
        <f>D94/30.48</f>
        <v/>
      </c>
      <c r="H94" s="11" t="n"/>
      <c r="I94" s="49" t="inlineStr">
        <is>
          <t>OLD</t>
        </is>
      </c>
      <c r="J94" s="48" t="inlineStr">
        <is>
          <t>TRS</t>
        </is>
      </c>
      <c r="M94" s="210" t="n"/>
      <c r="N94" s="211" t="n"/>
      <c r="O94" s="263" t="n"/>
      <c r="Q94" s="271" t="n"/>
      <c r="R94" s="282" t="n"/>
    </row>
    <row r="95" ht="18" customHeight="1" s="305">
      <c r="A95" s="8" t="inlineStr">
        <is>
          <t>Y 313</t>
        </is>
      </c>
      <c r="B95" s="5" t="n">
        <v>325</v>
      </c>
      <c r="C95" s="6" t="inlineStr">
        <is>
          <t>X</t>
        </is>
      </c>
      <c r="D95" s="5" t="n">
        <v>77</v>
      </c>
      <c r="E95" s="2">
        <f>B95*D95/10000</f>
        <v/>
      </c>
      <c r="F95" s="3">
        <f>B95/30.48</f>
        <v/>
      </c>
      <c r="G95" s="3">
        <f>D95/30.48</f>
        <v/>
      </c>
      <c r="H95" s="11" t="n"/>
      <c r="I95" s="49" t="inlineStr">
        <is>
          <t>OLD</t>
        </is>
      </c>
      <c r="J95" s="48" t="inlineStr">
        <is>
          <t>TRS</t>
        </is>
      </c>
      <c r="K95" s="51" t="inlineStr">
        <is>
          <t>PAC</t>
        </is>
      </c>
      <c r="M95" s="210" t="n"/>
      <c r="N95" s="211" t="n"/>
      <c r="O95" s="263" t="n"/>
      <c r="Q95" s="271" t="n"/>
      <c r="R95" s="282" t="n"/>
    </row>
    <row r="96" ht="18" customHeight="1" s="305">
      <c r="A96" s="8" t="inlineStr">
        <is>
          <t>Y 314</t>
        </is>
      </c>
      <c r="B96" s="5" t="n">
        <v>335</v>
      </c>
      <c r="C96" s="6" t="inlineStr">
        <is>
          <t>X</t>
        </is>
      </c>
      <c r="D96" s="5" t="n">
        <v>83</v>
      </c>
      <c r="E96" s="2">
        <f>B96*D96/10000</f>
        <v/>
      </c>
      <c r="F96" s="3">
        <f>B96/30.48</f>
        <v/>
      </c>
      <c r="G96" s="3">
        <f>D96/30.48</f>
        <v/>
      </c>
      <c r="H96" s="11" t="inlineStr">
        <is>
          <t>germe</t>
        </is>
      </c>
      <c r="I96" s="49" t="inlineStr">
        <is>
          <t>OLD</t>
        </is>
      </c>
      <c r="M96" s="210" t="n"/>
      <c r="N96" s="211" t="n"/>
      <c r="O96" s="263" t="n"/>
      <c r="Q96" s="271" t="n"/>
      <c r="R96" s="282" t="n"/>
    </row>
    <row r="97" ht="18" customHeight="1" s="305">
      <c r="A97" s="8" t="inlineStr">
        <is>
          <t>Y 590</t>
        </is>
      </c>
      <c r="B97" s="5" t="n">
        <v>337</v>
      </c>
      <c r="C97" s="6" t="inlineStr">
        <is>
          <t>X</t>
        </is>
      </c>
      <c r="D97" s="5" t="n">
        <v>100</v>
      </c>
      <c r="E97" s="2">
        <f>B97*D97/10000</f>
        <v/>
      </c>
      <c r="F97" s="3">
        <f>B97/30.48</f>
        <v/>
      </c>
      <c r="G97" s="3">
        <f>D97/30.48</f>
        <v/>
      </c>
      <c r="H97" s="11" t="n"/>
      <c r="I97" s="49" t="inlineStr">
        <is>
          <t>OLD</t>
        </is>
      </c>
      <c r="J97" s="48" t="inlineStr">
        <is>
          <t>TRS</t>
        </is>
      </c>
      <c r="K97" s="51" t="inlineStr">
        <is>
          <t>PAC</t>
        </is>
      </c>
      <c r="M97" s="210" t="n"/>
      <c r="N97" s="211" t="n"/>
      <c r="O97" s="340" t="inlineStr">
        <is>
          <t>SBL</t>
        </is>
      </c>
      <c r="Q97" s="271" t="n"/>
      <c r="R97" s="282" t="n"/>
    </row>
    <row r="98" ht="18" customHeight="1" s="305">
      <c r="A98" s="8" t="inlineStr">
        <is>
          <t>Y 605</t>
        </is>
      </c>
      <c r="B98" s="5" t="n">
        <v>370</v>
      </c>
      <c r="C98" s="6" t="inlineStr">
        <is>
          <t>X</t>
        </is>
      </c>
      <c r="D98" s="5" t="n">
        <v>100</v>
      </c>
      <c r="E98" s="2">
        <f>B98*D98/10000</f>
        <v/>
      </c>
      <c r="F98" s="3">
        <f>B98/30.48</f>
        <v/>
      </c>
      <c r="G98" s="3">
        <f>D98/30.48</f>
        <v/>
      </c>
      <c r="H98" s="11" t="n"/>
      <c r="I98" s="49" t="inlineStr">
        <is>
          <t>OLD</t>
        </is>
      </c>
      <c r="J98" s="48" t="inlineStr">
        <is>
          <t>TRS</t>
        </is>
      </c>
      <c r="M98" s="210" t="n"/>
      <c r="N98" s="211" t="n"/>
      <c r="O98" s="263" t="n"/>
      <c r="Q98" s="271" t="n"/>
      <c r="R98" s="282" t="n"/>
    </row>
    <row r="99" ht="18" customHeight="1" s="305">
      <c r="A99" s="8" t="inlineStr">
        <is>
          <t>Y 623</t>
        </is>
      </c>
      <c r="B99" s="5" t="n">
        <v>378</v>
      </c>
      <c r="C99" s="6" t="inlineStr">
        <is>
          <t>X</t>
        </is>
      </c>
      <c r="D99" s="5" t="n">
        <v>69</v>
      </c>
      <c r="E99" s="2">
        <f>B99*D99/10000</f>
        <v/>
      </c>
      <c r="F99" s="3">
        <f>B99/30.48</f>
        <v/>
      </c>
      <c r="G99" s="3">
        <f>D99/30.48</f>
        <v/>
      </c>
      <c r="H99" s="11" t="inlineStr">
        <is>
          <t>eksik 2</t>
        </is>
      </c>
      <c r="I99" s="49" t="inlineStr">
        <is>
          <t>OLD</t>
        </is>
      </c>
      <c r="K99" s="51" t="inlineStr">
        <is>
          <t>PAC</t>
        </is>
      </c>
      <c r="M99" s="210" t="n"/>
      <c r="N99" s="211" t="n"/>
      <c r="O99" s="340" t="inlineStr">
        <is>
          <t>SBL</t>
        </is>
      </c>
      <c r="Q99" s="271" t="n"/>
      <c r="R99" s="282" t="n"/>
    </row>
    <row r="100" ht="18" customHeight="1" s="305">
      <c r="A100" s="8" t="inlineStr">
        <is>
          <t>Y 652</t>
        </is>
      </c>
      <c r="B100" s="5" t="n">
        <v>358</v>
      </c>
      <c r="C100" s="6" t="inlineStr">
        <is>
          <t>X</t>
        </is>
      </c>
      <c r="D100" s="5" t="n">
        <v>90</v>
      </c>
      <c r="E100" s="2">
        <f>B100*D100/10000</f>
        <v/>
      </c>
      <c r="F100" s="3">
        <f>B100/30.48</f>
        <v/>
      </c>
      <c r="G100" s="3">
        <f>D100/30.48</f>
        <v/>
      </c>
      <c r="H100" s="11" t="n"/>
      <c r="I100" s="49" t="inlineStr">
        <is>
          <t>OLD</t>
        </is>
      </c>
      <c r="J100" s="48" t="inlineStr">
        <is>
          <t>TRS</t>
        </is>
      </c>
      <c r="K100" s="51" t="inlineStr">
        <is>
          <t>PAC</t>
        </is>
      </c>
      <c r="M100" s="210" t="n"/>
      <c r="N100" s="211" t="n"/>
      <c r="O100" s="263" t="n"/>
      <c r="Q100" s="271" t="n"/>
      <c r="R100" s="282" t="n"/>
    </row>
    <row r="101" ht="18" customHeight="1" s="305">
      <c r="A101" s="8" t="inlineStr">
        <is>
          <t>Y 664</t>
        </is>
      </c>
      <c r="B101" s="5" t="n">
        <v>320</v>
      </c>
      <c r="C101" s="6" t="inlineStr">
        <is>
          <t>X</t>
        </is>
      </c>
      <c r="D101" s="5" t="n">
        <v>114</v>
      </c>
      <c r="E101" s="2">
        <f>B101*D101/10000</f>
        <v/>
      </c>
      <c r="F101" s="3">
        <f>B101/30.48</f>
        <v/>
      </c>
      <c r="G101" s="3">
        <f>D101/30.48</f>
        <v/>
      </c>
      <c r="H101" s="11" t="n"/>
      <c r="I101" s="49" t="inlineStr">
        <is>
          <t>OLD</t>
        </is>
      </c>
      <c r="J101" s="48" t="inlineStr">
        <is>
          <t>TRS</t>
        </is>
      </c>
      <c r="K101" s="51" t="inlineStr">
        <is>
          <t>PAC</t>
        </is>
      </c>
      <c r="M101" s="210" t="n"/>
      <c r="N101" s="211" t="n"/>
      <c r="O101" s="263" t="n"/>
      <c r="P101" s="261" t="inlineStr">
        <is>
          <t xml:space="preserve"> </t>
        </is>
      </c>
      <c r="Q101" s="271" t="n"/>
      <c r="R101" s="282" t="inlineStr">
        <is>
          <t xml:space="preserve"> </t>
        </is>
      </c>
    </row>
    <row r="102" ht="18" customHeight="1" s="305">
      <c r="A102" s="8" t="inlineStr">
        <is>
          <t>Y 789</t>
        </is>
      </c>
      <c r="B102" s="5" t="n">
        <v>297</v>
      </c>
      <c r="C102" s="6" t="inlineStr">
        <is>
          <t>X</t>
        </is>
      </c>
      <c r="D102" s="5" t="n">
        <v>177</v>
      </c>
      <c r="E102" s="2">
        <f>B102*D102/10000</f>
        <v/>
      </c>
      <c r="F102" s="3">
        <f>B102/30.48</f>
        <v/>
      </c>
      <c r="G102" s="3">
        <f>D102/30.48</f>
        <v/>
      </c>
      <c r="H102" s="11" t="n"/>
      <c r="I102" s="49" t="inlineStr">
        <is>
          <t>OLD</t>
        </is>
      </c>
      <c r="J102" s="48" t="inlineStr">
        <is>
          <t>TRS</t>
        </is>
      </c>
      <c r="K102" s="51" t="inlineStr">
        <is>
          <t>PAC</t>
        </is>
      </c>
      <c r="L102" s="105" t="inlineStr">
        <is>
          <t>VR</t>
        </is>
      </c>
      <c r="M102" s="210" t="n"/>
      <c r="N102" s="211" t="n"/>
      <c r="O102" s="263" t="n"/>
      <c r="Q102" s="271" t="n"/>
      <c r="R102" s="282" t="n"/>
    </row>
    <row r="103" ht="18" customHeight="1" s="305">
      <c r="A103" s="8" t="inlineStr">
        <is>
          <t>Y 795</t>
        </is>
      </c>
      <c r="B103" s="5" t="n">
        <v>398</v>
      </c>
      <c r="C103" s="6" t="inlineStr">
        <is>
          <t>X</t>
        </is>
      </c>
      <c r="D103" s="5" t="n">
        <v>116</v>
      </c>
      <c r="E103" s="2">
        <f>B103*D103/10000</f>
        <v/>
      </c>
      <c r="F103" s="3">
        <f>B103/30.48</f>
        <v/>
      </c>
      <c r="G103" s="3">
        <f>D103/30.48</f>
        <v/>
      </c>
      <c r="H103" s="11" t="n"/>
      <c r="I103" s="49" t="inlineStr">
        <is>
          <t>OLD</t>
        </is>
      </c>
      <c r="J103" s="48" t="inlineStr">
        <is>
          <t>TRS</t>
        </is>
      </c>
      <c r="K103" s="51" t="inlineStr">
        <is>
          <t>PAC</t>
        </is>
      </c>
      <c r="L103" s="105" t="inlineStr">
        <is>
          <t>VR</t>
        </is>
      </c>
      <c r="M103" s="210" t="n"/>
      <c r="N103" s="211" t="n"/>
      <c r="O103" s="263" t="n"/>
      <c r="Q103" s="271" t="n"/>
      <c r="R103" s="282" t="n"/>
    </row>
    <row r="104" ht="18" customHeight="1" s="305">
      <c r="A104" s="8" t="inlineStr">
        <is>
          <t>Y 878</t>
        </is>
      </c>
      <c r="B104" s="5" t="n">
        <v>343</v>
      </c>
      <c r="C104" s="6" t="inlineStr">
        <is>
          <t>X</t>
        </is>
      </c>
      <c r="D104" s="5" t="n">
        <v>112</v>
      </c>
      <c r="E104" s="2">
        <f>B104*D104/10000</f>
        <v/>
      </c>
      <c r="F104" s="3">
        <f>B104/30.48</f>
        <v/>
      </c>
      <c r="G104" s="3">
        <f>D104/30.48</f>
        <v/>
      </c>
      <c r="H104" s="11" t="n"/>
      <c r="I104" s="49" t="inlineStr">
        <is>
          <t>OLD</t>
        </is>
      </c>
      <c r="J104" s="48" t="inlineStr">
        <is>
          <t>TRS</t>
        </is>
      </c>
      <c r="K104" s="51" t="inlineStr">
        <is>
          <t>PAC</t>
        </is>
      </c>
      <c r="L104" s="105" t="inlineStr">
        <is>
          <t>VR</t>
        </is>
      </c>
      <c r="M104" s="210" t="n"/>
      <c r="N104" s="211" t="n"/>
      <c r="O104" s="263" t="n"/>
      <c r="Q104" s="271" t="n"/>
      <c r="R104" s="282" t="n"/>
    </row>
    <row r="105" ht="18" customHeight="1" s="305">
      <c r="A105" s="8" t="inlineStr">
        <is>
          <t>Y 914</t>
        </is>
      </c>
      <c r="B105" s="5" t="n">
        <v>186</v>
      </c>
      <c r="C105" s="6" t="inlineStr">
        <is>
          <t>X</t>
        </is>
      </c>
      <c r="D105" s="5" t="n">
        <v>93</v>
      </c>
      <c r="E105" s="2">
        <f>B105*D105/10000</f>
        <v/>
      </c>
      <c r="F105" s="3">
        <f>B105/30.48</f>
        <v/>
      </c>
      <c r="G105" s="3">
        <f>D105/30.48</f>
        <v/>
      </c>
      <c r="H105" s="11" t="n"/>
      <c r="I105" s="49" t="inlineStr">
        <is>
          <t>OLD</t>
        </is>
      </c>
      <c r="J105" s="48" t="inlineStr">
        <is>
          <t>TRS</t>
        </is>
      </c>
      <c r="K105" s="51" t="inlineStr">
        <is>
          <t>PAC</t>
        </is>
      </c>
      <c r="M105" s="210" t="n"/>
      <c r="N105" s="211" t="n"/>
      <c r="O105" s="263" t="n"/>
      <c r="Q105" s="271" t="n"/>
      <c r="R105" s="282" t="n"/>
    </row>
    <row r="106" ht="18" customHeight="1" s="305">
      <c r="A106" s="8" t="inlineStr">
        <is>
          <t>Y 939</t>
        </is>
      </c>
      <c r="B106" s="5" t="n">
        <v>378</v>
      </c>
      <c r="C106" s="6" t="inlineStr">
        <is>
          <t>X</t>
        </is>
      </c>
      <c r="D106" s="5" t="n">
        <v>83</v>
      </c>
      <c r="E106" s="2">
        <f>B106*D106/10000</f>
        <v/>
      </c>
      <c r="F106" s="3">
        <f>B106/30.48</f>
        <v/>
      </c>
      <c r="G106" s="3">
        <f>D106/30.48</f>
        <v/>
      </c>
      <c r="H106" s="11" t="n"/>
      <c r="I106" s="49" t="inlineStr">
        <is>
          <t>OLD</t>
        </is>
      </c>
      <c r="J106" s="48" t="inlineStr">
        <is>
          <t>TRS</t>
        </is>
      </c>
      <c r="K106" s="51" t="inlineStr">
        <is>
          <t>PAC</t>
        </is>
      </c>
      <c r="M106" s="210" t="n"/>
      <c r="N106" s="211" t="n"/>
      <c r="O106" s="263" t="n"/>
      <c r="Q106" s="271" t="n"/>
      <c r="R106" s="282" t="n"/>
    </row>
    <row r="107" ht="18" customHeight="1" s="305">
      <c r="A107" s="8" t="inlineStr">
        <is>
          <t>Y 941</t>
        </is>
      </c>
      <c r="B107" s="5" t="n">
        <v>385</v>
      </c>
      <c r="C107" s="6" t="inlineStr">
        <is>
          <t>X</t>
        </is>
      </c>
      <c r="D107" s="5" t="n">
        <v>86</v>
      </c>
      <c r="E107" s="2">
        <f>B107*D107/10000</f>
        <v/>
      </c>
      <c r="F107" s="3">
        <f>B107/30.48</f>
        <v/>
      </c>
      <c r="G107" s="3">
        <f>D107/30.48</f>
        <v/>
      </c>
      <c r="H107" s="11" t="inlineStr">
        <is>
          <t>eksik 2</t>
        </is>
      </c>
      <c r="I107" s="49" t="inlineStr">
        <is>
          <t>OLD</t>
        </is>
      </c>
      <c r="K107" s="51" t="inlineStr">
        <is>
          <t>PAC</t>
        </is>
      </c>
      <c r="L107" s="105" t="inlineStr">
        <is>
          <t>VR</t>
        </is>
      </c>
      <c r="M107" s="210" t="n"/>
      <c r="N107" s="211" t="n"/>
      <c r="O107" s="340" t="inlineStr">
        <is>
          <t>SBL</t>
        </is>
      </c>
      <c r="Q107" s="271" t="n"/>
      <c r="R107" s="282" t="n"/>
    </row>
    <row r="108" ht="18" customHeight="1" s="305">
      <c r="A108" s="8" t="inlineStr">
        <is>
          <t>Y 969</t>
        </is>
      </c>
      <c r="B108" s="5" t="n">
        <v>331</v>
      </c>
      <c r="C108" s="6" t="inlineStr">
        <is>
          <t>X</t>
        </is>
      </c>
      <c r="D108" s="5" t="n">
        <v>109</v>
      </c>
      <c r="E108" s="2">
        <f>B108*D108/10000</f>
        <v/>
      </c>
      <c r="F108" s="3">
        <f>B108/30.48</f>
        <v/>
      </c>
      <c r="G108" s="3">
        <f>D108/30.48</f>
        <v/>
      </c>
      <c r="H108" s="11" t="n"/>
      <c r="I108" s="49" t="inlineStr">
        <is>
          <t>OLD</t>
        </is>
      </c>
      <c r="J108" s="48" t="inlineStr">
        <is>
          <t>TRS</t>
        </is>
      </c>
      <c r="K108" s="51" t="inlineStr">
        <is>
          <t>PAC</t>
        </is>
      </c>
      <c r="M108" s="210" t="n"/>
      <c r="N108" s="211" t="n"/>
      <c r="O108" s="263" t="n"/>
      <c r="Q108" s="271" t="n"/>
      <c r="R108" s="282" t="n"/>
    </row>
    <row r="109" ht="18" customHeight="1" s="305">
      <c r="A109" s="8" t="inlineStr">
        <is>
          <t>Y 970</t>
        </is>
      </c>
      <c r="B109" s="5" t="n">
        <v>327</v>
      </c>
      <c r="C109" s="6" t="inlineStr">
        <is>
          <t>X</t>
        </is>
      </c>
      <c r="D109" s="5" t="n">
        <v>84</v>
      </c>
      <c r="E109" s="2">
        <f>B109*D109/10000</f>
        <v/>
      </c>
      <c r="F109" s="3">
        <f>B109/30.48</f>
        <v/>
      </c>
      <c r="G109" s="3">
        <f>D109/30.48</f>
        <v/>
      </c>
      <c r="H109" s="11" t="n"/>
      <c r="I109" s="49" t="inlineStr">
        <is>
          <t>OLD</t>
        </is>
      </c>
      <c r="J109" s="48" t="inlineStr">
        <is>
          <t>TRS</t>
        </is>
      </c>
      <c r="K109" s="51" t="inlineStr">
        <is>
          <t>PAC</t>
        </is>
      </c>
      <c r="L109" s="105" t="inlineStr">
        <is>
          <t>VR</t>
        </is>
      </c>
      <c r="M109" s="210" t="n"/>
      <c r="N109" s="211" t="n"/>
      <c r="O109" s="263" t="n"/>
      <c r="Q109" s="271" t="n"/>
      <c r="R109" s="282" t="n"/>
    </row>
    <row r="110" ht="18" customHeight="1" s="305">
      <c r="A110" s="8" t="inlineStr">
        <is>
          <t>Y 975</t>
        </is>
      </c>
      <c r="B110" s="5" t="n">
        <v>342</v>
      </c>
      <c r="C110" s="6" t="inlineStr">
        <is>
          <t>X</t>
        </is>
      </c>
      <c r="D110" s="5" t="n">
        <v>80</v>
      </c>
      <c r="E110" s="2">
        <f>B110*D110/10000</f>
        <v/>
      </c>
      <c r="F110" s="3">
        <f>B110/30.48</f>
        <v/>
      </c>
      <c r="G110" s="3">
        <f>D110/30.48</f>
        <v/>
      </c>
      <c r="H110" s="11" t="n"/>
      <c r="I110" s="49" t="inlineStr">
        <is>
          <t>OLD</t>
        </is>
      </c>
      <c r="J110" s="48" t="inlineStr">
        <is>
          <t>TRS</t>
        </is>
      </c>
      <c r="K110" s="51" t="inlineStr">
        <is>
          <t>PAC</t>
        </is>
      </c>
      <c r="L110" s="105" t="inlineStr">
        <is>
          <t>VR</t>
        </is>
      </c>
      <c r="M110" s="210" t="n"/>
      <c r="N110" s="211" t="inlineStr">
        <is>
          <t xml:space="preserve"> </t>
        </is>
      </c>
      <c r="O110" s="263" t="n"/>
      <c r="Q110" s="271" t="n"/>
      <c r="R110" s="282" t="n"/>
    </row>
    <row r="111" ht="18" customHeight="1" s="305">
      <c r="A111" s="8" t="inlineStr">
        <is>
          <t>Y 991</t>
        </is>
      </c>
      <c r="B111" s="5" t="n">
        <v>256</v>
      </c>
      <c r="C111" s="6" t="inlineStr">
        <is>
          <t>X</t>
        </is>
      </c>
      <c r="D111" s="5" t="n">
        <v>74</v>
      </c>
      <c r="E111" s="2">
        <f>B111*D111/10000</f>
        <v/>
      </c>
      <c r="F111" s="3">
        <f>B111/30.48</f>
        <v/>
      </c>
      <c r="G111" s="3">
        <f>D111/30.48</f>
        <v/>
      </c>
      <c r="H111" s="11" t="n"/>
      <c r="I111" s="49" t="inlineStr">
        <is>
          <t>OLD</t>
        </is>
      </c>
      <c r="J111" s="48" t="inlineStr">
        <is>
          <t>TRS</t>
        </is>
      </c>
      <c r="K111" s="51" t="inlineStr">
        <is>
          <t>PAC</t>
        </is>
      </c>
      <c r="L111" s="105" t="inlineStr">
        <is>
          <t>VR</t>
        </is>
      </c>
      <c r="M111" s="210" t="n"/>
      <c r="N111" s="211" t="n"/>
      <c r="O111" s="263" t="n"/>
      <c r="Q111" s="271" t="n"/>
      <c r="R111" s="282" t="n"/>
    </row>
    <row r="112" ht="18" customHeight="1" s="305">
      <c r="A112" s="8" t="inlineStr">
        <is>
          <t>C 83</t>
        </is>
      </c>
      <c r="B112" s="5" t="n">
        <v>293</v>
      </c>
      <c r="C112" s="6" t="inlineStr">
        <is>
          <t>X</t>
        </is>
      </c>
      <c r="D112" s="5" t="n">
        <v>185</v>
      </c>
      <c r="E112" s="2">
        <f>B112*D112/10000</f>
        <v/>
      </c>
      <c r="F112" s="3">
        <f>B112/30.48</f>
        <v/>
      </c>
      <c r="G112" s="3">
        <f>D112/30.48</f>
        <v/>
      </c>
      <c r="H112" s="11" t="n"/>
      <c r="I112" s="49" t="inlineStr">
        <is>
          <t>OLD</t>
        </is>
      </c>
      <c r="J112" s="48" t="inlineStr">
        <is>
          <t>TRS</t>
        </is>
      </c>
      <c r="K112" s="51" t="inlineStr">
        <is>
          <t>PAC</t>
        </is>
      </c>
      <c r="L112" s="105" t="inlineStr">
        <is>
          <t>VR</t>
        </is>
      </c>
      <c r="M112" s="210" t="n"/>
      <c r="N112" s="211" t="n"/>
      <c r="O112" s="340" t="inlineStr">
        <is>
          <t>SBL</t>
        </is>
      </c>
      <c r="Q112" s="271" t="n"/>
      <c r="R112" s="282" t="n"/>
    </row>
    <row r="113" ht="18" customHeight="1" s="305">
      <c r="A113" s="8" t="inlineStr">
        <is>
          <t>Y 260</t>
        </is>
      </c>
      <c r="B113" s="5" t="n">
        <v>303</v>
      </c>
      <c r="C113" s="6" t="inlineStr">
        <is>
          <t>X</t>
        </is>
      </c>
      <c r="D113" s="5" t="n">
        <v>184</v>
      </c>
      <c r="E113" s="2">
        <f>B113*D113/10000</f>
        <v/>
      </c>
      <c r="F113" s="3">
        <f>B113/30.48</f>
        <v/>
      </c>
      <c r="G113" s="3">
        <f>D113/30.48</f>
        <v/>
      </c>
      <c r="H113" s="11" t="inlineStr">
        <is>
          <t>tamir-germe</t>
        </is>
      </c>
      <c r="I113" s="49" t="inlineStr">
        <is>
          <t>OLD</t>
        </is>
      </c>
      <c r="M113" s="210" t="n"/>
      <c r="N113" s="211" t="n"/>
      <c r="O113" s="263" t="n"/>
      <c r="Q113" s="271" t="n"/>
      <c r="R113" s="282" t="n"/>
    </row>
    <row r="114" ht="18" customHeight="1" s="305">
      <c r="A114" s="8" t="inlineStr">
        <is>
          <t>Y 334</t>
        </is>
      </c>
      <c r="B114" s="5" t="n">
        <v>316</v>
      </c>
      <c r="C114" s="6" t="inlineStr">
        <is>
          <t>X</t>
        </is>
      </c>
      <c r="D114" s="5" t="n">
        <v>187</v>
      </c>
      <c r="E114" s="2">
        <f>B114*D114/10000</f>
        <v/>
      </c>
      <c r="F114" s="3">
        <f>B114/30.48</f>
        <v/>
      </c>
      <c r="G114" s="3">
        <f>D114/30.48</f>
        <v/>
      </c>
      <c r="H114" s="11" t="n"/>
      <c r="I114" s="49" t="inlineStr">
        <is>
          <t>OLD</t>
        </is>
      </c>
      <c r="J114" s="48" t="inlineStr">
        <is>
          <t>TRS</t>
        </is>
      </c>
      <c r="K114" s="51" t="inlineStr">
        <is>
          <t>PAC</t>
        </is>
      </c>
      <c r="L114" s="105" t="inlineStr">
        <is>
          <t>VR</t>
        </is>
      </c>
      <c r="M114" s="210" t="n"/>
      <c r="N114" s="211" t="n"/>
      <c r="O114" s="263" t="n"/>
      <c r="Q114" s="271" t="n"/>
      <c r="R114" s="282" t="n"/>
    </row>
    <row r="115" ht="18" customHeight="1" s="305">
      <c r="A115" s="8" t="inlineStr">
        <is>
          <t>Y 378</t>
        </is>
      </c>
      <c r="B115" s="5" t="n">
        <v>307</v>
      </c>
      <c r="C115" s="6" t="inlineStr">
        <is>
          <t>X</t>
        </is>
      </c>
      <c r="D115" s="5" t="n">
        <v>221</v>
      </c>
      <c r="E115" s="2">
        <f>B115*D115/10000</f>
        <v/>
      </c>
      <c r="F115" s="3">
        <f>B115/30.48</f>
        <v/>
      </c>
      <c r="G115" s="3">
        <f>D115/30.48</f>
        <v/>
      </c>
      <c r="H115" s="11" t="n"/>
      <c r="I115" s="49" t="inlineStr">
        <is>
          <t>OLD</t>
        </is>
      </c>
      <c r="J115" s="48" t="inlineStr">
        <is>
          <t>TRS</t>
        </is>
      </c>
      <c r="K115" s="51" t="inlineStr">
        <is>
          <t>PAC</t>
        </is>
      </c>
      <c r="L115" s="105" t="inlineStr">
        <is>
          <t>VR</t>
        </is>
      </c>
      <c r="M115" s="210" t="n"/>
      <c r="N115" s="211" t="n"/>
      <c r="O115" s="263" t="n"/>
      <c r="Q115" s="271" t="n"/>
      <c r="R115" s="282" t="n"/>
    </row>
    <row r="116" ht="18" customHeight="1" s="305">
      <c r="A116" s="8" t="inlineStr">
        <is>
          <t>Y 411</t>
        </is>
      </c>
      <c r="B116" s="5" t="n">
        <v>317</v>
      </c>
      <c r="C116" s="6" t="inlineStr">
        <is>
          <t>X</t>
        </is>
      </c>
      <c r="D116" s="5" t="n">
        <v>208</v>
      </c>
      <c r="E116" s="2">
        <f>B116*D116/10000</f>
        <v/>
      </c>
      <c r="F116" s="3">
        <f>B116/30.48</f>
        <v/>
      </c>
      <c r="G116" s="3">
        <f>D116/30.48</f>
        <v/>
      </c>
      <c r="H116" s="11" t="inlineStr">
        <is>
          <t>tamir</t>
        </is>
      </c>
      <c r="L116" s="105" t="inlineStr">
        <is>
          <t>VR</t>
        </is>
      </c>
      <c r="M116" s="210" t="n"/>
      <c r="N116" s="211" t="n"/>
      <c r="O116" s="263" t="n"/>
      <c r="Q116" s="271" t="n"/>
      <c r="R116" s="282" t="n"/>
    </row>
    <row r="117" ht="18" customHeight="1" s="305">
      <c r="A117" s="8" t="inlineStr">
        <is>
          <t>Y 428</t>
        </is>
      </c>
      <c r="B117" s="5" t="n">
        <v>315</v>
      </c>
      <c r="C117" s="6" t="inlineStr">
        <is>
          <t>X</t>
        </is>
      </c>
      <c r="D117" s="5" t="n">
        <v>208</v>
      </c>
      <c r="E117" s="2">
        <f>B117*D117/10000</f>
        <v/>
      </c>
      <c r="F117" s="3">
        <f>B117/30.48</f>
        <v/>
      </c>
      <c r="G117" s="3">
        <f>D117/30.48</f>
        <v/>
      </c>
      <c r="H117" s="11" t="n"/>
      <c r="J117" s="48" t="inlineStr">
        <is>
          <t>TRS</t>
        </is>
      </c>
      <c r="K117" s="51" t="inlineStr">
        <is>
          <t>PAC</t>
        </is>
      </c>
      <c r="L117" s="105" t="inlineStr">
        <is>
          <t>VR</t>
        </is>
      </c>
      <c r="M117" s="210" t="n"/>
      <c r="N117" s="211" t="n"/>
      <c r="O117" s="263" t="n"/>
      <c r="Q117" s="271" t="n"/>
      <c r="R117" s="282" t="n"/>
    </row>
    <row r="118" ht="18" customHeight="1" s="305">
      <c r="A118" s="8" t="inlineStr">
        <is>
          <t>Y 755</t>
        </is>
      </c>
      <c r="B118" s="5" t="n">
        <v>271</v>
      </c>
      <c r="C118" s="6" t="inlineStr">
        <is>
          <t>X</t>
        </is>
      </c>
      <c r="D118" s="5" t="n">
        <v>165</v>
      </c>
      <c r="E118" s="2">
        <f>B118*D118/10000</f>
        <v/>
      </c>
      <c r="F118" s="3">
        <f>B118/30.48</f>
        <v/>
      </c>
      <c r="G118" s="3">
        <f>D118/30.48</f>
        <v/>
      </c>
      <c r="H118" s="11" t="n"/>
      <c r="I118" s="49" t="inlineStr">
        <is>
          <t>OLD</t>
        </is>
      </c>
      <c r="J118" s="48" t="inlineStr">
        <is>
          <t>TRS</t>
        </is>
      </c>
      <c r="L118" s="105" t="inlineStr">
        <is>
          <t>VR</t>
        </is>
      </c>
      <c r="M118" s="210" t="n"/>
      <c r="N118" s="211" t="n"/>
      <c r="O118" s="263" t="n"/>
      <c r="Q118" s="271" t="n"/>
      <c r="R118" s="282" t="n"/>
    </row>
    <row r="119" ht="18" customHeight="1" s="305">
      <c r="A119" s="8" t="inlineStr">
        <is>
          <t>Y 954</t>
        </is>
      </c>
      <c r="B119" s="5" t="n">
        <v>292</v>
      </c>
      <c r="C119" s="6" t="inlineStr">
        <is>
          <t>X</t>
        </is>
      </c>
      <c r="D119" s="5" t="n">
        <v>70</v>
      </c>
      <c r="E119" s="2">
        <f>B119*D119/10000</f>
        <v/>
      </c>
      <c r="F119" s="3">
        <f>B119/30.48</f>
        <v/>
      </c>
      <c r="G119" s="3">
        <f>D119/30.48</f>
        <v/>
      </c>
      <c r="H119" s="11" t="n"/>
      <c r="I119" s="49" t="inlineStr">
        <is>
          <t>OLD</t>
        </is>
      </c>
      <c r="L119" s="105" t="inlineStr">
        <is>
          <t>VR</t>
        </is>
      </c>
      <c r="M119" s="210" t="n"/>
      <c r="N119" s="211" t="n"/>
      <c r="O119" s="263" t="n"/>
      <c r="Q119" s="271" t="n"/>
      <c r="R119" s="282" t="n"/>
    </row>
    <row r="120" ht="18" customHeight="1" s="305">
      <c r="A120" s="8" t="inlineStr">
        <is>
          <t>C 64</t>
        </is>
      </c>
      <c r="B120" s="5" t="n">
        <v>346</v>
      </c>
      <c r="C120" s="6" t="inlineStr">
        <is>
          <t>X</t>
        </is>
      </c>
      <c r="D120" s="5" t="n">
        <v>73</v>
      </c>
      <c r="E120" s="2">
        <f>B120*D120/10000</f>
        <v/>
      </c>
      <c r="F120" s="3">
        <f>B120/30.48</f>
        <v/>
      </c>
      <c r="G120" s="3">
        <f>D120/30.48</f>
        <v/>
      </c>
      <c r="H120" s="11" t="n"/>
      <c r="I120" s="49" t="inlineStr">
        <is>
          <t>OLD</t>
        </is>
      </c>
      <c r="J120" s="48" t="inlineStr">
        <is>
          <t>TRS</t>
        </is>
      </c>
      <c r="K120" s="51" t="inlineStr">
        <is>
          <t>PAC</t>
        </is>
      </c>
      <c r="M120" s="210" t="n"/>
      <c r="N120" s="211" t="n"/>
      <c r="O120" s="340" t="inlineStr">
        <is>
          <t>SBL</t>
        </is>
      </c>
      <c r="Q120" s="271" t="n"/>
      <c r="R120" s="282" t="n"/>
    </row>
    <row r="121" ht="18" customHeight="1" s="305">
      <c r="A121" s="8" t="inlineStr">
        <is>
          <t>C 72</t>
        </is>
      </c>
      <c r="B121" s="5" t="n">
        <v>362</v>
      </c>
      <c r="C121" s="6" t="inlineStr">
        <is>
          <t>X</t>
        </is>
      </c>
      <c r="D121" s="5" t="n">
        <v>92</v>
      </c>
      <c r="E121" s="2">
        <f>B121*D121/10000</f>
        <v/>
      </c>
      <c r="F121" s="3">
        <f>B121/30.48</f>
        <v/>
      </c>
      <c r="G121" s="3">
        <f>D121/30.48</f>
        <v/>
      </c>
      <c r="H121" s="11" t="n"/>
      <c r="I121" s="49" t="inlineStr">
        <is>
          <t>OLD</t>
        </is>
      </c>
      <c r="J121" s="48" t="inlineStr">
        <is>
          <t>TRS</t>
        </is>
      </c>
      <c r="K121" s="51" t="inlineStr">
        <is>
          <t>PAC</t>
        </is>
      </c>
      <c r="M121" s="210" t="n"/>
      <c r="N121" s="211" t="n"/>
      <c r="O121" s="340" t="inlineStr">
        <is>
          <t>SBL</t>
        </is>
      </c>
      <c r="Q121" s="271" t="n"/>
      <c r="R121" s="282" t="n"/>
    </row>
    <row r="122" ht="18" customHeight="1" s="305">
      <c r="A122" s="8" t="inlineStr">
        <is>
          <t>C 87</t>
        </is>
      </c>
      <c r="B122" s="5" t="n">
        <v>231</v>
      </c>
      <c r="C122" s="6" t="inlineStr">
        <is>
          <t>X</t>
        </is>
      </c>
      <c r="D122" s="5" t="n">
        <v>76</v>
      </c>
      <c r="E122" s="2">
        <f>B122*D122/10000</f>
        <v/>
      </c>
      <c r="F122" s="3">
        <f>B122/30.48</f>
        <v/>
      </c>
      <c r="G122" s="3">
        <f>D122/30.48</f>
        <v/>
      </c>
      <c r="H122" s="11" t="n"/>
      <c r="I122" s="49" t="inlineStr">
        <is>
          <t>OLD</t>
        </is>
      </c>
      <c r="J122" s="48" t="inlineStr">
        <is>
          <t>TRS</t>
        </is>
      </c>
      <c r="K122" s="51" t="inlineStr">
        <is>
          <t>PAC</t>
        </is>
      </c>
      <c r="M122" s="210" t="n"/>
      <c r="N122" s="211" t="n"/>
      <c r="O122" s="340" t="inlineStr">
        <is>
          <t>SBL</t>
        </is>
      </c>
      <c r="Q122" s="271" t="n"/>
      <c r="R122" s="282" t="n"/>
    </row>
    <row r="123" ht="18" customHeight="1" s="305">
      <c r="A123" s="8" t="inlineStr">
        <is>
          <t>K 78</t>
        </is>
      </c>
      <c r="B123" s="5" t="n">
        <v>164</v>
      </c>
      <c r="C123" s="6" t="inlineStr">
        <is>
          <t>X</t>
        </is>
      </c>
      <c r="D123" s="5" t="n">
        <v>76</v>
      </c>
      <c r="E123" s="2">
        <f>B123*D123/10000</f>
        <v/>
      </c>
      <c r="F123" s="3">
        <f>B123/30.48</f>
        <v/>
      </c>
      <c r="G123" s="3">
        <f>D123/30.48</f>
        <v/>
      </c>
      <c r="H123" s="11" t="n"/>
      <c r="I123" s="49" t="inlineStr">
        <is>
          <t>OLD</t>
        </is>
      </c>
      <c r="J123" s="48" t="inlineStr">
        <is>
          <t>TRS</t>
        </is>
      </c>
      <c r="K123" s="51" t="inlineStr">
        <is>
          <t>PAC</t>
        </is>
      </c>
      <c r="M123" s="210" t="n"/>
      <c r="N123" s="211" t="n"/>
      <c r="O123" s="263" t="n"/>
      <c r="Q123" s="271" t="n"/>
      <c r="R123" s="282" t="n"/>
    </row>
    <row r="124" ht="18" customHeight="1" s="305">
      <c r="A124" s="8" t="inlineStr">
        <is>
          <t>Y 31</t>
        </is>
      </c>
      <c r="B124" s="5" t="n">
        <v>294</v>
      </c>
      <c r="C124" s="6" t="inlineStr">
        <is>
          <t>X</t>
        </is>
      </c>
      <c r="D124" s="5" t="n">
        <v>184</v>
      </c>
      <c r="E124" s="2">
        <f>B124*D124/10000</f>
        <v/>
      </c>
      <c r="F124" s="3">
        <f>B124/30.48</f>
        <v/>
      </c>
      <c r="G124" s="3">
        <f>D124/30.48</f>
        <v/>
      </c>
      <c r="H124" s="11" t="n"/>
      <c r="I124" s="49" t="inlineStr">
        <is>
          <t>OLD</t>
        </is>
      </c>
      <c r="J124" s="48" t="inlineStr">
        <is>
          <t>TRS</t>
        </is>
      </c>
      <c r="K124" s="51" t="inlineStr">
        <is>
          <t>PAC</t>
        </is>
      </c>
      <c r="L124" s="105" t="inlineStr">
        <is>
          <t>VR</t>
        </is>
      </c>
      <c r="M124" s="210" t="n"/>
      <c r="N124" s="211" t="n"/>
      <c r="O124" s="263" t="n"/>
      <c r="Q124" s="271" t="n"/>
      <c r="R124" s="282" t="n"/>
    </row>
    <row r="125" ht="18" customHeight="1" s="305">
      <c r="A125" s="8" t="inlineStr">
        <is>
          <t>Y 52</t>
        </is>
      </c>
      <c r="B125" s="5" t="n">
        <v>146</v>
      </c>
      <c r="C125" s="6" t="inlineStr">
        <is>
          <t>X</t>
        </is>
      </c>
      <c r="D125" s="5" t="n">
        <v>76</v>
      </c>
      <c r="E125" s="2">
        <f>B125*D125/10000</f>
        <v/>
      </c>
      <c r="F125" s="3">
        <f>B125/30.48</f>
        <v/>
      </c>
      <c r="G125" s="3">
        <f>D125/30.48</f>
        <v/>
      </c>
      <c r="H125" s="11" t="n"/>
      <c r="I125" s="49" t="inlineStr">
        <is>
          <t>OLD</t>
        </is>
      </c>
      <c r="J125" s="48" t="inlineStr">
        <is>
          <t>TRS</t>
        </is>
      </c>
      <c r="K125" s="51" t="inlineStr">
        <is>
          <t>PAC</t>
        </is>
      </c>
      <c r="M125" s="210" t="n"/>
      <c r="N125" s="211" t="n"/>
      <c r="O125" s="263" t="n"/>
      <c r="Q125" s="271" t="n"/>
      <c r="R125" s="282" t="n"/>
    </row>
    <row r="126" ht="18" customHeight="1" s="305">
      <c r="A126" s="8" t="inlineStr">
        <is>
          <t>Y 324</t>
        </is>
      </c>
      <c r="B126" s="5" t="n">
        <v>229</v>
      </c>
      <c r="C126" s="6" t="inlineStr">
        <is>
          <t>X</t>
        </is>
      </c>
      <c r="D126" s="5" t="n">
        <v>141</v>
      </c>
      <c r="E126" s="2">
        <f>B126*D126/10000</f>
        <v/>
      </c>
      <c r="F126" s="3">
        <f>B126/30.48</f>
        <v/>
      </c>
      <c r="G126" s="3">
        <f>D126/30.48</f>
        <v/>
      </c>
      <c r="H126" s="11" t="n"/>
      <c r="I126" s="49" t="inlineStr">
        <is>
          <t>OLD</t>
        </is>
      </c>
      <c r="J126" s="48" t="inlineStr">
        <is>
          <t>TRS</t>
        </is>
      </c>
      <c r="K126" s="51" t="inlineStr">
        <is>
          <t>PAC</t>
        </is>
      </c>
      <c r="L126" s="105" t="inlineStr">
        <is>
          <t>VR</t>
        </is>
      </c>
      <c r="M126" s="210" t="n"/>
      <c r="N126" s="211" t="n"/>
      <c r="O126" s="263" t="n"/>
      <c r="Q126" s="271" t="n"/>
      <c r="R126" s="282" t="n"/>
    </row>
    <row r="127" ht="18" customHeight="1" s="305">
      <c r="A127" s="8" t="inlineStr">
        <is>
          <t>Y 326</t>
        </is>
      </c>
      <c r="B127" s="5" t="n">
        <v>313</v>
      </c>
      <c r="C127" s="6" t="inlineStr">
        <is>
          <t>X</t>
        </is>
      </c>
      <c r="D127" s="5" t="n">
        <v>220</v>
      </c>
      <c r="E127" s="2">
        <f>B127*D127/10000</f>
        <v/>
      </c>
      <c r="F127" s="3">
        <f>B127/30.48</f>
        <v/>
      </c>
      <c r="G127" s="3">
        <f>D127/30.48</f>
        <v/>
      </c>
      <c r="H127" s="11" t="n"/>
      <c r="I127" s="49" t="inlineStr">
        <is>
          <t>OLD</t>
        </is>
      </c>
      <c r="J127" s="48" t="inlineStr">
        <is>
          <t>TRS</t>
        </is>
      </c>
      <c r="K127" s="51" t="inlineStr">
        <is>
          <t>PAC</t>
        </is>
      </c>
      <c r="L127" s="105" t="inlineStr">
        <is>
          <t>VR</t>
        </is>
      </c>
      <c r="M127" s="210" t="n"/>
      <c r="N127" s="211" t="n"/>
      <c r="O127" s="263" t="n"/>
      <c r="Q127" s="271" t="n"/>
      <c r="R127" s="282" t="n"/>
    </row>
    <row r="128" ht="18" customHeight="1" s="305">
      <c r="A128" s="8" t="inlineStr">
        <is>
          <t>Y 433</t>
        </is>
      </c>
      <c r="B128" s="5" t="n">
        <v>340</v>
      </c>
      <c r="C128" s="6" t="inlineStr">
        <is>
          <t>X</t>
        </is>
      </c>
      <c r="D128" s="5" t="n">
        <v>221</v>
      </c>
      <c r="E128" s="2">
        <f>B128*D128/10000</f>
        <v/>
      </c>
      <c r="F128" s="3">
        <f>B128/30.48</f>
        <v/>
      </c>
      <c r="G128" s="3">
        <f>D128/30.48</f>
        <v/>
      </c>
      <c r="H128" s="11" t="n"/>
      <c r="I128" s="49" t="inlineStr">
        <is>
          <t>OLD</t>
        </is>
      </c>
      <c r="J128" s="48" t="inlineStr">
        <is>
          <t>TRS</t>
        </is>
      </c>
      <c r="K128" s="51" t="inlineStr">
        <is>
          <t>PAC</t>
        </is>
      </c>
      <c r="L128" s="105" t="inlineStr">
        <is>
          <t>VR</t>
        </is>
      </c>
      <c r="M128" s="210" t="n"/>
      <c r="N128" s="211" t="n"/>
      <c r="O128" s="263" t="n"/>
      <c r="Q128" s="271" t="n"/>
      <c r="R128" s="282" t="n"/>
    </row>
    <row r="129" ht="18" customHeight="1" s="305">
      <c r="A129" s="8" t="inlineStr">
        <is>
          <t>Y 501</t>
        </is>
      </c>
      <c r="B129" s="5" t="n">
        <v>327</v>
      </c>
      <c r="C129" s="6" t="inlineStr">
        <is>
          <t>X</t>
        </is>
      </c>
      <c r="D129" s="5" t="n">
        <v>202</v>
      </c>
      <c r="E129" s="2">
        <f>B129*D129/10000</f>
        <v/>
      </c>
      <c r="F129" s="3">
        <f>B129/30.48</f>
        <v/>
      </c>
      <c r="G129" s="3">
        <f>D129/30.48</f>
        <v/>
      </c>
      <c r="H129" s="11" t="n"/>
      <c r="I129" s="49" t="inlineStr">
        <is>
          <t>OLD</t>
        </is>
      </c>
      <c r="J129" s="48" t="inlineStr">
        <is>
          <t>TRS</t>
        </is>
      </c>
      <c r="K129" s="51" t="inlineStr">
        <is>
          <t>PAC</t>
        </is>
      </c>
      <c r="L129" s="105" t="inlineStr">
        <is>
          <t>VR</t>
        </is>
      </c>
      <c r="M129" s="210" t="n"/>
      <c r="N129" s="211" t="n"/>
      <c r="O129" s="263" t="n"/>
      <c r="Q129" s="271" t="n"/>
      <c r="R129" s="282" t="n"/>
    </row>
    <row r="130" ht="18" customHeight="1" s="305">
      <c r="A130" s="8" t="inlineStr">
        <is>
          <t>Y 586</t>
        </is>
      </c>
      <c r="B130" s="5" t="n">
        <v>289</v>
      </c>
      <c r="C130" s="6" t="inlineStr">
        <is>
          <t>X</t>
        </is>
      </c>
      <c r="D130" s="5" t="n">
        <v>206</v>
      </c>
      <c r="E130" s="2">
        <f>B130*D130/10000</f>
        <v/>
      </c>
      <c r="F130" s="3">
        <f>B130/30.48</f>
        <v/>
      </c>
      <c r="G130" s="3">
        <f>D130/30.48</f>
        <v/>
      </c>
      <c r="H130" s="11" t="n"/>
      <c r="I130" s="49" t="inlineStr">
        <is>
          <t>OLD</t>
        </is>
      </c>
      <c r="J130" s="48" t="inlineStr">
        <is>
          <t>TRS</t>
        </is>
      </c>
      <c r="K130" s="51" t="inlineStr">
        <is>
          <t>PAC</t>
        </is>
      </c>
      <c r="L130" s="105" t="inlineStr">
        <is>
          <t>VR</t>
        </is>
      </c>
      <c r="M130" s="210" t="n"/>
      <c r="N130" s="211" t="n"/>
      <c r="O130" s="263" t="n"/>
      <c r="Q130" s="271" t="n"/>
      <c r="R130" s="282" t="n"/>
    </row>
    <row r="131" ht="18" customHeight="1" s="305">
      <c r="A131" s="8" t="inlineStr">
        <is>
          <t>Y 663</t>
        </is>
      </c>
      <c r="B131" s="5" t="n">
        <v>316</v>
      </c>
      <c r="C131" s="6" t="inlineStr">
        <is>
          <t>X</t>
        </is>
      </c>
      <c r="D131" s="5" t="n">
        <v>218</v>
      </c>
      <c r="E131" s="2">
        <f>B131*D131/10000</f>
        <v/>
      </c>
      <c r="F131" s="3">
        <f>B131/30.48</f>
        <v/>
      </c>
      <c r="G131" s="3">
        <f>D131/30.48</f>
        <v/>
      </c>
      <c r="H131" s="11" t="n"/>
      <c r="I131" s="49" t="inlineStr">
        <is>
          <t>OLD</t>
        </is>
      </c>
      <c r="J131" s="48" t="inlineStr">
        <is>
          <t>TRS</t>
        </is>
      </c>
      <c r="K131" s="51" t="inlineStr">
        <is>
          <t>PAC</t>
        </is>
      </c>
      <c r="L131" s="105" t="inlineStr">
        <is>
          <t>VR</t>
        </is>
      </c>
      <c r="M131" s="210" t="n"/>
      <c r="N131" s="211" t="n"/>
      <c r="O131" s="263" t="n"/>
      <c r="Q131" s="271" t="n"/>
      <c r="R131" s="282" t="n"/>
    </row>
    <row r="132" ht="18" customHeight="1" s="305">
      <c r="A132" s="8" t="inlineStr">
        <is>
          <t>Y 781</t>
        </is>
      </c>
      <c r="B132" s="5" t="n">
        <v>307</v>
      </c>
      <c r="C132" s="6" t="inlineStr">
        <is>
          <t>X</t>
        </is>
      </c>
      <c r="D132" s="5" t="n">
        <v>214</v>
      </c>
      <c r="E132" s="2">
        <f>B132*D132/10000</f>
        <v/>
      </c>
      <c r="F132" s="3">
        <f>B132/30.48</f>
        <v/>
      </c>
      <c r="G132" s="3">
        <f>D132/30.48</f>
        <v/>
      </c>
      <c r="H132" s="11" t="n"/>
      <c r="I132" s="49" t="inlineStr">
        <is>
          <t>OLD</t>
        </is>
      </c>
      <c r="J132" s="48" t="inlineStr">
        <is>
          <t>TRS</t>
        </is>
      </c>
      <c r="K132" s="51" t="inlineStr">
        <is>
          <t>PAC</t>
        </is>
      </c>
      <c r="L132" s="105" t="inlineStr">
        <is>
          <t>VR</t>
        </is>
      </c>
      <c r="M132" s="210" t="n"/>
      <c r="N132" s="211" t="n"/>
      <c r="O132" s="263" t="n"/>
      <c r="Q132" s="271" t="n"/>
      <c r="R132" s="282" t="n"/>
    </row>
    <row r="133" ht="18" customHeight="1" s="305">
      <c r="A133" s="8" t="inlineStr">
        <is>
          <t>Y 786</t>
        </is>
      </c>
      <c r="B133" s="5" t="n">
        <v>310</v>
      </c>
      <c r="C133" s="6" t="inlineStr">
        <is>
          <t>X</t>
        </is>
      </c>
      <c r="D133" s="5" t="n">
        <v>187</v>
      </c>
      <c r="E133" s="2">
        <f>B133*D133/10000</f>
        <v/>
      </c>
      <c r="F133" s="3">
        <f>B133/30.48</f>
        <v/>
      </c>
      <c r="G133" s="3">
        <f>D133/30.48</f>
        <v/>
      </c>
      <c r="H133" s="11" t="n"/>
      <c r="I133" s="49" t="inlineStr">
        <is>
          <t>OLD</t>
        </is>
      </c>
      <c r="J133" s="48" t="inlineStr">
        <is>
          <t>TRS</t>
        </is>
      </c>
      <c r="K133" s="51" t="inlineStr">
        <is>
          <t>PAC</t>
        </is>
      </c>
      <c r="L133" s="105" t="inlineStr">
        <is>
          <t>VR</t>
        </is>
      </c>
      <c r="M133" s="210" t="n"/>
      <c r="N133" s="211" t="n"/>
      <c r="O133" s="263" t="n"/>
      <c r="Q133" s="271" t="n"/>
      <c r="R133" s="282" t="n"/>
    </row>
    <row r="134" ht="18" customHeight="1" s="305">
      <c r="A134" s="8" t="inlineStr">
        <is>
          <t>Y 804</t>
        </is>
      </c>
      <c r="B134" s="5" t="n">
        <v>268</v>
      </c>
      <c r="C134" s="6" t="inlineStr">
        <is>
          <t>X</t>
        </is>
      </c>
      <c r="D134" s="5" t="n">
        <v>186</v>
      </c>
      <c r="E134" s="2">
        <f>B134*D134/10000</f>
        <v/>
      </c>
      <c r="F134" s="3">
        <f>B134/30.48</f>
        <v/>
      </c>
      <c r="G134" s="3">
        <f>D134/30.48</f>
        <v/>
      </c>
      <c r="H134" s="11" t="n"/>
      <c r="I134" s="49" t="inlineStr">
        <is>
          <t>OLD</t>
        </is>
      </c>
      <c r="J134" s="48" t="inlineStr">
        <is>
          <t>TRS</t>
        </is>
      </c>
      <c r="K134" s="51" t="inlineStr">
        <is>
          <t>PAC</t>
        </is>
      </c>
      <c r="L134" s="105" t="inlineStr">
        <is>
          <t>VR</t>
        </is>
      </c>
      <c r="M134" s="210" t="n"/>
      <c r="N134" s="211" t="n"/>
      <c r="O134" s="263" t="n"/>
      <c r="Q134" s="271" t="n"/>
      <c r="R134" s="282" t="n"/>
    </row>
    <row r="135" ht="18" customHeight="1" s="305">
      <c r="A135" s="8" t="inlineStr">
        <is>
          <t>Y 849</t>
        </is>
      </c>
      <c r="B135" s="5" t="n">
        <v>291</v>
      </c>
      <c r="C135" s="6" t="inlineStr">
        <is>
          <t>X</t>
        </is>
      </c>
      <c r="D135" s="5" t="n">
        <v>173</v>
      </c>
      <c r="E135" s="2">
        <f>B135*D135/10000</f>
        <v/>
      </c>
      <c r="F135" s="3">
        <f>B135/30.48</f>
        <v/>
      </c>
      <c r="G135" s="3">
        <f>D135/30.48</f>
        <v/>
      </c>
      <c r="H135" s="11" t="n"/>
      <c r="I135" s="49" t="inlineStr">
        <is>
          <t>OLD</t>
        </is>
      </c>
      <c r="J135" s="48" t="inlineStr">
        <is>
          <t>TRS</t>
        </is>
      </c>
      <c r="K135" s="51" t="inlineStr">
        <is>
          <t>PAC</t>
        </is>
      </c>
      <c r="L135" s="105" t="inlineStr">
        <is>
          <t>VR</t>
        </is>
      </c>
      <c r="M135" s="210" t="n"/>
      <c r="N135" s="211" t="n"/>
      <c r="O135" s="263" t="n"/>
      <c r="Q135" s="271" t="n"/>
      <c r="R135" s="282" t="n"/>
    </row>
    <row r="136" ht="18" customHeight="1" s="305">
      <c r="A136" s="8" t="inlineStr">
        <is>
          <t>Y 931</t>
        </is>
      </c>
      <c r="B136" s="5" t="n">
        <v>105</v>
      </c>
      <c r="C136" s="6" t="inlineStr">
        <is>
          <t>X</t>
        </is>
      </c>
      <c r="D136" s="5" t="n">
        <v>74</v>
      </c>
      <c r="E136" s="2">
        <f>B136*D136/10000</f>
        <v/>
      </c>
      <c r="F136" s="3">
        <f>B136/30.48</f>
        <v/>
      </c>
      <c r="G136" s="3">
        <f>D136/30.48</f>
        <v/>
      </c>
      <c r="H136" s="11" t="n"/>
      <c r="I136" s="49" t="inlineStr">
        <is>
          <t>OLD</t>
        </is>
      </c>
      <c r="J136" s="48" t="inlineStr">
        <is>
          <t>TRS</t>
        </is>
      </c>
      <c r="K136" s="51" t="inlineStr">
        <is>
          <t>PAC</t>
        </is>
      </c>
      <c r="M136" s="210" t="n"/>
      <c r="N136" s="211" t="n"/>
      <c r="O136" s="263" t="n"/>
      <c r="Q136" s="271" t="n"/>
      <c r="R136" s="282" t="n"/>
    </row>
    <row r="137" ht="18" customHeight="1" s="305">
      <c r="A137" s="8" t="inlineStr">
        <is>
          <t>Y 950</t>
        </is>
      </c>
      <c r="B137" s="5" t="n">
        <v>184</v>
      </c>
      <c r="C137" s="6" t="inlineStr">
        <is>
          <t>X</t>
        </is>
      </c>
      <c r="D137" s="5" t="n">
        <v>78</v>
      </c>
      <c r="E137" s="2">
        <f>B137*D137/10000</f>
        <v/>
      </c>
      <c r="F137" s="3">
        <f>B137/30.48</f>
        <v/>
      </c>
      <c r="G137" s="3">
        <f>D137/30.48</f>
        <v/>
      </c>
      <c r="H137" s="11" t="n"/>
      <c r="I137" s="49" t="inlineStr">
        <is>
          <t>OLD</t>
        </is>
      </c>
      <c r="J137" s="48" t="inlineStr">
        <is>
          <t>TRS</t>
        </is>
      </c>
      <c r="K137" s="51" t="inlineStr">
        <is>
          <t>PAC</t>
        </is>
      </c>
      <c r="M137" s="210" t="n"/>
      <c r="N137" s="211" t="n"/>
      <c r="O137" s="263" t="n"/>
      <c r="Q137" s="271" t="n"/>
      <c r="R137" s="282" t="n"/>
    </row>
    <row r="138" ht="18" customHeight="1" s="305">
      <c r="A138" s="8" t="inlineStr">
        <is>
          <t>Y 965</t>
        </is>
      </c>
      <c r="B138" s="5" t="n">
        <v>310</v>
      </c>
      <c r="C138" s="6" t="inlineStr">
        <is>
          <t>X</t>
        </is>
      </c>
      <c r="D138" s="5" t="n">
        <v>90</v>
      </c>
      <c r="E138" s="2">
        <f>B138*D138/10000</f>
        <v/>
      </c>
      <c r="F138" s="3">
        <f>B138/30.48</f>
        <v/>
      </c>
      <c r="G138" s="3">
        <f>D138/30.48</f>
        <v/>
      </c>
      <c r="H138" s="11" t="n"/>
      <c r="I138" s="49" t="inlineStr">
        <is>
          <t>OLD</t>
        </is>
      </c>
      <c r="J138" s="48" t="inlineStr">
        <is>
          <t>TRS</t>
        </is>
      </c>
      <c r="K138" s="51" t="inlineStr">
        <is>
          <t>PAC</t>
        </is>
      </c>
      <c r="M138" s="210" t="n"/>
      <c r="N138" s="211" t="n"/>
      <c r="O138" s="263" t="n"/>
      <c r="Q138" s="271" t="n"/>
      <c r="R138" s="282" t="n"/>
    </row>
    <row r="139" ht="18" customHeight="1" s="305">
      <c r="A139" s="8" t="inlineStr">
        <is>
          <t>Y 996</t>
        </is>
      </c>
      <c r="B139" s="5" t="n">
        <v>266</v>
      </c>
      <c r="C139" s="6" t="inlineStr">
        <is>
          <t>X</t>
        </is>
      </c>
      <c r="D139" s="5" t="n">
        <v>82</v>
      </c>
      <c r="E139" s="2">
        <f>B139*D139/10000</f>
        <v/>
      </c>
      <c r="F139" s="3">
        <f>B139/30.48</f>
        <v/>
      </c>
      <c r="G139" s="3">
        <f>D139/30.48</f>
        <v/>
      </c>
      <c r="H139" s="11" t="n"/>
      <c r="I139" s="49" t="inlineStr">
        <is>
          <t>OLD</t>
        </is>
      </c>
      <c r="J139" s="48" t="inlineStr">
        <is>
          <t>TRS</t>
        </is>
      </c>
      <c r="K139" s="51" t="inlineStr">
        <is>
          <t>PAC</t>
        </is>
      </c>
      <c r="L139" s="105" t="inlineStr">
        <is>
          <t>VR</t>
        </is>
      </c>
      <c r="M139" s="210" t="n"/>
      <c r="N139" s="211" t="n"/>
      <c r="O139" s="263" t="n"/>
      <c r="Q139" s="271" t="n"/>
      <c r="R139" s="282" t="n"/>
    </row>
    <row r="140" ht="18" customHeight="1" s="305">
      <c r="A140" s="8" t="inlineStr">
        <is>
          <t>C 23</t>
        </is>
      </c>
      <c r="B140" s="5" t="n">
        <v>243</v>
      </c>
      <c r="C140" s="6" t="inlineStr">
        <is>
          <t>X</t>
        </is>
      </c>
      <c r="D140" s="5" t="n">
        <v>145</v>
      </c>
      <c r="E140" s="2">
        <f>B140*D140/10000</f>
        <v/>
      </c>
      <c r="F140" s="3">
        <f>B140/30.48</f>
        <v/>
      </c>
      <c r="G140" s="3">
        <f>D140/30.48</f>
        <v/>
      </c>
      <c r="H140" s="11" t="n"/>
      <c r="I140" s="49" t="inlineStr">
        <is>
          <t>OLD</t>
        </is>
      </c>
      <c r="J140" s="48" t="inlineStr">
        <is>
          <t>TRS</t>
        </is>
      </c>
      <c r="K140" s="51" t="inlineStr">
        <is>
          <t>PAC</t>
        </is>
      </c>
      <c r="L140" s="105" t="inlineStr">
        <is>
          <t>VR</t>
        </is>
      </c>
      <c r="M140" s="210" t="n"/>
      <c r="N140" s="211" t="n"/>
      <c r="O140" s="340" t="inlineStr">
        <is>
          <t>SBL</t>
        </is>
      </c>
      <c r="Q140" s="271" t="n"/>
      <c r="R140" s="282" t="n"/>
    </row>
    <row r="141" ht="18" customHeight="1" s="305">
      <c r="A141" s="8" t="inlineStr">
        <is>
          <t>C 113</t>
        </is>
      </c>
      <c r="B141" s="5" t="n">
        <v>295</v>
      </c>
      <c r="C141" s="6" t="inlineStr">
        <is>
          <t>X</t>
        </is>
      </c>
      <c r="D141" s="5" t="n">
        <v>211</v>
      </c>
      <c r="E141" s="2">
        <f>B141*D141/10000</f>
        <v/>
      </c>
      <c r="F141" s="3">
        <f>B141/30.48</f>
        <v/>
      </c>
      <c r="G141" s="3">
        <f>D141/30.48</f>
        <v/>
      </c>
      <c r="H141" s="11" t="n"/>
      <c r="I141" s="49" t="inlineStr">
        <is>
          <t>OLD</t>
        </is>
      </c>
      <c r="J141" s="48" t="inlineStr">
        <is>
          <t>TRS</t>
        </is>
      </c>
      <c r="K141" s="51" t="inlineStr">
        <is>
          <t>PAC</t>
        </is>
      </c>
      <c r="L141" s="105" t="inlineStr">
        <is>
          <t>VR</t>
        </is>
      </c>
      <c r="M141" s="210" t="n"/>
      <c r="N141" s="211" t="n"/>
      <c r="O141" s="340" t="inlineStr">
        <is>
          <t>SBL</t>
        </is>
      </c>
      <c r="Q141" s="271" t="n"/>
      <c r="R141" s="282" t="n"/>
    </row>
    <row r="142" ht="18" customHeight="1" s="305">
      <c r="A142" s="8" t="inlineStr">
        <is>
          <t>K 144</t>
        </is>
      </c>
      <c r="B142" s="5" t="n">
        <v>340</v>
      </c>
      <c r="C142" s="6" t="inlineStr">
        <is>
          <t>X</t>
        </is>
      </c>
      <c r="D142" s="5" t="n">
        <v>85</v>
      </c>
      <c r="E142" s="2">
        <f>B142*D142/10000</f>
        <v/>
      </c>
      <c r="F142" s="3">
        <f>B142/30.48</f>
        <v/>
      </c>
      <c r="G142" s="3">
        <f>D142/30.48</f>
        <v/>
      </c>
      <c r="H142" s="11" t="inlineStr">
        <is>
          <t xml:space="preserve">germe </t>
        </is>
      </c>
      <c r="I142" s="49" t="inlineStr">
        <is>
          <t>OLD</t>
        </is>
      </c>
      <c r="M142" s="210" t="n"/>
      <c r="N142" s="211" t="n"/>
      <c r="O142" s="263" t="n"/>
      <c r="Q142" s="271" t="n"/>
      <c r="R142" s="282" t="n"/>
    </row>
    <row r="143" ht="18" customHeight="1" s="305">
      <c r="A143" s="8" t="inlineStr">
        <is>
          <t>K 167</t>
        </is>
      </c>
      <c r="B143" s="5" t="n">
        <v>310</v>
      </c>
      <c r="C143" s="6" t="inlineStr">
        <is>
          <t>X</t>
        </is>
      </c>
      <c r="D143" s="5" t="n">
        <v>95</v>
      </c>
      <c r="E143" s="2">
        <f>B143*D143/10000</f>
        <v/>
      </c>
      <c r="F143" s="3">
        <f>B143/30.48</f>
        <v/>
      </c>
      <c r="G143" s="3">
        <f>D143/30.48</f>
        <v/>
      </c>
      <c r="H143" s="11" t="inlineStr">
        <is>
          <t>germe</t>
        </is>
      </c>
      <c r="I143" s="49" t="inlineStr">
        <is>
          <t>OLD</t>
        </is>
      </c>
      <c r="M143" s="210" t="n"/>
      <c r="N143" s="211" t="n"/>
      <c r="O143" s="263" t="n"/>
      <c r="Q143" s="271" t="n"/>
      <c r="R143" s="282" t="n"/>
    </row>
    <row r="144" ht="17.25" customHeight="1" s="305">
      <c r="A144" s="8" t="inlineStr">
        <is>
          <t>Y 11</t>
        </is>
      </c>
      <c r="B144" s="5" t="n">
        <v>332</v>
      </c>
      <c r="C144" s="6" t="inlineStr">
        <is>
          <t>X</t>
        </is>
      </c>
      <c r="D144" s="5" t="n">
        <v>133</v>
      </c>
      <c r="E144" s="2">
        <f>B144*D144/10000</f>
        <v/>
      </c>
      <c r="F144" s="3">
        <f>B144/30.48</f>
        <v/>
      </c>
      <c r="G144" s="3">
        <f>D144/30.48</f>
        <v/>
      </c>
      <c r="H144" s="11" t="n"/>
      <c r="I144" s="49" t="inlineStr">
        <is>
          <t>OLD</t>
        </is>
      </c>
      <c r="J144" s="48" t="inlineStr">
        <is>
          <t>TRS</t>
        </is>
      </c>
      <c r="K144" s="51" t="inlineStr">
        <is>
          <t>PAC</t>
        </is>
      </c>
      <c r="L144" s="105" t="inlineStr">
        <is>
          <t>VR</t>
        </is>
      </c>
      <c r="M144" s="210" t="n"/>
      <c r="N144" s="211" t="n"/>
      <c r="O144" s="340" t="inlineStr">
        <is>
          <t>SBL</t>
        </is>
      </c>
      <c r="Q144" s="271" t="n"/>
      <c r="R144" s="282" t="n"/>
    </row>
    <row r="145" ht="18" customHeight="1" s="305">
      <c r="A145" s="8" t="inlineStr">
        <is>
          <t xml:space="preserve"> Y 66</t>
        </is>
      </c>
      <c r="B145" s="5" t="n">
        <v>260</v>
      </c>
      <c r="C145" s="6" t="inlineStr">
        <is>
          <t>X</t>
        </is>
      </c>
      <c r="D145" s="5" t="n">
        <v>174</v>
      </c>
      <c r="E145" s="2">
        <f>B145*D145/10000</f>
        <v/>
      </c>
      <c r="F145" s="3">
        <f>B145/30.48</f>
        <v/>
      </c>
      <c r="G145" s="3">
        <f>D145/30.48</f>
        <v/>
      </c>
      <c r="H145" s="11" t="n"/>
      <c r="I145" s="49" t="inlineStr">
        <is>
          <t>OLD</t>
        </is>
      </c>
      <c r="J145" s="48" t="inlineStr">
        <is>
          <t>TRS</t>
        </is>
      </c>
      <c r="K145" s="51" t="inlineStr">
        <is>
          <t>PAC</t>
        </is>
      </c>
      <c r="L145" s="105" t="inlineStr">
        <is>
          <t>VR</t>
        </is>
      </c>
      <c r="M145" s="210" t="n"/>
      <c r="N145" s="211" t="n"/>
      <c r="O145" s="263" t="n"/>
      <c r="Q145" s="271" t="n"/>
      <c r="R145" s="282" t="n"/>
    </row>
    <row r="146" ht="18" customHeight="1" s="305">
      <c r="A146" s="8" t="inlineStr">
        <is>
          <t>Y 99</t>
        </is>
      </c>
      <c r="B146" s="5" t="n">
        <v>313</v>
      </c>
      <c r="C146" s="6" t="inlineStr">
        <is>
          <t>X</t>
        </is>
      </c>
      <c r="D146" s="5" t="n">
        <v>182</v>
      </c>
      <c r="E146" s="2">
        <f>B146*D146/10000</f>
        <v/>
      </c>
      <c r="F146" s="3">
        <f>B146/30.48</f>
        <v/>
      </c>
      <c r="G146" s="3">
        <f>D146/30.48</f>
        <v/>
      </c>
      <c r="H146" s="11" t="n"/>
      <c r="I146" s="49" t="inlineStr">
        <is>
          <t>OLD</t>
        </is>
      </c>
      <c r="J146" s="48" t="inlineStr">
        <is>
          <t>TRS</t>
        </is>
      </c>
      <c r="K146" s="51" t="inlineStr">
        <is>
          <t>PAC</t>
        </is>
      </c>
      <c r="L146" s="105" t="inlineStr">
        <is>
          <t>VR</t>
        </is>
      </c>
      <c r="M146" s="210" t="n"/>
      <c r="N146" s="211" t="n"/>
      <c r="O146" s="263" t="n"/>
      <c r="Q146" s="271" t="n"/>
      <c r="R146" s="282" t="n"/>
    </row>
    <row r="147" ht="18" customHeight="1" s="305">
      <c r="A147" s="8" t="inlineStr">
        <is>
          <t>Y 107</t>
        </is>
      </c>
      <c r="B147" s="5" t="n">
        <v>408</v>
      </c>
      <c r="C147" s="6" t="inlineStr">
        <is>
          <t>X</t>
        </is>
      </c>
      <c r="D147" s="5" t="n">
        <v>120</v>
      </c>
      <c r="E147" s="2">
        <f>B147*D147/10000</f>
        <v/>
      </c>
      <c r="F147" s="3">
        <f>B147/30.48</f>
        <v/>
      </c>
      <c r="G147" s="3">
        <f>D147/30.48</f>
        <v/>
      </c>
      <c r="H147" s="11" t="n"/>
      <c r="I147" s="49" t="inlineStr">
        <is>
          <t>OLD</t>
        </is>
      </c>
      <c r="J147" s="48" t="inlineStr">
        <is>
          <t>TRS</t>
        </is>
      </c>
      <c r="K147" s="51" t="inlineStr">
        <is>
          <t>PAC</t>
        </is>
      </c>
      <c r="L147" s="105" t="inlineStr">
        <is>
          <t>VR</t>
        </is>
      </c>
      <c r="M147" s="210" t="n"/>
      <c r="N147" s="211" t="n"/>
      <c r="O147" s="263" t="n"/>
      <c r="Q147" s="271" t="n"/>
      <c r="R147" s="282" t="n"/>
    </row>
    <row r="148" ht="18" customHeight="1" s="305">
      <c r="A148" s="8" t="inlineStr">
        <is>
          <t>Y 121</t>
        </is>
      </c>
      <c r="B148" s="5" t="n">
        <v>270</v>
      </c>
      <c r="C148" s="6" t="inlineStr">
        <is>
          <t>X</t>
        </is>
      </c>
      <c r="D148" s="5" t="n">
        <v>156</v>
      </c>
      <c r="E148" s="2">
        <f>B148*D148/10000</f>
        <v/>
      </c>
      <c r="F148" s="3">
        <f>B148/30.48</f>
        <v/>
      </c>
      <c r="G148" s="3">
        <f>D148/30.48</f>
        <v/>
      </c>
      <c r="H148" s="11" t="n"/>
      <c r="I148" s="49" t="inlineStr">
        <is>
          <t>OLD</t>
        </is>
      </c>
      <c r="J148" s="48" t="inlineStr">
        <is>
          <t>TRS</t>
        </is>
      </c>
      <c r="K148" s="51" t="inlineStr">
        <is>
          <t>PAC</t>
        </is>
      </c>
      <c r="L148" s="105" t="inlineStr">
        <is>
          <t>VR</t>
        </is>
      </c>
      <c r="M148" s="210" t="n"/>
      <c r="N148" s="211" t="n"/>
      <c r="O148" s="263" t="n"/>
      <c r="Q148" s="271" t="n"/>
      <c r="R148" s="282" t="n"/>
    </row>
    <row r="149" ht="18" customHeight="1" s="305">
      <c r="A149" s="8" t="inlineStr">
        <is>
          <t>Y 137</t>
        </is>
      </c>
      <c r="B149" s="5" t="n">
        <v>318</v>
      </c>
      <c r="C149" s="6" t="inlineStr">
        <is>
          <t>X</t>
        </is>
      </c>
      <c r="D149" s="5" t="n">
        <v>202</v>
      </c>
      <c r="E149" s="2">
        <f>B149*D149/10000</f>
        <v/>
      </c>
      <c r="F149" s="3">
        <f>B149/30.48</f>
        <v/>
      </c>
      <c r="G149" s="3">
        <f>D149/30.48</f>
        <v/>
      </c>
      <c r="H149" s="11" t="n"/>
      <c r="J149" s="48" t="inlineStr">
        <is>
          <t>TRS</t>
        </is>
      </c>
      <c r="K149" s="51" t="inlineStr">
        <is>
          <t>PAC</t>
        </is>
      </c>
      <c r="L149" s="105" t="inlineStr">
        <is>
          <t>VR</t>
        </is>
      </c>
      <c r="M149" s="210" t="n"/>
      <c r="N149" s="211" t="n"/>
      <c r="O149" s="263" t="n"/>
      <c r="Q149" s="271" t="n"/>
      <c r="R149" s="282" t="n"/>
    </row>
    <row r="150" ht="18" customHeight="1" s="305">
      <c r="A150" s="8" t="inlineStr">
        <is>
          <t>Y 144</t>
        </is>
      </c>
      <c r="B150" s="5" t="n">
        <v>306</v>
      </c>
      <c r="C150" s="6" t="inlineStr">
        <is>
          <t>X</t>
        </is>
      </c>
      <c r="D150" s="5" t="n">
        <v>141</v>
      </c>
      <c r="E150" s="2">
        <f>B150*D150/10000</f>
        <v/>
      </c>
      <c r="F150" s="3">
        <f>B150/30.48</f>
        <v/>
      </c>
      <c r="G150" s="3">
        <f>D150/30.48</f>
        <v/>
      </c>
      <c r="H150" s="11" t="inlineStr">
        <is>
          <t>eksik 2</t>
        </is>
      </c>
      <c r="I150" s="49" t="inlineStr">
        <is>
          <t>OLD</t>
        </is>
      </c>
      <c r="L150" s="105" t="inlineStr">
        <is>
          <t>VR</t>
        </is>
      </c>
      <c r="M150" s="210" t="n"/>
      <c r="N150" s="211" t="n"/>
      <c r="O150" s="263" t="n"/>
      <c r="Q150" s="271" t="inlineStr">
        <is>
          <t>RST</t>
        </is>
      </c>
      <c r="R150" s="282" t="n"/>
    </row>
    <row r="151" ht="18" customHeight="1" s="305">
      <c r="A151" s="8" t="inlineStr">
        <is>
          <t>Y 182</t>
        </is>
      </c>
      <c r="B151" s="5" t="n">
        <v>300</v>
      </c>
      <c r="C151" s="6" t="inlineStr">
        <is>
          <t>X</t>
        </is>
      </c>
      <c r="D151" s="5" t="n">
        <v>189</v>
      </c>
      <c r="E151" s="2">
        <f>B151*D151/10000</f>
        <v/>
      </c>
      <c r="F151" s="3">
        <f>B151/30.48</f>
        <v/>
      </c>
      <c r="G151" s="3">
        <f>D151/30.48</f>
        <v/>
      </c>
      <c r="H151" s="11" t="n"/>
      <c r="I151" s="49" t="inlineStr">
        <is>
          <t>OLD</t>
        </is>
      </c>
      <c r="J151" s="48" t="inlineStr">
        <is>
          <t>TRS</t>
        </is>
      </c>
      <c r="K151" s="51" t="inlineStr">
        <is>
          <t>PAC</t>
        </is>
      </c>
      <c r="L151" s="105" t="inlineStr">
        <is>
          <t>VR</t>
        </is>
      </c>
      <c r="M151" s="210" t="n"/>
      <c r="N151" s="211" t="n"/>
      <c r="O151" s="263" t="n"/>
      <c r="Q151" s="271" t="n"/>
      <c r="R151" s="282" t="n"/>
    </row>
    <row r="152" ht="18" customHeight="1" s="305">
      <c r="A152" s="8" t="inlineStr">
        <is>
          <t>Y 188</t>
        </is>
      </c>
      <c r="B152" s="5" t="n">
        <v>335</v>
      </c>
      <c r="C152" s="6" t="inlineStr">
        <is>
          <t>X</t>
        </is>
      </c>
      <c r="D152" s="5" t="n">
        <v>218</v>
      </c>
      <c r="E152" s="2">
        <f>B152*D152/10000</f>
        <v/>
      </c>
      <c r="F152" s="3">
        <f>B152/30.48</f>
        <v/>
      </c>
      <c r="G152" s="3">
        <f>D152/30.48</f>
        <v/>
      </c>
      <c r="H152" s="11" t="n"/>
      <c r="J152" s="48" t="inlineStr">
        <is>
          <t>TRS</t>
        </is>
      </c>
      <c r="K152" s="51" t="inlineStr">
        <is>
          <t>PAC</t>
        </is>
      </c>
      <c r="L152" s="105" t="inlineStr">
        <is>
          <t>VR</t>
        </is>
      </c>
      <c r="M152" s="210" t="n"/>
      <c r="N152" s="211" t="n"/>
      <c r="O152" s="263" t="n"/>
      <c r="Q152" s="271" t="n"/>
      <c r="R152" s="282" t="n"/>
    </row>
    <row r="153" ht="18" customHeight="1" s="305">
      <c r="A153" s="8" t="inlineStr">
        <is>
          <t>Y 198</t>
        </is>
      </c>
      <c r="B153" s="5" t="n">
        <v>310</v>
      </c>
      <c r="C153" s="6" t="inlineStr">
        <is>
          <t>X</t>
        </is>
      </c>
      <c r="D153" s="5" t="n">
        <v>189</v>
      </c>
      <c r="E153" s="2">
        <f>B153*D153/10000</f>
        <v/>
      </c>
      <c r="F153" s="3">
        <f>B153/30.48</f>
        <v/>
      </c>
      <c r="G153" s="3">
        <f>D153/30.48</f>
        <v/>
      </c>
      <c r="H153" s="11" t="n"/>
      <c r="I153" s="49" t="inlineStr">
        <is>
          <t>OLD</t>
        </is>
      </c>
      <c r="J153" s="48" t="inlineStr">
        <is>
          <t>TRS</t>
        </is>
      </c>
      <c r="K153" s="51" t="inlineStr">
        <is>
          <t>PAC</t>
        </is>
      </c>
      <c r="L153" s="105" t="inlineStr">
        <is>
          <t>VR</t>
        </is>
      </c>
      <c r="M153" s="210" t="n"/>
      <c r="N153" s="211" t="n"/>
      <c r="O153" s="263" t="n"/>
      <c r="Q153" s="271" t="n"/>
      <c r="R153" s="282" t="n"/>
    </row>
    <row r="154" ht="18" customHeight="1" s="305">
      <c r="A154" s="8" t="inlineStr">
        <is>
          <t>Y 204</t>
        </is>
      </c>
      <c r="B154" s="5" t="n">
        <v>300</v>
      </c>
      <c r="C154" s="6" t="inlineStr">
        <is>
          <t>X</t>
        </is>
      </c>
      <c r="D154" s="5" t="n">
        <v>198</v>
      </c>
      <c r="E154" s="2">
        <f>B154*D154/10000</f>
        <v/>
      </c>
      <c r="F154" s="3">
        <f>B154/30.48</f>
        <v/>
      </c>
      <c r="G154" s="3">
        <f>D154/30.48</f>
        <v/>
      </c>
      <c r="H154" s="11" t="n"/>
      <c r="J154" s="48" t="inlineStr">
        <is>
          <t>TRS</t>
        </is>
      </c>
      <c r="K154" s="51" t="inlineStr">
        <is>
          <t>PAC</t>
        </is>
      </c>
      <c r="L154" s="105" t="inlineStr">
        <is>
          <t>VR</t>
        </is>
      </c>
      <c r="M154" s="210" t="n"/>
      <c r="N154" s="211" t="n"/>
      <c r="O154" s="263" t="n"/>
      <c r="Q154" s="271" t="n"/>
      <c r="R154" s="282" t="n"/>
    </row>
    <row r="155" ht="18" customHeight="1" s="305">
      <c r="A155" s="8" t="inlineStr">
        <is>
          <t>Y 208</t>
        </is>
      </c>
      <c r="B155" s="5" t="n">
        <v>309</v>
      </c>
      <c r="C155" s="6" t="inlineStr">
        <is>
          <t>X</t>
        </is>
      </c>
      <c r="D155" s="5" t="n">
        <v>141</v>
      </c>
      <c r="E155" s="2">
        <f>B155*D155/10000</f>
        <v/>
      </c>
      <c r="F155" s="3">
        <f>B155/30.48</f>
        <v/>
      </c>
      <c r="G155" s="3">
        <f>D155/30.48</f>
        <v/>
      </c>
      <c r="H155" s="11" t="n"/>
      <c r="I155" s="49" t="inlineStr">
        <is>
          <t>OLD</t>
        </is>
      </c>
      <c r="J155" s="48" t="inlineStr">
        <is>
          <t>TRS</t>
        </is>
      </c>
      <c r="K155" s="51" t="inlineStr">
        <is>
          <t>PAC</t>
        </is>
      </c>
      <c r="L155" s="105" t="inlineStr">
        <is>
          <t>VR</t>
        </is>
      </c>
      <c r="M155" s="210" t="n"/>
      <c r="N155" s="211" t="n"/>
      <c r="O155" s="263" t="n"/>
      <c r="Q155" s="271" t="n"/>
      <c r="R155" s="282" t="n"/>
    </row>
    <row r="156" ht="18" customHeight="1" s="305">
      <c r="A156" s="8" t="inlineStr">
        <is>
          <t>Y 215</t>
        </is>
      </c>
      <c r="B156" s="5" t="n">
        <v>253</v>
      </c>
      <c r="C156" s="6" t="inlineStr">
        <is>
          <t>X</t>
        </is>
      </c>
      <c r="D156" s="5" t="n">
        <v>172</v>
      </c>
      <c r="E156" s="2">
        <f>B156*D156/10000</f>
        <v/>
      </c>
      <c r="F156" s="3">
        <f>B156/30.48</f>
        <v/>
      </c>
      <c r="G156" s="3">
        <f>D156/30.48</f>
        <v/>
      </c>
      <c r="H156" s="11" t="n"/>
      <c r="I156" s="49" t="inlineStr">
        <is>
          <t>OLD</t>
        </is>
      </c>
      <c r="J156" s="48" t="inlineStr">
        <is>
          <t>TRS</t>
        </is>
      </c>
      <c r="K156" s="51" t="inlineStr">
        <is>
          <t>PAC</t>
        </is>
      </c>
      <c r="L156" s="105" t="inlineStr">
        <is>
          <t>VR</t>
        </is>
      </c>
      <c r="M156" s="210" t="n"/>
      <c r="N156" s="211" t="n"/>
      <c r="O156" s="263" t="n"/>
      <c r="Q156" s="271" t="n"/>
      <c r="R156" s="282" t="n"/>
    </row>
    <row r="157" ht="18" customHeight="1" s="305">
      <c r="A157" s="8" t="inlineStr">
        <is>
          <t>Y 250</t>
        </is>
      </c>
      <c r="B157" s="5" t="n">
        <v>310</v>
      </c>
      <c r="C157" s="6" t="inlineStr">
        <is>
          <t>X</t>
        </is>
      </c>
      <c r="D157" s="5" t="n">
        <v>201</v>
      </c>
      <c r="E157" s="2">
        <f>B157*D157/10000</f>
        <v/>
      </c>
      <c r="F157" s="3">
        <f>B157/30.48</f>
        <v/>
      </c>
      <c r="G157" s="3">
        <f>D157/30.48</f>
        <v/>
      </c>
      <c r="H157" s="11" t="n"/>
      <c r="J157" s="48" t="inlineStr">
        <is>
          <t>TRS</t>
        </is>
      </c>
      <c r="K157" s="51" t="inlineStr">
        <is>
          <t>PAC</t>
        </is>
      </c>
      <c r="L157" s="105" t="inlineStr">
        <is>
          <t>VR</t>
        </is>
      </c>
      <c r="M157" s="210" t="n"/>
      <c r="N157" s="211" t="n"/>
      <c r="O157" s="263" t="n"/>
      <c r="Q157" s="271" t="n"/>
      <c r="R157" s="282" t="n"/>
    </row>
    <row r="158" ht="18" customHeight="1" s="305">
      <c r="A158" s="8" t="inlineStr">
        <is>
          <t>Y 262</t>
        </is>
      </c>
      <c r="B158" s="5" t="n">
        <v>313</v>
      </c>
      <c r="C158" s="6" t="inlineStr">
        <is>
          <t>X</t>
        </is>
      </c>
      <c r="D158" s="5" t="n">
        <v>194</v>
      </c>
      <c r="E158" s="2">
        <f>B158*D158/10000</f>
        <v/>
      </c>
      <c r="F158" s="3">
        <f>B158/30.48</f>
        <v/>
      </c>
      <c r="G158" s="3">
        <f>D158/30.48</f>
        <v/>
      </c>
      <c r="H158" s="11" t="n"/>
      <c r="I158" s="49" t="inlineStr">
        <is>
          <t>OLD</t>
        </is>
      </c>
      <c r="J158" s="48" t="inlineStr">
        <is>
          <t>TRS</t>
        </is>
      </c>
      <c r="K158" s="51" t="inlineStr">
        <is>
          <t>PAC</t>
        </is>
      </c>
      <c r="L158" s="105" t="inlineStr">
        <is>
          <t>VR</t>
        </is>
      </c>
      <c r="M158" s="210" t="n"/>
      <c r="N158" s="211" t="n"/>
      <c r="O158" s="263" t="n"/>
      <c r="Q158" s="271" t="n"/>
      <c r="R158" s="282" t="n"/>
    </row>
    <row r="159" ht="18" customHeight="1" s="305">
      <c r="A159" s="8" t="inlineStr">
        <is>
          <t>Y 274</t>
        </is>
      </c>
      <c r="B159" s="5" t="n">
        <v>285</v>
      </c>
      <c r="C159" s="6" t="inlineStr">
        <is>
          <t>X</t>
        </is>
      </c>
      <c r="D159" s="5" t="n">
        <v>183</v>
      </c>
      <c r="E159" s="2">
        <f>B159*D159/10000</f>
        <v/>
      </c>
      <c r="F159" s="3">
        <f>B159/30.48</f>
        <v/>
      </c>
      <c r="G159" s="3">
        <f>D159/30.48</f>
        <v/>
      </c>
      <c r="H159" s="11" t="n"/>
      <c r="I159" s="49" t="inlineStr">
        <is>
          <t>OLD</t>
        </is>
      </c>
      <c r="J159" s="48" t="inlineStr">
        <is>
          <t>TRS</t>
        </is>
      </c>
      <c r="K159" s="51" t="inlineStr">
        <is>
          <t>PAC</t>
        </is>
      </c>
      <c r="L159" s="105" t="inlineStr">
        <is>
          <t>VR</t>
        </is>
      </c>
      <c r="M159" s="210" t="n"/>
      <c r="N159" s="211" t="n"/>
      <c r="O159" s="263" t="n"/>
      <c r="Q159" s="271" t="n"/>
      <c r="R159" s="282" t="n"/>
    </row>
    <row r="160" ht="18" customHeight="1" s="305">
      <c r="A160" s="8" t="inlineStr">
        <is>
          <t>Y 284</t>
        </is>
      </c>
      <c r="B160" s="5" t="n">
        <v>378</v>
      </c>
      <c r="C160" s="6" t="inlineStr">
        <is>
          <t>X</t>
        </is>
      </c>
      <c r="D160" s="5" t="n">
        <v>86</v>
      </c>
      <c r="E160" s="2">
        <f>B160*D160/10000</f>
        <v/>
      </c>
      <c r="F160" s="3">
        <f>B160/30.48</f>
        <v/>
      </c>
      <c r="G160" s="3">
        <f>D160/30.48</f>
        <v/>
      </c>
      <c r="H160" s="11" t="inlineStr">
        <is>
          <t>eksik 2</t>
        </is>
      </c>
      <c r="I160" s="49" t="inlineStr">
        <is>
          <t>OLD</t>
        </is>
      </c>
      <c r="J160" s="48" t="inlineStr">
        <is>
          <t>TRS</t>
        </is>
      </c>
      <c r="K160" s="51" t="inlineStr">
        <is>
          <t>PAC</t>
        </is>
      </c>
      <c r="L160" s="105" t="inlineStr">
        <is>
          <t>VR</t>
        </is>
      </c>
      <c r="M160" s="210" t="n"/>
      <c r="N160" s="211" t="n"/>
      <c r="O160" s="340" t="inlineStr">
        <is>
          <t>SBL</t>
        </is>
      </c>
      <c r="Q160" s="271" t="n"/>
      <c r="R160" s="282" t="n"/>
    </row>
    <row r="161" ht="18" customHeight="1" s="305">
      <c r="A161" s="8" t="inlineStr">
        <is>
          <t>Y 309</t>
        </is>
      </c>
      <c r="B161" s="5" t="n">
        <v>343</v>
      </c>
      <c r="C161" s="6" t="inlineStr">
        <is>
          <t>X</t>
        </is>
      </c>
      <c r="D161" s="5" t="n">
        <v>80</v>
      </c>
      <c r="E161" s="2">
        <f>B161*D161/10000</f>
        <v/>
      </c>
      <c r="F161" s="3">
        <f>B161/30.48</f>
        <v/>
      </c>
      <c r="G161" s="3">
        <f>D161/30.48</f>
        <v/>
      </c>
      <c r="H161" s="11" t="inlineStr">
        <is>
          <t>germe</t>
        </is>
      </c>
      <c r="I161" s="49" t="inlineStr">
        <is>
          <t>OLD</t>
        </is>
      </c>
      <c r="M161" s="210" t="n"/>
      <c r="N161" s="211" t="n"/>
      <c r="O161" s="263" t="n"/>
      <c r="Q161" s="271" t="n"/>
      <c r="R161" s="282" t="n"/>
    </row>
    <row r="162" ht="18" customHeight="1" s="305">
      <c r="A162" s="8" t="inlineStr">
        <is>
          <t>Y 333</t>
        </is>
      </c>
      <c r="B162" s="5" t="n">
        <v>273</v>
      </c>
      <c r="C162" s="6" t="inlineStr">
        <is>
          <t>X</t>
        </is>
      </c>
      <c r="D162" s="5" t="n">
        <v>173</v>
      </c>
      <c r="E162" s="2">
        <f>B162*D162/10000</f>
        <v/>
      </c>
      <c r="F162" s="3">
        <f>B162/30.48</f>
        <v/>
      </c>
      <c r="G162" s="3">
        <f>D162/30.48</f>
        <v/>
      </c>
      <c r="H162" s="11" t="n"/>
      <c r="I162" s="49" t="inlineStr">
        <is>
          <t>OLD</t>
        </is>
      </c>
      <c r="J162" s="48" t="inlineStr">
        <is>
          <t>TRS</t>
        </is>
      </c>
      <c r="K162" s="51" t="inlineStr">
        <is>
          <t>PAC</t>
        </is>
      </c>
      <c r="L162" s="105" t="inlineStr">
        <is>
          <t>VR</t>
        </is>
      </c>
      <c r="M162" s="210" t="n"/>
      <c r="N162" s="211" t="n"/>
      <c r="O162" s="263" t="n"/>
      <c r="Q162" s="271" t="n"/>
      <c r="R162" s="282" t="n"/>
    </row>
    <row r="163" ht="18" customHeight="1" s="305">
      <c r="A163" s="8" t="inlineStr">
        <is>
          <t>Y 338</t>
        </is>
      </c>
      <c r="B163" s="5" t="n">
        <v>290</v>
      </c>
      <c r="C163" s="6" t="inlineStr">
        <is>
          <t>X</t>
        </is>
      </c>
      <c r="D163" s="5" t="n">
        <v>139</v>
      </c>
      <c r="E163" s="2">
        <f>B163*D163/10000</f>
        <v/>
      </c>
      <c r="F163" s="3">
        <f>B163/30.48</f>
        <v/>
      </c>
      <c r="G163" s="3">
        <f>D163/30.48</f>
        <v/>
      </c>
      <c r="H163" s="11" t="inlineStr">
        <is>
          <t xml:space="preserve"> eksik 2</t>
        </is>
      </c>
      <c r="I163" s="49" t="inlineStr">
        <is>
          <t>OLD</t>
        </is>
      </c>
      <c r="J163" s="48" t="inlineStr">
        <is>
          <t>TRS</t>
        </is>
      </c>
      <c r="K163" s="51" t="inlineStr">
        <is>
          <t>PAC</t>
        </is>
      </c>
      <c r="L163" s="105" t="inlineStr">
        <is>
          <t>VR</t>
        </is>
      </c>
      <c r="M163" s="210" t="n"/>
      <c r="N163" s="211" t="n"/>
      <c r="O163" s="340" t="inlineStr">
        <is>
          <t>SBL</t>
        </is>
      </c>
      <c r="Q163" s="271" t="n"/>
      <c r="R163" s="282" t="n"/>
    </row>
    <row r="164" ht="18" customHeight="1" s="305">
      <c r="A164" s="8" t="inlineStr">
        <is>
          <t>Y 342</t>
        </is>
      </c>
      <c r="B164" s="5" t="n">
        <v>303</v>
      </c>
      <c r="C164" s="6" t="inlineStr">
        <is>
          <t>X</t>
        </is>
      </c>
      <c r="D164" s="5" t="n">
        <v>198</v>
      </c>
      <c r="E164" s="2">
        <f>B164*D164/10000</f>
        <v/>
      </c>
      <c r="F164" s="3">
        <f>B164/30.48</f>
        <v/>
      </c>
      <c r="G164" s="3">
        <f>D164/30.48</f>
        <v/>
      </c>
      <c r="H164" s="11" t="n"/>
      <c r="J164" s="48" t="inlineStr">
        <is>
          <t>TRS</t>
        </is>
      </c>
      <c r="K164" s="51" t="inlineStr">
        <is>
          <t>PAC</t>
        </is>
      </c>
      <c r="L164" s="105" t="inlineStr">
        <is>
          <t>VR</t>
        </is>
      </c>
      <c r="M164" s="210" t="n"/>
      <c r="N164" s="211" t="n"/>
      <c r="O164" s="263" t="n"/>
      <c r="Q164" s="271" t="n"/>
      <c r="R164" s="282" t="n"/>
    </row>
    <row r="165" ht="18" customHeight="1" s="305">
      <c r="A165" s="8" t="inlineStr">
        <is>
          <t>Y 381</t>
        </is>
      </c>
      <c r="B165" s="5" t="n">
        <v>237</v>
      </c>
      <c r="C165" s="6" t="inlineStr">
        <is>
          <t>X</t>
        </is>
      </c>
      <c r="D165" s="5" t="n">
        <v>154</v>
      </c>
      <c r="E165" s="2">
        <f>B165*D165/10000</f>
        <v/>
      </c>
      <c r="F165" s="3">
        <f>B165/30.48</f>
        <v/>
      </c>
      <c r="G165" s="3">
        <f>D165/30.48</f>
        <v/>
      </c>
      <c r="H165" s="11" t="inlineStr">
        <is>
          <t>eksik 2</t>
        </is>
      </c>
      <c r="I165" s="49" t="inlineStr">
        <is>
          <t>OLD</t>
        </is>
      </c>
      <c r="J165" s="48" t="inlineStr">
        <is>
          <t>TRS</t>
        </is>
      </c>
      <c r="K165" s="51" t="inlineStr">
        <is>
          <t>PAC</t>
        </is>
      </c>
      <c r="L165" s="105" t="inlineStr">
        <is>
          <t>VR</t>
        </is>
      </c>
      <c r="M165" s="210" t="n"/>
      <c r="N165" s="211" t="n"/>
      <c r="O165" s="340" t="inlineStr">
        <is>
          <t>SBL</t>
        </is>
      </c>
      <c r="Q165" s="271" t="n"/>
      <c r="R165" s="282" t="n"/>
    </row>
    <row r="166" ht="18" customHeight="1" s="305">
      <c r="A166" s="8" t="inlineStr">
        <is>
          <t>Y 397</t>
        </is>
      </c>
      <c r="B166" s="5" t="n">
        <v>324</v>
      </c>
      <c r="C166" s="6" t="inlineStr">
        <is>
          <t>X</t>
        </is>
      </c>
      <c r="D166" s="5" t="n">
        <v>92</v>
      </c>
      <c r="E166" s="2">
        <f>B166*D166/10000</f>
        <v/>
      </c>
      <c r="F166" s="3">
        <f>B166/30.48</f>
        <v/>
      </c>
      <c r="G166" s="3">
        <f>D166/30.48</f>
        <v/>
      </c>
      <c r="H166" s="11" t="inlineStr">
        <is>
          <t xml:space="preserve">germe </t>
        </is>
      </c>
      <c r="I166" s="49" t="inlineStr">
        <is>
          <t>OLD</t>
        </is>
      </c>
      <c r="M166" s="210" t="n"/>
      <c r="N166" s="211" t="n"/>
      <c r="O166" s="263" t="n"/>
      <c r="Q166" s="271" t="n"/>
      <c r="R166" s="282" t="n"/>
    </row>
    <row r="167" ht="18" customHeight="1" s="305">
      <c r="A167" s="8" t="inlineStr">
        <is>
          <t>Y 401</t>
        </is>
      </c>
      <c r="B167" s="5" t="n">
        <v>301</v>
      </c>
      <c r="C167" s="6" t="inlineStr">
        <is>
          <t>X</t>
        </is>
      </c>
      <c r="D167" s="5" t="n">
        <v>194</v>
      </c>
      <c r="E167" s="2">
        <f>B167*D167/10000</f>
        <v/>
      </c>
      <c r="F167" s="3">
        <f>B167/30.48</f>
        <v/>
      </c>
      <c r="G167" s="3">
        <f>D167/30.48</f>
        <v/>
      </c>
      <c r="H167" s="11" t="n"/>
      <c r="I167" s="49" t="inlineStr">
        <is>
          <t>OLD</t>
        </is>
      </c>
      <c r="J167" s="48" t="inlineStr">
        <is>
          <t>TRS</t>
        </is>
      </c>
      <c r="K167" s="51" t="inlineStr">
        <is>
          <t>PAC</t>
        </is>
      </c>
      <c r="L167" s="105" t="inlineStr">
        <is>
          <t>VR</t>
        </is>
      </c>
      <c r="M167" s="210" t="n"/>
      <c r="N167" s="211" t="n"/>
      <c r="O167" s="263" t="n"/>
      <c r="Q167" s="271" t="n"/>
      <c r="R167" s="282" t="n"/>
    </row>
    <row r="168" ht="18" customHeight="1" s="305">
      <c r="A168" s="8" t="inlineStr">
        <is>
          <t>Y 82</t>
        </is>
      </c>
      <c r="B168" s="5" t="n">
        <v>272</v>
      </c>
      <c r="C168" s="6" t="inlineStr">
        <is>
          <t>X</t>
        </is>
      </c>
      <c r="D168" s="5" t="n">
        <v>192</v>
      </c>
      <c r="E168" s="2">
        <f>B168*D168/10000</f>
        <v/>
      </c>
      <c r="F168" s="3">
        <f>B168/30.48</f>
        <v/>
      </c>
      <c r="G168" s="3">
        <f>D168/30.48</f>
        <v/>
      </c>
      <c r="H168" s="11" t="n"/>
      <c r="I168" s="49" t="inlineStr">
        <is>
          <t>OLD</t>
        </is>
      </c>
      <c r="J168" s="48" t="inlineStr">
        <is>
          <t>TRS</t>
        </is>
      </c>
      <c r="K168" s="51" t="inlineStr">
        <is>
          <t>PAC</t>
        </is>
      </c>
      <c r="L168" s="105" t="inlineStr">
        <is>
          <t>VR</t>
        </is>
      </c>
      <c r="M168" s="210" t="n"/>
      <c r="N168" s="211" t="n"/>
      <c r="O168" s="263" t="n"/>
      <c r="Q168" s="271" t="n"/>
      <c r="R168" s="282" t="n"/>
    </row>
    <row r="169" ht="18" customHeight="1" s="305">
      <c r="A169" s="8" t="inlineStr">
        <is>
          <t>Y 432</t>
        </is>
      </c>
      <c r="B169" s="5" t="n">
        <v>253</v>
      </c>
      <c r="C169" s="6" t="inlineStr">
        <is>
          <t>X</t>
        </is>
      </c>
      <c r="D169" s="5" t="n">
        <v>183</v>
      </c>
      <c r="E169" s="2">
        <f>B169*D169/10000</f>
        <v/>
      </c>
      <c r="F169" s="3">
        <f>B169/30.48</f>
        <v/>
      </c>
      <c r="G169" s="3">
        <f>D169/30.48</f>
        <v/>
      </c>
      <c r="H169" s="11" t="n"/>
      <c r="I169" s="49" t="inlineStr">
        <is>
          <t>OLD</t>
        </is>
      </c>
      <c r="J169" s="48" t="inlineStr">
        <is>
          <t>TRS</t>
        </is>
      </c>
      <c r="K169" s="51" t="inlineStr">
        <is>
          <t>PAC</t>
        </is>
      </c>
      <c r="L169" s="105" t="inlineStr">
        <is>
          <t>VR</t>
        </is>
      </c>
      <c r="M169" s="210" t="n"/>
      <c r="N169" s="211" t="n"/>
      <c r="O169" s="263" t="n"/>
      <c r="Q169" s="271" t="n"/>
      <c r="R169" s="282" t="n"/>
    </row>
    <row r="170" ht="18" customHeight="1" s="305">
      <c r="A170" s="8" t="inlineStr">
        <is>
          <t>Y 447</t>
        </is>
      </c>
      <c r="B170" s="5" t="n">
        <v>316</v>
      </c>
      <c r="C170" s="6" t="inlineStr">
        <is>
          <t>X</t>
        </is>
      </c>
      <c r="D170" s="5" t="n">
        <v>180</v>
      </c>
      <c r="E170" s="2">
        <f>B170*D170/10000</f>
        <v/>
      </c>
      <c r="F170" s="3">
        <f>B170/30.48</f>
        <v/>
      </c>
      <c r="G170" s="3">
        <f>D170/30.48</f>
        <v/>
      </c>
      <c r="H170" s="11" t="n"/>
      <c r="I170" s="49" t="inlineStr">
        <is>
          <t>OLD</t>
        </is>
      </c>
      <c r="J170" s="48" t="inlineStr">
        <is>
          <t>TRS</t>
        </is>
      </c>
      <c r="K170" s="51" t="inlineStr">
        <is>
          <t>PAC</t>
        </is>
      </c>
      <c r="L170" s="105" t="inlineStr">
        <is>
          <t>VR</t>
        </is>
      </c>
      <c r="M170" s="210" t="n"/>
      <c r="N170" s="211" t="n"/>
      <c r="O170" s="263" t="n"/>
      <c r="Q170" s="271" t="n"/>
      <c r="R170" s="282" t="n"/>
    </row>
    <row r="171" ht="18" customHeight="1" s="305">
      <c r="A171" s="8" t="inlineStr">
        <is>
          <t>Y 486</t>
        </is>
      </c>
      <c r="B171" s="5" t="n">
        <v>247</v>
      </c>
      <c r="C171" s="6" t="inlineStr">
        <is>
          <t>X</t>
        </is>
      </c>
      <c r="D171" s="5" t="n">
        <v>111</v>
      </c>
      <c r="E171" s="2">
        <f>B171*D171/10000</f>
        <v/>
      </c>
      <c r="F171" s="3">
        <f>B171/30.48</f>
        <v/>
      </c>
      <c r="G171" s="3">
        <f>D171/30.48</f>
        <v/>
      </c>
      <c r="H171" s="11" t="n"/>
      <c r="I171" s="49" t="inlineStr">
        <is>
          <t>OLD</t>
        </is>
      </c>
      <c r="J171" s="48" t="inlineStr">
        <is>
          <t>TRS</t>
        </is>
      </c>
      <c r="K171" s="51" t="inlineStr">
        <is>
          <t>PAC</t>
        </is>
      </c>
      <c r="M171" s="210" t="n"/>
      <c r="N171" s="211" t="n"/>
      <c r="O171" s="263" t="n"/>
      <c r="Q171" s="271" t="n"/>
      <c r="R171" s="282" t="n"/>
    </row>
    <row r="172" ht="18" customHeight="1" s="305">
      <c r="A172" s="8" t="inlineStr">
        <is>
          <t>Y 507</t>
        </is>
      </c>
      <c r="B172" s="5" t="n">
        <v>395</v>
      </c>
      <c r="C172" s="6" t="inlineStr">
        <is>
          <t>X</t>
        </is>
      </c>
      <c r="D172" s="5" t="n">
        <v>118</v>
      </c>
      <c r="E172" s="2">
        <f>B172*D172/10000</f>
        <v/>
      </c>
      <c r="F172" s="3">
        <f>B172/30.48</f>
        <v/>
      </c>
      <c r="G172" s="3">
        <f>D172/30.48</f>
        <v/>
      </c>
      <c r="H172" s="11" t="n"/>
      <c r="I172" s="49" t="inlineStr">
        <is>
          <t>OLD</t>
        </is>
      </c>
      <c r="J172" s="48" t="inlineStr">
        <is>
          <t>TRS</t>
        </is>
      </c>
      <c r="K172" s="51" t="inlineStr">
        <is>
          <t>PAC</t>
        </is>
      </c>
      <c r="L172" s="105" t="inlineStr">
        <is>
          <t>VR</t>
        </is>
      </c>
      <c r="M172" s="210" t="n"/>
      <c r="N172" s="211" t="n"/>
      <c r="O172" s="263" t="n"/>
      <c r="Q172" s="271" t="n"/>
      <c r="R172" s="282" t="n"/>
    </row>
    <row r="173" ht="18" customHeight="1" s="305">
      <c r="A173" s="8" t="inlineStr">
        <is>
          <t>Y 511</t>
        </is>
      </c>
      <c r="B173" s="5" t="n">
        <v>340</v>
      </c>
      <c r="C173" s="6" t="inlineStr">
        <is>
          <t>X</t>
        </is>
      </c>
      <c r="D173" s="5" t="n">
        <v>110</v>
      </c>
      <c r="E173" s="2">
        <f>B173*D173/10000</f>
        <v/>
      </c>
      <c r="F173" s="3">
        <f>B173/30.48</f>
        <v/>
      </c>
      <c r="G173" s="3">
        <f>D173/30.48</f>
        <v/>
      </c>
      <c r="H173" s="11" t="inlineStr">
        <is>
          <t>germe</t>
        </is>
      </c>
      <c r="I173" s="49" t="inlineStr">
        <is>
          <t>OLD</t>
        </is>
      </c>
      <c r="L173" s="105" t="inlineStr">
        <is>
          <t>VR</t>
        </is>
      </c>
      <c r="M173" s="210" t="n"/>
      <c r="N173" s="211" t="n"/>
      <c r="O173" s="263" t="n"/>
      <c r="Q173" s="271" t="n"/>
      <c r="R173" s="282" t="n"/>
    </row>
    <row r="174" ht="18" customHeight="1" s="305">
      <c r="A174" s="8" t="inlineStr">
        <is>
          <t>Y 512</t>
        </is>
      </c>
      <c r="B174" s="5" t="n">
        <v>378</v>
      </c>
      <c r="C174" s="6" t="inlineStr">
        <is>
          <t>X</t>
        </is>
      </c>
      <c r="D174" s="5" t="n">
        <v>113</v>
      </c>
      <c r="E174" s="2">
        <f>B174*D174/10000</f>
        <v/>
      </c>
      <c r="F174" s="3">
        <f>B174/30.48</f>
        <v/>
      </c>
      <c r="G174" s="3">
        <f>D174/30.48</f>
        <v/>
      </c>
      <c r="H174" s="11" t="n"/>
      <c r="I174" s="49" t="inlineStr">
        <is>
          <t>OLD</t>
        </is>
      </c>
      <c r="J174" s="48" t="inlineStr">
        <is>
          <t>TRS</t>
        </is>
      </c>
      <c r="K174" s="51" t="inlineStr">
        <is>
          <t>PAC</t>
        </is>
      </c>
      <c r="L174" s="105" t="inlineStr">
        <is>
          <t>VR</t>
        </is>
      </c>
      <c r="M174" s="210" t="n"/>
      <c r="N174" s="211" t="n"/>
      <c r="O174" s="263" t="n"/>
      <c r="Q174" s="271" t="n"/>
      <c r="R174" s="282" t="n"/>
    </row>
    <row r="175" ht="18" customHeight="1" s="305">
      <c r="A175" s="8" t="inlineStr">
        <is>
          <t>Y 535</t>
        </is>
      </c>
      <c r="B175" s="5" t="n">
        <v>343</v>
      </c>
      <c r="C175" s="6" t="inlineStr">
        <is>
          <t>X</t>
        </is>
      </c>
      <c r="D175" s="5" t="n">
        <v>125</v>
      </c>
      <c r="E175" s="2">
        <f>B175*D175/10000</f>
        <v/>
      </c>
      <c r="F175" s="3">
        <f>B175/30.48</f>
        <v/>
      </c>
      <c r="G175" s="3">
        <f>D175/30.48</f>
        <v/>
      </c>
      <c r="H175" s="11" t="n"/>
      <c r="I175" s="49" t="inlineStr">
        <is>
          <t>OLD</t>
        </is>
      </c>
      <c r="J175" s="48" t="inlineStr">
        <is>
          <t>TRS</t>
        </is>
      </c>
      <c r="K175" s="51" t="inlineStr">
        <is>
          <t>PAC</t>
        </is>
      </c>
      <c r="L175" s="105" t="inlineStr">
        <is>
          <t>VR</t>
        </is>
      </c>
      <c r="M175" s="210" t="n"/>
      <c r="N175" s="211" t="n"/>
      <c r="O175" s="263" t="n"/>
      <c r="Q175" s="271" t="n"/>
      <c r="R175" s="282" t="n"/>
    </row>
    <row r="176" ht="18" customHeight="1" s="305">
      <c r="A176" s="8" t="inlineStr">
        <is>
          <t>Y 616</t>
        </is>
      </c>
      <c r="B176" s="5" t="n">
        <v>315</v>
      </c>
      <c r="C176" s="6" t="inlineStr">
        <is>
          <t>X</t>
        </is>
      </c>
      <c r="D176" s="5" t="n">
        <v>159</v>
      </c>
      <c r="E176" s="2">
        <f>B176*D176/10000</f>
        <v/>
      </c>
      <c r="F176" s="3">
        <f>B176/30.48</f>
        <v/>
      </c>
      <c r="G176" s="3">
        <f>D176/30.48</f>
        <v/>
      </c>
      <c r="H176" s="11" t="n"/>
      <c r="I176" s="49" t="inlineStr">
        <is>
          <t>OLD</t>
        </is>
      </c>
      <c r="J176" s="48" t="inlineStr">
        <is>
          <t>TRS</t>
        </is>
      </c>
      <c r="K176" s="51" t="inlineStr">
        <is>
          <t>PAC</t>
        </is>
      </c>
      <c r="L176" s="105" t="inlineStr">
        <is>
          <t>VR</t>
        </is>
      </c>
      <c r="M176" s="210" t="n"/>
      <c r="N176" s="211" t="n"/>
      <c r="O176" s="263" t="n"/>
      <c r="Q176" s="271" t="n"/>
      <c r="R176" s="282" t="n"/>
    </row>
    <row r="177" ht="18" customHeight="1" s="305">
      <c r="A177" s="8" t="inlineStr">
        <is>
          <t>Y 646</t>
        </is>
      </c>
      <c r="B177" s="5" t="n">
        <v>305</v>
      </c>
      <c r="C177" s="6" t="inlineStr">
        <is>
          <t>X</t>
        </is>
      </c>
      <c r="D177" s="5" t="n">
        <v>205</v>
      </c>
      <c r="E177" s="2">
        <f>B177*D177/10000</f>
        <v/>
      </c>
      <c r="F177" s="3">
        <f>B177/30.48</f>
        <v/>
      </c>
      <c r="G177" s="3">
        <f>D177/30.48</f>
        <v/>
      </c>
      <c r="H177" s="11" t="n"/>
      <c r="I177" s="49" t="inlineStr">
        <is>
          <t>OLD</t>
        </is>
      </c>
      <c r="J177" s="48" t="inlineStr">
        <is>
          <t>TRS</t>
        </is>
      </c>
      <c r="K177" s="51" t="inlineStr">
        <is>
          <t>PAC</t>
        </is>
      </c>
      <c r="L177" s="105" t="inlineStr">
        <is>
          <t>VR</t>
        </is>
      </c>
      <c r="M177" s="210" t="n"/>
      <c r="N177" s="211" t="n"/>
      <c r="O177" s="263" t="n"/>
      <c r="Q177" s="271" t="n"/>
      <c r="R177" s="282" t="n"/>
    </row>
    <row r="178" ht="18" customHeight="1" s="305">
      <c r="A178" s="8" t="inlineStr">
        <is>
          <t>Y 658</t>
        </is>
      </c>
      <c r="B178" s="5" t="n">
        <v>300</v>
      </c>
      <c r="C178" s="6" t="inlineStr">
        <is>
          <t>X</t>
        </is>
      </c>
      <c r="D178" s="5" t="n">
        <v>195</v>
      </c>
      <c r="E178" s="2">
        <f>B178*D178/10000</f>
        <v/>
      </c>
      <c r="F178" s="3">
        <f>B178/30.48</f>
        <v/>
      </c>
      <c r="G178" s="3">
        <f>D178/30.48</f>
        <v/>
      </c>
      <c r="H178" s="11" t="n"/>
      <c r="I178" s="49" t="inlineStr">
        <is>
          <t>OLD</t>
        </is>
      </c>
      <c r="J178" s="48" t="inlineStr">
        <is>
          <t>TRS</t>
        </is>
      </c>
      <c r="K178" s="51" t="inlineStr">
        <is>
          <t>PAC</t>
        </is>
      </c>
      <c r="L178" s="105" t="inlineStr">
        <is>
          <t>VR</t>
        </is>
      </c>
      <c r="M178" s="210" t="n"/>
      <c r="N178" s="211" t="n"/>
      <c r="O178" s="263" t="n"/>
      <c r="Q178" s="271" t="n"/>
      <c r="R178" s="282" t="n"/>
    </row>
    <row r="179" ht="16.5" customHeight="1" s="305">
      <c r="A179" s="8" t="inlineStr">
        <is>
          <t>Y 717</t>
        </is>
      </c>
      <c r="B179" s="5" t="n">
        <v>298</v>
      </c>
      <c r="C179" s="6" t="inlineStr">
        <is>
          <t>X</t>
        </is>
      </c>
      <c r="D179" s="5" t="n">
        <v>223</v>
      </c>
      <c r="E179" s="2">
        <f>B179*D179/10000</f>
        <v/>
      </c>
      <c r="F179" s="3">
        <f>B179/30.48</f>
        <v/>
      </c>
      <c r="G179" s="3">
        <f>D179/30.48</f>
        <v/>
      </c>
      <c r="H179" s="615" t="n"/>
      <c r="J179" s="48" t="inlineStr">
        <is>
          <t>TRS</t>
        </is>
      </c>
      <c r="K179" s="51" t="inlineStr">
        <is>
          <t>PAC</t>
        </is>
      </c>
      <c r="L179" s="105" t="inlineStr">
        <is>
          <t>VR</t>
        </is>
      </c>
      <c r="M179" s="210" t="n"/>
      <c r="N179" s="211" t="n"/>
      <c r="O179" s="263" t="n"/>
      <c r="Q179" s="271" t="n"/>
      <c r="R179" s="282" t="n"/>
    </row>
    <row r="180" ht="18" customHeight="1" s="305">
      <c r="A180" s="8" t="inlineStr">
        <is>
          <t>Y 720</t>
        </is>
      </c>
      <c r="B180" s="5" t="n">
        <v>245</v>
      </c>
      <c r="C180" s="6" t="inlineStr">
        <is>
          <t>X</t>
        </is>
      </c>
      <c r="D180" s="5" t="n">
        <v>136</v>
      </c>
      <c r="E180" s="2">
        <f>B180*D180/10000</f>
        <v/>
      </c>
      <c r="F180" s="3">
        <f>B180/30.48</f>
        <v/>
      </c>
      <c r="G180" s="3">
        <f>D180/30.48</f>
        <v/>
      </c>
      <c r="H180" s="615" t="inlineStr">
        <is>
          <t>eksik 2</t>
        </is>
      </c>
      <c r="I180" s="49" t="inlineStr">
        <is>
          <t>OLD</t>
        </is>
      </c>
      <c r="K180" s="51" t="inlineStr">
        <is>
          <t>PAC</t>
        </is>
      </c>
      <c r="L180" s="105" t="inlineStr">
        <is>
          <t>VR</t>
        </is>
      </c>
      <c r="M180" s="210" t="n"/>
      <c r="N180" s="211" t="n"/>
      <c r="O180" s="340" t="inlineStr">
        <is>
          <t>SBL</t>
        </is>
      </c>
      <c r="Q180" s="271" t="n"/>
      <c r="R180" s="282" t="n"/>
    </row>
    <row r="181" ht="18" customHeight="1" s="305">
      <c r="A181" s="8" t="inlineStr">
        <is>
          <t>Y 722</t>
        </is>
      </c>
      <c r="B181" s="5" t="n">
        <v>257</v>
      </c>
      <c r="C181" s="6" t="inlineStr">
        <is>
          <t>X</t>
        </is>
      </c>
      <c r="D181" s="5" t="n">
        <v>182</v>
      </c>
      <c r="E181" s="2">
        <f>B181*D181/10000</f>
        <v/>
      </c>
      <c r="F181" s="3">
        <f>B181/30.48</f>
        <v/>
      </c>
      <c r="G181" s="3">
        <f>D181/30.48</f>
        <v/>
      </c>
      <c r="H181" s="615" t="n"/>
      <c r="I181" s="49" t="inlineStr">
        <is>
          <t>OLD</t>
        </is>
      </c>
      <c r="J181" s="48" t="inlineStr">
        <is>
          <t>TRS</t>
        </is>
      </c>
      <c r="K181" s="51" t="inlineStr">
        <is>
          <t>PAC</t>
        </is>
      </c>
      <c r="L181" s="105" t="inlineStr">
        <is>
          <t>VR</t>
        </is>
      </c>
      <c r="M181" s="210" t="n"/>
      <c r="N181" s="211" t="n"/>
      <c r="O181" s="263" t="n"/>
      <c r="Q181" s="271" t="n"/>
      <c r="R181" s="282" t="n"/>
    </row>
    <row r="182" ht="18" customHeight="1" s="305">
      <c r="A182" s="8" t="inlineStr">
        <is>
          <t>Y 742</t>
        </is>
      </c>
      <c r="B182" s="5" t="n">
        <v>276</v>
      </c>
      <c r="C182" s="6" t="inlineStr">
        <is>
          <t>X</t>
        </is>
      </c>
      <c r="D182" s="5" t="n">
        <v>189</v>
      </c>
      <c r="E182" s="2">
        <f>B182*D182/10000</f>
        <v/>
      </c>
      <c r="F182" s="3">
        <f>B182/30.48</f>
        <v/>
      </c>
      <c r="G182" s="3">
        <f>D182/30.48</f>
        <v/>
      </c>
      <c r="H182" s="615" t="n"/>
      <c r="I182" s="49" t="inlineStr">
        <is>
          <t>OLD</t>
        </is>
      </c>
      <c r="J182" s="48" t="inlineStr">
        <is>
          <t>TRS</t>
        </is>
      </c>
      <c r="K182" s="51" t="inlineStr">
        <is>
          <t>PAC</t>
        </is>
      </c>
      <c r="L182" s="105" t="inlineStr">
        <is>
          <t>VR</t>
        </is>
      </c>
      <c r="M182" s="210" t="n"/>
      <c r="N182" s="211" t="n"/>
      <c r="O182" s="263" t="n"/>
      <c r="Q182" s="271" t="n"/>
      <c r="R182" s="282" t="n"/>
    </row>
    <row r="183" ht="18" customHeight="1" s="305">
      <c r="A183" s="8" t="inlineStr">
        <is>
          <t>Y 753</t>
        </is>
      </c>
      <c r="B183" s="5" t="n">
        <v>272</v>
      </c>
      <c r="C183" s="6" t="inlineStr">
        <is>
          <t>X</t>
        </is>
      </c>
      <c r="D183" s="5" t="n">
        <v>183</v>
      </c>
      <c r="E183" s="2">
        <f>B183*D183/10000</f>
        <v/>
      </c>
      <c r="F183" s="3">
        <f>B183/30.48</f>
        <v/>
      </c>
      <c r="G183" s="3">
        <f>D183/30.48</f>
        <v/>
      </c>
      <c r="H183" s="615" t="n"/>
      <c r="I183" s="49" t="inlineStr">
        <is>
          <t>OLD</t>
        </is>
      </c>
      <c r="J183" s="48" t="inlineStr">
        <is>
          <t>TRS</t>
        </is>
      </c>
      <c r="K183" s="51" t="inlineStr">
        <is>
          <t>PAC</t>
        </is>
      </c>
      <c r="L183" s="105" t="inlineStr">
        <is>
          <t>VR</t>
        </is>
      </c>
      <c r="M183" s="210" t="n"/>
      <c r="N183" s="211" t="n"/>
      <c r="O183" s="263" t="n"/>
      <c r="Q183" s="271" t="n"/>
      <c r="R183" s="282" t="n"/>
    </row>
    <row r="184" ht="18" customHeight="1" s="305">
      <c r="A184" s="8" t="inlineStr">
        <is>
          <t>Y 767</t>
        </is>
      </c>
      <c r="B184" s="5" t="n">
        <v>238</v>
      </c>
      <c r="C184" s="6" t="inlineStr">
        <is>
          <t>X</t>
        </is>
      </c>
      <c r="D184" s="5" t="n">
        <v>158</v>
      </c>
      <c r="E184" s="2">
        <f>B184*D184/10000</f>
        <v/>
      </c>
      <c r="F184" s="3">
        <f>B184/30.48</f>
        <v/>
      </c>
      <c r="G184" s="3">
        <f>D184/30.48</f>
        <v/>
      </c>
      <c r="H184" s="615" t="inlineStr">
        <is>
          <t>eksik 2</t>
        </is>
      </c>
      <c r="I184" s="49" t="inlineStr">
        <is>
          <t>OLD</t>
        </is>
      </c>
      <c r="K184" s="51" t="inlineStr">
        <is>
          <t>PAC</t>
        </is>
      </c>
      <c r="M184" s="210" t="n"/>
      <c r="N184" s="211" t="n"/>
      <c r="O184" s="340" t="inlineStr">
        <is>
          <t>SBL</t>
        </is>
      </c>
      <c r="Q184" s="271" t="n"/>
      <c r="R184" s="282" t="n"/>
    </row>
    <row r="185" ht="18" customHeight="1" s="305">
      <c r="A185" s="8" t="inlineStr">
        <is>
          <t>Y 801</t>
        </is>
      </c>
      <c r="B185" s="5" t="n">
        <v>315</v>
      </c>
      <c r="C185" s="6" t="inlineStr">
        <is>
          <t>X</t>
        </is>
      </c>
      <c r="D185" s="5" t="n">
        <v>215</v>
      </c>
      <c r="E185" s="2">
        <f>B185*D185/10000</f>
        <v/>
      </c>
      <c r="F185" s="3">
        <f>B185/30.48</f>
        <v/>
      </c>
      <c r="G185" s="3">
        <f>D185/30.48</f>
        <v/>
      </c>
      <c r="H185" s="615" t="n"/>
      <c r="J185" s="48" t="inlineStr">
        <is>
          <t>TRS</t>
        </is>
      </c>
      <c r="K185" s="51" t="inlineStr">
        <is>
          <t>PAC</t>
        </is>
      </c>
      <c r="L185" s="105" t="inlineStr">
        <is>
          <t>VR</t>
        </is>
      </c>
      <c r="M185" s="210" t="n"/>
      <c r="N185" s="211" t="n"/>
      <c r="O185" s="263" t="n"/>
      <c r="Q185" s="271" t="n"/>
      <c r="R185" s="282" t="n"/>
    </row>
    <row r="186" ht="18" customHeight="1" s="305">
      <c r="A186" s="8" t="inlineStr">
        <is>
          <t>Y 808</t>
        </is>
      </c>
      <c r="B186" s="5" t="n">
        <v>295</v>
      </c>
      <c r="C186" s="6" t="inlineStr">
        <is>
          <t>X</t>
        </is>
      </c>
      <c r="D186" s="5" t="n">
        <v>209</v>
      </c>
      <c r="E186" s="2">
        <f>B186*D186/10000</f>
        <v/>
      </c>
      <c r="F186" s="3">
        <f>B186/30.48</f>
        <v/>
      </c>
      <c r="G186" s="3">
        <f>D186/30.48</f>
        <v/>
      </c>
      <c r="H186" s="615" t="n"/>
      <c r="J186" s="48" t="inlineStr">
        <is>
          <t>TRS</t>
        </is>
      </c>
      <c r="K186" s="51" t="inlineStr">
        <is>
          <t>PAC</t>
        </is>
      </c>
      <c r="L186" s="105" t="inlineStr">
        <is>
          <t>VR</t>
        </is>
      </c>
      <c r="M186" s="210" t="n"/>
      <c r="N186" s="211" t="n"/>
      <c r="O186" s="263" t="n"/>
      <c r="Q186" s="271" t="n"/>
      <c r="R186" s="282" t="n"/>
    </row>
    <row r="187" ht="18" customHeight="1" s="305">
      <c r="A187" s="8" t="inlineStr">
        <is>
          <t>Y 814</t>
        </is>
      </c>
      <c r="B187" s="5" t="n">
        <v>300</v>
      </c>
      <c r="C187" s="6" t="inlineStr">
        <is>
          <t>X</t>
        </is>
      </c>
      <c r="D187" s="5" t="n">
        <v>208</v>
      </c>
      <c r="E187" s="2">
        <f>B187*D187/10000</f>
        <v/>
      </c>
      <c r="F187" s="3">
        <f>B187/30.48</f>
        <v/>
      </c>
      <c r="G187" s="3">
        <f>D187/30.48</f>
        <v/>
      </c>
      <c r="H187" s="615" t="n"/>
      <c r="I187" s="49" t="inlineStr">
        <is>
          <t>OLD</t>
        </is>
      </c>
      <c r="J187" s="48" t="inlineStr">
        <is>
          <t>TRS</t>
        </is>
      </c>
      <c r="K187" s="51" t="inlineStr">
        <is>
          <t>PAC</t>
        </is>
      </c>
      <c r="L187" s="105" t="inlineStr">
        <is>
          <t>VR</t>
        </is>
      </c>
      <c r="M187" s="210" t="n"/>
      <c r="N187" s="211" t="n"/>
      <c r="O187" s="263" t="n"/>
      <c r="Q187" s="271" t="n"/>
      <c r="R187" s="282" t="n"/>
    </row>
    <row r="188" ht="18" customHeight="1" s="305">
      <c r="A188" s="8" t="inlineStr">
        <is>
          <t>Y 839</t>
        </is>
      </c>
      <c r="B188" s="5" t="n">
        <v>314</v>
      </c>
      <c r="C188" s="6" t="inlineStr">
        <is>
          <t>X</t>
        </is>
      </c>
      <c r="D188" s="5" t="n">
        <v>210</v>
      </c>
      <c r="E188" s="2">
        <f>B188*D188/10000</f>
        <v/>
      </c>
      <c r="F188" s="3">
        <f>B188/30.48</f>
        <v/>
      </c>
      <c r="G188" s="3">
        <f>D188/30.48</f>
        <v/>
      </c>
      <c r="H188" s="615" t="n"/>
      <c r="J188" s="48" t="inlineStr">
        <is>
          <t>TRS</t>
        </is>
      </c>
      <c r="K188" s="51" t="inlineStr">
        <is>
          <t>PAC</t>
        </is>
      </c>
      <c r="L188" s="105" t="inlineStr">
        <is>
          <t>VR</t>
        </is>
      </c>
      <c r="M188" s="210" t="n"/>
      <c r="N188" s="211" t="n"/>
      <c r="O188" s="263" t="n"/>
      <c r="Q188" s="271" t="n"/>
      <c r="R188" s="282" t="n"/>
    </row>
    <row r="189" ht="18" customHeight="1" s="305">
      <c r="A189" s="8" t="inlineStr">
        <is>
          <t>Y 841</t>
        </is>
      </c>
      <c r="B189" s="5" t="n">
        <v>296</v>
      </c>
      <c r="C189" s="6" t="inlineStr">
        <is>
          <t>X</t>
        </is>
      </c>
      <c r="D189" s="5" t="n">
        <v>205</v>
      </c>
      <c r="E189" s="2">
        <f>B189*D189/10000</f>
        <v/>
      </c>
      <c r="F189" s="3">
        <f>B189/30.48</f>
        <v/>
      </c>
      <c r="G189" s="3">
        <f>D189/30.48</f>
        <v/>
      </c>
      <c r="H189" s="615" t="inlineStr">
        <is>
          <t>kontroll</t>
        </is>
      </c>
      <c r="K189" s="51" t="inlineStr">
        <is>
          <t>PAC</t>
        </is>
      </c>
      <c r="L189" s="105" t="inlineStr">
        <is>
          <t>VR</t>
        </is>
      </c>
      <c r="M189" s="210" t="n"/>
      <c r="N189" s="211" t="n"/>
      <c r="O189" s="263" t="n"/>
      <c r="Q189" s="271" t="n"/>
      <c r="R189" s="282" t="n"/>
    </row>
    <row r="190" ht="18" customHeight="1" s="305">
      <c r="A190" s="8" t="inlineStr">
        <is>
          <t>Y 845</t>
        </is>
      </c>
      <c r="B190" s="5" t="n">
        <v>292</v>
      </c>
      <c r="C190" s="6" t="inlineStr">
        <is>
          <t>X</t>
        </is>
      </c>
      <c r="D190" s="5" t="n">
        <v>215</v>
      </c>
      <c r="E190" s="2">
        <f>B190*D190/10000</f>
        <v/>
      </c>
      <c r="F190" s="3">
        <f>B190/30.48</f>
        <v/>
      </c>
      <c r="G190" s="3">
        <f>D190/30.48</f>
        <v/>
      </c>
      <c r="H190" s="615" t="inlineStr">
        <is>
          <t>kontroll</t>
        </is>
      </c>
      <c r="J190" s="48" t="inlineStr">
        <is>
          <t>TRS</t>
        </is>
      </c>
      <c r="K190" s="51" t="inlineStr">
        <is>
          <t>PAC</t>
        </is>
      </c>
      <c r="L190" s="105" t="inlineStr">
        <is>
          <t>VR</t>
        </is>
      </c>
      <c r="M190" s="210" t="n"/>
      <c r="N190" s="211" t="n"/>
      <c r="O190" s="263" t="n"/>
      <c r="Q190" s="271" t="n"/>
      <c r="R190" s="282" t="n"/>
    </row>
    <row r="191" ht="18" customHeight="1" s="305">
      <c r="A191" s="8" t="inlineStr">
        <is>
          <t>Y 863</t>
        </is>
      </c>
      <c r="B191" s="5" t="n">
        <v>298</v>
      </c>
      <c r="C191" s="6" t="inlineStr">
        <is>
          <t>X</t>
        </is>
      </c>
      <c r="D191" s="5" t="n">
        <v>203</v>
      </c>
      <c r="E191" s="2">
        <f>B191*D191/10000</f>
        <v/>
      </c>
      <c r="F191" s="3">
        <f>B191/30.48</f>
        <v/>
      </c>
      <c r="G191" s="3">
        <f>D191/30.48</f>
        <v/>
      </c>
      <c r="H191" s="615" t="n"/>
      <c r="I191" s="49" t="inlineStr">
        <is>
          <t>OLD</t>
        </is>
      </c>
      <c r="J191" s="48" t="inlineStr">
        <is>
          <t>TRS</t>
        </is>
      </c>
      <c r="K191" s="51" t="inlineStr">
        <is>
          <t>PAC</t>
        </is>
      </c>
      <c r="L191" s="105" t="inlineStr">
        <is>
          <t>VR</t>
        </is>
      </c>
      <c r="M191" s="210" t="n"/>
      <c r="N191" s="211" t="n"/>
      <c r="O191" s="263" t="n"/>
      <c r="Q191" s="271" t="n"/>
      <c r="R191" s="282" t="n"/>
    </row>
    <row r="192" ht="18" customHeight="1" s="305">
      <c r="A192" s="8" t="inlineStr">
        <is>
          <t>Y 872</t>
        </is>
      </c>
      <c r="B192" s="5" t="n">
        <v>306</v>
      </c>
      <c r="C192" s="6" t="inlineStr">
        <is>
          <t>X</t>
        </is>
      </c>
      <c r="D192" s="5" t="n">
        <v>196</v>
      </c>
      <c r="E192" s="2">
        <f>B192*D192/10000</f>
        <v/>
      </c>
      <c r="F192" s="3">
        <f>B192/30.48</f>
        <v/>
      </c>
      <c r="G192" s="3">
        <f>D192/30.48</f>
        <v/>
      </c>
      <c r="H192" s="615" t="n"/>
      <c r="I192" s="49" t="inlineStr">
        <is>
          <t>OLD</t>
        </is>
      </c>
      <c r="J192" s="48" t="inlineStr">
        <is>
          <t>TRS</t>
        </is>
      </c>
      <c r="K192" s="51" t="inlineStr">
        <is>
          <t>PAC</t>
        </is>
      </c>
      <c r="L192" s="105" t="inlineStr">
        <is>
          <t>VR</t>
        </is>
      </c>
      <c r="M192" s="210" t="n"/>
      <c r="N192" s="211" t="n"/>
      <c r="O192" s="263" t="n"/>
      <c r="Q192" s="271" t="n"/>
      <c r="R192" s="282" t="n"/>
    </row>
    <row r="193" ht="18" customHeight="1" s="305">
      <c r="A193" s="8" t="inlineStr">
        <is>
          <t>Y 885</t>
        </is>
      </c>
      <c r="B193" s="5" t="n">
        <v>257</v>
      </c>
      <c r="C193" s="6" t="inlineStr">
        <is>
          <t>X</t>
        </is>
      </c>
      <c r="D193" s="5" t="n">
        <v>160</v>
      </c>
      <c r="E193" s="2">
        <f>B193*D193/10000</f>
        <v/>
      </c>
      <c r="F193" s="3">
        <f>B193/30.48</f>
        <v/>
      </c>
      <c r="G193" s="3">
        <f>D193/30.48</f>
        <v/>
      </c>
      <c r="H193" s="615" t="n"/>
      <c r="I193" s="49" t="inlineStr">
        <is>
          <t>OLD</t>
        </is>
      </c>
      <c r="J193" s="48" t="inlineStr">
        <is>
          <t>TRS</t>
        </is>
      </c>
      <c r="K193" s="51" t="inlineStr">
        <is>
          <t>PAC</t>
        </is>
      </c>
      <c r="L193" s="105" t="inlineStr">
        <is>
          <t>VR</t>
        </is>
      </c>
      <c r="M193" s="210" t="n"/>
      <c r="N193" s="211" t="n"/>
      <c r="O193" s="263" t="n"/>
      <c r="Q193" s="271" t="n"/>
      <c r="R193" s="282" t="n"/>
    </row>
    <row r="194" ht="18" customHeight="1" s="305">
      <c r="A194" s="8" t="inlineStr">
        <is>
          <t>Y 896</t>
        </is>
      </c>
      <c r="B194" s="5" t="n">
        <v>272</v>
      </c>
      <c r="C194" s="6" t="inlineStr">
        <is>
          <t>X</t>
        </is>
      </c>
      <c r="D194" s="5" t="n">
        <v>172</v>
      </c>
      <c r="E194" s="2">
        <f>B194*D194/10000</f>
        <v/>
      </c>
      <c r="F194" s="3">
        <f>B194/30.48</f>
        <v/>
      </c>
      <c r="G194" s="3">
        <f>D194/30.48</f>
        <v/>
      </c>
      <c r="H194" s="615" t="n"/>
      <c r="I194" s="49" t="inlineStr">
        <is>
          <t>OLD</t>
        </is>
      </c>
      <c r="J194" s="48" t="inlineStr">
        <is>
          <t>TRS</t>
        </is>
      </c>
      <c r="K194" s="51" t="inlineStr">
        <is>
          <t>PAC</t>
        </is>
      </c>
      <c r="L194" s="105" t="inlineStr">
        <is>
          <t>VR</t>
        </is>
      </c>
      <c r="M194" s="210" t="n"/>
      <c r="N194" s="211" t="n"/>
      <c r="O194" s="263" t="n"/>
      <c r="Q194" s="271" t="n"/>
      <c r="R194" s="282" t="n"/>
    </row>
    <row r="195" ht="18" customHeight="1" s="305">
      <c r="A195" s="8" t="inlineStr">
        <is>
          <t>Y 922</t>
        </is>
      </c>
      <c r="B195" s="5" t="n">
        <v>312</v>
      </c>
      <c r="C195" s="6" t="inlineStr">
        <is>
          <t>X</t>
        </is>
      </c>
      <c r="D195" s="5" t="n">
        <v>196</v>
      </c>
      <c r="E195" s="2">
        <f>B195*D195/10000</f>
        <v/>
      </c>
      <c r="F195" s="3">
        <f>B195/30.48</f>
        <v/>
      </c>
      <c r="G195" s="3">
        <f>D195/30.48</f>
        <v/>
      </c>
      <c r="H195" s="615" t="n"/>
      <c r="I195" s="49" t="inlineStr">
        <is>
          <t>OLD</t>
        </is>
      </c>
      <c r="J195" s="48" t="inlineStr">
        <is>
          <t>TRS</t>
        </is>
      </c>
      <c r="K195" s="51" t="inlineStr">
        <is>
          <t>PAC</t>
        </is>
      </c>
      <c r="L195" s="105" t="inlineStr">
        <is>
          <t>VR</t>
        </is>
      </c>
      <c r="M195" s="210" t="n"/>
      <c r="N195" s="211" t="n"/>
      <c r="O195" s="263" t="n"/>
      <c r="Q195" s="271" t="n"/>
      <c r="R195" s="282" t="n"/>
    </row>
    <row r="196" ht="18" customHeight="1" s="305">
      <c r="A196" s="8" t="inlineStr">
        <is>
          <t>Y 938</t>
        </is>
      </c>
      <c r="B196" s="5" t="n">
        <v>270</v>
      </c>
      <c r="C196" s="6" t="inlineStr">
        <is>
          <t>X</t>
        </is>
      </c>
      <c r="D196" s="5" t="n">
        <v>166</v>
      </c>
      <c r="E196" s="2">
        <f>B196*D196/10000</f>
        <v/>
      </c>
      <c r="F196" s="3">
        <f>B196/30.48</f>
        <v/>
      </c>
      <c r="G196" s="3">
        <f>D196/30.48</f>
        <v/>
      </c>
      <c r="H196" s="615" t="n"/>
      <c r="I196" s="49" t="inlineStr">
        <is>
          <t>OLD</t>
        </is>
      </c>
      <c r="J196" s="48" t="inlineStr">
        <is>
          <t>TRS</t>
        </is>
      </c>
      <c r="K196" s="51" t="inlineStr">
        <is>
          <t>PAC</t>
        </is>
      </c>
      <c r="L196" s="105" t="inlineStr">
        <is>
          <t>VR</t>
        </is>
      </c>
      <c r="M196" s="210" t="n"/>
      <c r="N196" s="211" t="n"/>
      <c r="O196" s="263" t="n"/>
      <c r="Q196" s="271" t="n"/>
      <c r="R196" s="282" t="n"/>
    </row>
    <row r="197" ht="18" customHeight="1" s="305">
      <c r="A197" s="8" t="inlineStr">
        <is>
          <t>Y 940</t>
        </is>
      </c>
      <c r="B197" s="5" t="n">
        <v>235</v>
      </c>
      <c r="C197" s="6" t="inlineStr">
        <is>
          <t>X</t>
        </is>
      </c>
      <c r="D197" s="5" t="n">
        <v>164</v>
      </c>
      <c r="E197" s="2">
        <f>B197*D197/10000</f>
        <v/>
      </c>
      <c r="F197" s="3">
        <f>B197/30.48</f>
        <v/>
      </c>
      <c r="G197" s="3">
        <f>D197/30.48</f>
        <v/>
      </c>
      <c r="H197" s="615" t="n"/>
      <c r="I197" s="49" t="inlineStr">
        <is>
          <t>OLD</t>
        </is>
      </c>
      <c r="J197" s="48" t="inlineStr">
        <is>
          <t>TRS</t>
        </is>
      </c>
      <c r="K197" s="51" t="inlineStr">
        <is>
          <t>PAC</t>
        </is>
      </c>
      <c r="L197" s="105" t="inlineStr">
        <is>
          <t>VR</t>
        </is>
      </c>
      <c r="M197" s="210" t="n"/>
      <c r="N197" s="211" t="n"/>
      <c r="O197" s="263" t="n"/>
      <c r="Q197" s="271" t="n"/>
      <c r="R197" s="282" t="n"/>
    </row>
    <row r="198" ht="18" customHeight="1" s="305">
      <c r="A198" s="8" t="inlineStr">
        <is>
          <t>Y 958</t>
        </is>
      </c>
      <c r="B198" s="5" t="n">
        <v>276</v>
      </c>
      <c r="C198" s="6" t="inlineStr">
        <is>
          <t>X</t>
        </is>
      </c>
      <c r="D198" s="5" t="n">
        <v>150</v>
      </c>
      <c r="E198" s="2">
        <f>B198*D198/10000</f>
        <v/>
      </c>
      <c r="F198" s="3">
        <f>B198/30.48</f>
        <v/>
      </c>
      <c r="G198" s="3">
        <f>D198/30.48</f>
        <v/>
      </c>
      <c r="H198" s="615" t="inlineStr">
        <is>
          <t>eksik 2</t>
        </is>
      </c>
      <c r="I198" s="49" t="inlineStr">
        <is>
          <t>OLD</t>
        </is>
      </c>
      <c r="K198" s="51" t="inlineStr">
        <is>
          <t>PAC</t>
        </is>
      </c>
      <c r="L198" s="105" t="inlineStr">
        <is>
          <t>VR</t>
        </is>
      </c>
      <c r="M198" s="210" t="n"/>
      <c r="N198" s="211" t="n"/>
      <c r="O198" s="340" t="inlineStr">
        <is>
          <t>SBL</t>
        </is>
      </c>
      <c r="Q198" s="271" t="n"/>
      <c r="R198" s="282" t="n"/>
    </row>
    <row r="199" ht="18" customHeight="1" s="305">
      <c r="A199" s="8" t="inlineStr">
        <is>
          <t>C 130</t>
        </is>
      </c>
      <c r="B199" s="5" t="n">
        <v>310</v>
      </c>
      <c r="C199" s="6" t="inlineStr">
        <is>
          <t>X</t>
        </is>
      </c>
      <c r="D199" s="5" t="n">
        <v>83</v>
      </c>
      <c r="E199" s="2">
        <f>B199*D199/10000</f>
        <v/>
      </c>
      <c r="F199" s="3">
        <f>B199/30.48</f>
        <v/>
      </c>
      <c r="G199" s="3">
        <f>D199/30.48</f>
        <v/>
      </c>
      <c r="H199" s="615" t="n"/>
      <c r="I199" s="49" t="inlineStr">
        <is>
          <t>OLD</t>
        </is>
      </c>
      <c r="J199" s="48" t="inlineStr">
        <is>
          <t>TRS</t>
        </is>
      </c>
      <c r="K199" s="51" t="inlineStr">
        <is>
          <t>PAC</t>
        </is>
      </c>
      <c r="M199" s="210" t="n"/>
      <c r="N199" s="211" t="n"/>
      <c r="O199" s="340" t="inlineStr">
        <is>
          <t>SBL</t>
        </is>
      </c>
      <c r="Q199" s="271" t="n"/>
      <c r="R199" s="282" t="n"/>
    </row>
    <row r="200" ht="18" customHeight="1" s="305">
      <c r="A200" s="8" t="inlineStr">
        <is>
          <t>C 134</t>
        </is>
      </c>
      <c r="B200" s="5" t="n">
        <v>327</v>
      </c>
      <c r="C200" s="6" t="inlineStr">
        <is>
          <t>X</t>
        </is>
      </c>
      <c r="D200" s="5" t="n">
        <v>80</v>
      </c>
      <c r="E200" s="2">
        <f>B200*D200/10000</f>
        <v/>
      </c>
      <c r="F200" s="3">
        <f>B200/30.48</f>
        <v/>
      </c>
      <c r="G200" s="3">
        <f>D200/30.48</f>
        <v/>
      </c>
      <c r="H200" s="615" t="n"/>
      <c r="I200" s="49" t="inlineStr">
        <is>
          <t>OLD</t>
        </is>
      </c>
      <c r="J200" s="48" t="inlineStr">
        <is>
          <t>TRS</t>
        </is>
      </c>
      <c r="K200" s="51" t="inlineStr">
        <is>
          <t>PAC</t>
        </is>
      </c>
      <c r="L200" s="105" t="inlineStr">
        <is>
          <t>VR</t>
        </is>
      </c>
      <c r="M200" s="210" t="n"/>
      <c r="N200" s="211" t="n"/>
      <c r="O200" s="340" t="inlineStr">
        <is>
          <t>SBL</t>
        </is>
      </c>
      <c r="Q200" s="271" t="n"/>
      <c r="R200" s="282" t="n"/>
    </row>
    <row r="201" ht="18" customHeight="1" s="305">
      <c r="A201" s="8" t="inlineStr">
        <is>
          <t>C 138</t>
        </is>
      </c>
      <c r="B201" s="5" t="n">
        <v>391</v>
      </c>
      <c r="C201" s="6" t="inlineStr">
        <is>
          <t>X</t>
        </is>
      </c>
      <c r="D201" s="5" t="n">
        <v>96</v>
      </c>
      <c r="E201" s="2">
        <f>B201*D201/10000</f>
        <v/>
      </c>
      <c r="F201" s="3">
        <f>B201/30.48</f>
        <v/>
      </c>
      <c r="G201" s="3">
        <f>D201/30.48</f>
        <v/>
      </c>
      <c r="H201" s="615" t="n"/>
      <c r="I201" s="49" t="inlineStr">
        <is>
          <t>OLD</t>
        </is>
      </c>
      <c r="J201" s="48" t="inlineStr">
        <is>
          <t>TRS</t>
        </is>
      </c>
      <c r="K201" s="51" t="inlineStr">
        <is>
          <t>PAC</t>
        </is>
      </c>
      <c r="L201" s="105" t="inlineStr">
        <is>
          <t>VR</t>
        </is>
      </c>
      <c r="M201" s="210" t="n"/>
      <c r="N201" s="211" t="n"/>
      <c r="O201" s="340" t="inlineStr">
        <is>
          <t>SBL</t>
        </is>
      </c>
      <c r="Q201" s="271" t="n"/>
      <c r="R201" s="282" t="n"/>
    </row>
    <row r="202" ht="18" customHeight="1" s="305">
      <c r="A202" s="8" t="inlineStr">
        <is>
          <t>C 149</t>
        </is>
      </c>
      <c r="B202" s="5" t="n">
        <v>223</v>
      </c>
      <c r="C202" s="6" t="inlineStr">
        <is>
          <t>X</t>
        </is>
      </c>
      <c r="D202" s="5" t="n">
        <v>118</v>
      </c>
      <c r="E202" s="2">
        <f>B202*D202/10000</f>
        <v/>
      </c>
      <c r="F202" s="3">
        <f>B202/30.48</f>
        <v/>
      </c>
      <c r="G202" s="3">
        <f>D202/30.48</f>
        <v/>
      </c>
      <c r="H202" s="615" t="n"/>
      <c r="I202" s="49" t="inlineStr">
        <is>
          <t>OLD</t>
        </is>
      </c>
      <c r="J202" s="48" t="inlineStr">
        <is>
          <t>TRS</t>
        </is>
      </c>
      <c r="K202" s="51" t="inlineStr">
        <is>
          <t>PAC</t>
        </is>
      </c>
      <c r="L202" s="105" t="inlineStr">
        <is>
          <t>VR</t>
        </is>
      </c>
      <c r="M202" s="210" t="n"/>
      <c r="N202" s="211" t="n"/>
      <c r="O202" s="340" t="inlineStr">
        <is>
          <t>SBL</t>
        </is>
      </c>
      <c r="Q202" s="271" t="n"/>
      <c r="R202" s="282" t="n"/>
    </row>
    <row r="203" ht="18" customHeight="1" s="305">
      <c r="A203" s="8" t="inlineStr">
        <is>
          <t>C 153</t>
        </is>
      </c>
      <c r="B203" s="5" t="n">
        <v>319</v>
      </c>
      <c r="C203" s="6" t="inlineStr">
        <is>
          <t>X</t>
        </is>
      </c>
      <c r="D203" s="5" t="n">
        <v>93</v>
      </c>
      <c r="E203" s="2">
        <f>B203*D203/10000</f>
        <v/>
      </c>
      <c r="F203" s="3">
        <f>B203/30.48</f>
        <v/>
      </c>
      <c r="G203" s="3">
        <f>D203/30.48</f>
        <v/>
      </c>
      <c r="H203" s="615" t="n"/>
      <c r="I203" s="49" t="inlineStr">
        <is>
          <t>OLD</t>
        </is>
      </c>
      <c r="J203" s="48" t="inlineStr">
        <is>
          <t>TRS</t>
        </is>
      </c>
      <c r="K203" s="51" t="inlineStr">
        <is>
          <t>PAC</t>
        </is>
      </c>
      <c r="M203" s="210" t="inlineStr">
        <is>
          <t>RK</t>
        </is>
      </c>
      <c r="N203" s="211" t="n"/>
      <c r="O203" s="340" t="inlineStr">
        <is>
          <t>SBL</t>
        </is>
      </c>
      <c r="Q203" s="271" t="n"/>
      <c r="R203" s="282" t="n"/>
    </row>
    <row r="204" ht="18" customHeight="1" s="305">
      <c r="A204" s="8" t="inlineStr">
        <is>
          <t>C 159</t>
        </is>
      </c>
      <c r="B204" s="5" t="n">
        <v>282</v>
      </c>
      <c r="C204" s="6" t="inlineStr">
        <is>
          <t>X</t>
        </is>
      </c>
      <c r="D204" s="5" t="n">
        <v>194</v>
      </c>
      <c r="E204" s="2">
        <f>B204*D204/10000</f>
        <v/>
      </c>
      <c r="F204" s="3">
        <f>B204/30.48</f>
        <v/>
      </c>
      <c r="G204" s="3">
        <f>D204/30.48</f>
        <v/>
      </c>
      <c r="H204" s="615" t="n"/>
      <c r="I204" s="49" t="inlineStr">
        <is>
          <t>OLD</t>
        </is>
      </c>
      <c r="J204" s="48" t="inlineStr">
        <is>
          <t>TRS</t>
        </is>
      </c>
      <c r="K204" s="51" t="inlineStr">
        <is>
          <t>PAC</t>
        </is>
      </c>
      <c r="L204" s="105" t="inlineStr">
        <is>
          <t>VR</t>
        </is>
      </c>
      <c r="M204" s="210" t="n"/>
      <c r="N204" s="211" t="n"/>
      <c r="O204" s="340" t="inlineStr">
        <is>
          <t>SBL</t>
        </is>
      </c>
      <c r="Q204" s="271" t="n"/>
      <c r="R204" s="282" t="n"/>
    </row>
    <row r="205" ht="18" customHeight="1" s="305">
      <c r="A205" s="8" t="inlineStr">
        <is>
          <t>C 167</t>
        </is>
      </c>
      <c r="B205" s="5" t="n">
        <v>329</v>
      </c>
      <c r="C205" s="6" t="inlineStr">
        <is>
          <t>X</t>
        </is>
      </c>
      <c r="D205" s="5" t="n">
        <v>206</v>
      </c>
      <c r="E205" s="2">
        <f>B205*D205/10000</f>
        <v/>
      </c>
      <c r="F205" s="3">
        <f>B205/30.48</f>
        <v/>
      </c>
      <c r="G205" s="3">
        <f>D205/30.48</f>
        <v/>
      </c>
      <c r="H205" s="615" t="n"/>
      <c r="I205" s="49" t="inlineStr">
        <is>
          <t>OLD</t>
        </is>
      </c>
      <c r="J205" s="48" t="inlineStr">
        <is>
          <t>TRS</t>
        </is>
      </c>
      <c r="K205" s="51" t="inlineStr">
        <is>
          <t>PAC</t>
        </is>
      </c>
      <c r="L205" s="105" t="inlineStr">
        <is>
          <t>VR</t>
        </is>
      </c>
      <c r="M205" s="210" t="n"/>
      <c r="N205" s="211" t="n"/>
      <c r="O205" s="340" t="inlineStr">
        <is>
          <t>SBL</t>
        </is>
      </c>
      <c r="Q205" s="271" t="n"/>
      <c r="R205" s="282" t="n"/>
    </row>
    <row r="206" ht="18" customHeight="1" s="305">
      <c r="A206" s="8" t="inlineStr">
        <is>
          <t>C 193</t>
        </is>
      </c>
      <c r="B206" s="5" t="n">
        <v>352</v>
      </c>
      <c r="C206" s="6" t="inlineStr">
        <is>
          <t>X</t>
        </is>
      </c>
      <c r="D206" s="5" t="n">
        <v>81</v>
      </c>
      <c r="E206" s="2">
        <f>B206*D206/10000</f>
        <v/>
      </c>
      <c r="F206" s="3">
        <f>B206/30.48</f>
        <v/>
      </c>
      <c r="G206" s="3">
        <f>D206/30.48</f>
        <v/>
      </c>
      <c r="H206" s="615" t="n"/>
      <c r="I206" s="49" t="inlineStr">
        <is>
          <t>OLD</t>
        </is>
      </c>
      <c r="J206" s="48" t="inlineStr">
        <is>
          <t>TRS</t>
        </is>
      </c>
      <c r="K206" s="51" t="inlineStr">
        <is>
          <t>PAC</t>
        </is>
      </c>
      <c r="L206" s="105" t="inlineStr">
        <is>
          <t>VR</t>
        </is>
      </c>
      <c r="M206" s="210" t="n"/>
      <c r="N206" s="211" t="n"/>
      <c r="O206" s="340" t="inlineStr">
        <is>
          <t>SBL</t>
        </is>
      </c>
      <c r="Q206" s="271" t="n"/>
      <c r="R206" s="282" t="n"/>
    </row>
    <row r="207" ht="18" customHeight="1" s="305">
      <c r="A207" s="8" t="inlineStr">
        <is>
          <t>C 201</t>
        </is>
      </c>
      <c r="B207" s="5" t="n">
        <v>337</v>
      </c>
      <c r="C207" s="6" t="inlineStr">
        <is>
          <t>X</t>
        </is>
      </c>
      <c r="D207" s="5" t="n">
        <v>103</v>
      </c>
      <c r="E207" s="2">
        <f>B207*D207/10000</f>
        <v/>
      </c>
      <c r="F207" s="3">
        <f>B207/30.48</f>
        <v/>
      </c>
      <c r="G207" s="3">
        <f>D207/30.48</f>
        <v/>
      </c>
      <c r="H207" s="615" t="n"/>
      <c r="I207" s="49" t="inlineStr">
        <is>
          <t>OLD</t>
        </is>
      </c>
      <c r="J207" s="48" t="inlineStr">
        <is>
          <t>TRS</t>
        </is>
      </c>
      <c r="K207" s="51" t="inlineStr">
        <is>
          <t>PAC</t>
        </is>
      </c>
      <c r="L207" s="105" t="inlineStr">
        <is>
          <t>VR</t>
        </is>
      </c>
      <c r="M207" s="210" t="inlineStr">
        <is>
          <t>RK</t>
        </is>
      </c>
      <c r="N207" s="211" t="n"/>
      <c r="O207" s="340" t="inlineStr">
        <is>
          <t>SBL</t>
        </is>
      </c>
      <c r="Q207" s="271" t="n"/>
      <c r="R207" s="282" t="n"/>
    </row>
    <row r="208" ht="18" customHeight="1" s="305">
      <c r="A208" s="8" t="inlineStr">
        <is>
          <t>C 202</t>
        </is>
      </c>
      <c r="B208" s="5" t="n">
        <v>344</v>
      </c>
      <c r="C208" s="6" t="inlineStr">
        <is>
          <t>X</t>
        </is>
      </c>
      <c r="D208" s="5" t="n">
        <v>101</v>
      </c>
      <c r="E208" s="2">
        <f>B208*D208/10000</f>
        <v/>
      </c>
      <c r="F208" s="3">
        <f>B208/30.48</f>
        <v/>
      </c>
      <c r="G208" s="3">
        <f>D208/30.48</f>
        <v/>
      </c>
      <c r="H208" s="615" t="n"/>
      <c r="I208" s="49" t="inlineStr">
        <is>
          <t>OLD</t>
        </is>
      </c>
      <c r="J208" s="48" t="inlineStr">
        <is>
          <t>TRS</t>
        </is>
      </c>
      <c r="K208" s="51" t="inlineStr">
        <is>
          <t>PAC</t>
        </is>
      </c>
      <c r="M208" s="210" t="inlineStr">
        <is>
          <t>RK</t>
        </is>
      </c>
      <c r="N208" s="211" t="n"/>
      <c r="O208" s="340" t="inlineStr">
        <is>
          <t>SBL</t>
        </is>
      </c>
      <c r="Q208" s="271" t="n"/>
      <c r="R208" s="282" t="n"/>
    </row>
    <row r="209" ht="18" customHeight="1" s="305">
      <c r="A209" s="8" t="inlineStr">
        <is>
          <t>C 208</t>
        </is>
      </c>
      <c r="B209" s="5" t="n">
        <v>180</v>
      </c>
      <c r="C209" s="6" t="inlineStr">
        <is>
          <t>X</t>
        </is>
      </c>
      <c r="D209" s="5" t="n">
        <v>111</v>
      </c>
      <c r="E209" s="2">
        <f>B209*D209/10000</f>
        <v/>
      </c>
      <c r="F209" s="3">
        <f>B209/30.48</f>
        <v/>
      </c>
      <c r="G209" s="3">
        <f>D209/30.48</f>
        <v/>
      </c>
      <c r="H209" s="615" t="n"/>
      <c r="I209" s="49" t="inlineStr">
        <is>
          <t>OLD</t>
        </is>
      </c>
      <c r="J209" s="48" t="inlineStr">
        <is>
          <t>TRS</t>
        </is>
      </c>
      <c r="K209" s="51" t="inlineStr">
        <is>
          <t>PAC</t>
        </is>
      </c>
      <c r="M209" s="210" t="inlineStr">
        <is>
          <t>RK</t>
        </is>
      </c>
      <c r="N209" s="211" t="n"/>
      <c r="O209" s="340" t="inlineStr">
        <is>
          <t>SBL</t>
        </is>
      </c>
      <c r="Q209" s="271" t="n"/>
      <c r="R209" s="282" t="n"/>
    </row>
    <row r="210" ht="18" customHeight="1" s="305">
      <c r="A210" s="8" t="inlineStr">
        <is>
          <t>C 210</t>
        </is>
      </c>
      <c r="B210" s="5" t="n">
        <v>330</v>
      </c>
      <c r="C210" s="6" t="inlineStr">
        <is>
          <t>X</t>
        </is>
      </c>
      <c r="D210" s="5" t="n">
        <v>90</v>
      </c>
      <c r="E210" s="2">
        <f>B210*D210/10000</f>
        <v/>
      </c>
      <c r="F210" s="3">
        <f>B210/30.48</f>
        <v/>
      </c>
      <c r="G210" s="3">
        <f>D210/30.48</f>
        <v/>
      </c>
      <c r="H210" s="615" t="n"/>
      <c r="I210" s="49" t="inlineStr">
        <is>
          <t>OLD</t>
        </is>
      </c>
      <c r="J210" s="48" t="inlineStr">
        <is>
          <t>TRS</t>
        </is>
      </c>
      <c r="K210" s="51" t="inlineStr">
        <is>
          <t>PAC</t>
        </is>
      </c>
      <c r="L210" s="105" t="inlineStr">
        <is>
          <t>VR</t>
        </is>
      </c>
      <c r="M210" s="210" t="n"/>
      <c r="N210" s="211" t="n"/>
      <c r="O210" s="340" t="inlineStr">
        <is>
          <t>SBL</t>
        </is>
      </c>
      <c r="Q210" s="271" t="n"/>
      <c r="R210" s="282" t="n"/>
    </row>
    <row r="211" ht="18" customHeight="1" s="305">
      <c r="A211" s="8" t="inlineStr">
        <is>
          <t>C 211</t>
        </is>
      </c>
      <c r="B211" s="5" t="n">
        <v>310</v>
      </c>
      <c r="C211" s="6" t="inlineStr">
        <is>
          <t>X</t>
        </is>
      </c>
      <c r="D211" s="5" t="n">
        <v>186</v>
      </c>
      <c r="E211" s="2">
        <f>B211*D211/10000</f>
        <v/>
      </c>
      <c r="F211" s="3">
        <f>B211/30.48</f>
        <v/>
      </c>
      <c r="G211" s="3">
        <f>D211/30.48</f>
        <v/>
      </c>
      <c r="H211" s="615" t="n"/>
      <c r="I211" s="49" t="inlineStr">
        <is>
          <t>OLD</t>
        </is>
      </c>
      <c r="J211" s="48" t="inlineStr">
        <is>
          <t>TRS</t>
        </is>
      </c>
      <c r="K211" s="51" t="inlineStr">
        <is>
          <t>PAC</t>
        </is>
      </c>
      <c r="L211" s="105" t="inlineStr">
        <is>
          <t>VR</t>
        </is>
      </c>
      <c r="M211" s="210" t="n"/>
      <c r="N211" s="211" t="n"/>
      <c r="O211" s="263" t="n"/>
      <c r="Q211" s="271" t="n"/>
      <c r="R211" s="282" t="n"/>
    </row>
    <row r="212" ht="18.75" customHeight="1" s="305">
      <c r="A212" s="8" t="inlineStr">
        <is>
          <t>C 215</t>
        </is>
      </c>
      <c r="B212" s="5" t="n">
        <v>274</v>
      </c>
      <c r="C212" s="6" t="inlineStr">
        <is>
          <t>X</t>
        </is>
      </c>
      <c r="D212" s="5" t="n">
        <v>175</v>
      </c>
      <c r="E212" s="2">
        <f>B212*D212/10000</f>
        <v/>
      </c>
      <c r="F212" s="3">
        <f>B212/30.48</f>
        <v/>
      </c>
      <c r="G212" s="3">
        <f>D212/30.48</f>
        <v/>
      </c>
      <c r="H212" s="615" t="n"/>
      <c r="I212" s="49" t="inlineStr">
        <is>
          <t>OLD</t>
        </is>
      </c>
      <c r="J212" s="48" t="inlineStr">
        <is>
          <t>TRS</t>
        </is>
      </c>
      <c r="K212" s="51" t="inlineStr">
        <is>
          <t>PAC</t>
        </is>
      </c>
      <c r="M212" s="210" t="n"/>
      <c r="N212" s="211" t="n"/>
      <c r="O212" s="340" t="inlineStr">
        <is>
          <t>SBL</t>
        </is>
      </c>
      <c r="Q212" s="271" t="inlineStr">
        <is>
          <t>RST</t>
        </is>
      </c>
      <c r="R212" s="282" t="n"/>
    </row>
    <row r="213" ht="18" customHeight="1" s="305">
      <c r="A213" s="8" t="inlineStr">
        <is>
          <t>C 221</t>
        </is>
      </c>
      <c r="B213" s="5" t="n">
        <v>229</v>
      </c>
      <c r="C213" s="6" t="inlineStr">
        <is>
          <t>X</t>
        </is>
      </c>
      <c r="D213" s="5" t="n">
        <v>128</v>
      </c>
      <c r="E213" s="2">
        <f>B213*D213/10000</f>
        <v/>
      </c>
      <c r="F213" s="3">
        <f>B213/30.48</f>
        <v/>
      </c>
      <c r="G213" s="3">
        <f>D213/30.48</f>
        <v/>
      </c>
      <c r="H213" s="615" t="n"/>
      <c r="I213" s="49" t="inlineStr">
        <is>
          <t>OLD</t>
        </is>
      </c>
      <c r="J213" s="48" t="inlineStr">
        <is>
          <t>TRS</t>
        </is>
      </c>
      <c r="K213" s="51" t="inlineStr">
        <is>
          <t>PAC</t>
        </is>
      </c>
      <c r="L213" s="105" t="inlineStr">
        <is>
          <t>VR</t>
        </is>
      </c>
      <c r="M213" s="210" t="inlineStr">
        <is>
          <t>RK</t>
        </is>
      </c>
      <c r="N213" s="211" t="n"/>
      <c r="O213" s="263" t="n"/>
      <c r="Q213" s="271" t="n"/>
      <c r="R213" s="282" t="n"/>
    </row>
    <row r="214" ht="18" customHeight="1" s="305">
      <c r="A214" s="8" t="inlineStr">
        <is>
          <t>C 224</t>
        </is>
      </c>
      <c r="B214" s="5" t="n">
        <v>318</v>
      </c>
      <c r="C214" s="6" t="inlineStr">
        <is>
          <t>X</t>
        </is>
      </c>
      <c r="D214" s="5" t="n">
        <v>84</v>
      </c>
      <c r="E214" s="2">
        <f>B214*D214/10000</f>
        <v/>
      </c>
      <c r="F214" s="3">
        <f>B214/30.48</f>
        <v/>
      </c>
      <c r="G214" s="3">
        <f>D214/30.48</f>
        <v/>
      </c>
      <c r="H214" s="615" t="n"/>
      <c r="I214" s="49" t="inlineStr">
        <is>
          <t>OLD</t>
        </is>
      </c>
      <c r="J214" s="48" t="inlineStr">
        <is>
          <t>TRS</t>
        </is>
      </c>
      <c r="K214" s="51" t="inlineStr">
        <is>
          <t>PAC</t>
        </is>
      </c>
      <c r="M214" s="210" t="n"/>
      <c r="N214" s="211" t="n"/>
      <c r="O214" s="340" t="inlineStr">
        <is>
          <t>SBL</t>
        </is>
      </c>
      <c r="Q214" s="271" t="n"/>
      <c r="R214" s="282" t="n"/>
    </row>
    <row r="215" ht="18" customHeight="1" s="305">
      <c r="A215" s="8" t="inlineStr">
        <is>
          <t>C 225</t>
        </is>
      </c>
      <c r="B215" s="5" t="n">
        <v>301</v>
      </c>
      <c r="C215" s="6" t="inlineStr">
        <is>
          <t>X</t>
        </is>
      </c>
      <c r="D215" s="5" t="n">
        <v>147</v>
      </c>
      <c r="E215" s="2">
        <f>B215*D215/10000</f>
        <v/>
      </c>
      <c r="F215" s="3">
        <f>B215/30.48</f>
        <v/>
      </c>
      <c r="G215" s="3">
        <f>D215/30.48</f>
        <v/>
      </c>
      <c r="H215" s="615" t="inlineStr">
        <is>
          <t>germe</t>
        </is>
      </c>
      <c r="I215" s="49" t="inlineStr">
        <is>
          <t>OLD</t>
        </is>
      </c>
      <c r="J215" s="48" t="inlineStr">
        <is>
          <t>TRS</t>
        </is>
      </c>
      <c r="K215" s="51" t="inlineStr">
        <is>
          <t>PAC</t>
        </is>
      </c>
      <c r="L215" s="105" t="inlineStr">
        <is>
          <t>VR</t>
        </is>
      </c>
      <c r="M215" s="210" t="n"/>
      <c r="N215" s="211" t="n"/>
      <c r="O215" s="340" t="inlineStr">
        <is>
          <t>SBL</t>
        </is>
      </c>
      <c r="Q215" s="271" t="n"/>
      <c r="R215" s="282" t="n"/>
    </row>
    <row r="216" ht="18" customHeight="1" s="305">
      <c r="A216" s="8" t="inlineStr">
        <is>
          <t>C 243</t>
        </is>
      </c>
      <c r="B216" s="5" t="n">
        <v>268</v>
      </c>
      <c r="C216" s="6" t="inlineStr">
        <is>
          <t>X</t>
        </is>
      </c>
      <c r="D216" s="5" t="n">
        <v>187</v>
      </c>
      <c r="E216" s="2">
        <f>B216*D216/10000</f>
        <v/>
      </c>
      <c r="F216" s="3">
        <f>B216/30.48</f>
        <v/>
      </c>
      <c r="G216" s="3">
        <f>D216/30.48</f>
        <v/>
      </c>
      <c r="H216" s="615" t="n"/>
      <c r="I216" s="49" t="inlineStr">
        <is>
          <t>OLD</t>
        </is>
      </c>
      <c r="J216" s="48" t="inlineStr">
        <is>
          <t>TRS</t>
        </is>
      </c>
      <c r="K216" s="51" t="inlineStr">
        <is>
          <t>PAC</t>
        </is>
      </c>
      <c r="L216" s="105" t="inlineStr">
        <is>
          <t>VR</t>
        </is>
      </c>
      <c r="M216" s="210" t="n"/>
      <c r="N216" s="211" t="n"/>
      <c r="O216" s="340" t="inlineStr">
        <is>
          <t>SBL</t>
        </is>
      </c>
      <c r="Q216" s="271" t="n"/>
      <c r="R216" s="282" t="n"/>
    </row>
    <row r="217" ht="18" customHeight="1" s="305">
      <c r="A217" s="8" t="inlineStr">
        <is>
          <t>C 249</t>
        </is>
      </c>
      <c r="B217" s="5" t="n">
        <v>234</v>
      </c>
      <c r="C217" s="6" t="inlineStr">
        <is>
          <t>X</t>
        </is>
      </c>
      <c r="D217" s="5" t="n">
        <v>150</v>
      </c>
      <c r="E217" s="2">
        <f>B217*D217/10000</f>
        <v/>
      </c>
      <c r="F217" s="3">
        <f>B217/30.48</f>
        <v/>
      </c>
      <c r="G217" s="3">
        <f>D217/30.48</f>
        <v/>
      </c>
      <c r="H217" s="615" t="n"/>
      <c r="I217" s="49" t="inlineStr">
        <is>
          <t>OLD</t>
        </is>
      </c>
      <c r="J217" s="48" t="inlineStr">
        <is>
          <t>TRS</t>
        </is>
      </c>
      <c r="K217" s="51" t="inlineStr">
        <is>
          <t>PAC</t>
        </is>
      </c>
      <c r="L217" s="105" t="inlineStr">
        <is>
          <t>VR</t>
        </is>
      </c>
      <c r="M217" s="210" t="inlineStr">
        <is>
          <t>RK</t>
        </is>
      </c>
      <c r="N217" s="211" t="n"/>
      <c r="O217" s="340" t="inlineStr">
        <is>
          <t>SBL</t>
        </is>
      </c>
      <c r="Q217" s="271" t="n"/>
      <c r="R217" s="282" t="n"/>
    </row>
    <row r="218" ht="18" customHeight="1" s="305">
      <c r="A218" s="8" t="inlineStr">
        <is>
          <t>C 250</t>
        </is>
      </c>
      <c r="B218" s="5" t="n">
        <v>272</v>
      </c>
      <c r="C218" s="6" t="inlineStr">
        <is>
          <t>X</t>
        </is>
      </c>
      <c r="D218" s="5" t="n">
        <v>192</v>
      </c>
      <c r="E218" s="2">
        <f>B218*D218/10000</f>
        <v/>
      </c>
      <c r="F218" s="3">
        <f>B218/30.48</f>
        <v/>
      </c>
      <c r="G218" s="3">
        <f>D218/30.48</f>
        <v/>
      </c>
      <c r="H218" s="615" t="n"/>
      <c r="I218" s="49" t="inlineStr">
        <is>
          <t>OLD</t>
        </is>
      </c>
      <c r="J218" s="48" t="inlineStr">
        <is>
          <t>TRS</t>
        </is>
      </c>
      <c r="K218" s="51" t="inlineStr">
        <is>
          <t>PAC</t>
        </is>
      </c>
      <c r="L218" s="105" t="inlineStr">
        <is>
          <t>VR</t>
        </is>
      </c>
      <c r="M218" s="210" t="n"/>
      <c r="N218" s="211" t="n"/>
      <c r="O218" s="340" t="inlineStr">
        <is>
          <t>SBL</t>
        </is>
      </c>
      <c r="Q218" s="271" t="n"/>
      <c r="R218" s="282" t="n"/>
    </row>
    <row r="219" ht="18" customHeight="1" s="305">
      <c r="A219" s="8" t="n">
        <v>4</v>
      </c>
      <c r="B219" s="5" t="n">
        <v>85</v>
      </c>
      <c r="C219" s="6" t="inlineStr">
        <is>
          <t>X</t>
        </is>
      </c>
      <c r="D219" s="5" t="n">
        <v>50</v>
      </c>
      <c r="E219" s="2">
        <f>B219*D219/10000</f>
        <v/>
      </c>
      <c r="F219" s="3">
        <f>B219/30.48</f>
        <v/>
      </c>
      <c r="G219" s="3">
        <f>D219/30.48</f>
        <v/>
      </c>
      <c r="H219" s="615" t="n"/>
      <c r="I219" s="49" t="inlineStr">
        <is>
          <t>OLD</t>
        </is>
      </c>
      <c r="M219" s="210" t="n"/>
      <c r="N219" s="211" t="n"/>
      <c r="O219" s="263" t="n"/>
      <c r="Q219" s="271" t="n"/>
      <c r="R219" s="282" t="n"/>
    </row>
    <row r="220" ht="18" customHeight="1" s="305">
      <c r="A220" s="8" t="n">
        <v>5</v>
      </c>
      <c r="B220" s="5" t="n">
        <v>81</v>
      </c>
      <c r="C220" s="6" t="inlineStr">
        <is>
          <t>X</t>
        </is>
      </c>
      <c r="D220" s="5" t="n">
        <v>49</v>
      </c>
      <c r="E220" s="2">
        <f>B220*D220/10000</f>
        <v/>
      </c>
      <c r="F220" s="3">
        <f>B220/30.48</f>
        <v/>
      </c>
      <c r="G220" s="3">
        <f>D220/30.48</f>
        <v/>
      </c>
      <c r="H220" s="615" t="n"/>
      <c r="I220" s="49" t="inlineStr">
        <is>
          <t>OLD</t>
        </is>
      </c>
      <c r="M220" s="210" t="n"/>
      <c r="N220" s="211" t="n"/>
      <c r="O220" s="263" t="n"/>
      <c r="Q220" s="271" t="n"/>
      <c r="R220" s="282" t="n"/>
    </row>
    <row r="221" ht="18" customHeight="1" s="305">
      <c r="A221" s="8" t="n">
        <v>20</v>
      </c>
      <c r="B221" s="5" t="n">
        <v>65</v>
      </c>
      <c r="C221" s="6" t="inlineStr">
        <is>
          <t>X</t>
        </is>
      </c>
      <c r="D221" s="5" t="n">
        <v>48</v>
      </c>
      <c r="E221" s="2">
        <f>B221*D221/10000</f>
        <v/>
      </c>
      <c r="F221" s="3">
        <f>B221/30.48</f>
        <v/>
      </c>
      <c r="G221" s="3">
        <f>D221/30.48</f>
        <v/>
      </c>
      <c r="H221" s="615" t="n"/>
      <c r="I221" s="49" t="inlineStr">
        <is>
          <t>OLD</t>
        </is>
      </c>
      <c r="M221" s="210" t="n"/>
      <c r="N221" s="211" t="n"/>
      <c r="O221" s="263" t="n"/>
      <c r="Q221" s="271" t="n"/>
      <c r="R221" s="282" t="n"/>
    </row>
    <row r="222" ht="18" customHeight="1" s="305">
      <c r="A222" s="8" t="n">
        <v>21</v>
      </c>
      <c r="B222" s="5" t="n">
        <v>80</v>
      </c>
      <c r="C222" s="6" t="inlineStr">
        <is>
          <t>X</t>
        </is>
      </c>
      <c r="D222" s="5" t="n">
        <v>46</v>
      </c>
      <c r="E222" s="2">
        <f>B222*D222/10000</f>
        <v/>
      </c>
      <c r="F222" s="3">
        <f>B222/30.48</f>
        <v/>
      </c>
      <c r="G222" s="3">
        <f>D222/30.48</f>
        <v/>
      </c>
      <c r="H222" s="615" t="n"/>
      <c r="I222" s="49" t="inlineStr">
        <is>
          <t>OLD</t>
        </is>
      </c>
      <c r="M222" s="210" t="inlineStr">
        <is>
          <t>RK</t>
        </is>
      </c>
      <c r="N222" s="211" t="n"/>
      <c r="O222" s="263" t="n"/>
      <c r="Q222" s="271" t="n"/>
      <c r="R222" s="282" t="n"/>
    </row>
    <row r="223" ht="18" customHeight="1" s="305">
      <c r="A223" s="8" t="n">
        <v>27</v>
      </c>
      <c r="B223" s="5" t="n">
        <v>77</v>
      </c>
      <c r="C223" s="6" t="inlineStr">
        <is>
          <t>X</t>
        </is>
      </c>
      <c r="D223" s="5" t="n">
        <v>49</v>
      </c>
      <c r="E223" s="2">
        <f>B223*D223/10000</f>
        <v/>
      </c>
      <c r="F223" s="3">
        <f>B223/30.48</f>
        <v/>
      </c>
      <c r="G223" s="3">
        <f>D223/30.48</f>
        <v/>
      </c>
      <c r="H223" s="615" t="n"/>
      <c r="I223" s="49" t="inlineStr">
        <is>
          <t>OLD</t>
        </is>
      </c>
      <c r="M223" s="210" t="inlineStr">
        <is>
          <t>RK</t>
        </is>
      </c>
      <c r="N223" s="211" t="n"/>
      <c r="O223" s="263" t="n"/>
      <c r="Q223" s="271" t="n"/>
      <c r="R223" s="282" t="n"/>
    </row>
    <row r="224" ht="18" customHeight="1" s="305">
      <c r="A224" s="8" t="n">
        <v>29</v>
      </c>
      <c r="B224" s="5" t="n">
        <v>82</v>
      </c>
      <c r="C224" s="6" t="inlineStr">
        <is>
          <t>X</t>
        </is>
      </c>
      <c r="D224" s="5" t="n">
        <v>50</v>
      </c>
      <c r="E224" s="2">
        <f>B224*D224/10000</f>
        <v/>
      </c>
      <c r="F224" s="3">
        <f>B224/30.48</f>
        <v/>
      </c>
      <c r="G224" s="3">
        <f>D224/30.48</f>
        <v/>
      </c>
      <c r="H224" s="615" t="n"/>
      <c r="I224" s="49" t="inlineStr">
        <is>
          <t>OLD</t>
        </is>
      </c>
      <c r="M224" s="210" t="n"/>
      <c r="N224" s="211" t="n"/>
      <c r="O224" s="263" t="n"/>
      <c r="Q224" s="271" t="n"/>
      <c r="R224" s="282" t="n"/>
    </row>
    <row r="225" ht="18" customHeight="1" s="305">
      <c r="A225" s="8" t="n">
        <v>31</v>
      </c>
      <c r="B225" s="5" t="n">
        <v>81</v>
      </c>
      <c r="C225" s="6" t="inlineStr">
        <is>
          <t>X</t>
        </is>
      </c>
      <c r="D225" s="5" t="n">
        <v>49</v>
      </c>
      <c r="E225" s="2">
        <f>B225*D225/10000</f>
        <v/>
      </c>
      <c r="F225" s="3">
        <f>B225/30.48</f>
        <v/>
      </c>
      <c r="G225" s="3">
        <f>D225/30.48</f>
        <v/>
      </c>
      <c r="H225" s="615" t="n"/>
      <c r="I225" s="49" t="inlineStr">
        <is>
          <t>OLD</t>
        </is>
      </c>
      <c r="M225" s="210" t="inlineStr">
        <is>
          <t>RK</t>
        </is>
      </c>
      <c r="N225" s="211" t="n"/>
      <c r="O225" s="263" t="n"/>
      <c r="Q225" s="271" t="n"/>
      <c r="R225" s="282" t="n"/>
    </row>
    <row r="226" ht="18" customHeight="1" s="305">
      <c r="A226" s="8" t="n">
        <v>32</v>
      </c>
      <c r="B226" s="5" t="n">
        <v>85</v>
      </c>
      <c r="C226" s="6" t="inlineStr">
        <is>
          <t>X</t>
        </is>
      </c>
      <c r="D226" s="5" t="n">
        <v>47</v>
      </c>
      <c r="E226" s="2">
        <f>B226*D226/10000</f>
        <v/>
      </c>
      <c r="F226" s="3">
        <f>B226/30.48</f>
        <v/>
      </c>
      <c r="G226" s="3">
        <f>D226/30.48</f>
        <v/>
      </c>
      <c r="H226" s="615" t="n"/>
      <c r="I226" s="49" t="inlineStr">
        <is>
          <t>OLD</t>
        </is>
      </c>
      <c r="M226" s="210" t="n"/>
      <c r="N226" s="211" t="n"/>
      <c r="O226" s="263" t="n"/>
      <c r="Q226" s="271" t="n"/>
      <c r="R226" s="282" t="n"/>
    </row>
    <row r="227" ht="18" customHeight="1" s="305">
      <c r="A227" s="8" t="n">
        <v>34</v>
      </c>
      <c r="B227" s="5" t="n">
        <v>99</v>
      </c>
      <c r="C227" s="6" t="inlineStr">
        <is>
          <t>X</t>
        </is>
      </c>
      <c r="D227" s="5" t="n">
        <v>47</v>
      </c>
      <c r="E227" s="2">
        <f>B227*D227/10000</f>
        <v/>
      </c>
      <c r="F227" s="3">
        <f>B227/30.48</f>
        <v/>
      </c>
      <c r="G227" s="3">
        <f>D227/30.48</f>
        <v/>
      </c>
      <c r="H227" s="615" t="n"/>
      <c r="I227" s="49" t="inlineStr">
        <is>
          <t>OLD</t>
        </is>
      </c>
      <c r="M227" s="210" t="n"/>
      <c r="N227" s="211" t="n"/>
      <c r="O227" s="263" t="n"/>
      <c r="Q227" s="271" t="n"/>
      <c r="R227" s="282" t="n"/>
    </row>
    <row r="228" ht="18" customHeight="1" s="305">
      <c r="A228" s="8" t="n">
        <v>35</v>
      </c>
      <c r="B228" s="5" t="n">
        <v>85</v>
      </c>
      <c r="C228" s="6" t="inlineStr">
        <is>
          <t>X</t>
        </is>
      </c>
      <c r="D228" s="5" t="n">
        <v>42</v>
      </c>
      <c r="E228" s="2">
        <f>B228*D228/10000</f>
        <v/>
      </c>
      <c r="F228" s="3">
        <f>B228/30.48</f>
        <v/>
      </c>
      <c r="G228" s="3">
        <f>D228/30.48</f>
        <v/>
      </c>
      <c r="H228" s="615" t="n"/>
      <c r="I228" s="49" t="inlineStr">
        <is>
          <t>OLD</t>
        </is>
      </c>
      <c r="M228" s="210" t="n"/>
      <c r="N228" s="211" t="n"/>
      <c r="O228" s="263" t="n"/>
      <c r="Q228" s="271" t="n"/>
      <c r="R228" s="282" t="n"/>
    </row>
    <row r="229" ht="18" customHeight="1" s="305">
      <c r="A229" s="8" t="n">
        <v>36</v>
      </c>
      <c r="B229" s="5" t="n">
        <v>87</v>
      </c>
      <c r="C229" s="6" t="inlineStr">
        <is>
          <t>X</t>
        </is>
      </c>
      <c r="D229" s="5" t="n">
        <v>48</v>
      </c>
      <c r="E229" s="2">
        <f>B229*D229/10000</f>
        <v/>
      </c>
      <c r="F229" s="3">
        <f>B229/30.48</f>
        <v/>
      </c>
      <c r="G229" s="3">
        <f>D229/30.48</f>
        <v/>
      </c>
      <c r="H229" s="615" t="n"/>
      <c r="I229" s="49" t="inlineStr">
        <is>
          <t>OLD</t>
        </is>
      </c>
      <c r="M229" s="210" t="n"/>
      <c r="N229" s="211" t="n"/>
      <c r="O229" s="263" t="n"/>
      <c r="Q229" s="271" t="n"/>
      <c r="R229" s="282" t="n"/>
    </row>
    <row r="230" ht="18" customHeight="1" s="305">
      <c r="A230" s="8" t="n">
        <v>38</v>
      </c>
      <c r="B230" s="5" t="n">
        <v>91</v>
      </c>
      <c r="C230" s="6" t="inlineStr">
        <is>
          <t>X</t>
        </is>
      </c>
      <c r="D230" s="5" t="n">
        <v>52</v>
      </c>
      <c r="E230" s="2">
        <f>B230*D230/10000</f>
        <v/>
      </c>
      <c r="F230" s="3">
        <f>B230/30.48</f>
        <v/>
      </c>
      <c r="G230" s="3">
        <f>D230/30.48</f>
        <v/>
      </c>
      <c r="H230" s="615" t="n"/>
      <c r="I230" s="49" t="inlineStr">
        <is>
          <t>OLD</t>
        </is>
      </c>
      <c r="M230" s="210" t="n"/>
      <c r="N230" s="211" t="n"/>
      <c r="O230" s="263" t="n"/>
      <c r="Q230" s="271" t="n"/>
      <c r="R230" s="282" t="n"/>
    </row>
    <row r="231" ht="18" customHeight="1" s="305">
      <c r="A231" s="8" t="n">
        <v>40</v>
      </c>
      <c r="B231" s="5" t="n">
        <v>99</v>
      </c>
      <c r="C231" s="6" t="inlineStr">
        <is>
          <t>X</t>
        </is>
      </c>
      <c r="D231" s="5" t="n">
        <v>80</v>
      </c>
      <c r="E231" s="2">
        <f>B231*D231/10000</f>
        <v/>
      </c>
      <c r="F231" s="3">
        <f>B231/30.48</f>
        <v/>
      </c>
      <c r="G231" s="3">
        <f>D231/30.48</f>
        <v/>
      </c>
      <c r="H231" s="615" t="n"/>
      <c r="I231" s="49" t="inlineStr">
        <is>
          <t>OLD</t>
        </is>
      </c>
      <c r="M231" s="210" t="n"/>
      <c r="N231" s="211" t="n"/>
      <c r="O231" s="263" t="n"/>
      <c r="Q231" s="271" t="n"/>
      <c r="R231" s="282" t="n"/>
    </row>
    <row r="232" ht="18" customHeight="1" s="305">
      <c r="A232" s="8" t="n">
        <v>43</v>
      </c>
      <c r="B232" s="5" t="n">
        <v>82</v>
      </c>
      <c r="C232" s="6" t="inlineStr">
        <is>
          <t>X</t>
        </is>
      </c>
      <c r="D232" s="5" t="n">
        <v>45</v>
      </c>
      <c r="E232" s="2">
        <f>B232*D232/10000</f>
        <v/>
      </c>
      <c r="F232" s="3">
        <f>B232/30.48</f>
        <v/>
      </c>
      <c r="G232" s="3">
        <f>D232/30.48</f>
        <v/>
      </c>
      <c r="H232" s="615" t="n"/>
      <c r="I232" s="49" t="inlineStr">
        <is>
          <t>OLD</t>
        </is>
      </c>
      <c r="M232" s="210" t="n"/>
      <c r="N232" s="211" t="n"/>
      <c r="O232" s="263" t="n"/>
      <c r="Q232" s="271" t="n"/>
      <c r="R232" s="282" t="n"/>
    </row>
    <row r="233" ht="18" customHeight="1" s="305">
      <c r="A233" s="8" t="n">
        <v>44</v>
      </c>
      <c r="B233" s="5" t="n">
        <v>85</v>
      </c>
      <c r="C233" s="6" t="inlineStr">
        <is>
          <t>X</t>
        </is>
      </c>
      <c r="D233" s="5" t="n">
        <v>51</v>
      </c>
      <c r="E233" s="2">
        <f>B233*D233/10000</f>
        <v/>
      </c>
      <c r="F233" s="3">
        <f>B233/30.48</f>
        <v/>
      </c>
      <c r="G233" s="3">
        <f>D233/30.48</f>
        <v/>
      </c>
      <c r="H233" s="615" t="n"/>
      <c r="I233" s="49" t="inlineStr">
        <is>
          <t>OLD</t>
        </is>
      </c>
      <c r="M233" s="210" t="n"/>
      <c r="N233" s="211" t="n"/>
      <c r="O233" s="263" t="n"/>
      <c r="Q233" s="271" t="n"/>
      <c r="R233" s="282" t="n"/>
    </row>
    <row r="234" ht="18" customHeight="1" s="305">
      <c r="A234" s="8" t="n">
        <v>47</v>
      </c>
      <c r="B234" s="5" t="n">
        <v>84</v>
      </c>
      <c r="C234" s="6" t="inlineStr">
        <is>
          <t>X</t>
        </is>
      </c>
      <c r="D234" s="5" t="n">
        <v>46</v>
      </c>
      <c r="E234" s="2">
        <f>B234*D234/10000</f>
        <v/>
      </c>
      <c r="F234" s="3">
        <f>B234/30.48</f>
        <v/>
      </c>
      <c r="G234" s="3">
        <f>D234/30.48</f>
        <v/>
      </c>
      <c r="H234" s="615" t="n"/>
      <c r="I234" s="49" t="inlineStr">
        <is>
          <t>OLD</t>
        </is>
      </c>
      <c r="M234" s="210" t="n"/>
      <c r="N234" s="211" t="n"/>
      <c r="O234" s="263" t="n"/>
      <c r="Q234" s="271" t="n"/>
      <c r="R234" s="282" t="n"/>
    </row>
    <row r="235" ht="18" customHeight="1" s="305">
      <c r="A235" s="8" t="n">
        <v>52</v>
      </c>
      <c r="B235" s="5" t="n">
        <v>93</v>
      </c>
      <c r="C235" s="6" t="inlineStr">
        <is>
          <t>X</t>
        </is>
      </c>
      <c r="D235" s="5" t="n">
        <v>44</v>
      </c>
      <c r="E235" s="2">
        <f>B235*D235/10000</f>
        <v/>
      </c>
      <c r="F235" s="3">
        <f>B235/30.48</f>
        <v/>
      </c>
      <c r="G235" s="3">
        <f>D235/30.48</f>
        <v/>
      </c>
      <c r="H235" s="615" t="n"/>
      <c r="M235" s="210" t="n"/>
      <c r="N235" s="211" t="n"/>
      <c r="O235" s="263" t="n"/>
      <c r="Q235" s="271" t="n"/>
      <c r="R235" s="282" t="n"/>
    </row>
    <row r="236" ht="18" customHeight="1" s="305">
      <c r="A236" s="8" t="n">
        <v>53</v>
      </c>
      <c r="B236" s="5" t="n">
        <v>103</v>
      </c>
      <c r="C236" s="6" t="inlineStr">
        <is>
          <t>X</t>
        </is>
      </c>
      <c r="D236" s="5" t="n">
        <v>51</v>
      </c>
      <c r="E236" s="2">
        <f>B236*D236/10000</f>
        <v/>
      </c>
      <c r="F236" s="3">
        <f>B236/30.48</f>
        <v/>
      </c>
      <c r="G236" s="3">
        <f>D236/30.48</f>
        <v/>
      </c>
      <c r="H236" s="615" t="n"/>
      <c r="I236" s="49" t="inlineStr">
        <is>
          <t>OLD</t>
        </is>
      </c>
      <c r="M236" s="210" t="n"/>
      <c r="N236" s="211" t="n"/>
      <c r="O236" s="263" t="n"/>
      <c r="Q236" s="271" t="n"/>
      <c r="R236" s="282" t="n"/>
    </row>
    <row r="237" ht="18" customHeight="1" s="305">
      <c r="A237" s="8" t="n">
        <v>54</v>
      </c>
      <c r="B237" s="5" t="n">
        <v>87</v>
      </c>
      <c r="C237" s="6" t="inlineStr">
        <is>
          <t>X</t>
        </is>
      </c>
      <c r="D237" s="5" t="n">
        <v>45</v>
      </c>
      <c r="E237" s="2">
        <f>B237*D237/10000</f>
        <v/>
      </c>
      <c r="F237" s="3">
        <f>B237/30.48</f>
        <v/>
      </c>
      <c r="G237" s="3">
        <f>D237/30.48</f>
        <v/>
      </c>
      <c r="H237" s="615" t="n"/>
      <c r="M237" s="210" t="n"/>
      <c r="N237" s="211" t="n"/>
      <c r="O237" s="263" t="n"/>
      <c r="Q237" s="271" t="n"/>
      <c r="R237" s="282" t="n"/>
    </row>
    <row r="238" ht="18" customHeight="1" s="305">
      <c r="A238" s="8" t="n">
        <v>57</v>
      </c>
      <c r="B238" s="5" t="n">
        <v>80</v>
      </c>
      <c r="C238" s="6" t="inlineStr">
        <is>
          <t>X</t>
        </is>
      </c>
      <c r="D238" s="5" t="n">
        <v>49</v>
      </c>
      <c r="E238" s="2">
        <f>B238*D238/10000</f>
        <v/>
      </c>
      <c r="F238" s="3">
        <f>B238/30.48</f>
        <v/>
      </c>
      <c r="G238" s="3">
        <f>D238/30.48</f>
        <v/>
      </c>
      <c r="H238" s="615" t="n"/>
      <c r="I238" s="49" t="inlineStr">
        <is>
          <t>OLD</t>
        </is>
      </c>
      <c r="M238" s="210" t="n"/>
      <c r="N238" s="211" t="n"/>
      <c r="O238" s="263" t="n"/>
      <c r="Q238" s="271" t="n"/>
      <c r="R238" s="282" t="n"/>
    </row>
    <row r="239" ht="18" customHeight="1" s="305">
      <c r="A239" s="8" t="n">
        <v>59</v>
      </c>
      <c r="B239" s="5" t="n">
        <v>81</v>
      </c>
      <c r="C239" s="6" t="inlineStr">
        <is>
          <t>X</t>
        </is>
      </c>
      <c r="D239" s="5" t="n">
        <v>49</v>
      </c>
      <c r="E239" s="2">
        <f>B239*D239/10000</f>
        <v/>
      </c>
      <c r="F239" s="3">
        <f>B239/30.48</f>
        <v/>
      </c>
      <c r="G239" s="3">
        <f>D239/30.48</f>
        <v/>
      </c>
      <c r="H239" s="615" t="n"/>
      <c r="M239" s="210" t="n"/>
      <c r="N239" s="211" t="n"/>
      <c r="O239" s="263" t="n"/>
      <c r="Q239" s="271" t="n"/>
      <c r="R239" s="282" t="n"/>
    </row>
    <row r="240" ht="18" customHeight="1" s="305">
      <c r="A240" s="8" t="n">
        <v>61</v>
      </c>
      <c r="B240" s="5" t="n">
        <v>86</v>
      </c>
      <c r="C240" s="6" t="inlineStr">
        <is>
          <t>X</t>
        </is>
      </c>
      <c r="D240" s="5" t="n">
        <v>48</v>
      </c>
      <c r="E240" s="2">
        <f>B240*D240/10000</f>
        <v/>
      </c>
      <c r="F240" s="3">
        <f>B240/30.48</f>
        <v/>
      </c>
      <c r="G240" s="3">
        <f>D240/30.48</f>
        <v/>
      </c>
      <c r="H240" s="615" t="n"/>
      <c r="I240" s="49" t="inlineStr">
        <is>
          <t>OLD</t>
        </is>
      </c>
      <c r="M240" s="210" t="n"/>
      <c r="N240" s="211" t="n"/>
      <c r="O240" s="263" t="n"/>
      <c r="Q240" s="271" t="n"/>
      <c r="R240" s="282" t="n"/>
    </row>
    <row r="241" ht="18" customHeight="1" s="305">
      <c r="A241" s="8" t="n">
        <v>62</v>
      </c>
      <c r="B241" s="5" t="n">
        <v>76</v>
      </c>
      <c r="C241" s="6" t="inlineStr">
        <is>
          <t>X</t>
        </is>
      </c>
      <c r="D241" s="5" t="n">
        <v>49</v>
      </c>
      <c r="E241" s="2">
        <f>B241*D241/10000</f>
        <v/>
      </c>
      <c r="F241" s="3">
        <f>B241/30.48</f>
        <v/>
      </c>
      <c r="G241" s="3">
        <f>D241/30.48</f>
        <v/>
      </c>
      <c r="H241" s="615" t="n"/>
      <c r="M241" s="210" t="n"/>
      <c r="N241" s="211" t="n"/>
      <c r="O241" s="263" t="n"/>
      <c r="Q241" s="271" t="n"/>
      <c r="R241" s="282" t="n"/>
    </row>
    <row r="242" ht="18" customHeight="1" s="305">
      <c r="A242" s="8" t="n">
        <v>63</v>
      </c>
      <c r="B242" s="5" t="n">
        <v>76</v>
      </c>
      <c r="C242" s="6" t="inlineStr">
        <is>
          <t>X</t>
        </is>
      </c>
      <c r="D242" s="5" t="n">
        <v>50</v>
      </c>
      <c r="E242" s="2">
        <f>B242*D242/10000</f>
        <v/>
      </c>
      <c r="F242" s="3">
        <f>B242/30.48</f>
        <v/>
      </c>
      <c r="G242" s="3">
        <f>D242/30.48</f>
        <v/>
      </c>
      <c r="H242" s="615" t="n"/>
      <c r="M242" s="210" t="n"/>
      <c r="N242" s="211" t="n"/>
      <c r="O242" s="263" t="n"/>
      <c r="Q242" s="271" t="n"/>
      <c r="R242" s="282" t="n"/>
    </row>
    <row r="243" ht="18" customHeight="1" s="305">
      <c r="A243" s="8" t="n">
        <v>67</v>
      </c>
      <c r="B243" s="5" t="n">
        <v>86</v>
      </c>
      <c r="C243" s="6" t="inlineStr">
        <is>
          <t>X</t>
        </is>
      </c>
      <c r="D243" s="5" t="n">
        <v>52</v>
      </c>
      <c r="E243" s="2">
        <f>B243*D243/10000</f>
        <v/>
      </c>
      <c r="F243" s="3">
        <f>B243/30.48</f>
        <v/>
      </c>
      <c r="G243" s="3">
        <f>D243/30.48</f>
        <v/>
      </c>
      <c r="H243" s="615" t="n"/>
      <c r="I243" s="49" t="inlineStr">
        <is>
          <t>OLD</t>
        </is>
      </c>
      <c r="M243" s="210" t="n"/>
      <c r="N243" s="211" t="n"/>
      <c r="O243" s="263" t="n"/>
      <c r="Q243" s="271" t="n"/>
      <c r="R243" s="282" t="n"/>
    </row>
    <row r="244" ht="18" customHeight="1" s="305">
      <c r="A244" s="8" t="n">
        <v>80</v>
      </c>
      <c r="B244" s="5" t="n">
        <v>79</v>
      </c>
      <c r="C244" s="6" t="inlineStr">
        <is>
          <t>X</t>
        </is>
      </c>
      <c r="D244" s="5" t="n">
        <v>44</v>
      </c>
      <c r="E244" s="2">
        <f>B244*D244/10000</f>
        <v/>
      </c>
      <c r="F244" s="3">
        <f>B244/30.48</f>
        <v/>
      </c>
      <c r="G244" s="3">
        <f>D244/30.48</f>
        <v/>
      </c>
      <c r="H244" s="615" t="n"/>
      <c r="M244" s="210" t="n"/>
      <c r="N244" s="211" t="n"/>
      <c r="O244" s="263" t="n"/>
      <c r="Q244" s="271" t="n"/>
      <c r="R244" s="282" t="n"/>
    </row>
    <row r="245" ht="18" customHeight="1" s="305">
      <c r="A245" s="8" t="n">
        <v>83</v>
      </c>
      <c r="B245" s="5" t="n">
        <v>77</v>
      </c>
      <c r="C245" s="6" t="inlineStr">
        <is>
          <t>X</t>
        </is>
      </c>
      <c r="D245" s="5" t="n">
        <v>47</v>
      </c>
      <c r="E245" s="2">
        <f>B245*D245/10000</f>
        <v/>
      </c>
      <c r="F245" s="3">
        <f>B245/30.48</f>
        <v/>
      </c>
      <c r="G245" s="3">
        <f>D245/30.48</f>
        <v/>
      </c>
      <c r="H245" s="615" t="n"/>
      <c r="M245" s="210" t="n"/>
      <c r="N245" s="211" t="n"/>
      <c r="O245" s="263" t="n"/>
      <c r="Q245" s="271" t="n"/>
      <c r="R245" s="282" t="n"/>
    </row>
    <row r="246" ht="18" customHeight="1" s="305">
      <c r="A246" s="8" t="n">
        <v>112</v>
      </c>
      <c r="B246" s="5" t="n">
        <v>94</v>
      </c>
      <c r="C246" s="6" t="inlineStr">
        <is>
          <t>X</t>
        </is>
      </c>
      <c r="D246" s="5" t="n">
        <v>52</v>
      </c>
      <c r="E246" s="2">
        <f>B246*D246/10000</f>
        <v/>
      </c>
      <c r="F246" s="3">
        <f>B246/30.48</f>
        <v/>
      </c>
      <c r="G246" s="3">
        <f>D246/30.48</f>
        <v/>
      </c>
      <c r="H246" s="615" t="n"/>
      <c r="M246" s="210" t="n"/>
      <c r="N246" s="211" t="n"/>
      <c r="O246" s="263" t="n"/>
      <c r="Q246" s="271" t="n"/>
      <c r="R246" s="282" t="n"/>
    </row>
    <row r="247" ht="18" customHeight="1" s="305">
      <c r="A247" s="8" t="n">
        <v>172</v>
      </c>
      <c r="B247" s="5" t="n">
        <v>69</v>
      </c>
      <c r="C247" s="6" t="inlineStr">
        <is>
          <t>X</t>
        </is>
      </c>
      <c r="D247" s="5" t="n">
        <v>52</v>
      </c>
      <c r="E247" s="2">
        <f>B247*D247/10000</f>
        <v/>
      </c>
      <c r="F247" s="3">
        <f>B247/30.48</f>
        <v/>
      </c>
      <c r="G247" s="3">
        <f>D247/30.48</f>
        <v/>
      </c>
      <c r="H247" s="615" t="n"/>
      <c r="M247" s="210" t="n"/>
      <c r="N247" s="211" t="n"/>
      <c r="O247" s="263" t="n"/>
      <c r="Q247" s="271" t="n"/>
      <c r="R247" s="282" t="n"/>
    </row>
    <row r="248" ht="18" customHeight="1" s="305">
      <c r="A248" s="8" t="n">
        <v>182</v>
      </c>
      <c r="B248" s="5" t="n">
        <v>87</v>
      </c>
      <c r="C248" s="6" t="inlineStr">
        <is>
          <t>X</t>
        </is>
      </c>
      <c r="D248" s="5" t="n">
        <v>40</v>
      </c>
      <c r="E248" s="2">
        <f>B248*D248/10000</f>
        <v/>
      </c>
      <c r="F248" s="3">
        <f>B248/30.48</f>
        <v/>
      </c>
      <c r="G248" s="3">
        <f>D248/30.48</f>
        <v/>
      </c>
      <c r="H248" s="615" t="n"/>
      <c r="M248" s="210" t="n"/>
      <c r="N248" s="211" t="n"/>
      <c r="O248" s="263" t="n"/>
      <c r="Q248" s="271" t="n"/>
      <c r="R248" s="282" t="n"/>
    </row>
    <row r="249" ht="18" customHeight="1" s="305">
      <c r="A249" s="8" t="n">
        <v>191</v>
      </c>
      <c r="B249" s="5" t="n">
        <v>89</v>
      </c>
      <c r="C249" s="6" t="inlineStr">
        <is>
          <t>X</t>
        </is>
      </c>
      <c r="D249" s="5" t="n">
        <v>43</v>
      </c>
      <c r="E249" s="2">
        <f>B249*D249/10000</f>
        <v/>
      </c>
      <c r="F249" s="3">
        <f>B249/30.48</f>
        <v/>
      </c>
      <c r="G249" s="3">
        <f>D249/30.48</f>
        <v/>
      </c>
      <c r="H249" s="615" t="n"/>
      <c r="M249" s="210" t="n"/>
      <c r="N249" s="211" t="n"/>
      <c r="O249" s="263" t="n"/>
      <c r="Q249" s="271" t="n"/>
      <c r="R249" s="282" t="n"/>
    </row>
    <row r="250" ht="18" customHeight="1" s="305">
      <c r="A250" s="8" t="n">
        <v>199</v>
      </c>
      <c r="B250" s="5" t="n">
        <v>79</v>
      </c>
      <c r="C250" s="6" t="inlineStr">
        <is>
          <t>X</t>
        </is>
      </c>
      <c r="D250" s="5" t="n">
        <v>49</v>
      </c>
      <c r="E250" s="2">
        <f>B250*D250/10000</f>
        <v/>
      </c>
      <c r="F250" s="3">
        <f>B250/30.48</f>
        <v/>
      </c>
      <c r="G250" s="3">
        <f>D250/30.48</f>
        <v/>
      </c>
      <c r="H250" s="615" t="n"/>
      <c r="M250" s="210" t="n"/>
      <c r="N250" s="211" t="n"/>
      <c r="O250" s="263" t="n"/>
      <c r="Q250" s="271" t="n"/>
      <c r="R250" s="282" t="n"/>
    </row>
    <row r="251" ht="18" customHeight="1" s="305">
      <c r="A251" s="8" t="n">
        <v>201</v>
      </c>
      <c r="B251" s="5" t="n">
        <v>90</v>
      </c>
      <c r="C251" s="6" t="inlineStr">
        <is>
          <t>X</t>
        </is>
      </c>
      <c r="D251" s="5" t="n">
        <v>39</v>
      </c>
      <c r="E251" s="2">
        <f>B251*D251/10000</f>
        <v/>
      </c>
      <c r="F251" s="3">
        <f>B251/30.48</f>
        <v/>
      </c>
      <c r="G251" s="3">
        <f>D251/30.48</f>
        <v/>
      </c>
      <c r="H251" s="615" t="n"/>
      <c r="M251" s="210" t="n"/>
      <c r="N251" s="211" t="n"/>
      <c r="O251" s="263" t="n"/>
      <c r="Q251" s="271" t="n"/>
      <c r="R251" s="282" t="n"/>
    </row>
    <row r="252" ht="18" customHeight="1" s="305">
      <c r="A252" s="8" t="n">
        <v>204</v>
      </c>
      <c r="B252" s="5" t="n">
        <v>91</v>
      </c>
      <c r="C252" s="6" t="inlineStr">
        <is>
          <t>X</t>
        </is>
      </c>
      <c r="D252" s="5" t="n">
        <v>50</v>
      </c>
      <c r="E252" s="2">
        <f>B252*D252/10000</f>
        <v/>
      </c>
      <c r="F252" s="3">
        <f>B252/30.48</f>
        <v/>
      </c>
      <c r="G252" s="3">
        <f>D252/30.48</f>
        <v/>
      </c>
      <c r="H252" s="615" t="n"/>
      <c r="M252" s="210" t="n"/>
      <c r="N252" s="211" t="n"/>
      <c r="O252" s="263" t="n"/>
      <c r="Q252" s="271" t="n"/>
      <c r="R252" s="282" t="n"/>
    </row>
    <row r="253" ht="18" customHeight="1" s="305">
      <c r="A253" s="8" t="inlineStr">
        <is>
          <t>D 18</t>
        </is>
      </c>
      <c r="B253" s="5" t="n">
        <v>76</v>
      </c>
      <c r="C253" s="6" t="inlineStr">
        <is>
          <t>X</t>
        </is>
      </c>
      <c r="D253" s="5" t="n">
        <v>52</v>
      </c>
      <c r="E253" s="2">
        <f>B253*D253/10000</f>
        <v/>
      </c>
      <c r="F253" s="3">
        <f>B253/30.48</f>
        <v/>
      </c>
      <c r="G253" s="3">
        <f>D253/30.48</f>
        <v/>
      </c>
      <c r="H253" s="615" t="n"/>
      <c r="M253" s="210" t="n"/>
      <c r="N253" s="211" t="n"/>
      <c r="O253" s="263" t="n"/>
      <c r="Q253" s="271" t="n"/>
      <c r="R253" s="282" t="n"/>
    </row>
    <row r="254" ht="18" customHeight="1" s="305">
      <c r="A254" s="8" t="inlineStr">
        <is>
          <t>D 24</t>
        </is>
      </c>
      <c r="B254" s="5" t="n">
        <v>76</v>
      </c>
      <c r="C254" s="6" t="inlineStr">
        <is>
          <t>X</t>
        </is>
      </c>
      <c r="D254" s="5" t="n">
        <v>48</v>
      </c>
      <c r="E254" s="2">
        <f>B254*D254/10000</f>
        <v/>
      </c>
      <c r="F254" s="3">
        <f>B254/30.48</f>
        <v/>
      </c>
      <c r="G254" s="3">
        <f>D254/30.48</f>
        <v/>
      </c>
      <c r="H254" s="615" t="n"/>
      <c r="M254" s="210" t="n"/>
      <c r="N254" s="211" t="n"/>
      <c r="O254" s="263" t="n"/>
      <c r="Q254" s="271" t="n"/>
      <c r="R254" s="282" t="n"/>
    </row>
    <row r="255" ht="18" customHeight="1" s="305">
      <c r="A255" s="8" t="inlineStr">
        <is>
          <t>D 32</t>
        </is>
      </c>
      <c r="B255" s="5" t="n">
        <v>89</v>
      </c>
      <c r="C255" s="6" t="inlineStr">
        <is>
          <t>X</t>
        </is>
      </c>
      <c r="D255" s="5" t="n">
        <v>48</v>
      </c>
      <c r="E255" s="2">
        <f>B255*D255/10000</f>
        <v/>
      </c>
      <c r="F255" s="3">
        <f>B255/30.48</f>
        <v/>
      </c>
      <c r="G255" s="3">
        <f>D255/30.48</f>
        <v/>
      </c>
      <c r="H255" s="615" t="n"/>
      <c r="M255" s="210" t="n"/>
      <c r="N255" s="211" t="n"/>
      <c r="O255" s="263" t="n"/>
      <c r="Q255" s="271" t="n"/>
      <c r="R255" s="282" t="n"/>
    </row>
    <row r="256" ht="18" customHeight="1" s="305">
      <c r="A256" s="8" t="inlineStr">
        <is>
          <t>D 36</t>
        </is>
      </c>
      <c r="B256" s="5" t="n">
        <v>90</v>
      </c>
      <c r="C256" s="6" t="inlineStr">
        <is>
          <t>X</t>
        </is>
      </c>
      <c r="D256" s="5" t="n">
        <v>48</v>
      </c>
      <c r="E256" s="2">
        <f>B256*D256/10000</f>
        <v/>
      </c>
      <c r="F256" s="3">
        <f>B256/30.48</f>
        <v/>
      </c>
      <c r="G256" s="3">
        <f>D256/30.48</f>
        <v/>
      </c>
      <c r="H256" s="615" t="n"/>
      <c r="M256" s="210" t="n"/>
      <c r="N256" s="211" t="n"/>
      <c r="O256" s="263" t="n"/>
      <c r="Q256" s="271" t="n"/>
      <c r="R256" s="282" t="n"/>
    </row>
    <row r="257" ht="18" customHeight="1" s="305">
      <c r="A257" s="8" t="inlineStr">
        <is>
          <t>D 40</t>
        </is>
      </c>
      <c r="B257" s="5" t="n">
        <v>85</v>
      </c>
      <c r="C257" s="6" t="inlineStr">
        <is>
          <t>X</t>
        </is>
      </c>
      <c r="D257" s="5" t="n">
        <v>55</v>
      </c>
      <c r="E257" s="2">
        <f>B257*D257/10000</f>
        <v/>
      </c>
      <c r="F257" s="3">
        <f>B257/30.48</f>
        <v/>
      </c>
      <c r="G257" s="3">
        <f>D257/30.48</f>
        <v/>
      </c>
      <c r="H257" s="615" t="n"/>
      <c r="M257" s="210" t="n"/>
      <c r="N257" s="211" t="n"/>
      <c r="O257" s="263" t="n"/>
      <c r="Q257" s="271" t="n"/>
      <c r="R257" s="282" t="n"/>
    </row>
    <row r="258" ht="18" customHeight="1" s="305">
      <c r="A258" s="8" t="inlineStr">
        <is>
          <t>D 48</t>
        </is>
      </c>
      <c r="B258" s="5" t="n">
        <v>95</v>
      </c>
      <c r="C258" s="6" t="inlineStr">
        <is>
          <t>X</t>
        </is>
      </c>
      <c r="D258" s="5" t="n">
        <v>49</v>
      </c>
      <c r="E258" s="2">
        <f>B258*D258/10000</f>
        <v/>
      </c>
      <c r="F258" s="3">
        <f>B258/30.48</f>
        <v/>
      </c>
      <c r="G258" s="3">
        <f>D258/30.48</f>
        <v/>
      </c>
      <c r="H258" s="615" t="n"/>
      <c r="M258" s="210" t="n"/>
      <c r="N258" s="211" t="n"/>
      <c r="O258" s="263" t="n"/>
      <c r="Q258" s="271" t="n"/>
      <c r="R258" s="282" t="n"/>
    </row>
    <row r="259" ht="18" customHeight="1" s="305">
      <c r="A259" s="8" t="inlineStr">
        <is>
          <t>D 49</t>
        </is>
      </c>
      <c r="B259" s="5" t="n">
        <v>86</v>
      </c>
      <c r="C259" s="6" t="inlineStr">
        <is>
          <t>X</t>
        </is>
      </c>
      <c r="D259" s="5" t="n">
        <v>49</v>
      </c>
      <c r="E259" s="2">
        <f>B259*D259/10000</f>
        <v/>
      </c>
      <c r="F259" s="3">
        <f>B259/30.48</f>
        <v/>
      </c>
      <c r="G259" s="3">
        <f>D259/30.48</f>
        <v/>
      </c>
      <c r="H259" s="615" t="n"/>
      <c r="M259" s="210" t="n"/>
      <c r="N259" s="211" t="n"/>
      <c r="O259" s="263" t="n"/>
      <c r="Q259" s="271" t="n"/>
      <c r="R259" s="282" t="n"/>
    </row>
    <row r="260" ht="18" customHeight="1" s="305">
      <c r="A260" s="8" t="inlineStr">
        <is>
          <t>D 52</t>
        </is>
      </c>
      <c r="B260" s="5" t="n">
        <v>82</v>
      </c>
      <c r="C260" s="6" t="inlineStr">
        <is>
          <t>X</t>
        </is>
      </c>
      <c r="D260" s="5" t="n">
        <v>48</v>
      </c>
      <c r="E260" s="2">
        <f>B260*D260/10000</f>
        <v/>
      </c>
      <c r="F260" s="3">
        <f>B260/30.48</f>
        <v/>
      </c>
      <c r="G260" s="3">
        <f>D260/30.48</f>
        <v/>
      </c>
      <c r="H260" s="615" t="n"/>
      <c r="M260" s="210" t="n"/>
      <c r="N260" s="211" t="n"/>
      <c r="O260" s="263" t="n"/>
      <c r="Q260" s="271" t="n"/>
      <c r="R260" s="282" t="n"/>
    </row>
    <row r="261" ht="18" customHeight="1" s="305">
      <c r="A261" s="8" t="inlineStr">
        <is>
          <t>D 61</t>
        </is>
      </c>
      <c r="B261" s="5" t="n">
        <v>77</v>
      </c>
      <c r="C261" s="6" t="inlineStr">
        <is>
          <t>X</t>
        </is>
      </c>
      <c r="D261" s="5" t="n">
        <v>49</v>
      </c>
      <c r="E261" s="2">
        <f>B261*D261/10000</f>
        <v/>
      </c>
      <c r="F261" s="3">
        <f>B261/30.48</f>
        <v/>
      </c>
      <c r="G261" s="3">
        <f>D261/30.48</f>
        <v/>
      </c>
      <c r="H261" s="615" t="n"/>
      <c r="M261" s="210" t="n"/>
      <c r="N261" s="211" t="n"/>
      <c r="O261" s="263" t="n"/>
      <c r="Q261" s="271" t="n"/>
      <c r="R261" s="282" t="n"/>
    </row>
    <row r="262" ht="18" customHeight="1" s="305">
      <c r="A262" s="8" t="inlineStr">
        <is>
          <t>D 64</t>
        </is>
      </c>
      <c r="B262" s="5" t="n">
        <v>87</v>
      </c>
      <c r="C262" s="6" t="inlineStr">
        <is>
          <t>X</t>
        </is>
      </c>
      <c r="D262" s="5" t="n">
        <v>49</v>
      </c>
      <c r="E262" s="2">
        <f>B262*D262/10000</f>
        <v/>
      </c>
      <c r="F262" s="3">
        <f>B262/30.48</f>
        <v/>
      </c>
      <c r="G262" s="3">
        <f>D262/30.48</f>
        <v/>
      </c>
      <c r="H262" s="615" t="n"/>
      <c r="M262" s="210" t="n"/>
      <c r="N262" s="211" t="n"/>
      <c r="O262" s="263" t="n"/>
      <c r="Q262" s="271" t="n"/>
      <c r="R262" s="282" t="n"/>
    </row>
    <row r="263" ht="18" customHeight="1" s="305">
      <c r="A263" s="8" t="inlineStr">
        <is>
          <t>D 65</t>
        </is>
      </c>
      <c r="B263" s="5" t="n">
        <v>91</v>
      </c>
      <c r="C263" s="6" t="inlineStr">
        <is>
          <t>X</t>
        </is>
      </c>
      <c r="D263" s="5" t="n">
        <v>50</v>
      </c>
      <c r="E263" s="2">
        <f>B263*D263/10000</f>
        <v/>
      </c>
      <c r="F263" s="3">
        <f>B263/30.48</f>
        <v/>
      </c>
      <c r="G263" s="3">
        <f>D263/30.48</f>
        <v/>
      </c>
      <c r="H263" s="615" t="n"/>
      <c r="M263" s="210" t="n"/>
      <c r="N263" s="211" t="n"/>
      <c r="O263" s="263" t="n"/>
      <c r="Q263" s="271" t="n"/>
      <c r="R263" s="282" t="n"/>
    </row>
    <row r="264" ht="18" customHeight="1" s="305">
      <c r="A264" s="8" t="inlineStr">
        <is>
          <t>D 69</t>
        </is>
      </c>
      <c r="B264" s="5" t="n">
        <v>83</v>
      </c>
      <c r="C264" s="6" t="inlineStr">
        <is>
          <t>X</t>
        </is>
      </c>
      <c r="D264" s="5" t="n">
        <v>51</v>
      </c>
      <c r="E264" s="2">
        <f>B264*D264/10000</f>
        <v/>
      </c>
      <c r="F264" s="3">
        <f>B264/30.48</f>
        <v/>
      </c>
      <c r="G264" s="3">
        <f>D264/30.48</f>
        <v/>
      </c>
      <c r="H264" s="615" t="n"/>
      <c r="M264" s="210" t="n"/>
      <c r="N264" s="211" t="n"/>
      <c r="O264" s="263" t="n"/>
      <c r="Q264" s="271" t="n"/>
      <c r="R264" s="282" t="n"/>
    </row>
    <row r="265" ht="18" customHeight="1" s="305">
      <c r="A265" s="8" t="inlineStr">
        <is>
          <t>D 106</t>
        </is>
      </c>
      <c r="B265" s="5" t="n">
        <v>88</v>
      </c>
      <c r="C265" s="6" t="inlineStr">
        <is>
          <t>X</t>
        </is>
      </c>
      <c r="D265" s="5" t="n">
        <v>46</v>
      </c>
      <c r="E265" s="2">
        <f>B265*D265/10000</f>
        <v/>
      </c>
      <c r="F265" s="3">
        <f>B265/30.48</f>
        <v/>
      </c>
      <c r="G265" s="3">
        <f>D265/30.48</f>
        <v/>
      </c>
      <c r="H265" s="615" t="n"/>
      <c r="M265" s="210" t="n"/>
      <c r="N265" s="211" t="n"/>
      <c r="O265" s="263" t="n"/>
      <c r="Q265" s="271" t="n"/>
      <c r="R265" s="282" t="n"/>
    </row>
    <row r="266" ht="18" customHeight="1" s="305">
      <c r="A266" s="8" t="inlineStr">
        <is>
          <t>D 110</t>
        </is>
      </c>
      <c r="B266" s="5" t="n">
        <v>86</v>
      </c>
      <c r="C266" s="6" t="inlineStr">
        <is>
          <t>X</t>
        </is>
      </c>
      <c r="D266" s="5" t="n">
        <v>46</v>
      </c>
      <c r="E266" s="2">
        <f>B266*D266/10000</f>
        <v/>
      </c>
      <c r="F266" s="3">
        <f>B266/30.48</f>
        <v/>
      </c>
      <c r="G266" s="3">
        <f>D266/30.48</f>
        <v/>
      </c>
      <c r="H266" s="615" t="n"/>
      <c r="M266" s="210" t="n"/>
      <c r="N266" s="211" t="n"/>
      <c r="O266" s="263" t="n"/>
      <c r="Q266" s="271" t="n"/>
      <c r="R266" s="282" t="n"/>
    </row>
    <row r="267" ht="18" customHeight="1" s="305">
      <c r="A267" s="8" t="inlineStr">
        <is>
          <t>D 135</t>
        </is>
      </c>
      <c r="B267" s="5" t="n">
        <v>85</v>
      </c>
      <c r="C267" s="6" t="inlineStr">
        <is>
          <t>X</t>
        </is>
      </c>
      <c r="D267" s="5" t="n">
        <v>48</v>
      </c>
      <c r="E267" s="2">
        <f>B267*D267/10000</f>
        <v/>
      </c>
      <c r="F267" s="3">
        <f>B267/30.48</f>
        <v/>
      </c>
      <c r="G267" s="3">
        <f>D267/30.48</f>
        <v/>
      </c>
      <c r="H267" s="615" t="n"/>
      <c r="M267" s="210" t="n"/>
      <c r="N267" s="211" t="n"/>
      <c r="O267" s="263" t="n"/>
      <c r="Q267" s="271" t="n"/>
      <c r="R267" s="282" t="n"/>
    </row>
    <row r="268" ht="18" customHeight="1" s="305">
      <c r="A268" s="8" t="inlineStr">
        <is>
          <t>D 145</t>
        </is>
      </c>
      <c r="B268" s="5" t="n">
        <v>76</v>
      </c>
      <c r="C268" s="6" t="inlineStr">
        <is>
          <t>X</t>
        </is>
      </c>
      <c r="D268" s="5" t="n">
        <v>47</v>
      </c>
      <c r="E268" s="2">
        <f>B268*D268/10000</f>
        <v/>
      </c>
      <c r="F268" s="3">
        <f>B268/30.48</f>
        <v/>
      </c>
      <c r="G268" s="3">
        <f>D268/30.48</f>
        <v/>
      </c>
      <c r="H268" s="615" t="n"/>
      <c r="M268" s="210" t="n"/>
      <c r="N268" s="211" t="n"/>
      <c r="O268" s="263" t="n"/>
      <c r="Q268" s="271" t="n"/>
      <c r="R268" s="282" t="n"/>
    </row>
    <row r="269" ht="18" customHeight="1" s="305">
      <c r="A269" s="8" t="inlineStr">
        <is>
          <t>D 153</t>
        </is>
      </c>
      <c r="B269" s="5" t="n">
        <v>79</v>
      </c>
      <c r="C269" s="6" t="inlineStr">
        <is>
          <t>X</t>
        </is>
      </c>
      <c r="D269" s="5" t="n">
        <v>49</v>
      </c>
      <c r="E269" s="2">
        <f>B269*D269/10000</f>
        <v/>
      </c>
      <c r="F269" s="3">
        <f>B269/30.48</f>
        <v/>
      </c>
      <c r="G269" s="3">
        <f>D269/30.48</f>
        <v/>
      </c>
      <c r="H269" s="615" t="n"/>
      <c r="M269" s="210" t="n"/>
      <c r="N269" s="211" t="n"/>
      <c r="O269" s="263" t="n"/>
      <c r="Q269" s="271" t="n"/>
      <c r="R269" s="282" t="n"/>
    </row>
    <row r="270" ht="18" customHeight="1" s="305">
      <c r="A270" s="8" t="inlineStr">
        <is>
          <t>D 154</t>
        </is>
      </c>
      <c r="B270" s="5" t="n">
        <v>82</v>
      </c>
      <c r="C270" s="6" t="inlineStr">
        <is>
          <t>X</t>
        </is>
      </c>
      <c r="D270" s="5" t="n">
        <v>49</v>
      </c>
      <c r="E270" s="2">
        <f>B270*D270/10000</f>
        <v/>
      </c>
      <c r="F270" s="3">
        <f>B270/30.48</f>
        <v/>
      </c>
      <c r="G270" s="3">
        <f>D270/30.48</f>
        <v/>
      </c>
      <c r="H270" s="615" t="n"/>
      <c r="M270" s="210" t="n"/>
      <c r="N270" s="211" t="n"/>
      <c r="O270" s="263" t="n"/>
      <c r="Q270" s="271" t="n"/>
      <c r="R270" s="282" t="n"/>
    </row>
    <row r="271" ht="18" customHeight="1" s="305">
      <c r="A271" s="8" t="inlineStr">
        <is>
          <t>D 155</t>
        </is>
      </c>
      <c r="B271" s="5" t="n">
        <v>84</v>
      </c>
      <c r="C271" s="6" t="inlineStr">
        <is>
          <t>X</t>
        </is>
      </c>
      <c r="D271" s="5" t="n">
        <v>40</v>
      </c>
      <c r="E271" s="2">
        <f>B271*D271/10000</f>
        <v/>
      </c>
      <c r="F271" s="3">
        <f>B271/30.48</f>
        <v/>
      </c>
      <c r="G271" s="3">
        <f>D271/30.48</f>
        <v/>
      </c>
      <c r="H271" s="615" t="n"/>
      <c r="I271" s="49" t="inlineStr">
        <is>
          <t>OLD</t>
        </is>
      </c>
      <c r="M271" s="210" t="n"/>
      <c r="N271" s="211" t="n"/>
      <c r="O271" s="263" t="n"/>
      <c r="Q271" s="271" t="n"/>
      <c r="R271" s="282" t="n"/>
    </row>
    <row r="272" ht="18" customHeight="1" s="305">
      <c r="A272" s="8" t="inlineStr">
        <is>
          <t>C 120</t>
        </is>
      </c>
      <c r="B272" s="5" t="n">
        <v>288</v>
      </c>
      <c r="C272" s="6" t="inlineStr">
        <is>
          <t>X</t>
        </is>
      </c>
      <c r="D272" s="5" t="n">
        <v>189</v>
      </c>
      <c r="E272" s="2">
        <f>B272*D272/10000</f>
        <v/>
      </c>
      <c r="F272" s="3">
        <f>B272/30.48</f>
        <v/>
      </c>
      <c r="G272" s="3">
        <f>D272/30.48</f>
        <v/>
      </c>
      <c r="H272" s="615" t="n"/>
      <c r="I272" s="49" t="inlineStr">
        <is>
          <t>OLD</t>
        </is>
      </c>
      <c r="J272" s="48" t="inlineStr">
        <is>
          <t>TRS</t>
        </is>
      </c>
      <c r="K272" s="51" t="inlineStr">
        <is>
          <t>PAC</t>
        </is>
      </c>
      <c r="M272" s="210" t="n"/>
      <c r="N272" s="211" t="n"/>
      <c r="O272" s="340" t="inlineStr">
        <is>
          <t>SBL</t>
        </is>
      </c>
      <c r="Q272" s="271" t="n"/>
      <c r="R272" s="282" t="n"/>
    </row>
    <row r="273" ht="18" customHeight="1" s="305">
      <c r="A273" s="8" t="inlineStr">
        <is>
          <t>C 121</t>
        </is>
      </c>
      <c r="B273" s="5" t="n">
        <v>278</v>
      </c>
      <c r="C273" s="6" t="inlineStr">
        <is>
          <t>X</t>
        </is>
      </c>
      <c r="D273" s="5" t="n">
        <v>135</v>
      </c>
      <c r="E273" s="2">
        <f>B273*D273/10000</f>
        <v/>
      </c>
      <c r="F273" s="3">
        <f>B273/30.48</f>
        <v/>
      </c>
      <c r="G273" s="3">
        <f>D273/30.48</f>
        <v/>
      </c>
      <c r="H273" s="615" t="inlineStr">
        <is>
          <t>germe</t>
        </is>
      </c>
      <c r="I273" s="49" t="inlineStr">
        <is>
          <t>OLD</t>
        </is>
      </c>
      <c r="J273" s="48" t="inlineStr">
        <is>
          <t>TRS</t>
        </is>
      </c>
      <c r="K273" s="51" t="inlineStr">
        <is>
          <t>PAC</t>
        </is>
      </c>
      <c r="L273" s="105" t="inlineStr">
        <is>
          <t>VR</t>
        </is>
      </c>
      <c r="M273" s="210" t="n"/>
      <c r="N273" s="211" t="n"/>
      <c r="O273" s="340" t="inlineStr">
        <is>
          <t>SBL</t>
        </is>
      </c>
      <c r="Q273" s="271" t="n"/>
      <c r="R273" s="282" t="n"/>
    </row>
    <row r="274" ht="18" customHeight="1" s="305">
      <c r="A274" s="8" t="inlineStr">
        <is>
          <t>C 124</t>
        </is>
      </c>
      <c r="B274" s="5" t="n">
        <v>355</v>
      </c>
      <c r="C274" s="6" t="inlineStr">
        <is>
          <t>X</t>
        </is>
      </c>
      <c r="D274" s="5" t="n">
        <v>98</v>
      </c>
      <c r="E274" s="2">
        <f>B274*D274/10000</f>
        <v/>
      </c>
      <c r="F274" s="3">
        <f>B274/30.48</f>
        <v/>
      </c>
      <c r="G274" s="3">
        <f>D274/30.48</f>
        <v/>
      </c>
      <c r="H274" s="615" t="n"/>
      <c r="I274" s="49" t="inlineStr">
        <is>
          <t>OLD</t>
        </is>
      </c>
      <c r="J274" s="48" t="inlineStr">
        <is>
          <t>TRS</t>
        </is>
      </c>
      <c r="K274" s="51" t="inlineStr">
        <is>
          <t>PAC</t>
        </is>
      </c>
      <c r="L274" s="105" t="inlineStr">
        <is>
          <t>VR</t>
        </is>
      </c>
      <c r="M274" s="210" t="inlineStr">
        <is>
          <t>RK</t>
        </is>
      </c>
      <c r="N274" s="211" t="n"/>
      <c r="O274" s="340" t="inlineStr">
        <is>
          <t>SBL</t>
        </is>
      </c>
      <c r="Q274" s="271" t="n"/>
      <c r="R274" s="282" t="n"/>
    </row>
    <row r="275" ht="18" customHeight="1" s="305">
      <c r="A275" s="8" t="inlineStr">
        <is>
          <t>C 126</t>
        </is>
      </c>
      <c r="B275" s="5" t="n">
        <v>292</v>
      </c>
      <c r="C275" s="6" t="inlineStr">
        <is>
          <t>X</t>
        </is>
      </c>
      <c r="D275" s="5" t="n">
        <v>189</v>
      </c>
      <c r="E275" s="2">
        <f>B275*D275/10000</f>
        <v/>
      </c>
      <c r="F275" s="3">
        <f>B275/30.48</f>
        <v/>
      </c>
      <c r="G275" s="3">
        <f>D275/30.48</f>
        <v/>
      </c>
      <c r="H275" s="615" t="n"/>
      <c r="I275" s="49" t="inlineStr">
        <is>
          <t>OLD</t>
        </is>
      </c>
      <c r="J275" s="48" t="inlineStr">
        <is>
          <t>TRS</t>
        </is>
      </c>
      <c r="K275" s="51" t="inlineStr">
        <is>
          <t>PAC</t>
        </is>
      </c>
      <c r="L275" s="105" t="inlineStr">
        <is>
          <t>VR</t>
        </is>
      </c>
      <c r="M275" s="210" t="inlineStr">
        <is>
          <t>RK</t>
        </is>
      </c>
      <c r="N275" s="211" t="n"/>
      <c r="O275" s="340" t="inlineStr">
        <is>
          <t>SBL</t>
        </is>
      </c>
      <c r="Q275" s="271" t="n"/>
      <c r="R275" s="282" t="n"/>
    </row>
    <row r="276" ht="18" customHeight="1" s="305">
      <c r="A276" s="8" t="inlineStr">
        <is>
          <t>C 135</t>
        </is>
      </c>
      <c r="B276" s="5" t="n">
        <v>281</v>
      </c>
      <c r="C276" s="6" t="inlineStr">
        <is>
          <t>X</t>
        </is>
      </c>
      <c r="D276" s="5" t="n">
        <v>157</v>
      </c>
      <c r="E276" s="2">
        <f>B276*D276/10000</f>
        <v/>
      </c>
      <c r="F276" s="3">
        <f>B276/30.48</f>
        <v/>
      </c>
      <c r="G276" s="3">
        <f>D276/30.48</f>
        <v/>
      </c>
      <c r="H276" s="615" t="inlineStr">
        <is>
          <t>tamir</t>
        </is>
      </c>
      <c r="I276" s="49" t="inlineStr">
        <is>
          <t>OLD</t>
        </is>
      </c>
      <c r="J276" s="48" t="inlineStr">
        <is>
          <t>TRS</t>
        </is>
      </c>
      <c r="K276" s="51" t="inlineStr">
        <is>
          <t>PAC</t>
        </is>
      </c>
      <c r="L276" s="105" t="inlineStr">
        <is>
          <t>VR</t>
        </is>
      </c>
      <c r="M276" s="210" t="n"/>
      <c r="N276" s="211" t="n"/>
      <c r="O276" s="263" t="n"/>
      <c r="Q276" s="271" t="n"/>
      <c r="R276" s="282" t="n"/>
    </row>
    <row r="277" ht="18" customHeight="1" s="305">
      <c r="A277" s="8" t="inlineStr">
        <is>
          <t>C 136</t>
        </is>
      </c>
      <c r="B277" s="5" t="n">
        <v>348</v>
      </c>
      <c r="C277" s="6" t="inlineStr">
        <is>
          <t>X</t>
        </is>
      </c>
      <c r="D277" s="5" t="n">
        <v>130</v>
      </c>
      <c r="E277" s="2">
        <f>B277*D277/10000</f>
        <v/>
      </c>
      <c r="F277" s="3">
        <f>B277/30.48</f>
        <v/>
      </c>
      <c r="G277" s="3">
        <f>D277/30.48</f>
        <v/>
      </c>
      <c r="H277" s="615" t="n"/>
      <c r="I277" s="49" t="inlineStr">
        <is>
          <t>OLD</t>
        </is>
      </c>
      <c r="J277" s="48" t="inlineStr">
        <is>
          <t>TRS</t>
        </is>
      </c>
      <c r="K277" s="51" t="inlineStr">
        <is>
          <t>PAC</t>
        </is>
      </c>
      <c r="L277" s="105" t="inlineStr">
        <is>
          <t>VR</t>
        </is>
      </c>
      <c r="M277" s="210" t="n"/>
      <c r="N277" s="211" t="n"/>
      <c r="O277" s="340" t="inlineStr">
        <is>
          <t>SBL</t>
        </is>
      </c>
      <c r="Q277" s="271" t="n"/>
      <c r="R277" s="282" t="n"/>
    </row>
    <row r="278" ht="18" customHeight="1" s="305">
      <c r="A278" s="8" t="inlineStr">
        <is>
          <t>C 137</t>
        </is>
      </c>
      <c r="B278" s="5" t="n">
        <v>226</v>
      </c>
      <c r="C278" s="6" t="inlineStr">
        <is>
          <t>X</t>
        </is>
      </c>
      <c r="D278" s="5" t="n">
        <v>87</v>
      </c>
      <c r="E278" s="2">
        <f>B278*D278/10000</f>
        <v/>
      </c>
      <c r="F278" s="3">
        <f>B278/30.48</f>
        <v/>
      </c>
      <c r="G278" s="3">
        <f>D278/30.48</f>
        <v/>
      </c>
      <c r="H278" s="615" t="n"/>
      <c r="I278" s="49" t="inlineStr">
        <is>
          <t>OLD</t>
        </is>
      </c>
      <c r="J278" s="48" t="inlineStr">
        <is>
          <t>TRS</t>
        </is>
      </c>
      <c r="K278" s="51" t="inlineStr">
        <is>
          <t>PAC</t>
        </is>
      </c>
      <c r="M278" s="210" t="n"/>
      <c r="N278" s="211" t="n"/>
      <c r="O278" s="340" t="inlineStr">
        <is>
          <t>SBL</t>
        </is>
      </c>
      <c r="Q278" s="271" t="n"/>
      <c r="R278" s="282" t="n"/>
    </row>
    <row r="279" ht="18" customHeight="1" s="305">
      <c r="A279" s="8" t="inlineStr">
        <is>
          <t>C 140</t>
        </is>
      </c>
      <c r="B279" s="5" t="n">
        <v>199</v>
      </c>
      <c r="C279" s="6" t="inlineStr">
        <is>
          <t>X</t>
        </is>
      </c>
      <c r="D279" s="5" t="n">
        <v>108</v>
      </c>
      <c r="E279" s="2">
        <f>B279*D279/10000</f>
        <v/>
      </c>
      <c r="F279" s="3">
        <f>B279/30.48</f>
        <v/>
      </c>
      <c r="G279" s="3">
        <f>D279/30.48</f>
        <v/>
      </c>
      <c r="H279" s="615" t="n"/>
      <c r="I279" s="49" t="inlineStr">
        <is>
          <t>OLD</t>
        </is>
      </c>
      <c r="J279" s="48" t="inlineStr">
        <is>
          <t>TRS</t>
        </is>
      </c>
      <c r="K279" s="51" t="inlineStr">
        <is>
          <t>PAC</t>
        </is>
      </c>
      <c r="L279" s="105" t="inlineStr">
        <is>
          <t>VR</t>
        </is>
      </c>
      <c r="M279" s="210" t="inlineStr">
        <is>
          <t>RK</t>
        </is>
      </c>
      <c r="N279" s="211" t="n"/>
      <c r="O279" s="340" t="inlineStr">
        <is>
          <t>SBL</t>
        </is>
      </c>
      <c r="Q279" s="271" t="n"/>
      <c r="R279" s="282" t="n"/>
    </row>
    <row r="280" ht="18" customHeight="1" s="305">
      <c r="A280" s="8" t="inlineStr">
        <is>
          <t>C 141</t>
        </is>
      </c>
      <c r="B280" s="5" t="n">
        <v>296</v>
      </c>
      <c r="C280" s="6" t="inlineStr">
        <is>
          <t>X</t>
        </is>
      </c>
      <c r="D280" s="5" t="n">
        <v>100</v>
      </c>
      <c r="E280" s="2">
        <f>B280*D280/10000</f>
        <v/>
      </c>
      <c r="F280" s="3">
        <f>B280/30.48</f>
        <v/>
      </c>
      <c r="G280" s="3">
        <f>D280/30.48</f>
        <v/>
      </c>
      <c r="H280" s="615" t="n"/>
      <c r="I280" s="49" t="inlineStr">
        <is>
          <t>OLD</t>
        </is>
      </c>
      <c r="J280" s="48" t="inlineStr">
        <is>
          <t>TRS</t>
        </is>
      </c>
      <c r="K280" s="51" t="inlineStr">
        <is>
          <t>PAC</t>
        </is>
      </c>
      <c r="M280" s="210" t="inlineStr">
        <is>
          <t>RK</t>
        </is>
      </c>
      <c r="N280" s="211" t="n"/>
      <c r="O280" s="340" t="inlineStr">
        <is>
          <t>SBL</t>
        </is>
      </c>
      <c r="Q280" s="271" t="n"/>
      <c r="R280" s="282" t="n"/>
    </row>
    <row r="281" ht="18" customHeight="1" s="305">
      <c r="A281" s="8" t="inlineStr">
        <is>
          <t>C 148</t>
        </is>
      </c>
      <c r="B281" s="5" t="n">
        <v>340</v>
      </c>
      <c r="C281" s="6" t="inlineStr">
        <is>
          <t>X</t>
        </is>
      </c>
      <c r="D281" s="5" t="n">
        <v>85</v>
      </c>
      <c r="E281" s="2">
        <f>B281*D281/10000</f>
        <v/>
      </c>
      <c r="F281" s="3">
        <f>B281/30.48</f>
        <v/>
      </c>
      <c r="G281" s="3">
        <f>D281/30.48</f>
        <v/>
      </c>
      <c r="H281" s="615" t="n"/>
      <c r="I281" s="49" t="inlineStr">
        <is>
          <t>OLD</t>
        </is>
      </c>
      <c r="J281" s="48" t="inlineStr">
        <is>
          <t>TRS</t>
        </is>
      </c>
      <c r="K281" s="51" t="inlineStr">
        <is>
          <t>PAC</t>
        </is>
      </c>
      <c r="L281" s="105" t="inlineStr">
        <is>
          <t>VR</t>
        </is>
      </c>
      <c r="M281" s="210" t="n"/>
      <c r="N281" s="211" t="n"/>
      <c r="O281" s="340" t="inlineStr">
        <is>
          <t>SBL</t>
        </is>
      </c>
      <c r="Q281" s="271" t="n"/>
      <c r="R281" s="282" t="n"/>
    </row>
    <row r="282" ht="18" customHeight="1" s="305">
      <c r="A282" s="8" t="inlineStr">
        <is>
          <t>C 158</t>
        </is>
      </c>
      <c r="B282" s="5" t="n">
        <v>263</v>
      </c>
      <c r="C282" s="6" t="inlineStr">
        <is>
          <t>X</t>
        </is>
      </c>
      <c r="D282" s="5" t="n">
        <v>163</v>
      </c>
      <c r="E282" s="2">
        <f>B282*D282/10000</f>
        <v/>
      </c>
      <c r="F282" s="3">
        <f>B282/30.48</f>
        <v/>
      </c>
      <c r="G282" s="3">
        <f>D282/30.48</f>
        <v/>
      </c>
      <c r="H282" s="615" t="inlineStr">
        <is>
          <t>germe</t>
        </is>
      </c>
      <c r="I282" s="49" t="inlineStr">
        <is>
          <t>OLD</t>
        </is>
      </c>
      <c r="J282" s="48" t="inlineStr">
        <is>
          <t>TRS</t>
        </is>
      </c>
      <c r="K282" s="51" t="inlineStr">
        <is>
          <t>PAC</t>
        </is>
      </c>
      <c r="M282" s="210" t="inlineStr">
        <is>
          <t>RK</t>
        </is>
      </c>
      <c r="N282" s="211" t="n"/>
      <c r="O282" s="340" t="inlineStr">
        <is>
          <t>SBL</t>
        </is>
      </c>
      <c r="Q282" s="271" t="n"/>
      <c r="R282" s="282" t="n"/>
    </row>
    <row r="283" ht="18" customHeight="1" s="305">
      <c r="A283" s="8" t="inlineStr">
        <is>
          <t>C 162</t>
        </is>
      </c>
      <c r="B283" s="5" t="n">
        <v>369</v>
      </c>
      <c r="C283" s="6" t="inlineStr">
        <is>
          <t>X</t>
        </is>
      </c>
      <c r="D283" s="5" t="n">
        <v>90</v>
      </c>
      <c r="E283" s="2">
        <f>B283*D283/10000</f>
        <v/>
      </c>
      <c r="F283" s="3">
        <f>B283/30.48</f>
        <v/>
      </c>
      <c r="G283" s="3">
        <f>D283/30.48</f>
        <v/>
      </c>
      <c r="H283" s="615" t="n"/>
      <c r="I283" s="49" t="inlineStr">
        <is>
          <t>OLD</t>
        </is>
      </c>
      <c r="J283" s="48" t="inlineStr">
        <is>
          <t>TRS</t>
        </is>
      </c>
      <c r="K283" s="51" t="inlineStr">
        <is>
          <t>PAC</t>
        </is>
      </c>
      <c r="L283" s="105" t="inlineStr">
        <is>
          <t>VR</t>
        </is>
      </c>
      <c r="M283" s="210" t="n"/>
      <c r="N283" s="211" t="n"/>
      <c r="O283" s="340" t="inlineStr">
        <is>
          <t>SBL</t>
        </is>
      </c>
      <c r="Q283" s="271" t="n"/>
      <c r="R283" s="282" t="n"/>
    </row>
    <row r="284" ht="18" customHeight="1" s="305">
      <c r="A284" s="8" t="inlineStr">
        <is>
          <t>C 163</t>
        </is>
      </c>
      <c r="B284" s="5" t="n">
        <v>289</v>
      </c>
      <c r="C284" s="6" t="inlineStr">
        <is>
          <t>X</t>
        </is>
      </c>
      <c r="D284" s="5" t="n">
        <v>187</v>
      </c>
      <c r="E284" s="2">
        <f>B284*D284/10000</f>
        <v/>
      </c>
      <c r="F284" s="3">
        <f>B284/30.48</f>
        <v/>
      </c>
      <c r="G284" s="3">
        <f>D284/30.48</f>
        <v/>
      </c>
      <c r="H284" s="615" t="n"/>
      <c r="I284" s="49" t="inlineStr">
        <is>
          <t>OLD</t>
        </is>
      </c>
      <c r="J284" s="48" t="inlineStr">
        <is>
          <t>TRS</t>
        </is>
      </c>
      <c r="K284" s="51" t="inlineStr">
        <is>
          <t>PAC</t>
        </is>
      </c>
      <c r="L284" s="105" t="inlineStr">
        <is>
          <t>VR</t>
        </is>
      </c>
      <c r="M284" s="210" t="n"/>
      <c r="N284" s="211" t="n"/>
      <c r="O284" s="340" t="inlineStr">
        <is>
          <t>SBL</t>
        </is>
      </c>
      <c r="Q284" s="271" t="n"/>
      <c r="R284" s="282" t="n"/>
    </row>
    <row r="285" ht="18" customHeight="1" s="305">
      <c r="A285" s="8" t="inlineStr">
        <is>
          <t>C 168</t>
        </is>
      </c>
      <c r="B285" s="5" t="n">
        <v>277</v>
      </c>
      <c r="C285" s="6" t="inlineStr">
        <is>
          <t>X</t>
        </is>
      </c>
      <c r="D285" s="5" t="n">
        <v>154</v>
      </c>
      <c r="E285" s="2">
        <f>B285*D285/10000</f>
        <v/>
      </c>
      <c r="F285" s="3">
        <f>B285/30.48</f>
        <v/>
      </c>
      <c r="G285" s="3">
        <f>D285/30.48</f>
        <v/>
      </c>
      <c r="H285" s="615" t="n"/>
      <c r="I285" s="49" t="inlineStr">
        <is>
          <t>OLD</t>
        </is>
      </c>
      <c r="J285" s="48" t="inlineStr">
        <is>
          <t>TRS</t>
        </is>
      </c>
      <c r="K285" s="51" t="inlineStr">
        <is>
          <t>PAC</t>
        </is>
      </c>
      <c r="L285" s="105" t="inlineStr">
        <is>
          <t>VR</t>
        </is>
      </c>
      <c r="M285" s="210" t="n"/>
      <c r="N285" s="211" t="n"/>
      <c r="O285" s="340" t="inlineStr">
        <is>
          <t>SBL</t>
        </is>
      </c>
      <c r="Q285" s="271" t="n"/>
      <c r="R285" s="282" t="n"/>
    </row>
    <row r="286" ht="18" customHeight="1" s="305">
      <c r="A286" s="8" t="inlineStr">
        <is>
          <t>C 178</t>
        </is>
      </c>
      <c r="B286" s="5" t="n">
        <v>201</v>
      </c>
      <c r="C286" s="6" t="inlineStr">
        <is>
          <t>X</t>
        </is>
      </c>
      <c r="D286" s="5" t="n">
        <v>120</v>
      </c>
      <c r="E286" s="2">
        <f>B286*D286/10000</f>
        <v/>
      </c>
      <c r="F286" s="3">
        <f>B286/30.48</f>
        <v/>
      </c>
      <c r="G286" s="3">
        <f>D286/30.48</f>
        <v/>
      </c>
      <c r="H286" s="615" t="n"/>
      <c r="I286" s="49" t="inlineStr">
        <is>
          <t>OLD</t>
        </is>
      </c>
      <c r="J286" s="48" t="inlineStr">
        <is>
          <t>TRS</t>
        </is>
      </c>
      <c r="K286" s="51" t="inlineStr">
        <is>
          <t>PAC</t>
        </is>
      </c>
      <c r="L286" s="105" t="inlineStr">
        <is>
          <t>VR</t>
        </is>
      </c>
      <c r="M286" s="210" t="n"/>
      <c r="N286" s="211" t="n"/>
      <c r="O286" s="340" t="inlineStr">
        <is>
          <t>SBL</t>
        </is>
      </c>
      <c r="Q286" s="271" t="n"/>
      <c r="R286" s="282" t="n"/>
    </row>
    <row r="287" ht="18" customHeight="1" s="305">
      <c r="A287" s="8" t="inlineStr">
        <is>
          <t>C 181</t>
        </is>
      </c>
      <c r="B287" s="5" t="n">
        <v>323</v>
      </c>
      <c r="C287" s="6" t="inlineStr">
        <is>
          <t>X</t>
        </is>
      </c>
      <c r="D287" s="5" t="n">
        <v>77</v>
      </c>
      <c r="E287" s="2">
        <f>B287*D287/10000</f>
        <v/>
      </c>
      <c r="F287" s="3">
        <f>B287/30.48</f>
        <v/>
      </c>
      <c r="G287" s="3">
        <f>D287/30.48</f>
        <v/>
      </c>
      <c r="H287" s="615" t="n"/>
      <c r="I287" s="49" t="inlineStr">
        <is>
          <t>OLD</t>
        </is>
      </c>
      <c r="J287" s="48" t="inlineStr">
        <is>
          <t>TRS</t>
        </is>
      </c>
      <c r="K287" s="51" t="inlineStr">
        <is>
          <t>PAC</t>
        </is>
      </c>
      <c r="L287" s="105" t="inlineStr">
        <is>
          <t>VR</t>
        </is>
      </c>
      <c r="M287" s="210" t="n"/>
      <c r="N287" s="211" t="n"/>
      <c r="O287" s="340" t="inlineStr">
        <is>
          <t>SBL</t>
        </is>
      </c>
      <c r="Q287" s="271" t="n"/>
      <c r="R287" s="282" t="n"/>
    </row>
    <row r="288" ht="18" customHeight="1" s="305">
      <c r="A288" s="8" t="inlineStr">
        <is>
          <t>C 182</t>
        </is>
      </c>
      <c r="B288" s="5" t="n">
        <v>214</v>
      </c>
      <c r="C288" s="6" t="inlineStr">
        <is>
          <t>X</t>
        </is>
      </c>
      <c r="D288" s="5" t="n">
        <v>131</v>
      </c>
      <c r="E288" s="2">
        <f>B288*D288/10000</f>
        <v/>
      </c>
      <c r="F288" s="3">
        <f>B288/30.48</f>
        <v/>
      </c>
      <c r="G288" s="3">
        <f>D288/30.48</f>
        <v/>
      </c>
      <c r="H288" s="615" t="n"/>
      <c r="I288" s="49" t="inlineStr">
        <is>
          <t>OLD</t>
        </is>
      </c>
      <c r="J288" s="48" t="inlineStr">
        <is>
          <t>TRS</t>
        </is>
      </c>
      <c r="K288" s="51" t="inlineStr">
        <is>
          <t>PAC</t>
        </is>
      </c>
      <c r="L288" s="105" t="inlineStr">
        <is>
          <t>VR</t>
        </is>
      </c>
      <c r="M288" s="210" t="inlineStr">
        <is>
          <t>RK</t>
        </is>
      </c>
      <c r="N288" s="211" t="n"/>
      <c r="O288" s="340" t="inlineStr">
        <is>
          <t>SBL</t>
        </is>
      </c>
      <c r="Q288" s="271" t="n"/>
      <c r="R288" s="282" t="n"/>
    </row>
    <row r="289" ht="18" customHeight="1" s="305">
      <c r="A289" s="8" t="inlineStr">
        <is>
          <t>C 183</t>
        </is>
      </c>
      <c r="B289" s="5" t="n">
        <v>226</v>
      </c>
      <c r="C289" s="6" t="inlineStr">
        <is>
          <t>X</t>
        </is>
      </c>
      <c r="D289" s="5" t="n">
        <v>110</v>
      </c>
      <c r="E289" s="2">
        <f>B289*D289/10000</f>
        <v/>
      </c>
      <c r="F289" s="3">
        <f>B289/30.48</f>
        <v/>
      </c>
      <c r="G289" s="3">
        <f>D289/30.48</f>
        <v/>
      </c>
      <c r="H289" s="615" t="n"/>
      <c r="I289" s="49" t="inlineStr">
        <is>
          <t>OLD</t>
        </is>
      </c>
      <c r="J289" s="48" t="inlineStr">
        <is>
          <t>TRS</t>
        </is>
      </c>
      <c r="K289" s="51" t="inlineStr">
        <is>
          <t>PAC</t>
        </is>
      </c>
      <c r="L289" s="105" t="inlineStr">
        <is>
          <t>VR</t>
        </is>
      </c>
      <c r="M289" s="210" t="n"/>
      <c r="N289" s="211" t="n"/>
      <c r="O289" s="340" t="inlineStr">
        <is>
          <t>SBL</t>
        </is>
      </c>
      <c r="Q289" s="271" t="n"/>
      <c r="R289" s="282" t="n"/>
    </row>
    <row r="290" ht="18" customHeight="1" s="305">
      <c r="A290" s="8" t="inlineStr">
        <is>
          <t>C 186</t>
        </is>
      </c>
      <c r="B290" s="5" t="n">
        <v>282</v>
      </c>
      <c r="C290" s="6" t="inlineStr">
        <is>
          <t>X</t>
        </is>
      </c>
      <c r="D290" s="5" t="n">
        <v>189</v>
      </c>
      <c r="E290" s="2">
        <f>B290*D290/10000</f>
        <v/>
      </c>
      <c r="F290" s="3">
        <f>B290/30.48</f>
        <v/>
      </c>
      <c r="G290" s="3">
        <f>D290/30.48</f>
        <v/>
      </c>
      <c r="H290" s="615" t="n"/>
      <c r="I290" s="49" t="inlineStr">
        <is>
          <t>OLD</t>
        </is>
      </c>
      <c r="J290" s="48" t="inlineStr">
        <is>
          <t>TRS</t>
        </is>
      </c>
      <c r="K290" s="51" t="inlineStr">
        <is>
          <t>PAC</t>
        </is>
      </c>
      <c r="M290" s="210" t="n"/>
      <c r="N290" s="211" t="n"/>
      <c r="O290" s="340" t="inlineStr">
        <is>
          <t>SBL</t>
        </is>
      </c>
      <c r="Q290" s="271" t="n"/>
      <c r="R290" s="282" t="n"/>
    </row>
    <row r="291" ht="18" customHeight="1" s="305">
      <c r="A291" s="8" t="inlineStr">
        <is>
          <t>C 188</t>
        </is>
      </c>
      <c r="B291" s="5" t="n">
        <v>329</v>
      </c>
      <c r="C291" s="6" t="inlineStr">
        <is>
          <t>X</t>
        </is>
      </c>
      <c r="D291" s="5" t="n">
        <v>80</v>
      </c>
      <c r="E291" s="2">
        <f>B291*D291/10000</f>
        <v/>
      </c>
      <c r="F291" s="3">
        <f>B291/30.48</f>
        <v/>
      </c>
      <c r="G291" s="3">
        <f>D291/30.48</f>
        <v/>
      </c>
      <c r="H291" s="615" t="n"/>
      <c r="I291" s="49" t="inlineStr">
        <is>
          <t>OLD</t>
        </is>
      </c>
      <c r="J291" s="48" t="inlineStr">
        <is>
          <t>TRS</t>
        </is>
      </c>
      <c r="K291" s="51" t="inlineStr">
        <is>
          <t>PAC</t>
        </is>
      </c>
      <c r="L291" s="105" t="inlineStr">
        <is>
          <t>VR</t>
        </is>
      </c>
      <c r="M291" s="210" t="n"/>
      <c r="N291" s="211" t="n"/>
      <c r="O291" s="340" t="inlineStr">
        <is>
          <t>SBL</t>
        </is>
      </c>
      <c r="Q291" s="271" t="n"/>
      <c r="R291" s="282" t="n"/>
    </row>
    <row r="292" ht="18" customHeight="1" s="305">
      <c r="A292" s="8" t="inlineStr">
        <is>
          <t>C 189</t>
        </is>
      </c>
      <c r="B292" s="5" t="n">
        <v>334</v>
      </c>
      <c r="C292" s="6" t="inlineStr">
        <is>
          <t>X</t>
        </is>
      </c>
      <c r="D292" s="5" t="n">
        <v>82</v>
      </c>
      <c r="E292" s="2">
        <f>B292*D292/10000</f>
        <v/>
      </c>
      <c r="F292" s="3">
        <f>B292/30.48</f>
        <v/>
      </c>
      <c r="G292" s="3">
        <f>D292/30.48</f>
        <v/>
      </c>
      <c r="H292" s="615" t="n"/>
      <c r="I292" s="49" t="inlineStr">
        <is>
          <t>OLD</t>
        </is>
      </c>
      <c r="J292" s="48" t="inlineStr">
        <is>
          <t>TRS</t>
        </is>
      </c>
      <c r="K292" s="51" t="inlineStr">
        <is>
          <t>PAC</t>
        </is>
      </c>
      <c r="M292" s="210" t="inlineStr">
        <is>
          <t>RK</t>
        </is>
      </c>
      <c r="N292" s="211" t="n"/>
      <c r="O292" s="340" t="inlineStr">
        <is>
          <t>SBL</t>
        </is>
      </c>
      <c r="Q292" s="271" t="n"/>
      <c r="R292" s="282" t="n"/>
    </row>
    <row r="293" ht="18" customHeight="1" s="305">
      <c r="A293" s="8" t="inlineStr">
        <is>
          <t>C 214</t>
        </is>
      </c>
      <c r="B293" s="5" t="n">
        <v>332</v>
      </c>
      <c r="C293" s="6" t="inlineStr">
        <is>
          <t>X</t>
        </is>
      </c>
      <c r="D293" s="5" t="n">
        <v>92</v>
      </c>
      <c r="E293" s="2">
        <f>B293*D293/10000</f>
        <v/>
      </c>
      <c r="F293" s="3">
        <f>B293/30.48</f>
        <v/>
      </c>
      <c r="G293" s="3">
        <f>D293/30.48</f>
        <v/>
      </c>
      <c r="H293" s="615" t="n"/>
      <c r="I293" s="49" t="inlineStr">
        <is>
          <t>OLD</t>
        </is>
      </c>
      <c r="J293" s="48" t="inlineStr">
        <is>
          <t>TRS</t>
        </is>
      </c>
      <c r="K293" s="51" t="inlineStr">
        <is>
          <t>PAC</t>
        </is>
      </c>
      <c r="L293" s="105" t="inlineStr">
        <is>
          <t>VR</t>
        </is>
      </c>
      <c r="M293" s="210" t="n"/>
      <c r="N293" s="211" t="n"/>
      <c r="O293" s="340" t="inlineStr">
        <is>
          <t>SBL</t>
        </is>
      </c>
      <c r="Q293" s="271" t="n"/>
      <c r="R293" s="282" t="n"/>
    </row>
    <row r="294" ht="18" customHeight="1" s="305">
      <c r="A294" s="8" t="inlineStr">
        <is>
          <t>C 217</t>
        </is>
      </c>
      <c r="B294" s="5" t="n">
        <v>139</v>
      </c>
      <c r="C294" s="6" t="inlineStr">
        <is>
          <t>X</t>
        </is>
      </c>
      <c r="D294" s="5" t="n">
        <v>100</v>
      </c>
      <c r="E294" s="2">
        <f>B294*D294/10000</f>
        <v/>
      </c>
      <c r="F294" s="3">
        <f>B294/30.48</f>
        <v/>
      </c>
      <c r="G294" s="3">
        <f>D294/30.48</f>
        <v/>
      </c>
      <c r="H294" s="615" t="n"/>
      <c r="I294" s="49" t="inlineStr">
        <is>
          <t>OLD</t>
        </is>
      </c>
      <c r="J294" s="48" t="inlineStr">
        <is>
          <t>TRS</t>
        </is>
      </c>
      <c r="K294" s="51" t="inlineStr">
        <is>
          <t>PAC</t>
        </is>
      </c>
      <c r="L294" s="105" t="inlineStr">
        <is>
          <t>VR</t>
        </is>
      </c>
      <c r="M294" s="210" t="n"/>
      <c r="N294" s="211" t="n"/>
      <c r="O294" s="340" t="inlineStr">
        <is>
          <t>SBL</t>
        </is>
      </c>
      <c r="Q294" s="271" t="n"/>
      <c r="R294" s="282" t="n"/>
    </row>
    <row r="295" ht="18" customHeight="1" s="305">
      <c r="A295" s="8" t="inlineStr">
        <is>
          <t>C 237</t>
        </is>
      </c>
      <c r="B295" s="5" t="n">
        <v>284</v>
      </c>
      <c r="C295" s="6" t="inlineStr">
        <is>
          <t>X</t>
        </is>
      </c>
      <c r="D295" s="5" t="n">
        <v>90</v>
      </c>
      <c r="E295" s="2">
        <f>B295*D295/10000</f>
        <v/>
      </c>
      <c r="F295" s="3">
        <f>B295/30.48</f>
        <v/>
      </c>
      <c r="G295" s="3">
        <f>D295/30.48</f>
        <v/>
      </c>
      <c r="H295" s="615" t="n"/>
      <c r="I295" s="49" t="inlineStr">
        <is>
          <t>OLD</t>
        </is>
      </c>
      <c r="J295" s="48" t="inlineStr">
        <is>
          <t>TRS</t>
        </is>
      </c>
      <c r="K295" s="51" t="inlineStr">
        <is>
          <t>PAC</t>
        </is>
      </c>
      <c r="L295" s="105" t="inlineStr">
        <is>
          <t>VR</t>
        </is>
      </c>
      <c r="M295" s="210" t="n"/>
      <c r="N295" s="211" t="n"/>
      <c r="O295" s="340" t="inlineStr">
        <is>
          <t>SBL</t>
        </is>
      </c>
      <c r="Q295" s="271" t="n"/>
      <c r="R295" s="282" t="n"/>
    </row>
    <row r="296" ht="18" customHeight="1" s="305">
      <c r="A296" s="8" t="inlineStr">
        <is>
          <t>C 240</t>
        </is>
      </c>
      <c r="B296" s="5" t="n">
        <v>243</v>
      </c>
      <c r="C296" s="6" t="inlineStr">
        <is>
          <t>X</t>
        </is>
      </c>
      <c r="D296" s="5" t="n">
        <v>96</v>
      </c>
      <c r="E296" s="2">
        <f>B296*D296/10000</f>
        <v/>
      </c>
      <c r="F296" s="3">
        <f>B296/30.48</f>
        <v/>
      </c>
      <c r="G296" s="3">
        <f>D296/30.48</f>
        <v/>
      </c>
      <c r="H296" s="615" t="n"/>
      <c r="I296" s="49" t="inlineStr">
        <is>
          <t>OLD</t>
        </is>
      </c>
      <c r="J296" s="48" t="inlineStr">
        <is>
          <t>TRS</t>
        </is>
      </c>
      <c r="K296" s="51" t="inlineStr">
        <is>
          <t>PAC</t>
        </is>
      </c>
      <c r="M296" s="210" t="inlineStr">
        <is>
          <t>RK</t>
        </is>
      </c>
      <c r="N296" s="211" t="n"/>
      <c r="O296" s="340" t="inlineStr">
        <is>
          <t>SBL</t>
        </is>
      </c>
      <c r="Q296" s="271" t="n"/>
      <c r="R296" s="282" t="n"/>
    </row>
    <row r="297" ht="18" customHeight="1" s="305">
      <c r="A297" s="8" t="inlineStr">
        <is>
          <t>C 241</t>
        </is>
      </c>
      <c r="B297" s="5" t="n">
        <v>178</v>
      </c>
      <c r="C297" s="6" t="inlineStr">
        <is>
          <t>X</t>
        </is>
      </c>
      <c r="D297" s="5" t="n">
        <v>105</v>
      </c>
      <c r="E297" s="2">
        <f>B297*D297/10000</f>
        <v/>
      </c>
      <c r="F297" s="3">
        <f>B297/30.48</f>
        <v/>
      </c>
      <c r="G297" s="3">
        <f>D297/30.48</f>
        <v/>
      </c>
      <c r="H297" s="615" t="n"/>
      <c r="I297" s="49" t="inlineStr">
        <is>
          <t>OLD</t>
        </is>
      </c>
      <c r="J297" s="48" t="inlineStr">
        <is>
          <t>TRS</t>
        </is>
      </c>
      <c r="K297" s="51" t="inlineStr">
        <is>
          <t>PAC</t>
        </is>
      </c>
      <c r="L297" s="105" t="inlineStr">
        <is>
          <t>VR</t>
        </is>
      </c>
      <c r="M297" s="210" t="n"/>
      <c r="N297" s="211" t="n"/>
      <c r="O297" s="340" t="inlineStr">
        <is>
          <t>SBL</t>
        </is>
      </c>
      <c r="Q297" s="271" t="n"/>
      <c r="R297" s="282" t="n"/>
    </row>
    <row r="298" ht="18" customHeight="1" s="305">
      <c r="A298" s="8" t="inlineStr">
        <is>
          <t>C 246</t>
        </is>
      </c>
      <c r="B298" s="5" t="n">
        <v>285</v>
      </c>
      <c r="C298" s="6" t="inlineStr">
        <is>
          <t>X</t>
        </is>
      </c>
      <c r="D298" s="5" t="n">
        <v>91</v>
      </c>
      <c r="E298" s="2">
        <f>B298*D298/10000</f>
        <v/>
      </c>
      <c r="F298" s="3">
        <f>B298/30.48</f>
        <v/>
      </c>
      <c r="G298" s="3">
        <f>D298/30.48</f>
        <v/>
      </c>
      <c r="H298" s="615" t="n"/>
      <c r="I298" s="49" t="inlineStr">
        <is>
          <t>OLD</t>
        </is>
      </c>
      <c r="J298" s="48" t="inlineStr">
        <is>
          <t>TRS</t>
        </is>
      </c>
      <c r="K298" s="51" t="inlineStr">
        <is>
          <t>PAC</t>
        </is>
      </c>
      <c r="L298" s="105" t="inlineStr">
        <is>
          <t>VR</t>
        </is>
      </c>
      <c r="M298" s="210" t="n"/>
      <c r="N298" s="211" t="n"/>
      <c r="O298" s="340" t="inlineStr">
        <is>
          <t>SBL</t>
        </is>
      </c>
      <c r="Q298" s="271" t="n"/>
      <c r="R298" s="282" t="n"/>
    </row>
    <row r="299" ht="18" customHeight="1" s="305">
      <c r="A299" s="8" t="inlineStr">
        <is>
          <t>C 247</t>
        </is>
      </c>
      <c r="B299" s="5" t="n">
        <v>340</v>
      </c>
      <c r="C299" s="6" t="inlineStr">
        <is>
          <t>X</t>
        </is>
      </c>
      <c r="D299" s="5" t="n">
        <v>88</v>
      </c>
      <c r="E299" s="2">
        <f>B299*D299/10000</f>
        <v/>
      </c>
      <c r="F299" s="3">
        <f>B299/30.48</f>
        <v/>
      </c>
      <c r="G299" s="3">
        <f>D299/30.48</f>
        <v/>
      </c>
      <c r="H299" s="615" t="n"/>
      <c r="I299" s="49" t="inlineStr">
        <is>
          <t>OLD</t>
        </is>
      </c>
      <c r="J299" s="48" t="inlineStr">
        <is>
          <t>TRS</t>
        </is>
      </c>
      <c r="K299" s="51" t="inlineStr">
        <is>
          <t>PAC</t>
        </is>
      </c>
      <c r="M299" s="210" t="inlineStr">
        <is>
          <t>RK</t>
        </is>
      </c>
      <c r="N299" s="211" t="n"/>
      <c r="O299" s="340" t="inlineStr">
        <is>
          <t>SBL</t>
        </is>
      </c>
      <c r="Q299" s="271" t="n"/>
      <c r="R299" s="282" t="n"/>
    </row>
    <row r="300" ht="18" customHeight="1" s="305">
      <c r="A300" s="8" t="inlineStr">
        <is>
          <t>C 248</t>
        </is>
      </c>
      <c r="B300" s="5" t="n">
        <v>195</v>
      </c>
      <c r="C300" s="6" t="inlineStr">
        <is>
          <t>X</t>
        </is>
      </c>
      <c r="D300" s="5" t="n">
        <v>114</v>
      </c>
      <c r="E300" s="2">
        <f>B300*D300/10000</f>
        <v/>
      </c>
      <c r="F300" s="3">
        <f>B300/30.48</f>
        <v/>
      </c>
      <c r="G300" s="3">
        <f>D300/30.48</f>
        <v/>
      </c>
      <c r="H300" s="615" t="n"/>
      <c r="I300" s="49" t="inlineStr">
        <is>
          <t>OLD</t>
        </is>
      </c>
      <c r="J300" s="48" t="inlineStr">
        <is>
          <t>TRS</t>
        </is>
      </c>
      <c r="K300" s="51" t="inlineStr">
        <is>
          <t>PAC</t>
        </is>
      </c>
      <c r="L300" s="105" t="inlineStr">
        <is>
          <t>VR</t>
        </is>
      </c>
      <c r="M300" s="210" t="inlineStr">
        <is>
          <t>RK</t>
        </is>
      </c>
      <c r="N300" s="211" t="n"/>
      <c r="O300" s="340" t="inlineStr">
        <is>
          <t>SBL</t>
        </is>
      </c>
      <c r="Q300" s="271" t="n"/>
      <c r="R300" s="282" t="n"/>
    </row>
    <row r="301" ht="18" customHeight="1" s="305">
      <c r="A301" s="8" t="inlineStr">
        <is>
          <t>H 131</t>
        </is>
      </c>
      <c r="B301" s="5" t="n">
        <v>294</v>
      </c>
      <c r="C301" s="6" t="inlineStr">
        <is>
          <t>X</t>
        </is>
      </c>
      <c r="D301" s="5" t="n">
        <v>85</v>
      </c>
      <c r="E301" s="2">
        <f>B301*D301/10000</f>
        <v/>
      </c>
      <c r="F301" s="3">
        <f>B301/30.48</f>
        <v/>
      </c>
      <c r="G301" s="3">
        <f>D301/30.48</f>
        <v/>
      </c>
      <c r="H301" s="615" t="n"/>
      <c r="I301" s="49" t="inlineStr">
        <is>
          <t>OLD</t>
        </is>
      </c>
      <c r="J301" s="48" t="inlineStr">
        <is>
          <t>TRS</t>
        </is>
      </c>
      <c r="K301" s="51" t="inlineStr">
        <is>
          <t>PAC</t>
        </is>
      </c>
      <c r="L301" s="105" t="inlineStr">
        <is>
          <t>VR</t>
        </is>
      </c>
      <c r="M301" s="210" t="n"/>
      <c r="N301" s="211" t="n"/>
      <c r="O301" s="263" t="n"/>
      <c r="Q301" s="271" t="n"/>
      <c r="R301" s="282" t="n"/>
    </row>
    <row r="302" ht="18" customHeight="1" s="305">
      <c r="A302" s="8" t="inlineStr">
        <is>
          <t>H 132</t>
        </is>
      </c>
      <c r="B302" s="5" t="n">
        <v>404</v>
      </c>
      <c r="C302" s="6" t="inlineStr">
        <is>
          <t>X</t>
        </is>
      </c>
      <c r="D302" s="5" t="n">
        <v>89</v>
      </c>
      <c r="E302" s="2">
        <f>B302*D302/10000</f>
        <v/>
      </c>
      <c r="F302" s="3">
        <f>B302/30.48</f>
        <v/>
      </c>
      <c r="G302" s="3">
        <f>D302/30.48</f>
        <v/>
      </c>
      <c r="H302" s="615" t="n"/>
      <c r="I302" s="49" t="inlineStr">
        <is>
          <t>OLD</t>
        </is>
      </c>
      <c r="J302" s="48" t="inlineStr">
        <is>
          <t>TRS</t>
        </is>
      </c>
      <c r="K302" s="51" t="inlineStr">
        <is>
          <t>PAC</t>
        </is>
      </c>
      <c r="L302" s="105" t="inlineStr">
        <is>
          <t>VR</t>
        </is>
      </c>
      <c r="M302" s="210" t="n"/>
      <c r="N302" s="211" t="n"/>
      <c r="O302" s="263" t="n"/>
      <c r="Q302" s="271" t="n"/>
      <c r="R302" s="282" t="n"/>
    </row>
    <row r="303" ht="18" customHeight="1" s="305">
      <c r="A303" s="8" t="inlineStr">
        <is>
          <t>H 134</t>
        </is>
      </c>
      <c r="B303" s="5" t="n">
        <v>285</v>
      </c>
      <c r="C303" s="6" t="inlineStr">
        <is>
          <t>X</t>
        </is>
      </c>
      <c r="D303" s="5" t="n">
        <v>82</v>
      </c>
      <c r="E303" s="2">
        <f>B303*D303/10000</f>
        <v/>
      </c>
      <c r="F303" s="3">
        <f>B303/30.48</f>
        <v/>
      </c>
      <c r="G303" s="3">
        <f>D303/30.48</f>
        <v/>
      </c>
      <c r="H303" s="615" t="n"/>
      <c r="I303" s="49" t="inlineStr">
        <is>
          <t>OLD</t>
        </is>
      </c>
      <c r="K303" s="51" t="inlineStr">
        <is>
          <t>PAC</t>
        </is>
      </c>
      <c r="L303" s="105" t="inlineStr">
        <is>
          <t>VR</t>
        </is>
      </c>
      <c r="M303" s="210" t="n"/>
      <c r="N303" s="211" t="n"/>
      <c r="O303" s="263" t="n"/>
      <c r="Q303" s="271" t="n"/>
      <c r="R303" s="282" t="n"/>
    </row>
    <row r="304" ht="18" customHeight="1" s="305">
      <c r="A304" s="8" t="inlineStr">
        <is>
          <t>H 136</t>
        </is>
      </c>
      <c r="B304" s="5" t="n">
        <v>395</v>
      </c>
      <c r="C304" s="6" t="inlineStr">
        <is>
          <t>X</t>
        </is>
      </c>
      <c r="D304" s="5" t="n">
        <v>89</v>
      </c>
      <c r="E304" s="2">
        <f>B304*D304/10000</f>
        <v/>
      </c>
      <c r="F304" s="3">
        <f>B304/30.48</f>
        <v/>
      </c>
      <c r="G304" s="3">
        <f>D304/30.48</f>
        <v/>
      </c>
      <c r="H304" s="615" t="n"/>
      <c r="I304" s="49" t="inlineStr">
        <is>
          <t>OLD</t>
        </is>
      </c>
      <c r="J304" s="48" t="inlineStr">
        <is>
          <t>TRS</t>
        </is>
      </c>
      <c r="K304" s="51" t="inlineStr">
        <is>
          <t>PAC</t>
        </is>
      </c>
      <c r="L304" s="105" t="inlineStr">
        <is>
          <t>VR</t>
        </is>
      </c>
      <c r="M304" s="210" t="n"/>
      <c r="N304" s="211" t="n"/>
      <c r="O304" s="263" t="n"/>
      <c r="Q304" s="271" t="n"/>
      <c r="R304" s="282" t="n"/>
    </row>
    <row r="305" ht="18" customHeight="1" s="305">
      <c r="A305" s="8" t="inlineStr">
        <is>
          <t>H 137</t>
        </is>
      </c>
      <c r="B305" s="5" t="n">
        <v>386</v>
      </c>
      <c r="C305" s="6" t="inlineStr">
        <is>
          <t>X</t>
        </is>
      </c>
      <c r="D305" s="5" t="n">
        <v>91</v>
      </c>
      <c r="E305" s="2">
        <f>B305*D305/10000</f>
        <v/>
      </c>
      <c r="F305" s="3">
        <f>B305/30.48</f>
        <v/>
      </c>
      <c r="G305" s="3">
        <f>D305/30.48</f>
        <v/>
      </c>
      <c r="H305" s="615" t="n"/>
      <c r="I305" s="49" t="inlineStr">
        <is>
          <t>OLD</t>
        </is>
      </c>
      <c r="J305" s="48" t="inlineStr">
        <is>
          <t>TRS</t>
        </is>
      </c>
      <c r="K305" s="51" t="inlineStr">
        <is>
          <t>PAC</t>
        </is>
      </c>
      <c r="L305" s="105" t="inlineStr">
        <is>
          <t>VR</t>
        </is>
      </c>
      <c r="M305" s="210" t="n"/>
      <c r="N305" s="211" t="n"/>
      <c r="O305" s="263" t="n"/>
      <c r="Q305" s="271" t="n"/>
      <c r="R305" s="282" t="n"/>
    </row>
    <row r="306" ht="18" customHeight="1" s="305">
      <c r="A306" s="8" t="inlineStr">
        <is>
          <t>H 138</t>
        </is>
      </c>
      <c r="B306" s="5" t="n">
        <v>331</v>
      </c>
      <c r="C306" s="6" t="inlineStr">
        <is>
          <t>X</t>
        </is>
      </c>
      <c r="D306" s="5" t="n">
        <v>95</v>
      </c>
      <c r="E306" s="2">
        <f>B306*D306/10000</f>
        <v/>
      </c>
      <c r="F306" s="3">
        <f>B306/30.48</f>
        <v/>
      </c>
      <c r="G306" s="3">
        <f>D306/30.48</f>
        <v/>
      </c>
      <c r="H306" s="615" t="n"/>
      <c r="I306" s="49" t="inlineStr">
        <is>
          <t>OLD</t>
        </is>
      </c>
      <c r="J306" s="48" t="inlineStr">
        <is>
          <t>TRS</t>
        </is>
      </c>
      <c r="K306" s="51" t="inlineStr">
        <is>
          <t>PAC</t>
        </is>
      </c>
      <c r="L306" s="105" t="inlineStr">
        <is>
          <t>VR</t>
        </is>
      </c>
      <c r="M306" s="210" t="n"/>
      <c r="N306" s="211" t="n"/>
      <c r="O306" s="263" t="n"/>
      <c r="Q306" s="271" t="n"/>
      <c r="R306" s="282" t="n"/>
    </row>
    <row r="307" ht="18" customHeight="1" s="305">
      <c r="A307" s="8" t="inlineStr">
        <is>
          <t>H 141</t>
        </is>
      </c>
      <c r="B307" s="5" t="n">
        <v>326</v>
      </c>
      <c r="C307" s="6" t="inlineStr">
        <is>
          <t>X</t>
        </is>
      </c>
      <c r="D307" s="5" t="n">
        <v>95</v>
      </c>
      <c r="E307" s="2">
        <f>B307*D307/10000</f>
        <v/>
      </c>
      <c r="F307" s="3">
        <f>B307/30.48</f>
        <v/>
      </c>
      <c r="G307" s="3">
        <f>D307/30.48</f>
        <v/>
      </c>
      <c r="H307" s="615" t="n"/>
      <c r="I307" s="49" t="inlineStr">
        <is>
          <t>OLD</t>
        </is>
      </c>
      <c r="J307" s="48" t="inlineStr">
        <is>
          <t>TRS</t>
        </is>
      </c>
      <c r="K307" s="51" t="inlineStr">
        <is>
          <t>PAC</t>
        </is>
      </c>
      <c r="L307" s="105" t="inlineStr">
        <is>
          <t>VR</t>
        </is>
      </c>
      <c r="M307" s="210" t="n"/>
      <c r="N307" s="211" t="n"/>
      <c r="O307" s="263" t="n"/>
      <c r="Q307" s="271" t="n"/>
      <c r="R307" s="282" t="n"/>
    </row>
    <row r="308" ht="18" customHeight="1" s="305">
      <c r="A308" s="8" t="inlineStr">
        <is>
          <t>H 145</t>
        </is>
      </c>
      <c r="B308" s="5" t="n">
        <v>362</v>
      </c>
      <c r="C308" s="6" t="inlineStr">
        <is>
          <t>X</t>
        </is>
      </c>
      <c r="D308" s="5" t="n">
        <v>98</v>
      </c>
      <c r="E308" s="2">
        <f>B308*D308/10000</f>
        <v/>
      </c>
      <c r="F308" s="3">
        <f>B308/30.48</f>
        <v/>
      </c>
      <c r="G308" s="3">
        <f>D308/30.48</f>
        <v/>
      </c>
      <c r="H308" s="615" t="n"/>
      <c r="I308" s="49" t="inlineStr">
        <is>
          <t>OLD</t>
        </is>
      </c>
      <c r="J308" s="48" t="inlineStr">
        <is>
          <t>TRS</t>
        </is>
      </c>
      <c r="K308" s="51" t="inlineStr">
        <is>
          <t>PAC</t>
        </is>
      </c>
      <c r="L308" s="105" t="inlineStr">
        <is>
          <t>VR</t>
        </is>
      </c>
      <c r="M308" s="210" t="n"/>
      <c r="N308" s="211" t="n"/>
      <c r="O308" s="263" t="n"/>
      <c r="Q308" s="271" t="n"/>
      <c r="R308" s="282" t="n"/>
    </row>
    <row r="309" ht="18" customHeight="1" s="305">
      <c r="A309" s="8" t="inlineStr">
        <is>
          <t>H 146</t>
        </is>
      </c>
      <c r="B309" s="5" t="n">
        <v>365</v>
      </c>
      <c r="C309" s="6" t="inlineStr">
        <is>
          <t>X</t>
        </is>
      </c>
      <c r="D309" s="5" t="n">
        <v>94</v>
      </c>
      <c r="E309" s="2">
        <f>B309*D309/10000</f>
        <v/>
      </c>
      <c r="F309" s="3">
        <f>B309/30.48</f>
        <v/>
      </c>
      <c r="G309" s="3">
        <f>D309/30.48</f>
        <v/>
      </c>
      <c r="H309" s="615" t="n"/>
      <c r="I309" s="49" t="inlineStr">
        <is>
          <t>OLD</t>
        </is>
      </c>
      <c r="J309" s="48" t="inlineStr">
        <is>
          <t>TRS</t>
        </is>
      </c>
      <c r="K309" s="51" t="inlineStr">
        <is>
          <t>PAC</t>
        </is>
      </c>
      <c r="L309" s="105" t="inlineStr">
        <is>
          <t>VR</t>
        </is>
      </c>
      <c r="M309" s="210" t="n"/>
      <c r="N309" s="211" t="n"/>
      <c r="O309" s="263" t="n"/>
      <c r="Q309" s="271" t="n"/>
      <c r="R309" s="282" t="n"/>
    </row>
    <row r="310" ht="18" customHeight="1" s="305">
      <c r="A310" s="8" t="inlineStr">
        <is>
          <t>H 147</t>
        </is>
      </c>
      <c r="B310" s="5" t="n">
        <v>347</v>
      </c>
      <c r="C310" s="6" t="inlineStr">
        <is>
          <t>X</t>
        </is>
      </c>
      <c r="D310" s="5" t="n">
        <v>89</v>
      </c>
      <c r="E310" s="2">
        <f>B310*D310/10000</f>
        <v/>
      </c>
      <c r="F310" s="3">
        <f>B310/30.48</f>
        <v/>
      </c>
      <c r="G310" s="3">
        <f>D310/30.48</f>
        <v/>
      </c>
      <c r="H310" s="615" t="n"/>
      <c r="I310" s="49" t="inlineStr">
        <is>
          <t>OLD</t>
        </is>
      </c>
      <c r="J310" s="48" t="inlineStr">
        <is>
          <t>TRS</t>
        </is>
      </c>
      <c r="K310" s="51" t="inlineStr">
        <is>
          <t>PAC</t>
        </is>
      </c>
      <c r="L310" s="105" t="inlineStr">
        <is>
          <t>VR</t>
        </is>
      </c>
      <c r="M310" s="210" t="n"/>
      <c r="N310" s="211" t="n"/>
      <c r="O310" s="263" t="n"/>
      <c r="Q310" s="271" t="n"/>
      <c r="R310" s="282" t="n"/>
    </row>
    <row r="311" ht="18" customHeight="1" s="305">
      <c r="A311" s="8" t="inlineStr">
        <is>
          <t>H 148</t>
        </is>
      </c>
      <c r="B311" s="5" t="n">
        <v>271</v>
      </c>
      <c r="C311" s="6" t="inlineStr">
        <is>
          <t>X</t>
        </is>
      </c>
      <c r="D311" s="5" t="n">
        <v>83</v>
      </c>
      <c r="E311" s="2">
        <f>B311*D311/10000</f>
        <v/>
      </c>
      <c r="F311" s="3">
        <f>B311/30.48</f>
        <v/>
      </c>
      <c r="G311" s="3">
        <f>D311/30.48</f>
        <v/>
      </c>
      <c r="H311" s="615" t="n"/>
      <c r="I311" s="49" t="inlineStr">
        <is>
          <t>OLD</t>
        </is>
      </c>
      <c r="J311" s="48" t="inlineStr">
        <is>
          <t>TRS</t>
        </is>
      </c>
      <c r="K311" s="51" t="inlineStr">
        <is>
          <t>PAC</t>
        </is>
      </c>
      <c r="L311" s="105" t="inlineStr">
        <is>
          <t>VR</t>
        </is>
      </c>
      <c r="M311" s="210" t="n"/>
      <c r="N311" s="211" t="n"/>
      <c r="O311" s="263" t="n"/>
      <c r="Q311" s="271" t="n"/>
      <c r="R311" s="282" t="n"/>
    </row>
    <row r="312" ht="18" customHeight="1" s="305">
      <c r="A312" s="8" t="inlineStr">
        <is>
          <t>H 150</t>
        </is>
      </c>
      <c r="B312" s="5" t="n">
        <v>358</v>
      </c>
      <c r="C312" s="6" t="inlineStr">
        <is>
          <t>X</t>
        </is>
      </c>
      <c r="D312" s="5" t="n">
        <v>90</v>
      </c>
      <c r="E312" s="2">
        <f>B312*D312/10000</f>
        <v/>
      </c>
      <c r="F312" s="3">
        <f>B312/30.48</f>
        <v/>
      </c>
      <c r="G312" s="3">
        <f>D312/30.48</f>
        <v/>
      </c>
      <c r="H312" s="615" t="n"/>
      <c r="I312" s="49" t="inlineStr">
        <is>
          <t>OLD</t>
        </is>
      </c>
      <c r="J312" s="48" t="inlineStr">
        <is>
          <t>TRS</t>
        </is>
      </c>
      <c r="K312" s="51" t="inlineStr">
        <is>
          <t>PAC</t>
        </is>
      </c>
      <c r="L312" s="105" t="inlineStr">
        <is>
          <t>VR</t>
        </is>
      </c>
      <c r="M312" s="210" t="n"/>
      <c r="N312" s="211" t="n"/>
      <c r="O312" s="263" t="n"/>
      <c r="Q312" s="271" t="n"/>
      <c r="R312" s="282" t="n"/>
    </row>
    <row r="313" ht="18" customHeight="1" s="305">
      <c r="A313" s="8" t="inlineStr">
        <is>
          <t>H 152</t>
        </is>
      </c>
      <c r="B313" s="5" t="n">
        <v>312</v>
      </c>
      <c r="C313" s="6" t="inlineStr">
        <is>
          <t>X</t>
        </is>
      </c>
      <c r="D313" s="5" t="n">
        <v>87</v>
      </c>
      <c r="E313" s="2">
        <f>B313*D313/10000</f>
        <v/>
      </c>
      <c r="F313" s="3">
        <f>B313/30.48</f>
        <v/>
      </c>
      <c r="G313" s="3">
        <f>D313/30.48</f>
        <v/>
      </c>
      <c r="H313" s="615" t="n"/>
      <c r="I313" s="49" t="inlineStr">
        <is>
          <t>OLD</t>
        </is>
      </c>
      <c r="J313" s="48" t="inlineStr">
        <is>
          <t>TRS</t>
        </is>
      </c>
      <c r="K313" s="51" t="inlineStr">
        <is>
          <t>PAC</t>
        </is>
      </c>
      <c r="L313" s="105" t="inlineStr">
        <is>
          <t>VR</t>
        </is>
      </c>
      <c r="M313" s="210" t="n"/>
      <c r="N313" s="211" t="n"/>
      <c r="O313" s="263" t="n"/>
      <c r="Q313" s="271" t="n"/>
      <c r="R313" s="282" t="n"/>
    </row>
    <row r="314" ht="18" customHeight="1" s="305">
      <c r="A314" s="8" t="inlineStr">
        <is>
          <t>H 155</t>
        </is>
      </c>
      <c r="B314" s="5" t="n">
        <v>314</v>
      </c>
      <c r="C314" s="6" t="inlineStr">
        <is>
          <t>X</t>
        </is>
      </c>
      <c r="D314" s="5" t="n">
        <v>93</v>
      </c>
      <c r="E314" s="2">
        <f>B314*D314/10000</f>
        <v/>
      </c>
      <c r="F314" s="3">
        <f>B314/30.48</f>
        <v/>
      </c>
      <c r="G314" s="3">
        <f>D314/30.48</f>
        <v/>
      </c>
      <c r="H314" s="615" t="n"/>
      <c r="I314" s="49" t="inlineStr">
        <is>
          <t>OLD</t>
        </is>
      </c>
      <c r="J314" s="48" t="inlineStr">
        <is>
          <t>TRS</t>
        </is>
      </c>
      <c r="K314" s="51" t="inlineStr">
        <is>
          <t>PAC</t>
        </is>
      </c>
      <c r="L314" s="105" t="inlineStr">
        <is>
          <t>VR</t>
        </is>
      </c>
      <c r="M314" s="210" t="n"/>
      <c r="N314" s="211" t="n"/>
      <c r="O314" s="263" t="n"/>
      <c r="Q314" s="271" t="n"/>
      <c r="R314" s="282" t="n"/>
    </row>
    <row r="315" ht="18" customHeight="1" s="305">
      <c r="A315" s="8" t="inlineStr">
        <is>
          <t>H 156</t>
        </is>
      </c>
      <c r="B315" s="5" t="n">
        <v>372</v>
      </c>
      <c r="C315" s="6" t="inlineStr">
        <is>
          <t>X</t>
        </is>
      </c>
      <c r="D315" s="5" t="n">
        <v>88</v>
      </c>
      <c r="E315" s="2">
        <f>B315*D315/10000</f>
        <v/>
      </c>
      <c r="F315" s="3">
        <f>B315/30.48</f>
        <v/>
      </c>
      <c r="G315" s="3">
        <f>D315/30.48</f>
        <v/>
      </c>
      <c r="H315" s="615" t="n"/>
      <c r="I315" s="49" t="inlineStr">
        <is>
          <t>OLD</t>
        </is>
      </c>
      <c r="J315" s="48" t="inlineStr">
        <is>
          <t>TRS</t>
        </is>
      </c>
      <c r="K315" s="51" t="inlineStr">
        <is>
          <t>PAC</t>
        </is>
      </c>
      <c r="L315" s="105" t="inlineStr">
        <is>
          <t>VR</t>
        </is>
      </c>
      <c r="M315" s="210" t="n"/>
      <c r="N315" s="211" t="n"/>
      <c r="O315" s="263" t="n"/>
      <c r="Q315" s="271" t="n"/>
      <c r="R315" s="282" t="n"/>
    </row>
    <row r="316" ht="18" customHeight="1" s="305">
      <c r="A316" s="8" t="inlineStr">
        <is>
          <t>H 158</t>
        </is>
      </c>
      <c r="B316" s="5" t="n">
        <v>354</v>
      </c>
      <c r="C316" s="6" t="inlineStr">
        <is>
          <t>X</t>
        </is>
      </c>
      <c r="D316" s="5" t="n">
        <v>98</v>
      </c>
      <c r="E316" s="2">
        <f>B316*D316/10000</f>
        <v/>
      </c>
      <c r="F316" s="3">
        <f>B316/30.48</f>
        <v/>
      </c>
      <c r="G316" s="3">
        <f>D316/30.48</f>
        <v/>
      </c>
      <c r="H316" s="615" t="n"/>
      <c r="I316" s="49" t="inlineStr">
        <is>
          <t>OLD</t>
        </is>
      </c>
      <c r="J316" s="48" t="inlineStr">
        <is>
          <t>TRS</t>
        </is>
      </c>
      <c r="K316" s="51" t="inlineStr">
        <is>
          <t>PAC</t>
        </is>
      </c>
      <c r="L316" s="105" t="inlineStr">
        <is>
          <t>VR</t>
        </is>
      </c>
      <c r="M316" s="210" t="n"/>
      <c r="N316" s="211" t="n"/>
      <c r="O316" s="263" t="n"/>
      <c r="Q316" s="271" t="n"/>
      <c r="R316" s="282" t="n"/>
    </row>
    <row r="317" ht="18" customHeight="1" s="305">
      <c r="A317" s="8" t="inlineStr">
        <is>
          <t>H 159</t>
        </is>
      </c>
      <c r="B317" s="5" t="n">
        <v>404</v>
      </c>
      <c r="C317" s="6" t="inlineStr">
        <is>
          <t>X</t>
        </is>
      </c>
      <c r="D317" s="5" t="n">
        <v>88</v>
      </c>
      <c r="E317" s="2">
        <f>B317*D317/10000</f>
        <v/>
      </c>
      <c r="F317" s="3">
        <f>B317/30.48</f>
        <v/>
      </c>
      <c r="G317" s="3">
        <f>D317/30.48</f>
        <v/>
      </c>
      <c r="H317" s="615" t="n"/>
      <c r="I317" s="49" t="inlineStr">
        <is>
          <t>OLD</t>
        </is>
      </c>
      <c r="J317" s="48" t="inlineStr">
        <is>
          <t>TRS</t>
        </is>
      </c>
      <c r="K317" s="51" t="inlineStr">
        <is>
          <t>PAC</t>
        </is>
      </c>
      <c r="L317" s="105" t="inlineStr">
        <is>
          <t>VR</t>
        </is>
      </c>
      <c r="M317" s="210" t="n"/>
      <c r="N317" s="211" t="n"/>
      <c r="O317" s="263" t="n"/>
      <c r="Q317" s="271" t="n"/>
      <c r="R317" s="282" t="n"/>
    </row>
    <row r="318" ht="18" customHeight="1" s="305">
      <c r="A318" s="8" t="inlineStr">
        <is>
          <t>H 161</t>
        </is>
      </c>
      <c r="B318" s="5" t="n">
        <v>373</v>
      </c>
      <c r="C318" s="6" t="inlineStr">
        <is>
          <t>X</t>
        </is>
      </c>
      <c r="D318" s="5" t="n">
        <v>84</v>
      </c>
      <c r="E318" s="2">
        <f>B318*D318/10000</f>
        <v/>
      </c>
      <c r="F318" s="3">
        <f>B318/30.48</f>
        <v/>
      </c>
      <c r="G318" s="3">
        <f>D318/30.48</f>
        <v/>
      </c>
      <c r="H318" s="615" t="n"/>
      <c r="I318" s="49" t="inlineStr">
        <is>
          <t>OLD</t>
        </is>
      </c>
      <c r="J318" s="48" t="inlineStr">
        <is>
          <t>TRS</t>
        </is>
      </c>
      <c r="K318" s="51" t="inlineStr">
        <is>
          <t>PAC</t>
        </is>
      </c>
      <c r="L318" s="105" t="inlineStr">
        <is>
          <t>VR</t>
        </is>
      </c>
      <c r="M318" s="210" t="n"/>
      <c r="N318" s="211" t="n"/>
      <c r="O318" s="263" t="n"/>
      <c r="Q318" s="271" t="n"/>
      <c r="R318" s="282" t="n"/>
    </row>
    <row r="319" ht="18" customHeight="1" s="305">
      <c r="A319" s="8" t="inlineStr">
        <is>
          <t>H 163</t>
        </is>
      </c>
      <c r="B319" s="5" t="n">
        <v>341</v>
      </c>
      <c r="C319" s="6" t="inlineStr">
        <is>
          <t>X</t>
        </is>
      </c>
      <c r="D319" s="5" t="n">
        <v>95</v>
      </c>
      <c r="E319" s="2">
        <f>B319*D319/10000</f>
        <v/>
      </c>
      <c r="F319" s="3">
        <f>B319/30.48</f>
        <v/>
      </c>
      <c r="G319" s="3">
        <f>D319/30.48</f>
        <v/>
      </c>
      <c r="H319" s="615" t="n"/>
      <c r="I319" s="49" t="inlineStr">
        <is>
          <t>OLD</t>
        </is>
      </c>
      <c r="J319" s="48" t="inlineStr">
        <is>
          <t>TRS</t>
        </is>
      </c>
      <c r="K319" s="51" t="inlineStr">
        <is>
          <t>PAC</t>
        </is>
      </c>
      <c r="L319" s="105" t="inlineStr">
        <is>
          <t>VR</t>
        </is>
      </c>
      <c r="M319" s="210" t="n"/>
      <c r="N319" s="211" t="n"/>
      <c r="O319" s="263" t="n"/>
      <c r="Q319" s="271" t="n"/>
      <c r="R319" s="282" t="n"/>
    </row>
    <row r="320" ht="18" customHeight="1" s="305">
      <c r="A320" s="8" t="inlineStr">
        <is>
          <t>H 167</t>
        </is>
      </c>
      <c r="B320" s="5" t="n">
        <v>369</v>
      </c>
      <c r="C320" s="6" t="inlineStr">
        <is>
          <t>X</t>
        </is>
      </c>
      <c r="D320" s="5" t="n">
        <v>93</v>
      </c>
      <c r="E320" s="2">
        <f>B320*D320/10000</f>
        <v/>
      </c>
      <c r="F320" s="3">
        <f>B320/30.48</f>
        <v/>
      </c>
      <c r="G320" s="3">
        <f>D320/30.48</f>
        <v/>
      </c>
      <c r="H320" s="615" t="n"/>
      <c r="I320" s="49" t="inlineStr">
        <is>
          <t>OLD</t>
        </is>
      </c>
      <c r="J320" s="48" t="inlineStr">
        <is>
          <t>TRS</t>
        </is>
      </c>
      <c r="K320" s="51" t="inlineStr">
        <is>
          <t>PAC</t>
        </is>
      </c>
      <c r="L320" s="105" t="inlineStr">
        <is>
          <t>VR</t>
        </is>
      </c>
      <c r="M320" s="210" t="n"/>
      <c r="N320" s="211" t="n"/>
      <c r="O320" s="263" t="n"/>
      <c r="Q320" s="271" t="n"/>
      <c r="R320" s="282" t="n"/>
    </row>
    <row r="321" ht="18" customHeight="1" s="305">
      <c r="A321" s="8" t="inlineStr">
        <is>
          <t>H 168</t>
        </is>
      </c>
      <c r="B321" s="5" t="n">
        <v>343</v>
      </c>
      <c r="C321" s="6" t="inlineStr">
        <is>
          <t>X</t>
        </is>
      </c>
      <c r="D321" s="5" t="n">
        <v>110</v>
      </c>
      <c r="E321" s="2">
        <f>B321*D321/10000</f>
        <v/>
      </c>
      <c r="F321" s="3">
        <f>B321/30.48</f>
        <v/>
      </c>
      <c r="G321" s="3">
        <f>D321/30.48</f>
        <v/>
      </c>
      <c r="H321" s="615" t="n"/>
      <c r="I321" s="49" t="inlineStr">
        <is>
          <t>OLD</t>
        </is>
      </c>
      <c r="J321" s="48" t="inlineStr">
        <is>
          <t>TRS</t>
        </is>
      </c>
      <c r="K321" s="51" t="inlineStr">
        <is>
          <t>PAC</t>
        </is>
      </c>
      <c r="L321" s="105" t="inlineStr">
        <is>
          <t>VR</t>
        </is>
      </c>
      <c r="M321" s="210" t="n"/>
      <c r="N321" s="211" t="n"/>
      <c r="O321" s="263" t="n"/>
      <c r="Q321" s="271" t="n"/>
      <c r="R321" s="282" t="n"/>
    </row>
    <row r="322" ht="18" customHeight="1" s="305">
      <c r="A322" s="8" t="inlineStr">
        <is>
          <t>H 170</t>
        </is>
      </c>
      <c r="B322" s="5" t="n">
        <v>411</v>
      </c>
      <c r="C322" s="6" t="inlineStr">
        <is>
          <t>X</t>
        </is>
      </c>
      <c r="D322" s="5" t="n">
        <v>80</v>
      </c>
      <c r="E322" s="2">
        <f>B322*D322/10000</f>
        <v/>
      </c>
      <c r="F322" s="3">
        <f>B322/30.48</f>
        <v/>
      </c>
      <c r="G322" s="3">
        <f>D322/30.48</f>
        <v/>
      </c>
      <c r="H322" s="615" t="n"/>
      <c r="I322" s="49" t="inlineStr">
        <is>
          <t>OLD</t>
        </is>
      </c>
      <c r="J322" s="48" t="inlineStr">
        <is>
          <t>TRS</t>
        </is>
      </c>
      <c r="K322" s="51" t="inlineStr">
        <is>
          <t>PAC</t>
        </is>
      </c>
      <c r="L322" s="105" t="inlineStr">
        <is>
          <t>VR</t>
        </is>
      </c>
      <c r="M322" s="210" t="n"/>
      <c r="N322" s="211" t="n"/>
      <c r="O322" s="263" t="n"/>
      <c r="Q322" s="271" t="n"/>
      <c r="R322" s="282" t="n"/>
    </row>
    <row r="323" ht="18" customHeight="1" s="305">
      <c r="A323" s="8" t="inlineStr">
        <is>
          <t>H 172</t>
        </is>
      </c>
      <c r="B323" s="5" t="n">
        <v>393</v>
      </c>
      <c r="C323" s="6" t="inlineStr">
        <is>
          <t>X</t>
        </is>
      </c>
      <c r="D323" s="5" t="n">
        <v>85</v>
      </c>
      <c r="E323" s="2">
        <f>B323*D323/10000</f>
        <v/>
      </c>
      <c r="F323" s="3">
        <f>B323/30.48</f>
        <v/>
      </c>
      <c r="G323" s="3">
        <f>D323/30.48</f>
        <v/>
      </c>
      <c r="H323" s="615" t="n"/>
      <c r="I323" s="49" t="inlineStr">
        <is>
          <t>OLD</t>
        </is>
      </c>
      <c r="J323" s="48" t="inlineStr">
        <is>
          <t>TRS</t>
        </is>
      </c>
      <c r="K323" s="51" t="inlineStr">
        <is>
          <t>PAC</t>
        </is>
      </c>
      <c r="L323" s="105" t="inlineStr">
        <is>
          <t>VR</t>
        </is>
      </c>
      <c r="M323" s="210" t="n"/>
      <c r="N323" s="211" t="n"/>
      <c r="O323" s="263" t="n"/>
      <c r="Q323" s="271" t="n"/>
      <c r="R323" s="282" t="n"/>
    </row>
    <row r="324" ht="18" customHeight="1" s="305">
      <c r="A324" s="8" t="inlineStr">
        <is>
          <t>H 175</t>
        </is>
      </c>
      <c r="B324" s="5" t="n">
        <v>403</v>
      </c>
      <c r="C324" s="6" t="inlineStr">
        <is>
          <t>X</t>
        </is>
      </c>
      <c r="D324" s="5" t="n">
        <v>88</v>
      </c>
      <c r="E324" s="2">
        <f>B324*D324/10000</f>
        <v/>
      </c>
      <c r="F324" s="3">
        <f>B324/30.48</f>
        <v/>
      </c>
      <c r="G324" s="3">
        <f>D324/30.48</f>
        <v/>
      </c>
      <c r="H324" s="615" t="n"/>
      <c r="I324" s="49" t="inlineStr">
        <is>
          <t>OLD</t>
        </is>
      </c>
      <c r="J324" s="48" t="inlineStr">
        <is>
          <t>TRS</t>
        </is>
      </c>
      <c r="K324" s="51" t="inlineStr">
        <is>
          <t>PAC</t>
        </is>
      </c>
      <c r="L324" s="105" t="inlineStr">
        <is>
          <t>VR</t>
        </is>
      </c>
      <c r="M324" s="210" t="n"/>
      <c r="N324" s="211" t="n"/>
      <c r="O324" s="263" t="n"/>
      <c r="Q324" s="271" t="n"/>
      <c r="R324" s="282" t="n"/>
    </row>
    <row r="325" ht="18" customHeight="1" s="305">
      <c r="A325" s="8" t="inlineStr">
        <is>
          <t>H 177</t>
        </is>
      </c>
      <c r="B325" s="5" t="n">
        <v>361</v>
      </c>
      <c r="C325" s="6" t="inlineStr">
        <is>
          <t>X</t>
        </is>
      </c>
      <c r="D325" s="5" t="n">
        <v>88</v>
      </c>
      <c r="E325" s="2">
        <f>B325*D325/10000</f>
        <v/>
      </c>
      <c r="F325" s="3">
        <f>B325/30.48</f>
        <v/>
      </c>
      <c r="G325" s="3">
        <f>D325/30.48</f>
        <v/>
      </c>
      <c r="H325" s="615" t="n"/>
      <c r="I325" s="49" t="inlineStr">
        <is>
          <t>OLD</t>
        </is>
      </c>
      <c r="J325" s="48" t="inlineStr">
        <is>
          <t>TRS</t>
        </is>
      </c>
      <c r="K325" s="51" t="inlineStr">
        <is>
          <t>PAC</t>
        </is>
      </c>
      <c r="L325" s="105" t="inlineStr">
        <is>
          <t>VR</t>
        </is>
      </c>
      <c r="M325" s="210" t="n"/>
      <c r="N325" s="211" t="n"/>
      <c r="O325" s="263" t="n"/>
      <c r="Q325" s="271" t="n"/>
      <c r="R325" s="282" t="n"/>
    </row>
    <row r="326" ht="18" customHeight="1" s="305">
      <c r="A326" s="8" t="inlineStr">
        <is>
          <t>H 179</t>
        </is>
      </c>
      <c r="B326" s="5" t="n">
        <v>330</v>
      </c>
      <c r="C326" s="6" t="inlineStr">
        <is>
          <t>X</t>
        </is>
      </c>
      <c r="D326" s="5" t="n">
        <v>96</v>
      </c>
      <c r="E326" s="2">
        <f>B326*D326/10000</f>
        <v/>
      </c>
      <c r="F326" s="3">
        <f>B326/30.48</f>
        <v/>
      </c>
      <c r="G326" s="3">
        <f>D326/30.48</f>
        <v/>
      </c>
      <c r="H326" s="615" t="n"/>
      <c r="I326" s="49" t="inlineStr">
        <is>
          <t>OLD</t>
        </is>
      </c>
      <c r="J326" s="48" t="inlineStr">
        <is>
          <t>TRS</t>
        </is>
      </c>
      <c r="K326" s="51" t="inlineStr">
        <is>
          <t>PAC</t>
        </is>
      </c>
      <c r="L326" s="105" t="inlineStr">
        <is>
          <t>VR</t>
        </is>
      </c>
      <c r="M326" s="210" t="n"/>
      <c r="N326" s="211" t="n"/>
      <c r="O326" s="263" t="n"/>
      <c r="Q326" s="271" t="n"/>
      <c r="R326" s="282" t="n"/>
    </row>
    <row r="327" ht="18" customHeight="1" s="305">
      <c r="A327" s="8" t="inlineStr">
        <is>
          <t>H 180</t>
        </is>
      </c>
      <c r="B327" s="5" t="n">
        <v>329</v>
      </c>
      <c r="C327" s="6" t="inlineStr">
        <is>
          <t>X</t>
        </is>
      </c>
      <c r="D327" s="5" t="n">
        <v>98</v>
      </c>
      <c r="E327" s="2">
        <f>B327*D327/10000</f>
        <v/>
      </c>
      <c r="F327" s="3">
        <f>B327/30.48</f>
        <v/>
      </c>
      <c r="G327" s="3">
        <f>D327/30.48</f>
        <v/>
      </c>
      <c r="H327" s="615" t="n"/>
      <c r="I327" s="49" t="inlineStr">
        <is>
          <t>OLD</t>
        </is>
      </c>
      <c r="J327" s="48" t="inlineStr">
        <is>
          <t>TRS</t>
        </is>
      </c>
      <c r="K327" s="51" t="inlineStr">
        <is>
          <t>PAC</t>
        </is>
      </c>
      <c r="L327" s="105" t="inlineStr">
        <is>
          <t>VR</t>
        </is>
      </c>
      <c r="M327" s="210" t="n"/>
      <c r="N327" s="211" t="n"/>
      <c r="O327" s="263" t="n"/>
      <c r="Q327" s="271" t="n"/>
      <c r="R327" s="282" t="n"/>
    </row>
    <row r="328" ht="18" customHeight="1" s="305">
      <c r="A328" s="8" t="n">
        <v>424</v>
      </c>
      <c r="B328" s="5" t="n">
        <v>294</v>
      </c>
      <c r="C328" s="6" t="inlineStr">
        <is>
          <t>X</t>
        </is>
      </c>
      <c r="D328" s="5" t="n">
        <v>95</v>
      </c>
      <c r="E328" s="2">
        <f>B328*D328/10000</f>
        <v/>
      </c>
      <c r="F328" s="3">
        <f>B328/30.48</f>
        <v/>
      </c>
      <c r="G328" s="3">
        <f>D328/30.48</f>
        <v/>
      </c>
      <c r="H328" s="615" t="inlineStr">
        <is>
          <t>germe</t>
        </is>
      </c>
      <c r="I328" s="49" t="inlineStr">
        <is>
          <t>OLD</t>
        </is>
      </c>
      <c r="J328" s="48" t="inlineStr">
        <is>
          <t>TRS</t>
        </is>
      </c>
      <c r="K328" s="51" t="inlineStr">
        <is>
          <t>PAC</t>
        </is>
      </c>
      <c r="M328" s="210" t="n"/>
      <c r="N328" s="211" t="n"/>
      <c r="O328" s="340" t="inlineStr">
        <is>
          <t>SBL</t>
        </is>
      </c>
      <c r="Q328" s="271" t="n"/>
      <c r="R328" s="282" t="n"/>
    </row>
    <row r="329" ht="18" customHeight="1" s="305">
      <c r="A329" s="8" t="n">
        <v>477</v>
      </c>
      <c r="B329" s="5" t="n">
        <v>327</v>
      </c>
      <c r="C329" s="6" t="inlineStr">
        <is>
          <t>X</t>
        </is>
      </c>
      <c r="D329" s="5" t="n">
        <v>70</v>
      </c>
      <c r="E329" s="2">
        <f>B329*D329/10000</f>
        <v/>
      </c>
      <c r="F329" s="3">
        <f>B329/30.48</f>
        <v/>
      </c>
      <c r="G329" s="3">
        <f>D329/30.48</f>
        <v/>
      </c>
      <c r="H329" s="615" t="n"/>
      <c r="I329" s="49" t="inlineStr">
        <is>
          <t>OLD</t>
        </is>
      </c>
      <c r="J329" s="48" t="inlineStr">
        <is>
          <t>TRS</t>
        </is>
      </c>
      <c r="L329" s="105" t="inlineStr">
        <is>
          <t>VR</t>
        </is>
      </c>
      <c r="M329" s="210" t="inlineStr">
        <is>
          <t>RK</t>
        </is>
      </c>
      <c r="N329" s="211" t="n"/>
      <c r="O329" s="263" t="n"/>
      <c r="Q329" s="271" t="n"/>
      <c r="R329" s="282" t="n"/>
    </row>
    <row r="330" ht="18" customHeight="1" s="305">
      <c r="A330" s="8" t="n">
        <v>482</v>
      </c>
      <c r="B330" s="5" t="n">
        <v>368</v>
      </c>
      <c r="C330" s="6" t="inlineStr">
        <is>
          <t>X</t>
        </is>
      </c>
      <c r="D330" s="5" t="n">
        <v>98</v>
      </c>
      <c r="E330" s="2">
        <f>B330*D330/10000</f>
        <v/>
      </c>
      <c r="F330" s="3">
        <f>B330/30.48</f>
        <v/>
      </c>
      <c r="G330" s="3">
        <f>D330/30.48</f>
        <v/>
      </c>
      <c r="H330" s="615" t="inlineStr">
        <is>
          <t>eksik 2</t>
        </is>
      </c>
      <c r="I330" s="49" t="inlineStr">
        <is>
          <t>OLD</t>
        </is>
      </c>
      <c r="J330" s="48" t="inlineStr">
        <is>
          <t>TRS</t>
        </is>
      </c>
      <c r="K330" s="51" t="inlineStr">
        <is>
          <t>PAC</t>
        </is>
      </c>
      <c r="M330" s="210" t="n"/>
      <c r="N330" s="211" t="n"/>
      <c r="O330" s="340" t="inlineStr">
        <is>
          <t>SBL</t>
        </is>
      </c>
      <c r="Q330" s="271" t="n"/>
      <c r="R330" s="282" t="n"/>
    </row>
    <row r="331" ht="18" customHeight="1" s="305">
      <c r="A331" s="8" t="n">
        <v>920</v>
      </c>
      <c r="B331" s="5" t="n">
        <v>326</v>
      </c>
      <c r="C331" s="6" t="inlineStr">
        <is>
          <t>X</t>
        </is>
      </c>
      <c r="D331" s="5" t="n">
        <v>85</v>
      </c>
      <c r="E331" s="2">
        <f>B331*D331/10000</f>
        <v/>
      </c>
      <c r="F331" s="3">
        <f>B331/30.48</f>
        <v/>
      </c>
      <c r="G331" s="3">
        <f>D331/30.48</f>
        <v/>
      </c>
      <c r="H331" s="615" t="n"/>
      <c r="I331" s="49" t="inlineStr">
        <is>
          <t>OLD</t>
        </is>
      </c>
      <c r="J331" s="48" t="inlineStr">
        <is>
          <t>TRS</t>
        </is>
      </c>
      <c r="K331" s="51" t="inlineStr">
        <is>
          <t>PAC</t>
        </is>
      </c>
      <c r="L331" s="105" t="inlineStr">
        <is>
          <t>VR</t>
        </is>
      </c>
      <c r="M331" s="210" t="inlineStr">
        <is>
          <t>RK</t>
        </is>
      </c>
      <c r="N331" s="211" t="n"/>
      <c r="O331" s="263" t="n"/>
      <c r="Q331" s="271" t="n"/>
      <c r="R331" s="282" t="n"/>
    </row>
    <row r="332" ht="18" customHeight="1" s="305">
      <c r="A332" s="8" t="inlineStr">
        <is>
          <t>K 7</t>
        </is>
      </c>
      <c r="B332" s="5" t="n">
        <v>300</v>
      </c>
      <c r="C332" s="6" t="inlineStr">
        <is>
          <t>X</t>
        </is>
      </c>
      <c r="D332" s="5" t="n">
        <v>83</v>
      </c>
      <c r="E332" s="2">
        <f>B332*D332/10000</f>
        <v/>
      </c>
      <c r="F332" s="3">
        <f>B332/30.48</f>
        <v/>
      </c>
      <c r="G332" s="3">
        <f>D332/30.48</f>
        <v/>
      </c>
      <c r="H332" s="615" t="n"/>
      <c r="I332" s="49" t="inlineStr">
        <is>
          <t>OLD</t>
        </is>
      </c>
      <c r="J332" s="48" t="inlineStr">
        <is>
          <t>TRS</t>
        </is>
      </c>
      <c r="K332" s="51" t="inlineStr">
        <is>
          <t>PAC</t>
        </is>
      </c>
      <c r="L332" s="105" t="inlineStr">
        <is>
          <t>VR</t>
        </is>
      </c>
      <c r="M332" s="210" t="n"/>
      <c r="N332" s="211" t="n"/>
      <c r="O332" s="263" t="n"/>
      <c r="Q332" s="271" t="n"/>
      <c r="R332" s="282" t="n"/>
    </row>
    <row r="333" ht="18" customHeight="1" s="305">
      <c r="A333" s="8" t="inlineStr">
        <is>
          <t>K 77</t>
        </is>
      </c>
      <c r="B333" s="5" t="n">
        <v>310</v>
      </c>
      <c r="C333" s="6" t="inlineStr">
        <is>
          <t>X</t>
        </is>
      </c>
      <c r="D333" s="5" t="n">
        <v>100</v>
      </c>
      <c r="E333" s="2">
        <f>B333*D333/10000</f>
        <v/>
      </c>
      <c r="F333" s="3">
        <f>B333/30.48</f>
        <v/>
      </c>
      <c r="G333" s="3">
        <f>D333/30.48</f>
        <v/>
      </c>
      <c r="H333" s="615" t="inlineStr">
        <is>
          <t>eksik 2</t>
        </is>
      </c>
      <c r="I333" s="49" t="inlineStr">
        <is>
          <t>OLD</t>
        </is>
      </c>
      <c r="M333" s="210" t="n"/>
      <c r="N333" s="211" t="n"/>
      <c r="O333" s="340" t="inlineStr">
        <is>
          <t>SBL</t>
        </is>
      </c>
      <c r="Q333" s="271" t="n"/>
      <c r="R333" s="282" t="n"/>
    </row>
    <row r="334" ht="18" customHeight="1" s="305">
      <c r="A334" s="8" t="inlineStr">
        <is>
          <t>K 190</t>
        </is>
      </c>
      <c r="B334" s="5" t="n">
        <v>340</v>
      </c>
      <c r="C334" s="6" t="inlineStr">
        <is>
          <t>X</t>
        </is>
      </c>
      <c r="D334" s="5" t="n">
        <v>119</v>
      </c>
      <c r="E334" s="2">
        <f>B334*D334/10000</f>
        <v/>
      </c>
      <c r="F334" s="3">
        <f>B334/30.48</f>
        <v/>
      </c>
      <c r="G334" s="3">
        <f>D334/30.48</f>
        <v/>
      </c>
      <c r="H334" s="615" t="inlineStr">
        <is>
          <t>eksik 2</t>
        </is>
      </c>
      <c r="I334" s="49" t="inlineStr">
        <is>
          <t>OLD</t>
        </is>
      </c>
      <c r="M334" s="210" t="n"/>
      <c r="N334" s="211" t="n"/>
      <c r="O334" s="263" t="n"/>
      <c r="Q334" s="271" t="n"/>
      <c r="R334" s="282" t="n"/>
    </row>
    <row r="335" ht="18" customHeight="1" s="305">
      <c r="A335" s="8" t="inlineStr">
        <is>
          <t>K 204</t>
        </is>
      </c>
      <c r="B335" s="5" t="n">
        <v>327</v>
      </c>
      <c r="C335" s="6" t="inlineStr">
        <is>
          <t>X</t>
        </is>
      </c>
      <c r="D335" s="5" t="n">
        <v>102</v>
      </c>
      <c r="E335" s="2">
        <f>B335*D335/10000</f>
        <v/>
      </c>
      <c r="F335" s="3">
        <f>B335/30.48</f>
        <v/>
      </c>
      <c r="G335" s="3">
        <f>D335/30.48</f>
        <v/>
      </c>
      <c r="H335" s="615" t="inlineStr">
        <is>
          <t>eksik 2</t>
        </is>
      </c>
      <c r="I335" s="49" t="inlineStr">
        <is>
          <t>OLD</t>
        </is>
      </c>
      <c r="M335" s="210" t="n"/>
      <c r="N335" s="211" t="n"/>
      <c r="O335" s="340" t="inlineStr">
        <is>
          <t>SBL</t>
        </is>
      </c>
      <c r="Q335" s="271" t="n"/>
      <c r="R335" s="282" t="n"/>
    </row>
    <row r="336" ht="18" customHeight="1" s="305">
      <c r="A336" s="8" t="inlineStr">
        <is>
          <t>Y 24</t>
        </is>
      </c>
      <c r="B336" s="5" t="n">
        <v>336</v>
      </c>
      <c r="C336" s="6" t="inlineStr">
        <is>
          <t>X</t>
        </is>
      </c>
      <c r="D336" s="5" t="n">
        <v>101</v>
      </c>
      <c r="E336" s="2">
        <f>B336*D336/10000</f>
        <v/>
      </c>
      <c r="F336" s="3">
        <f>B336/30.48</f>
        <v/>
      </c>
      <c r="G336" s="3">
        <f>D336/30.48</f>
        <v/>
      </c>
      <c r="H336" s="615" t="inlineStr">
        <is>
          <t>eksik 2</t>
        </is>
      </c>
      <c r="I336" s="49" t="inlineStr">
        <is>
          <t>OLD</t>
        </is>
      </c>
      <c r="J336" s="48" t="inlineStr">
        <is>
          <t>TRS</t>
        </is>
      </c>
      <c r="K336" s="51" t="inlineStr">
        <is>
          <t>PAC</t>
        </is>
      </c>
      <c r="L336" s="105" t="inlineStr">
        <is>
          <t>VR</t>
        </is>
      </c>
      <c r="M336" s="210" t="n"/>
      <c r="N336" s="211" t="n"/>
      <c r="O336" s="263" t="n"/>
      <c r="Q336" s="271" t="n"/>
      <c r="R336" s="282" t="n"/>
    </row>
    <row r="337" ht="18" customHeight="1" s="305">
      <c r="A337" s="8" t="inlineStr">
        <is>
          <t>Y 104</t>
        </is>
      </c>
      <c r="B337" s="5" t="n">
        <v>403</v>
      </c>
      <c r="C337" s="6" t="inlineStr">
        <is>
          <t>X</t>
        </is>
      </c>
      <c r="D337" s="5" t="n">
        <v>99</v>
      </c>
      <c r="E337" s="2">
        <f>B337*D337/10000</f>
        <v/>
      </c>
      <c r="F337" s="3">
        <f>B337/30.48</f>
        <v/>
      </c>
      <c r="G337" s="3">
        <f>D337/30.48</f>
        <v/>
      </c>
      <c r="H337" s="615" t="inlineStr">
        <is>
          <t>eksik 2</t>
        </is>
      </c>
      <c r="J337" s="48" t="inlineStr">
        <is>
          <t>TRS</t>
        </is>
      </c>
      <c r="K337" s="51" t="inlineStr">
        <is>
          <t>PAC</t>
        </is>
      </c>
      <c r="M337" s="210" t="n"/>
      <c r="N337" s="211" t="n"/>
      <c r="O337" s="340" t="inlineStr">
        <is>
          <t>SBL</t>
        </is>
      </c>
      <c r="Q337" s="271" t="n"/>
      <c r="R337" s="282" t="n"/>
    </row>
    <row r="338" ht="18" customHeight="1" s="305">
      <c r="A338" s="8" t="inlineStr">
        <is>
          <t>Y 130</t>
        </is>
      </c>
      <c r="B338" s="5" t="n">
        <v>336</v>
      </c>
      <c r="C338" s="6" t="inlineStr">
        <is>
          <t>X</t>
        </is>
      </c>
      <c r="D338" s="5" t="n">
        <v>94</v>
      </c>
      <c r="E338" s="2">
        <f>B338*D338/10000</f>
        <v/>
      </c>
      <c r="F338" s="3">
        <f>B338/30.48</f>
        <v/>
      </c>
      <c r="G338" s="3">
        <f>D338/30.48</f>
        <v/>
      </c>
      <c r="H338" s="615" t="inlineStr">
        <is>
          <t>eksik 2</t>
        </is>
      </c>
      <c r="I338" s="49" t="inlineStr">
        <is>
          <t>OLD</t>
        </is>
      </c>
      <c r="J338" s="48" t="inlineStr">
        <is>
          <t>TRS</t>
        </is>
      </c>
      <c r="K338" s="51" t="inlineStr">
        <is>
          <t>PAC</t>
        </is>
      </c>
      <c r="L338" s="105" t="inlineStr">
        <is>
          <t>VR</t>
        </is>
      </c>
      <c r="M338" s="210" t="n"/>
      <c r="N338" s="211" t="n"/>
      <c r="O338" s="340" t="inlineStr">
        <is>
          <t>SBL</t>
        </is>
      </c>
      <c r="Q338" s="271" t="n"/>
      <c r="R338" s="282" t="n"/>
    </row>
    <row r="339" ht="18" customHeight="1" s="305">
      <c r="A339" s="8" t="inlineStr">
        <is>
          <t>Y 227</t>
        </is>
      </c>
      <c r="B339" s="5" t="n">
        <v>304</v>
      </c>
      <c r="C339" s="6" t="inlineStr">
        <is>
          <t>X</t>
        </is>
      </c>
      <c r="D339" s="5" t="n">
        <v>93</v>
      </c>
      <c r="E339" s="2">
        <f>B339*D339/10000</f>
        <v/>
      </c>
      <c r="F339" s="3">
        <f>B339/30.48</f>
        <v/>
      </c>
      <c r="G339" s="3">
        <f>D339/30.48</f>
        <v/>
      </c>
      <c r="H339" s="615" t="inlineStr">
        <is>
          <t>eksik 2</t>
        </is>
      </c>
      <c r="I339" s="49" t="inlineStr">
        <is>
          <t>OLD</t>
        </is>
      </c>
      <c r="J339" s="48" t="inlineStr">
        <is>
          <t>TRS</t>
        </is>
      </c>
      <c r="K339" s="51" t="inlineStr">
        <is>
          <t>PAC</t>
        </is>
      </c>
      <c r="L339" s="105" t="inlineStr">
        <is>
          <t>VR</t>
        </is>
      </c>
      <c r="M339" s="210" t="n"/>
      <c r="N339" s="211" t="n"/>
      <c r="O339" s="340" t="inlineStr">
        <is>
          <t>SBL</t>
        </is>
      </c>
      <c r="Q339" s="271" t="n"/>
      <c r="R339" s="282" t="n"/>
    </row>
    <row r="340" ht="18" customHeight="1" s="305">
      <c r="A340" s="8" t="inlineStr">
        <is>
          <t>Y 283</t>
        </is>
      </c>
      <c r="B340" s="5" t="n">
        <v>329</v>
      </c>
      <c r="C340" s="6" t="inlineStr">
        <is>
          <t>X</t>
        </is>
      </c>
      <c r="D340" s="5" t="n">
        <v>78</v>
      </c>
      <c r="E340" s="2">
        <f>B340*D340/10000</f>
        <v/>
      </c>
      <c r="F340" s="3">
        <f>B340/30.48</f>
        <v/>
      </c>
      <c r="G340" s="3">
        <f>D340/30.48</f>
        <v/>
      </c>
      <c r="H340" s="615" t="n"/>
      <c r="I340" s="49" t="inlineStr">
        <is>
          <t>OLD</t>
        </is>
      </c>
      <c r="J340" s="48" t="inlineStr">
        <is>
          <t>TRS</t>
        </is>
      </c>
      <c r="K340" s="51" t="inlineStr">
        <is>
          <t>PAC</t>
        </is>
      </c>
      <c r="M340" s="210" t="n"/>
      <c r="N340" s="211" t="n"/>
      <c r="O340" s="263" t="n"/>
      <c r="Q340" s="271" t="n"/>
      <c r="R340" s="282" t="n"/>
    </row>
    <row r="341" ht="18" customHeight="1" s="305">
      <c r="A341" s="8" t="inlineStr">
        <is>
          <t>Y 337</t>
        </is>
      </c>
      <c r="B341" s="5" t="n">
        <v>270</v>
      </c>
      <c r="C341" s="6" t="inlineStr">
        <is>
          <t>X</t>
        </is>
      </c>
      <c r="D341" s="5" t="n">
        <v>70</v>
      </c>
      <c r="E341" s="2">
        <f>B341*D341/10000</f>
        <v/>
      </c>
      <c r="F341" s="3">
        <f>B341/30.48</f>
        <v/>
      </c>
      <c r="G341" s="3">
        <f>D341/30.48</f>
        <v/>
      </c>
      <c r="H341" s="615" t="n"/>
      <c r="I341" s="49" t="inlineStr">
        <is>
          <t>OLD</t>
        </is>
      </c>
      <c r="J341" s="48" t="inlineStr">
        <is>
          <t>TRS</t>
        </is>
      </c>
      <c r="K341" s="51" t="inlineStr">
        <is>
          <t>PAC</t>
        </is>
      </c>
      <c r="L341" s="105" t="inlineStr">
        <is>
          <t>VR</t>
        </is>
      </c>
      <c r="M341" s="210" t="n"/>
      <c r="N341" s="211" t="n"/>
      <c r="O341" s="263" t="n"/>
      <c r="Q341" s="271" t="n"/>
      <c r="R341" s="282" t="n"/>
    </row>
    <row r="342" ht="18" customHeight="1" s="305">
      <c r="A342" s="8" t="inlineStr">
        <is>
          <t>Y 425</t>
        </is>
      </c>
      <c r="B342" s="5" t="n">
        <v>344</v>
      </c>
      <c r="C342" s="6" t="inlineStr">
        <is>
          <t>X</t>
        </is>
      </c>
      <c r="D342" s="5" t="n">
        <v>88</v>
      </c>
      <c r="E342" s="2">
        <f>B342*D342/10000</f>
        <v/>
      </c>
      <c r="F342" s="3">
        <f>B342/30.48</f>
        <v/>
      </c>
      <c r="G342" s="3">
        <f>D342/30.48</f>
        <v/>
      </c>
      <c r="H342" s="615" t="n"/>
      <c r="I342" s="49" t="inlineStr">
        <is>
          <t>OLD</t>
        </is>
      </c>
      <c r="J342" s="48" t="inlineStr">
        <is>
          <t>TRS</t>
        </is>
      </c>
      <c r="K342" s="51" t="inlineStr">
        <is>
          <t>PAC</t>
        </is>
      </c>
      <c r="M342" s="210" t="n"/>
      <c r="N342" s="211" t="n"/>
      <c r="O342" s="263" t="n"/>
      <c r="Q342" s="271" t="n"/>
      <c r="R342" s="282" t="n"/>
    </row>
    <row r="343" ht="18" customHeight="1" s="305">
      <c r="A343" s="8" t="inlineStr">
        <is>
          <t>Y 490</t>
        </is>
      </c>
      <c r="B343" s="5" t="n">
        <v>284</v>
      </c>
      <c r="C343" s="6" t="inlineStr">
        <is>
          <t>X</t>
        </is>
      </c>
      <c r="D343" s="5" t="n">
        <v>101</v>
      </c>
      <c r="E343" s="2">
        <f>B343*D343/10000</f>
        <v/>
      </c>
      <c r="F343" s="3">
        <f>B343/30.48</f>
        <v/>
      </c>
      <c r="G343" s="3">
        <f>D343/30.48</f>
        <v/>
      </c>
      <c r="H343" s="615" t="inlineStr">
        <is>
          <t>eksik 2</t>
        </is>
      </c>
      <c r="I343" s="49" t="inlineStr">
        <is>
          <t>OLD</t>
        </is>
      </c>
      <c r="J343" s="48" t="inlineStr">
        <is>
          <t>TRS</t>
        </is>
      </c>
      <c r="K343" s="51" t="inlineStr">
        <is>
          <t>PAC</t>
        </is>
      </c>
      <c r="L343" s="105" t="inlineStr">
        <is>
          <t>VR</t>
        </is>
      </c>
      <c r="M343" s="210" t="n"/>
      <c r="N343" s="211" t="n"/>
      <c r="O343" s="340" t="inlineStr">
        <is>
          <t>SBL</t>
        </is>
      </c>
      <c r="Q343" s="271" t="n"/>
      <c r="R343" s="282" t="n"/>
    </row>
    <row r="344" ht="18" customHeight="1" s="305">
      <c r="A344" s="8" t="inlineStr">
        <is>
          <t>Y 519</t>
        </is>
      </c>
      <c r="B344" s="5" t="n">
        <v>174</v>
      </c>
      <c r="C344" s="6" t="inlineStr">
        <is>
          <t>X</t>
        </is>
      </c>
      <c r="D344" s="5" t="n">
        <v>98</v>
      </c>
      <c r="E344" s="2">
        <f>B344*D344/10000</f>
        <v/>
      </c>
      <c r="F344" s="3">
        <f>B344/30.48</f>
        <v/>
      </c>
      <c r="G344" s="3">
        <f>D344/30.48</f>
        <v/>
      </c>
      <c r="H344" s="615" t="inlineStr">
        <is>
          <t>eksik 2</t>
        </is>
      </c>
      <c r="I344" s="49" t="inlineStr">
        <is>
          <t>OLD</t>
        </is>
      </c>
      <c r="J344" s="48" t="inlineStr">
        <is>
          <t>TRS</t>
        </is>
      </c>
      <c r="K344" s="51" t="inlineStr">
        <is>
          <t>PAC</t>
        </is>
      </c>
      <c r="L344" s="105" t="inlineStr">
        <is>
          <t>VR</t>
        </is>
      </c>
      <c r="M344" s="210" t="n"/>
      <c r="N344" s="211" t="n"/>
      <c r="O344" s="340" t="inlineStr">
        <is>
          <t>SBL</t>
        </is>
      </c>
      <c r="Q344" s="271" t="n"/>
      <c r="R344" s="282" t="n"/>
    </row>
    <row r="345" ht="18" customHeight="1" s="305">
      <c r="A345" s="8" t="inlineStr">
        <is>
          <t>Y 527</t>
        </is>
      </c>
      <c r="B345" s="5" t="n">
        <v>183</v>
      </c>
      <c r="C345" s="6" t="inlineStr">
        <is>
          <t>X</t>
        </is>
      </c>
      <c r="D345" s="5" t="n">
        <v>100</v>
      </c>
      <c r="E345" s="2">
        <f>B345*D345/10000</f>
        <v/>
      </c>
      <c r="F345" s="3">
        <f>B345/30.48</f>
        <v/>
      </c>
      <c r="G345" s="3">
        <f>D345/30.48</f>
        <v/>
      </c>
      <c r="H345" s="615" t="inlineStr">
        <is>
          <t>eksik 2</t>
        </is>
      </c>
      <c r="I345" s="49" t="inlineStr">
        <is>
          <t>OLD</t>
        </is>
      </c>
      <c r="K345" s="51" t="inlineStr">
        <is>
          <t>PAC</t>
        </is>
      </c>
      <c r="L345" s="105" t="inlineStr">
        <is>
          <t>VR</t>
        </is>
      </c>
      <c r="M345" s="210" t="n"/>
      <c r="N345" s="211" t="n"/>
      <c r="O345" s="340" t="inlineStr">
        <is>
          <t>SBL</t>
        </is>
      </c>
      <c r="Q345" s="271" t="n"/>
      <c r="R345" s="282" t="n"/>
    </row>
    <row r="346" ht="18" customHeight="1" s="305">
      <c r="A346" s="8" t="inlineStr">
        <is>
          <t>Y 575</t>
        </is>
      </c>
      <c r="B346" s="5" t="n">
        <v>342</v>
      </c>
      <c r="C346" s="6" t="inlineStr">
        <is>
          <t>X</t>
        </is>
      </c>
      <c r="D346" s="5" t="n">
        <v>85</v>
      </c>
      <c r="E346" s="2">
        <f>B346*D346/10000</f>
        <v/>
      </c>
      <c r="F346" s="3">
        <f>B346/30.48</f>
        <v/>
      </c>
      <c r="G346" s="3">
        <f>D346/30.48</f>
        <v/>
      </c>
      <c r="H346" s="615" t="inlineStr">
        <is>
          <t>eksik 2</t>
        </is>
      </c>
      <c r="I346" s="49" t="inlineStr">
        <is>
          <t>OLD</t>
        </is>
      </c>
      <c r="K346" s="51" t="inlineStr">
        <is>
          <t>PAC</t>
        </is>
      </c>
      <c r="L346" s="105" t="inlineStr">
        <is>
          <t>VR</t>
        </is>
      </c>
      <c r="M346" s="210" t="n"/>
      <c r="N346" s="211" t="n"/>
      <c r="O346" s="340" t="inlineStr">
        <is>
          <t>SBL</t>
        </is>
      </c>
      <c r="Q346" s="271" t="n"/>
      <c r="R346" s="282" t="n"/>
    </row>
    <row r="347" ht="18" customHeight="1" s="305">
      <c r="A347" s="8" t="inlineStr">
        <is>
          <t>Y 446</t>
        </is>
      </c>
      <c r="B347" s="5" t="n">
        <v>222</v>
      </c>
      <c r="C347" s="6" t="inlineStr">
        <is>
          <t>X</t>
        </is>
      </c>
      <c r="D347" s="5" t="n">
        <v>94</v>
      </c>
      <c r="E347" s="2">
        <f>B347*D347/10000</f>
        <v/>
      </c>
      <c r="F347" s="3">
        <f>B347/30.48</f>
        <v/>
      </c>
      <c r="G347" s="3">
        <f>D347/30.48</f>
        <v/>
      </c>
      <c r="H347" s="615" t="inlineStr">
        <is>
          <t>eksik 2</t>
        </is>
      </c>
      <c r="I347" s="49" t="inlineStr">
        <is>
          <t>OLD</t>
        </is>
      </c>
      <c r="J347" s="48" t="inlineStr">
        <is>
          <t>TRS</t>
        </is>
      </c>
      <c r="K347" s="51" t="inlineStr">
        <is>
          <t>PAC</t>
        </is>
      </c>
      <c r="L347" s="105" t="inlineStr">
        <is>
          <t>VR</t>
        </is>
      </c>
      <c r="M347" s="210" t="n"/>
      <c r="N347" s="211" t="n"/>
      <c r="O347" s="340" t="inlineStr">
        <is>
          <t>SBL</t>
        </is>
      </c>
      <c r="Q347" s="271" t="n"/>
      <c r="R347" s="282" t="n"/>
    </row>
    <row r="348" ht="18" customHeight="1" s="305">
      <c r="A348" s="8" t="n">
        <v>74</v>
      </c>
      <c r="B348" s="5" t="n">
        <v>374</v>
      </c>
      <c r="C348" s="6" t="inlineStr">
        <is>
          <t>X</t>
        </is>
      </c>
      <c r="D348" s="5" t="n">
        <v>100</v>
      </c>
      <c r="E348" s="2">
        <f>B348*D348/10000</f>
        <v/>
      </c>
      <c r="F348" s="3">
        <f>B348/30.48</f>
        <v/>
      </c>
      <c r="G348" s="3">
        <f>D348/30.48</f>
        <v/>
      </c>
      <c r="H348" s="615" t="n"/>
      <c r="I348" s="49" t="inlineStr">
        <is>
          <t>OLD</t>
        </is>
      </c>
      <c r="J348" s="48" t="inlineStr">
        <is>
          <t>TRS</t>
        </is>
      </c>
      <c r="K348" s="51" t="inlineStr">
        <is>
          <t>PAC</t>
        </is>
      </c>
      <c r="M348" s="210" t="n"/>
      <c r="N348" s="211" t="n"/>
      <c r="O348" s="340" t="inlineStr">
        <is>
          <t>SBL</t>
        </is>
      </c>
      <c r="Q348" s="271" t="n"/>
      <c r="R348" s="282" t="n"/>
    </row>
    <row r="349" ht="18" customHeight="1" s="305">
      <c r="A349" s="8" t="n">
        <v>142</v>
      </c>
      <c r="B349" s="5" t="n">
        <v>300</v>
      </c>
      <c r="C349" s="6" t="inlineStr">
        <is>
          <t>X</t>
        </is>
      </c>
      <c r="D349" s="5" t="n">
        <v>105</v>
      </c>
      <c r="E349" s="2">
        <f>B349*D349/10000</f>
        <v/>
      </c>
      <c r="F349" s="3">
        <f>B349/30.48</f>
        <v/>
      </c>
      <c r="G349" s="3">
        <f>D349/30.48</f>
        <v/>
      </c>
      <c r="H349" s="615" t="inlineStr">
        <is>
          <t>eksik 2</t>
        </is>
      </c>
      <c r="J349" s="48" t="inlineStr">
        <is>
          <t>TRS</t>
        </is>
      </c>
      <c r="K349" s="51" t="inlineStr">
        <is>
          <t>PAC</t>
        </is>
      </c>
      <c r="M349" s="210" t="n"/>
      <c r="N349" s="211" t="n"/>
      <c r="O349" s="340" t="inlineStr">
        <is>
          <t>SBL</t>
        </is>
      </c>
      <c r="Q349" s="271" t="n"/>
      <c r="R349" s="282" t="n"/>
    </row>
    <row r="350" ht="18" customHeight="1" s="305">
      <c r="A350" s="8" t="inlineStr">
        <is>
          <t>K 57</t>
        </is>
      </c>
      <c r="B350" s="5" t="n">
        <v>285</v>
      </c>
      <c r="C350" s="6" t="inlineStr">
        <is>
          <t>X</t>
        </is>
      </c>
      <c r="D350" s="5" t="n">
        <v>114</v>
      </c>
      <c r="E350" s="2">
        <f>B350*D350/10000</f>
        <v/>
      </c>
      <c r="F350" s="3">
        <f>B350/30.48</f>
        <v/>
      </c>
      <c r="G350" s="3">
        <f>D350/30.48</f>
        <v/>
      </c>
      <c r="H350" s="615" t="inlineStr">
        <is>
          <t>eksik 2</t>
        </is>
      </c>
      <c r="I350" s="49" t="inlineStr">
        <is>
          <t>OLD</t>
        </is>
      </c>
      <c r="M350" s="210" t="n"/>
      <c r="N350" s="211" t="n"/>
      <c r="O350" s="340" t="inlineStr">
        <is>
          <t>SBL</t>
        </is>
      </c>
      <c r="Q350" s="271" t="n"/>
      <c r="R350" s="282" t="n"/>
    </row>
    <row r="351" ht="18" customHeight="1" s="305">
      <c r="A351" s="8" t="inlineStr">
        <is>
          <t>K 125</t>
        </is>
      </c>
      <c r="B351" s="5" t="n">
        <v>265</v>
      </c>
      <c r="C351" s="6" t="inlineStr">
        <is>
          <t>X</t>
        </is>
      </c>
      <c r="D351" s="5" t="n">
        <v>80</v>
      </c>
      <c r="E351" s="2">
        <f>B351*D351/10000</f>
        <v/>
      </c>
      <c r="F351" s="3">
        <f>B351/30.48</f>
        <v/>
      </c>
      <c r="G351" s="3">
        <f>D351/30.48</f>
        <v/>
      </c>
      <c r="H351" s="615" t="n"/>
      <c r="I351" s="49" t="inlineStr">
        <is>
          <t>OLD</t>
        </is>
      </c>
      <c r="J351" s="48" t="inlineStr">
        <is>
          <t>TRS</t>
        </is>
      </c>
      <c r="K351" s="51" t="inlineStr">
        <is>
          <t>PAC</t>
        </is>
      </c>
      <c r="L351" s="105" t="inlineStr">
        <is>
          <t>VR</t>
        </is>
      </c>
      <c r="M351" s="210" t="n"/>
      <c r="N351" s="211" t="n"/>
      <c r="O351" s="263" t="n"/>
      <c r="Q351" s="271" t="n"/>
      <c r="R351" s="282" t="n"/>
    </row>
    <row r="352" ht="18" customHeight="1" s="305">
      <c r="A352" s="8" t="inlineStr">
        <is>
          <t>Y 74</t>
        </is>
      </c>
      <c r="B352" s="5" t="n">
        <v>274</v>
      </c>
      <c r="C352" s="6" t="inlineStr">
        <is>
          <t>X</t>
        </is>
      </c>
      <c r="D352" s="5" t="n">
        <v>72</v>
      </c>
      <c r="E352" s="2">
        <f>B352*D352/10000</f>
        <v/>
      </c>
      <c r="F352" s="3">
        <f>B352/30.48</f>
        <v/>
      </c>
      <c r="G352" s="3">
        <f>D352/30.48</f>
        <v/>
      </c>
      <c r="H352" s="615" t="inlineStr">
        <is>
          <t>eksik 2</t>
        </is>
      </c>
      <c r="I352" s="49" t="inlineStr">
        <is>
          <t>OLD</t>
        </is>
      </c>
      <c r="J352" s="48" t="inlineStr">
        <is>
          <t>TRS</t>
        </is>
      </c>
      <c r="K352" s="51" t="inlineStr">
        <is>
          <t>PAC</t>
        </is>
      </c>
      <c r="L352" s="105" t="inlineStr">
        <is>
          <t>VR</t>
        </is>
      </c>
      <c r="M352" s="210" t="n"/>
      <c r="N352" s="211" t="n"/>
      <c r="O352" s="263" t="n"/>
      <c r="Q352" s="271" t="n"/>
      <c r="R352" s="282" t="n"/>
    </row>
    <row r="353" ht="18" customHeight="1" s="305">
      <c r="A353" s="8" t="inlineStr">
        <is>
          <t>Y 180</t>
        </is>
      </c>
      <c r="B353" s="5" t="n">
        <v>406</v>
      </c>
      <c r="C353" s="6" t="inlineStr">
        <is>
          <t>X</t>
        </is>
      </c>
      <c r="D353" s="5" t="n">
        <v>101</v>
      </c>
      <c r="E353" s="2">
        <f>B353*D353/10000</f>
        <v/>
      </c>
      <c r="F353" s="3">
        <f>B353/30.48</f>
        <v/>
      </c>
      <c r="G353" s="3">
        <f>D353/30.48</f>
        <v/>
      </c>
      <c r="H353" s="615" t="inlineStr">
        <is>
          <t>eksik 2</t>
        </is>
      </c>
      <c r="I353" s="49" t="inlineStr">
        <is>
          <t>OLD</t>
        </is>
      </c>
      <c r="J353" s="48" t="inlineStr">
        <is>
          <t>TRS</t>
        </is>
      </c>
      <c r="K353" s="51" t="inlineStr">
        <is>
          <t>PAC</t>
        </is>
      </c>
      <c r="L353" s="105" t="inlineStr">
        <is>
          <t>VR</t>
        </is>
      </c>
      <c r="M353" s="210" t="n"/>
      <c r="N353" s="211" t="n"/>
      <c r="O353" s="340" t="inlineStr">
        <is>
          <t>SBL</t>
        </is>
      </c>
      <c r="Q353" s="271" t="n"/>
      <c r="R353" s="282" t="n"/>
    </row>
    <row r="354" ht="18" customHeight="1" s="305">
      <c r="A354" s="8" t="inlineStr">
        <is>
          <t>Y 194</t>
        </is>
      </c>
      <c r="B354" s="5" t="n">
        <v>292</v>
      </c>
      <c r="C354" s="6" t="inlineStr">
        <is>
          <t>X</t>
        </is>
      </c>
      <c r="D354" s="5" t="n">
        <v>102</v>
      </c>
      <c r="E354" s="2">
        <f>B354*D354/10000</f>
        <v/>
      </c>
      <c r="F354" s="3">
        <f>B354/30.48</f>
        <v/>
      </c>
      <c r="G354" s="3">
        <f>D354/30.48</f>
        <v/>
      </c>
      <c r="H354" s="615" t="inlineStr">
        <is>
          <t>tamir</t>
        </is>
      </c>
      <c r="I354" s="49" t="inlineStr">
        <is>
          <t>OLD</t>
        </is>
      </c>
      <c r="J354" s="48" t="inlineStr">
        <is>
          <t>TRS</t>
        </is>
      </c>
      <c r="K354" s="51" t="inlineStr">
        <is>
          <t>PAC</t>
        </is>
      </c>
      <c r="M354" s="210" t="n"/>
      <c r="N354" s="211" t="n"/>
      <c r="O354" s="340" t="inlineStr">
        <is>
          <t>SBL</t>
        </is>
      </c>
      <c r="Q354" s="271" t="n"/>
      <c r="R354" s="282" t="n"/>
    </row>
    <row r="355" ht="18" customHeight="1" s="305">
      <c r="A355" s="8" t="inlineStr">
        <is>
          <t>Y 207</t>
        </is>
      </c>
      <c r="B355" s="5" t="n">
        <v>190</v>
      </c>
      <c r="C355" s="6" t="inlineStr">
        <is>
          <t>X</t>
        </is>
      </c>
      <c r="D355" s="5" t="n">
        <v>103</v>
      </c>
      <c r="E355" s="2">
        <f>B355*D355/10000</f>
        <v/>
      </c>
      <c r="F355" s="3">
        <f>B355/30.48</f>
        <v/>
      </c>
      <c r="G355" s="3">
        <f>D355/30.48</f>
        <v/>
      </c>
      <c r="H355" s="615" t="inlineStr">
        <is>
          <t>eksik 2</t>
        </is>
      </c>
      <c r="I355" s="49" t="inlineStr">
        <is>
          <t>OLD</t>
        </is>
      </c>
      <c r="J355" s="48" t="inlineStr">
        <is>
          <t>TRS</t>
        </is>
      </c>
      <c r="K355" s="51" t="inlineStr">
        <is>
          <t>PAC</t>
        </is>
      </c>
      <c r="L355" s="105" t="inlineStr">
        <is>
          <t>VR</t>
        </is>
      </c>
      <c r="M355" s="210" t="n"/>
      <c r="N355" s="211" t="n"/>
      <c r="O355" s="340" t="inlineStr">
        <is>
          <t>SBL</t>
        </is>
      </c>
      <c r="Q355" s="271" t="n"/>
      <c r="R355" s="282" t="n"/>
    </row>
    <row r="356" ht="18" customHeight="1" s="305">
      <c r="A356" s="8" t="inlineStr">
        <is>
          <t>Y 281</t>
        </is>
      </c>
      <c r="B356" s="5" t="n">
        <v>336</v>
      </c>
      <c r="C356" s="6" t="inlineStr">
        <is>
          <t>X</t>
        </is>
      </c>
      <c r="D356" s="5" t="n">
        <v>83</v>
      </c>
      <c r="E356" s="2">
        <f>B356*D356/10000</f>
        <v/>
      </c>
      <c r="F356" s="3">
        <f>B356/30.48</f>
        <v/>
      </c>
      <c r="G356" s="3">
        <f>D356/30.48</f>
        <v/>
      </c>
      <c r="H356" s="615" t="inlineStr">
        <is>
          <t>tamir</t>
        </is>
      </c>
      <c r="I356" s="49" t="inlineStr">
        <is>
          <t>OLD</t>
        </is>
      </c>
      <c r="J356" s="48" t="inlineStr">
        <is>
          <t>TRS</t>
        </is>
      </c>
      <c r="M356" s="210" t="n"/>
      <c r="N356" s="211" t="n"/>
      <c r="O356" s="263" t="n"/>
      <c r="Q356" s="271" t="n"/>
      <c r="R356" s="282" t="n"/>
    </row>
    <row r="357" ht="18" customHeight="1" s="305">
      <c r="A357" s="8" t="inlineStr">
        <is>
          <t>Y 362</t>
        </is>
      </c>
      <c r="B357" s="5" t="n">
        <v>282</v>
      </c>
      <c r="C357" s="6" t="inlineStr">
        <is>
          <t>X</t>
        </is>
      </c>
      <c r="D357" s="5" t="n">
        <v>83</v>
      </c>
      <c r="E357" s="2">
        <f>B357*D357/10000</f>
        <v/>
      </c>
      <c r="F357" s="3">
        <f>B357/30.48</f>
        <v/>
      </c>
      <c r="G357" s="3">
        <f>D357/30.48</f>
        <v/>
      </c>
      <c r="H357" s="615" t="n"/>
      <c r="I357" s="49" t="inlineStr">
        <is>
          <t>OLD</t>
        </is>
      </c>
      <c r="J357" s="48" t="inlineStr">
        <is>
          <t>TRS</t>
        </is>
      </c>
      <c r="K357" s="51" t="inlineStr">
        <is>
          <t>PAC</t>
        </is>
      </c>
      <c r="L357" s="105" t="inlineStr">
        <is>
          <t>VR</t>
        </is>
      </c>
      <c r="M357" s="210" t="n"/>
      <c r="N357" s="211" t="n"/>
      <c r="O357" s="263" t="n"/>
      <c r="Q357" s="271" t="n"/>
      <c r="R357" s="282" t="n"/>
    </row>
    <row r="358" ht="18" customHeight="1" s="305">
      <c r="A358" s="8" t="inlineStr">
        <is>
          <t>Y 369</t>
        </is>
      </c>
      <c r="B358" s="5" t="n">
        <v>370</v>
      </c>
      <c r="C358" s="6" t="inlineStr">
        <is>
          <t>X</t>
        </is>
      </c>
      <c r="D358" s="5" t="n">
        <v>112</v>
      </c>
      <c r="E358" s="2">
        <f>B358*D358/10000</f>
        <v/>
      </c>
      <c r="F358" s="3">
        <f>B358/30.48</f>
        <v/>
      </c>
      <c r="G358" s="3">
        <f>D358/30.48</f>
        <v/>
      </c>
      <c r="H358" s="615" t="inlineStr">
        <is>
          <t>eksik 2</t>
        </is>
      </c>
      <c r="I358" s="49" t="inlineStr">
        <is>
          <t>OLD</t>
        </is>
      </c>
      <c r="J358" s="48" t="inlineStr">
        <is>
          <t>TRS</t>
        </is>
      </c>
      <c r="K358" s="51" t="inlineStr">
        <is>
          <t>PAC</t>
        </is>
      </c>
      <c r="L358" s="105" t="inlineStr">
        <is>
          <t>VR</t>
        </is>
      </c>
      <c r="M358" s="210" t="n"/>
      <c r="N358" s="211" t="n"/>
      <c r="O358" s="263" t="n"/>
      <c r="Q358" s="271" t="n"/>
      <c r="R358" s="282" t="n"/>
    </row>
    <row r="359" ht="18" customHeight="1" s="305">
      <c r="A359" s="8" t="inlineStr">
        <is>
          <t>Y 429</t>
        </is>
      </c>
      <c r="B359" s="5" t="n">
        <v>255</v>
      </c>
      <c r="C359" s="6" t="inlineStr">
        <is>
          <t>X</t>
        </is>
      </c>
      <c r="D359" s="5" t="n">
        <v>108</v>
      </c>
      <c r="E359" s="2">
        <f>B359*D359/10000</f>
        <v/>
      </c>
      <c r="F359" s="3">
        <f>B359/30.48</f>
        <v/>
      </c>
      <c r="G359" s="3">
        <f>D359/30.48</f>
        <v/>
      </c>
      <c r="H359" s="615" t="inlineStr">
        <is>
          <t>eksik 2</t>
        </is>
      </c>
      <c r="J359" s="48" t="inlineStr">
        <is>
          <t>TRS</t>
        </is>
      </c>
      <c r="K359" s="51" t="inlineStr">
        <is>
          <t>PAC</t>
        </is>
      </c>
      <c r="L359" s="105" t="inlineStr">
        <is>
          <t>VR</t>
        </is>
      </c>
      <c r="M359" s="210" t="n"/>
      <c r="N359" s="211" t="n"/>
      <c r="O359" s="340" t="inlineStr">
        <is>
          <t>SBL</t>
        </is>
      </c>
      <c r="Q359" s="271" t="n"/>
      <c r="R359" s="282" t="n"/>
    </row>
    <row r="360" ht="18" customHeight="1" s="305">
      <c r="A360" s="8" t="inlineStr">
        <is>
          <t>Y 442</t>
        </is>
      </c>
      <c r="B360" s="5" t="n">
        <v>221</v>
      </c>
      <c r="C360" s="6" t="inlineStr">
        <is>
          <t>X</t>
        </is>
      </c>
      <c r="D360" s="5" t="n">
        <v>85</v>
      </c>
      <c r="E360" s="2">
        <f>B360*D360/10000</f>
        <v/>
      </c>
      <c r="F360" s="3">
        <f>B360/30.48</f>
        <v/>
      </c>
      <c r="G360" s="3">
        <f>D360/30.48</f>
        <v/>
      </c>
      <c r="H360" s="615" t="inlineStr">
        <is>
          <t>eksik 2</t>
        </is>
      </c>
      <c r="J360" s="48" t="inlineStr">
        <is>
          <t>TRS</t>
        </is>
      </c>
      <c r="L360" s="105" t="inlineStr">
        <is>
          <t>VR</t>
        </is>
      </c>
      <c r="M360" s="210" t="n"/>
      <c r="N360" s="211" t="n"/>
      <c r="O360" s="263" t="n"/>
      <c r="Q360" s="271" t="n"/>
      <c r="R360" s="282" t="n"/>
    </row>
    <row r="361" ht="18" customHeight="1" s="305">
      <c r="A361" s="8" t="inlineStr">
        <is>
          <t>Y 484</t>
        </is>
      </c>
      <c r="B361" s="5" t="n">
        <v>334</v>
      </c>
      <c r="C361" s="6" t="inlineStr">
        <is>
          <t>X</t>
        </is>
      </c>
      <c r="D361" s="5" t="n">
        <v>76</v>
      </c>
      <c r="E361" s="2">
        <f>B361*D361/10000</f>
        <v/>
      </c>
      <c r="F361" s="3">
        <f>B361/30.48</f>
        <v/>
      </c>
      <c r="G361" s="3">
        <f>D361/30.48</f>
        <v/>
      </c>
      <c r="H361" s="615" t="n"/>
      <c r="I361" s="49" t="inlineStr">
        <is>
          <t>OLD</t>
        </is>
      </c>
      <c r="J361" s="48" t="inlineStr">
        <is>
          <t>TRS</t>
        </is>
      </c>
      <c r="K361" s="51" t="inlineStr">
        <is>
          <t>PAC</t>
        </is>
      </c>
      <c r="L361" s="105" t="inlineStr">
        <is>
          <t>VR</t>
        </is>
      </c>
      <c r="M361" s="210" t="n"/>
      <c r="N361" s="211" t="n"/>
      <c r="O361" s="263" t="n"/>
      <c r="Q361" s="271" t="n"/>
      <c r="R361" s="282" t="n"/>
    </row>
    <row r="362" ht="18" customHeight="1" s="305">
      <c r="A362" s="8" t="inlineStr">
        <is>
          <t>Y 505</t>
        </is>
      </c>
      <c r="B362" s="5" t="n">
        <v>270</v>
      </c>
      <c r="C362" s="6" t="inlineStr">
        <is>
          <t>X</t>
        </is>
      </c>
      <c r="D362" s="5" t="n">
        <v>79</v>
      </c>
      <c r="E362" s="2">
        <f>B362*D362/10000</f>
        <v/>
      </c>
      <c r="F362" s="3">
        <f>B362/30.48</f>
        <v/>
      </c>
      <c r="G362" s="3">
        <f>D362/30.48</f>
        <v/>
      </c>
      <c r="H362" s="615" t="n"/>
      <c r="I362" s="49" t="inlineStr">
        <is>
          <t>OLD</t>
        </is>
      </c>
      <c r="J362" s="48" t="inlineStr">
        <is>
          <t>TRS</t>
        </is>
      </c>
      <c r="K362" s="51" t="inlineStr">
        <is>
          <t>PAC</t>
        </is>
      </c>
      <c r="L362" s="105" t="inlineStr">
        <is>
          <t>VR</t>
        </is>
      </c>
      <c r="M362" s="210" t="n"/>
      <c r="N362" s="211" t="n"/>
      <c r="O362" s="263" t="n"/>
      <c r="Q362" s="271" t="n"/>
      <c r="R362" s="282" t="n"/>
    </row>
    <row r="363" ht="18" customHeight="1" s="305">
      <c r="A363" s="8" t="inlineStr">
        <is>
          <t>Y 557</t>
        </is>
      </c>
      <c r="B363" s="5" t="n">
        <v>254</v>
      </c>
      <c r="C363" s="6" t="inlineStr">
        <is>
          <t>X</t>
        </is>
      </c>
      <c r="D363" s="5" t="n">
        <v>108</v>
      </c>
      <c r="E363" s="2">
        <f>B363*D363/10000</f>
        <v/>
      </c>
      <c r="F363" s="3">
        <f>B363/30.48</f>
        <v/>
      </c>
      <c r="G363" s="3">
        <f>D363/30.48</f>
        <v/>
      </c>
      <c r="H363" s="615" t="inlineStr">
        <is>
          <t>eksik 2</t>
        </is>
      </c>
      <c r="I363" s="49" t="inlineStr">
        <is>
          <t>OLD</t>
        </is>
      </c>
      <c r="J363" s="48" t="inlineStr">
        <is>
          <t>TRS</t>
        </is>
      </c>
      <c r="K363" s="51" t="inlineStr">
        <is>
          <t>PAC</t>
        </is>
      </c>
      <c r="L363" s="105" t="inlineStr">
        <is>
          <t>VR</t>
        </is>
      </c>
      <c r="M363" s="210" t="n"/>
      <c r="N363" s="211" t="n"/>
      <c r="O363" s="263" t="n"/>
      <c r="Q363" s="271" t="n"/>
      <c r="R363" s="282" t="n"/>
    </row>
    <row r="364" ht="18" customHeight="1" s="305">
      <c r="A364" s="8" t="inlineStr">
        <is>
          <t>Y 614</t>
        </is>
      </c>
      <c r="B364" s="5" t="n">
        <v>305</v>
      </c>
      <c r="C364" s="6" t="inlineStr">
        <is>
          <t>X</t>
        </is>
      </c>
      <c r="D364" s="5" t="n">
        <v>77</v>
      </c>
      <c r="E364" s="2">
        <f>B364*D364/10000</f>
        <v/>
      </c>
      <c r="F364" s="3">
        <f>B364/30.48</f>
        <v/>
      </c>
      <c r="G364" s="3">
        <f>D364/30.48</f>
        <v/>
      </c>
      <c r="H364" s="615" t="inlineStr">
        <is>
          <t>eksik 2</t>
        </is>
      </c>
      <c r="I364" s="49" t="inlineStr">
        <is>
          <t>OLD</t>
        </is>
      </c>
      <c r="K364" s="51" t="inlineStr">
        <is>
          <t>PAC</t>
        </is>
      </c>
      <c r="L364" s="105" t="inlineStr">
        <is>
          <t>VR</t>
        </is>
      </c>
      <c r="M364" s="210" t="n"/>
      <c r="N364" s="211" t="n"/>
      <c r="O364" s="340" t="inlineStr">
        <is>
          <t>SBL</t>
        </is>
      </c>
      <c r="Q364" s="271" t="n"/>
      <c r="R364" s="282" t="n"/>
    </row>
    <row r="365" ht="16.5" customHeight="1" s="305">
      <c r="A365" s="8" t="inlineStr">
        <is>
          <t>Y 621</t>
        </is>
      </c>
      <c r="B365" s="5" t="n">
        <v>279</v>
      </c>
      <c r="C365" s="6" t="inlineStr">
        <is>
          <t>X</t>
        </is>
      </c>
      <c r="D365" s="5" t="n">
        <v>83</v>
      </c>
      <c r="E365" s="2">
        <f>B365*D365/10000</f>
        <v/>
      </c>
      <c r="F365" s="3">
        <f>B365/30.48</f>
        <v/>
      </c>
      <c r="G365" s="3">
        <f>D365/30.48</f>
        <v/>
      </c>
      <c r="H365" s="615" t="n"/>
      <c r="I365" s="49" t="inlineStr">
        <is>
          <t>OLD</t>
        </is>
      </c>
      <c r="J365" s="48" t="inlineStr">
        <is>
          <t>TRS</t>
        </is>
      </c>
      <c r="K365" s="51" t="inlineStr">
        <is>
          <t>PAC</t>
        </is>
      </c>
      <c r="L365" s="105" t="inlineStr">
        <is>
          <t>VR</t>
        </is>
      </c>
      <c r="M365" s="210" t="n"/>
      <c r="N365" s="211" t="n"/>
      <c r="O365" s="263" t="n"/>
      <c r="Q365" s="271" t="n"/>
      <c r="R365" s="282" t="n"/>
    </row>
    <row r="366" ht="18" customHeight="1" s="305">
      <c r="A366" s="8" t="inlineStr">
        <is>
          <t>Y 640</t>
        </is>
      </c>
      <c r="B366" s="5" t="n">
        <v>338</v>
      </c>
      <c r="C366" s="6" t="inlineStr">
        <is>
          <t>X</t>
        </is>
      </c>
      <c r="D366" s="5" t="n">
        <v>84</v>
      </c>
      <c r="E366" s="2">
        <f>B366*D366/10000</f>
        <v/>
      </c>
      <c r="F366" s="3">
        <f>B366/30.48</f>
        <v/>
      </c>
      <c r="G366" s="3">
        <f>D366/30.48</f>
        <v/>
      </c>
      <c r="H366" s="615" t="inlineStr">
        <is>
          <t>eksik 2</t>
        </is>
      </c>
      <c r="I366" s="49" t="inlineStr">
        <is>
          <t>OLD</t>
        </is>
      </c>
      <c r="L366" s="105" t="inlineStr">
        <is>
          <t>VR</t>
        </is>
      </c>
      <c r="M366" s="210" t="n"/>
      <c r="N366" s="211" t="n"/>
      <c r="O366" s="263" t="n"/>
      <c r="Q366" s="271" t="n"/>
      <c r="R366" s="282" t="n"/>
    </row>
    <row r="367" ht="18" customHeight="1" s="305">
      <c r="A367" s="8" t="inlineStr">
        <is>
          <t>Y 740</t>
        </is>
      </c>
      <c r="B367" s="5" t="n">
        <v>245</v>
      </c>
      <c r="C367" s="6" t="inlineStr">
        <is>
          <t>X</t>
        </is>
      </c>
      <c r="D367" s="5" t="n">
        <v>65</v>
      </c>
      <c r="E367" s="2">
        <f>B367*D367/10000</f>
        <v/>
      </c>
      <c r="F367" s="3">
        <f>B367/30.48</f>
        <v/>
      </c>
      <c r="G367" s="3">
        <f>D367/30.48</f>
        <v/>
      </c>
      <c r="H367" s="615" t="n"/>
      <c r="I367" s="49" t="inlineStr">
        <is>
          <t>OLD</t>
        </is>
      </c>
      <c r="J367" s="48" t="inlineStr">
        <is>
          <t>TRS</t>
        </is>
      </c>
      <c r="K367" s="51" t="inlineStr">
        <is>
          <t>PAC</t>
        </is>
      </c>
      <c r="L367" s="105" t="inlineStr">
        <is>
          <t>VR</t>
        </is>
      </c>
      <c r="M367" s="210" t="n"/>
      <c r="N367" s="211" t="n"/>
      <c r="O367" s="263" t="n"/>
      <c r="Q367" s="271" t="n"/>
      <c r="R367" s="282" t="n"/>
    </row>
    <row r="368" ht="18" customHeight="1" s="305">
      <c r="A368" s="8" t="inlineStr">
        <is>
          <t>Y 749</t>
        </is>
      </c>
      <c r="B368" s="5" t="n">
        <v>197</v>
      </c>
      <c r="C368" s="6" t="inlineStr">
        <is>
          <t>X</t>
        </is>
      </c>
      <c r="D368" s="5" t="n">
        <v>97</v>
      </c>
      <c r="E368" s="2">
        <f>B368*D368/10000</f>
        <v/>
      </c>
      <c r="F368" s="3">
        <f>B368/30.48</f>
        <v/>
      </c>
      <c r="G368" s="3">
        <f>D368/30.48</f>
        <v/>
      </c>
      <c r="H368" s="615" t="inlineStr">
        <is>
          <t>eksik 2</t>
        </is>
      </c>
      <c r="I368" s="49" t="inlineStr">
        <is>
          <t>OLD</t>
        </is>
      </c>
      <c r="K368" s="51" t="inlineStr">
        <is>
          <t>PAC</t>
        </is>
      </c>
      <c r="L368" s="105" t="inlineStr">
        <is>
          <t>VR</t>
        </is>
      </c>
      <c r="M368" s="210" t="n"/>
      <c r="N368" s="211" t="n"/>
      <c r="O368" s="340" t="inlineStr">
        <is>
          <t>SBL</t>
        </is>
      </c>
      <c r="Q368" s="271" t="n"/>
      <c r="R368" s="282" t="n"/>
    </row>
    <row r="369" ht="18" customHeight="1" s="305">
      <c r="A369" s="8" t="inlineStr">
        <is>
          <t>Y 770</t>
        </is>
      </c>
      <c r="B369" s="5" t="n">
        <v>272</v>
      </c>
      <c r="C369" s="6" t="inlineStr">
        <is>
          <t>X</t>
        </is>
      </c>
      <c r="D369" s="5" t="n">
        <v>93</v>
      </c>
      <c r="E369" s="2">
        <f>B369*D369/10000</f>
        <v/>
      </c>
      <c r="F369" s="3">
        <f>B369/30.48</f>
        <v/>
      </c>
      <c r="G369" s="3">
        <f>D369/30.48</f>
        <v/>
      </c>
      <c r="H369" s="615" t="inlineStr">
        <is>
          <t>eksik 2</t>
        </is>
      </c>
      <c r="K369" s="51" t="inlineStr">
        <is>
          <t>PAC</t>
        </is>
      </c>
      <c r="M369" s="210" t="n"/>
      <c r="N369" s="211" t="n"/>
      <c r="O369" s="340" t="inlineStr">
        <is>
          <t>SBL</t>
        </is>
      </c>
      <c r="Q369" s="271" t="n"/>
      <c r="R369" s="282" t="n"/>
    </row>
    <row r="370" ht="18" customHeight="1" s="305">
      <c r="A370" s="8" t="inlineStr">
        <is>
          <t>Y 823</t>
        </is>
      </c>
      <c r="B370" s="5" t="n">
        <v>356</v>
      </c>
      <c r="C370" s="6" t="inlineStr">
        <is>
          <t>X</t>
        </is>
      </c>
      <c r="D370" s="5" t="n">
        <v>91</v>
      </c>
      <c r="E370" s="2">
        <f>B370*D370/10000</f>
        <v/>
      </c>
      <c r="F370" s="3">
        <f>B370/30.48</f>
        <v/>
      </c>
      <c r="G370" s="3">
        <f>D370/30.48</f>
        <v/>
      </c>
      <c r="H370" s="615" t="inlineStr">
        <is>
          <t>eksik 2</t>
        </is>
      </c>
      <c r="I370" s="49" t="inlineStr">
        <is>
          <t>OLD</t>
        </is>
      </c>
      <c r="K370" s="51" t="inlineStr">
        <is>
          <t>PAC</t>
        </is>
      </c>
      <c r="L370" s="105" t="inlineStr">
        <is>
          <t>VR</t>
        </is>
      </c>
      <c r="M370" s="210" t="n"/>
      <c r="N370" s="211" t="n"/>
      <c r="O370" s="340" t="inlineStr">
        <is>
          <t>SBL</t>
        </is>
      </c>
      <c r="Q370" s="271" t="n"/>
      <c r="R370" s="282" t="n"/>
    </row>
    <row r="371" ht="18" customHeight="1" s="305">
      <c r="A371" s="8" t="inlineStr">
        <is>
          <t>Y 834</t>
        </is>
      </c>
      <c r="B371" s="5" t="n">
        <v>274</v>
      </c>
      <c r="C371" s="6" t="inlineStr">
        <is>
          <t>X</t>
        </is>
      </c>
      <c r="D371" s="5" t="n">
        <v>106</v>
      </c>
      <c r="E371" s="2">
        <f>B371*D371/10000</f>
        <v/>
      </c>
      <c r="F371" s="3">
        <f>B371/30.48</f>
        <v/>
      </c>
      <c r="G371" s="3">
        <f>D371/30.48</f>
        <v/>
      </c>
      <c r="H371" s="615" t="inlineStr">
        <is>
          <t>eksik 2</t>
        </is>
      </c>
      <c r="K371" s="51" t="inlineStr">
        <is>
          <t>PAC</t>
        </is>
      </c>
      <c r="L371" s="105" t="inlineStr">
        <is>
          <t>VR</t>
        </is>
      </c>
      <c r="M371" s="210" t="n"/>
      <c r="N371" s="211" t="n"/>
      <c r="O371" s="340" t="inlineStr">
        <is>
          <t>SBL</t>
        </is>
      </c>
      <c r="Q371" s="271" t="n"/>
      <c r="R371" s="282" t="n"/>
    </row>
    <row r="372" ht="18" customHeight="1" s="305">
      <c r="A372" s="8" t="inlineStr">
        <is>
          <t>Y 843</t>
        </is>
      </c>
      <c r="B372" s="5" t="n">
        <v>344</v>
      </c>
      <c r="C372" s="6" t="inlineStr">
        <is>
          <t>X</t>
        </is>
      </c>
      <c r="D372" s="5" t="n">
        <v>91</v>
      </c>
      <c r="E372" s="2">
        <f>B372*D372/10000</f>
        <v/>
      </c>
      <c r="F372" s="3">
        <f>B372/30.48</f>
        <v/>
      </c>
      <c r="G372" s="3">
        <f>D372/30.48</f>
        <v/>
      </c>
      <c r="H372" s="615" t="inlineStr">
        <is>
          <t>eksik 2</t>
        </is>
      </c>
      <c r="I372" s="49" t="inlineStr">
        <is>
          <t>OLD</t>
        </is>
      </c>
      <c r="J372" s="48" t="inlineStr">
        <is>
          <t>TRS</t>
        </is>
      </c>
      <c r="K372" s="51" t="inlineStr">
        <is>
          <t>PAC</t>
        </is>
      </c>
      <c r="L372" s="105" t="inlineStr">
        <is>
          <t>VR</t>
        </is>
      </c>
      <c r="M372" s="210" t="n"/>
      <c r="N372" s="211" t="n"/>
      <c r="O372" s="263" t="n"/>
      <c r="Q372" s="271" t="n"/>
      <c r="R372" s="282" t="n"/>
    </row>
    <row r="373" ht="18" customHeight="1" s="305">
      <c r="A373" s="8" t="inlineStr">
        <is>
          <t>Y 932</t>
        </is>
      </c>
      <c r="B373" s="5" t="n">
        <v>211</v>
      </c>
      <c r="C373" s="6" t="inlineStr">
        <is>
          <t>X</t>
        </is>
      </c>
      <c r="D373" s="5" t="n">
        <v>72</v>
      </c>
      <c r="E373" s="2">
        <f>B373*D373/10000</f>
        <v/>
      </c>
      <c r="F373" s="3">
        <f>B373/30.48</f>
        <v/>
      </c>
      <c r="G373" s="3">
        <f>D373/30.48</f>
        <v/>
      </c>
      <c r="H373" s="615" t="inlineStr">
        <is>
          <t xml:space="preserve">tamir </t>
        </is>
      </c>
      <c r="I373" s="49" t="inlineStr">
        <is>
          <t>OLD</t>
        </is>
      </c>
      <c r="M373" s="210" t="n"/>
      <c r="N373" s="211" t="n"/>
      <c r="O373" s="263" t="n"/>
      <c r="Q373" s="271" t="n"/>
      <c r="R373" s="282" t="n"/>
    </row>
    <row r="374" ht="18" customHeight="1" s="305">
      <c r="A374" s="8" t="inlineStr">
        <is>
          <t>Y 944</t>
        </is>
      </c>
      <c r="B374" s="5" t="n">
        <v>294</v>
      </c>
      <c r="C374" s="6" t="inlineStr">
        <is>
          <t>X</t>
        </is>
      </c>
      <c r="D374" s="5" t="n">
        <v>79</v>
      </c>
      <c r="E374" s="2">
        <f>B374*D374/10000</f>
        <v/>
      </c>
      <c r="F374" s="3">
        <f>B374/30.48</f>
        <v/>
      </c>
      <c r="G374" s="3">
        <f>D374/30.48</f>
        <v/>
      </c>
      <c r="H374" s="615" t="n"/>
      <c r="I374" s="49" t="inlineStr">
        <is>
          <t>OLD</t>
        </is>
      </c>
      <c r="J374" s="48" t="inlineStr">
        <is>
          <t>TRS</t>
        </is>
      </c>
      <c r="K374" s="51" t="inlineStr">
        <is>
          <t>PAC</t>
        </is>
      </c>
      <c r="L374" s="105" t="inlineStr">
        <is>
          <t>VR</t>
        </is>
      </c>
      <c r="M374" s="210" t="n"/>
      <c r="N374" s="211" t="n"/>
      <c r="O374" s="263" t="n"/>
      <c r="Q374" s="271" t="n"/>
      <c r="R374" s="282" t="n"/>
    </row>
    <row r="375" ht="18" customHeight="1" s="305">
      <c r="A375" s="8" t="inlineStr">
        <is>
          <t>Y 945</t>
        </is>
      </c>
      <c r="B375" s="5" t="n">
        <v>315</v>
      </c>
      <c r="C375" s="6" t="inlineStr">
        <is>
          <t>X</t>
        </is>
      </c>
      <c r="D375" s="5" t="n">
        <v>92</v>
      </c>
      <c r="E375" s="2">
        <f>B375*D375/10000</f>
        <v/>
      </c>
      <c r="F375" s="3">
        <f>B375/30.48</f>
        <v/>
      </c>
      <c r="G375" s="3">
        <f>D375/30.48</f>
        <v/>
      </c>
      <c r="H375" s="615" t="inlineStr">
        <is>
          <t>eksik 2</t>
        </is>
      </c>
      <c r="I375" s="49" t="inlineStr">
        <is>
          <t>OLD</t>
        </is>
      </c>
      <c r="K375" s="51" t="inlineStr">
        <is>
          <t>PAC</t>
        </is>
      </c>
      <c r="L375" s="105" t="inlineStr">
        <is>
          <t>VR</t>
        </is>
      </c>
      <c r="M375" s="210" t="n"/>
      <c r="N375" s="211" t="n"/>
      <c r="O375" s="340" t="inlineStr">
        <is>
          <t>SBL</t>
        </is>
      </c>
      <c r="Q375" s="271" t="n"/>
      <c r="R375" s="282" t="n"/>
    </row>
    <row r="376" ht="18" customHeight="1" s="305">
      <c r="A376" s="8" t="inlineStr">
        <is>
          <t>Y 949</t>
        </is>
      </c>
      <c r="B376" s="5" t="n">
        <v>355</v>
      </c>
      <c r="C376" s="6" t="inlineStr">
        <is>
          <t>X</t>
        </is>
      </c>
      <c r="D376" s="5" t="n">
        <v>90</v>
      </c>
      <c r="E376" s="2">
        <f>B376*D376/10000</f>
        <v/>
      </c>
      <c r="F376" s="3">
        <f>B376/30.48</f>
        <v/>
      </c>
      <c r="G376" s="3">
        <f>D376/30.48</f>
        <v/>
      </c>
      <c r="H376" s="615" t="n"/>
      <c r="I376" s="49" t="inlineStr">
        <is>
          <t>OLD</t>
        </is>
      </c>
      <c r="J376" s="48" t="inlineStr">
        <is>
          <t>TRS</t>
        </is>
      </c>
      <c r="L376" s="105" t="inlineStr">
        <is>
          <t>VR</t>
        </is>
      </c>
      <c r="M376" s="210" t="n"/>
      <c r="N376" s="211" t="n"/>
      <c r="O376" s="263" t="n"/>
      <c r="Q376" s="271" t="n"/>
      <c r="R376" s="282" t="n"/>
    </row>
    <row r="377" ht="18" customHeight="1" s="305">
      <c r="A377" s="8" t="n">
        <v>97</v>
      </c>
      <c r="B377" s="5" t="n">
        <v>290</v>
      </c>
      <c r="C377" s="6" t="inlineStr">
        <is>
          <t>X</t>
        </is>
      </c>
      <c r="D377" s="5" t="n">
        <v>177</v>
      </c>
      <c r="E377" s="2">
        <f>B377*D377/10000</f>
        <v/>
      </c>
      <c r="F377" s="3">
        <f>B377/30.48</f>
        <v/>
      </c>
      <c r="G377" s="3">
        <f>D377/30.48</f>
        <v/>
      </c>
      <c r="H377" s="615" t="n"/>
      <c r="I377" s="49" t="inlineStr">
        <is>
          <t>OLD</t>
        </is>
      </c>
      <c r="J377" s="48" t="inlineStr">
        <is>
          <t>TRS</t>
        </is>
      </c>
      <c r="K377" s="51" t="inlineStr">
        <is>
          <t>PAC</t>
        </is>
      </c>
      <c r="M377" s="210" t="inlineStr">
        <is>
          <t>RK</t>
        </is>
      </c>
      <c r="N377" s="211" t="n"/>
      <c r="O377" s="263" t="n"/>
      <c r="Q377" s="271" t="n"/>
      <c r="R377" s="282" t="n"/>
    </row>
    <row r="378" ht="18" customHeight="1" s="305">
      <c r="A378" s="8" t="n">
        <v>105</v>
      </c>
      <c r="B378" s="5" t="n">
        <v>260</v>
      </c>
      <c r="C378" s="6" t="inlineStr">
        <is>
          <t>X</t>
        </is>
      </c>
      <c r="D378" s="5" t="n">
        <v>165</v>
      </c>
      <c r="E378" s="2">
        <f>B378*D378/10000</f>
        <v/>
      </c>
      <c r="F378" s="3">
        <f>B378/30.48</f>
        <v/>
      </c>
      <c r="G378" s="3">
        <f>D378/30.48</f>
        <v/>
      </c>
      <c r="H378" s="615" t="n"/>
      <c r="I378" s="49" t="inlineStr">
        <is>
          <t>OLD</t>
        </is>
      </c>
      <c r="J378" s="48" t="inlineStr">
        <is>
          <t>TRS</t>
        </is>
      </c>
      <c r="K378" s="51" t="inlineStr">
        <is>
          <t>PAC</t>
        </is>
      </c>
      <c r="M378" s="210" t="n"/>
      <c r="N378" s="211" t="n"/>
      <c r="O378" s="263" t="n"/>
      <c r="Q378" s="271" t="n"/>
      <c r="R378" s="282" t="n"/>
    </row>
    <row r="379" ht="18" customHeight="1" s="305">
      <c r="A379" s="8" t="n">
        <v>188</v>
      </c>
      <c r="B379" s="5" t="n">
        <v>308</v>
      </c>
      <c r="C379" s="6" t="inlineStr">
        <is>
          <t>X</t>
        </is>
      </c>
      <c r="D379" s="5" t="n">
        <v>194</v>
      </c>
      <c r="E379" s="2">
        <f>B379*D379/10000</f>
        <v/>
      </c>
      <c r="F379" s="3">
        <f>B379/30.48</f>
        <v/>
      </c>
      <c r="G379" s="3">
        <f>D379/30.48</f>
        <v/>
      </c>
      <c r="H379" s="615" t="n"/>
      <c r="I379" s="49" t="inlineStr">
        <is>
          <t>OLD</t>
        </is>
      </c>
      <c r="J379" s="48" t="inlineStr">
        <is>
          <t>TRS</t>
        </is>
      </c>
      <c r="K379" s="51" t="inlineStr">
        <is>
          <t>PAC</t>
        </is>
      </c>
      <c r="M379" s="210" t="inlineStr">
        <is>
          <t>RK</t>
        </is>
      </c>
      <c r="N379" s="211" t="n"/>
      <c r="O379" s="263" t="n"/>
      <c r="Q379" s="271" t="n"/>
      <c r="R379" s="282" t="n"/>
    </row>
    <row r="380" ht="18" customHeight="1" s="305">
      <c r="A380" s="8" t="n">
        <v>677</v>
      </c>
      <c r="B380" s="5" t="n">
        <v>275</v>
      </c>
      <c r="C380" s="6" t="inlineStr">
        <is>
          <t>X</t>
        </is>
      </c>
      <c r="D380" s="5" t="n">
        <v>164</v>
      </c>
      <c r="E380" s="2">
        <f>B380*D380/10000</f>
        <v/>
      </c>
      <c r="F380" s="3">
        <f>B380/30.48</f>
        <v/>
      </c>
      <c r="G380" s="3">
        <f>D380/30.48</f>
        <v/>
      </c>
      <c r="H380" s="615" t="n"/>
      <c r="I380" s="49" t="inlineStr">
        <is>
          <t>OLD</t>
        </is>
      </c>
      <c r="J380" s="48" t="inlineStr">
        <is>
          <t>TRS</t>
        </is>
      </c>
      <c r="K380" s="51" t="inlineStr">
        <is>
          <t>PAC</t>
        </is>
      </c>
      <c r="L380" s="105" t="inlineStr">
        <is>
          <t>VR</t>
        </is>
      </c>
      <c r="M380" s="210" t="n"/>
      <c r="N380" s="211" t="n"/>
      <c r="O380" s="263" t="n"/>
      <c r="Q380" s="271" t="n"/>
      <c r="R380" s="282" t="n"/>
    </row>
    <row r="381" ht="18" customHeight="1" s="305">
      <c r="A381" s="8" t="n">
        <v>755</v>
      </c>
      <c r="B381" s="5" t="n">
        <v>284</v>
      </c>
      <c r="C381" s="6" t="inlineStr">
        <is>
          <t>X</t>
        </is>
      </c>
      <c r="D381" s="5" t="n">
        <v>180</v>
      </c>
      <c r="E381" s="2">
        <f>B381*D381/10000</f>
        <v/>
      </c>
      <c r="F381" s="3">
        <f>B381/30.48</f>
        <v/>
      </c>
      <c r="G381" s="3">
        <f>D381/30.48</f>
        <v/>
      </c>
      <c r="H381" s="615" t="n"/>
      <c r="I381" s="49" t="inlineStr">
        <is>
          <t>OLD</t>
        </is>
      </c>
      <c r="J381" s="48" t="inlineStr">
        <is>
          <t>TRS</t>
        </is>
      </c>
      <c r="K381" s="51" t="inlineStr">
        <is>
          <t>PAC</t>
        </is>
      </c>
      <c r="L381" s="105" t="inlineStr">
        <is>
          <t>VR</t>
        </is>
      </c>
      <c r="M381" s="210" t="inlineStr">
        <is>
          <t>RK</t>
        </is>
      </c>
      <c r="N381" s="211" t="n"/>
      <c r="O381" s="263" t="n"/>
      <c r="Q381" s="271" t="n"/>
      <c r="R381" s="282" t="n"/>
    </row>
    <row r="382" ht="18" customHeight="1" s="305">
      <c r="A382" s="8" t="n">
        <v>1103</v>
      </c>
      <c r="B382" s="5" t="n">
        <v>302</v>
      </c>
      <c r="C382" s="6" t="inlineStr">
        <is>
          <t>X</t>
        </is>
      </c>
      <c r="D382" s="5" t="n">
        <v>180</v>
      </c>
      <c r="E382" s="2">
        <f>B382*D382/10000</f>
        <v/>
      </c>
      <c r="F382" s="3">
        <f>B382/30.48</f>
        <v/>
      </c>
      <c r="G382" s="3">
        <f>D382/30.48</f>
        <v/>
      </c>
      <c r="H382" s="615" t="n"/>
      <c r="I382" s="49" t="inlineStr">
        <is>
          <t>OLD</t>
        </is>
      </c>
      <c r="J382" s="48" t="inlineStr">
        <is>
          <t>TRS</t>
        </is>
      </c>
      <c r="K382" s="51" t="inlineStr">
        <is>
          <t>PAC</t>
        </is>
      </c>
      <c r="L382" s="105" t="inlineStr">
        <is>
          <t>VR</t>
        </is>
      </c>
      <c r="M382" s="210" t="n"/>
      <c r="N382" s="211" t="n"/>
      <c r="O382" s="263" t="n"/>
      <c r="Q382" s="271" t="n"/>
      <c r="R382" s="282" t="n"/>
    </row>
    <row r="383" ht="18" customHeight="1" s="305">
      <c r="A383" s="8" t="inlineStr">
        <is>
          <t>C 114</t>
        </is>
      </c>
      <c r="B383" s="5" t="n">
        <v>348</v>
      </c>
      <c r="C383" s="6" t="inlineStr">
        <is>
          <t>X</t>
        </is>
      </c>
      <c r="D383" s="5" t="n">
        <v>267</v>
      </c>
      <c r="E383" s="2">
        <f>B383*D383/10000</f>
        <v/>
      </c>
      <c r="F383" s="3">
        <f>B383/30.48</f>
        <v/>
      </c>
      <c r="G383" s="3">
        <f>D383/30.48</f>
        <v/>
      </c>
      <c r="H383" s="615" t="n"/>
      <c r="J383" s="48" t="inlineStr">
        <is>
          <t>TRS</t>
        </is>
      </c>
      <c r="K383" s="51" t="inlineStr">
        <is>
          <t>PAC</t>
        </is>
      </c>
      <c r="L383" s="105" t="inlineStr">
        <is>
          <t>VR</t>
        </is>
      </c>
      <c r="M383" s="210" t="n"/>
      <c r="N383" s="211" t="n"/>
      <c r="O383" s="263" t="n"/>
      <c r="P383" s="261" t="inlineStr">
        <is>
          <t>WVN</t>
        </is>
      </c>
      <c r="Q383" s="271" t="n"/>
      <c r="R383" s="282" t="inlineStr">
        <is>
          <t>WVN</t>
        </is>
      </c>
    </row>
    <row r="384" ht="18" customHeight="1" s="305">
      <c r="A384" s="8" t="inlineStr">
        <is>
          <t>M 11</t>
        </is>
      </c>
      <c r="B384" s="5" t="n">
        <v>323</v>
      </c>
      <c r="C384" s="6" t="inlineStr">
        <is>
          <t>X</t>
        </is>
      </c>
      <c r="D384" s="5" t="n">
        <v>188</v>
      </c>
      <c r="E384" s="2">
        <f>B384*D384/10000</f>
        <v/>
      </c>
      <c r="F384" s="3">
        <f>B384/30.48</f>
        <v/>
      </c>
      <c r="G384" s="3">
        <f>D384/30.48</f>
        <v/>
      </c>
      <c r="H384" s="615" t="n"/>
      <c r="I384" s="49" t="inlineStr">
        <is>
          <t>OLD</t>
        </is>
      </c>
      <c r="J384" s="48" t="inlineStr">
        <is>
          <t>TRS</t>
        </is>
      </c>
      <c r="K384" s="51" t="inlineStr">
        <is>
          <t>PAC</t>
        </is>
      </c>
      <c r="L384" s="105" t="inlineStr">
        <is>
          <t>VR</t>
        </is>
      </c>
      <c r="M384" s="210" t="n"/>
      <c r="N384" s="211" t="n"/>
      <c r="O384" s="263" t="n"/>
      <c r="Q384" s="271" t="n"/>
      <c r="R384" s="282" t="n"/>
    </row>
    <row r="385" ht="18" customHeight="1" s="305">
      <c r="A385" s="8" t="inlineStr">
        <is>
          <t>Y 697</t>
        </is>
      </c>
      <c r="B385" s="5" t="n">
        <v>300</v>
      </c>
      <c r="C385" s="6" t="inlineStr">
        <is>
          <t>X</t>
        </is>
      </c>
      <c r="D385" s="5" t="n">
        <v>197</v>
      </c>
      <c r="E385" s="2">
        <f>B385*D385/10000</f>
        <v/>
      </c>
      <c r="F385" s="3">
        <f>B385/30.48</f>
        <v/>
      </c>
      <c r="G385" s="3">
        <f>D385/30.48</f>
        <v/>
      </c>
      <c r="H385" s="615" t="n"/>
      <c r="I385" s="49" t="inlineStr">
        <is>
          <t>OLD</t>
        </is>
      </c>
      <c r="J385" s="48" t="inlineStr">
        <is>
          <t>TRS</t>
        </is>
      </c>
      <c r="K385" s="51" t="inlineStr">
        <is>
          <t>PAC</t>
        </is>
      </c>
      <c r="M385" s="210" t="n"/>
      <c r="N385" s="211" t="n"/>
      <c r="O385" s="263" t="n"/>
      <c r="Q385" s="271" t="n"/>
      <c r="R385" s="282" t="n"/>
    </row>
    <row r="386" ht="18" customHeight="1" s="305">
      <c r="A386" s="8" t="n">
        <v>111</v>
      </c>
      <c r="B386" s="5" t="n">
        <v>296</v>
      </c>
      <c r="C386" s="6" t="inlineStr">
        <is>
          <t>X</t>
        </is>
      </c>
      <c r="D386" s="5" t="n">
        <v>184</v>
      </c>
      <c r="E386" s="2">
        <f>B386*D386/10000</f>
        <v/>
      </c>
      <c r="F386" s="3">
        <f>B386/30.48</f>
        <v/>
      </c>
      <c r="G386" s="3">
        <f>D386/30.48</f>
        <v/>
      </c>
      <c r="H386" s="615" t="inlineStr">
        <is>
          <t>eksik 2</t>
        </is>
      </c>
      <c r="J386" s="48" t="inlineStr">
        <is>
          <t>TRS</t>
        </is>
      </c>
      <c r="K386" s="51" t="inlineStr">
        <is>
          <t>PAC</t>
        </is>
      </c>
      <c r="M386" s="210" t="inlineStr">
        <is>
          <t>RK</t>
        </is>
      </c>
      <c r="N386" s="211" t="n"/>
      <c r="O386" s="263" t="n"/>
      <c r="Q386" s="271" t="n"/>
      <c r="R386" s="282" t="n"/>
    </row>
    <row r="387" ht="18" customHeight="1" s="305">
      <c r="A387" s="8" t="n">
        <v>132</v>
      </c>
      <c r="B387" s="5" t="n">
        <v>298</v>
      </c>
      <c r="C387" s="6" t="inlineStr">
        <is>
          <t>X</t>
        </is>
      </c>
      <c r="D387" s="5" t="n">
        <v>188</v>
      </c>
      <c r="E387" s="2">
        <f>B387*D387/10000</f>
        <v/>
      </c>
      <c r="F387" s="3">
        <f>B387/30.48</f>
        <v/>
      </c>
      <c r="G387" s="3">
        <f>D387/30.48</f>
        <v/>
      </c>
      <c r="H387" s="615" t="n"/>
      <c r="I387" s="49" t="inlineStr">
        <is>
          <t>OLD</t>
        </is>
      </c>
      <c r="J387" s="48" t="inlineStr">
        <is>
          <t>TRS</t>
        </is>
      </c>
      <c r="K387" s="51" t="inlineStr">
        <is>
          <t>PAC</t>
        </is>
      </c>
      <c r="L387" s="105" t="inlineStr">
        <is>
          <t>VR</t>
        </is>
      </c>
      <c r="M387" s="210" t="inlineStr">
        <is>
          <t>RK</t>
        </is>
      </c>
      <c r="N387" s="211" t="n"/>
      <c r="O387" s="263" t="n"/>
      <c r="Q387" s="271" t="n"/>
      <c r="R387" s="282" t="n"/>
    </row>
    <row r="388" ht="18" customHeight="1" s="305">
      <c r="A388" s="8" t="n">
        <v>320</v>
      </c>
      <c r="B388" s="5" t="n">
        <v>380</v>
      </c>
      <c r="C388" s="6" t="inlineStr">
        <is>
          <t>X</t>
        </is>
      </c>
      <c r="D388" s="5" t="n">
        <v>290</v>
      </c>
      <c r="E388" s="2">
        <f>B388*D388/10000</f>
        <v/>
      </c>
      <c r="F388" s="3">
        <f>B388/30.48</f>
        <v/>
      </c>
      <c r="G388" s="3">
        <f>D388/30.48</f>
        <v/>
      </c>
      <c r="H388" s="615" t="n"/>
      <c r="I388" s="49" t="inlineStr">
        <is>
          <t>OLD</t>
        </is>
      </c>
      <c r="J388" s="48" t="inlineStr">
        <is>
          <t>TRS</t>
        </is>
      </c>
      <c r="K388" s="51" t="inlineStr">
        <is>
          <t>PAC</t>
        </is>
      </c>
      <c r="L388" s="105" t="inlineStr">
        <is>
          <t>VR</t>
        </is>
      </c>
      <c r="M388" s="210" t="inlineStr">
        <is>
          <t>RK</t>
        </is>
      </c>
      <c r="N388" s="211" t="n"/>
      <c r="O388" s="263" t="n"/>
      <c r="Q388" s="271" t="n"/>
      <c r="R388" s="282" t="n"/>
    </row>
    <row r="389" ht="18" customHeight="1" s="305">
      <c r="A389" s="8" t="n">
        <v>695</v>
      </c>
      <c r="B389" s="5" t="n">
        <v>303</v>
      </c>
      <c r="C389" s="6" t="inlineStr">
        <is>
          <t>X</t>
        </is>
      </c>
      <c r="D389" s="5" t="n">
        <v>189</v>
      </c>
      <c r="E389" s="2">
        <f>B389*D389/10000</f>
        <v/>
      </c>
      <c r="F389" s="3">
        <f>B389/30.48</f>
        <v/>
      </c>
      <c r="G389" s="3">
        <f>D389/30.48</f>
        <v/>
      </c>
      <c r="H389" s="615" t="n"/>
      <c r="I389" s="49" t="inlineStr">
        <is>
          <t>OLD</t>
        </is>
      </c>
      <c r="J389" s="48" t="inlineStr">
        <is>
          <t>TRS</t>
        </is>
      </c>
      <c r="K389" s="51" t="inlineStr">
        <is>
          <t>PAC</t>
        </is>
      </c>
      <c r="M389" s="210" t="inlineStr">
        <is>
          <t>RK</t>
        </is>
      </c>
      <c r="N389" s="211" t="n"/>
      <c r="O389" s="263" t="n"/>
      <c r="Q389" s="271" t="n"/>
      <c r="R389" s="282" t="n"/>
    </row>
    <row r="390" ht="18" customHeight="1" s="305">
      <c r="A390" s="8" t="n">
        <v>1094</v>
      </c>
      <c r="B390" s="5" t="n">
        <v>306</v>
      </c>
      <c r="C390" s="6" t="inlineStr">
        <is>
          <t>X</t>
        </is>
      </c>
      <c r="D390" s="5" t="n">
        <v>212</v>
      </c>
      <c r="E390" s="2">
        <f>B390*D390/10000</f>
        <v/>
      </c>
      <c r="F390" s="3">
        <f>B390/30.48</f>
        <v/>
      </c>
      <c r="G390" s="3">
        <f>D390/30.48</f>
        <v/>
      </c>
      <c r="H390" s="615" t="inlineStr">
        <is>
          <t>kontrol</t>
        </is>
      </c>
      <c r="K390" s="51" t="inlineStr">
        <is>
          <t>PAC</t>
        </is>
      </c>
      <c r="L390" s="105" t="inlineStr">
        <is>
          <t>VR</t>
        </is>
      </c>
      <c r="M390" s="210" t="inlineStr">
        <is>
          <t>RK</t>
        </is>
      </c>
      <c r="N390" s="211" t="n"/>
      <c r="O390" s="263" t="n"/>
      <c r="Q390" s="271" t="n"/>
      <c r="R390" s="282" t="n"/>
    </row>
    <row r="391" ht="18" customHeight="1" s="305">
      <c r="A391" s="8" t="inlineStr">
        <is>
          <t>K 36</t>
        </is>
      </c>
      <c r="B391" s="5" t="n">
        <v>370</v>
      </c>
      <c r="C391" s="6" t="inlineStr">
        <is>
          <t>X</t>
        </is>
      </c>
      <c r="D391" s="5" t="n">
        <v>155</v>
      </c>
      <c r="E391" s="2">
        <f>B391*D391/10000</f>
        <v/>
      </c>
      <c r="F391" s="3">
        <f>B391/30.48</f>
        <v/>
      </c>
      <c r="G391" s="3">
        <f>D391/30.48</f>
        <v/>
      </c>
      <c r="H391" s="615" t="inlineStr">
        <is>
          <t>eksik 2</t>
        </is>
      </c>
      <c r="L391" s="105" t="inlineStr">
        <is>
          <t>VR</t>
        </is>
      </c>
      <c r="M391" s="210" t="n"/>
      <c r="N391" s="211" t="n"/>
      <c r="O391" s="340" t="inlineStr">
        <is>
          <t>SBL</t>
        </is>
      </c>
      <c r="Q391" s="271" t="n"/>
      <c r="R391" s="282" t="n"/>
    </row>
    <row r="392" ht="18" customHeight="1" s="305">
      <c r="A392" s="8" t="inlineStr">
        <is>
          <t>K 93</t>
        </is>
      </c>
      <c r="B392" s="5" t="n">
        <v>305</v>
      </c>
      <c r="C392" s="6" t="inlineStr">
        <is>
          <t>X</t>
        </is>
      </c>
      <c r="D392" s="5" t="n">
        <v>203</v>
      </c>
      <c r="E392" s="2">
        <f>B392*D392/10000</f>
        <v/>
      </c>
      <c r="F392" s="3">
        <f>B392/30.48</f>
        <v/>
      </c>
      <c r="G392" s="3">
        <f>D392/30.48</f>
        <v/>
      </c>
      <c r="H392" s="615" t="inlineStr">
        <is>
          <t>eksik 3</t>
        </is>
      </c>
      <c r="I392" s="49" t="inlineStr">
        <is>
          <t>OLD</t>
        </is>
      </c>
      <c r="M392" s="210" t="n"/>
      <c r="N392" s="211" t="n"/>
      <c r="O392" s="340" t="inlineStr">
        <is>
          <t>SBL</t>
        </is>
      </c>
      <c r="Q392" s="271" t="n"/>
      <c r="R392" s="282" t="n"/>
    </row>
    <row r="393" ht="18" customHeight="1" s="305">
      <c r="A393" s="8" t="inlineStr">
        <is>
          <t>Y 58</t>
        </is>
      </c>
      <c r="B393" s="5" t="n">
        <v>356</v>
      </c>
      <c r="C393" s="6" t="inlineStr">
        <is>
          <t>X</t>
        </is>
      </c>
      <c r="D393" s="5" t="n">
        <v>280</v>
      </c>
      <c r="E393" s="2">
        <f>B393*D393/10000</f>
        <v/>
      </c>
      <c r="F393" s="3">
        <f>B393/30.48</f>
        <v/>
      </c>
      <c r="G393" s="3">
        <f>D393/30.48</f>
        <v/>
      </c>
      <c r="H393" s="615" t="inlineStr">
        <is>
          <t>eksik 2</t>
        </is>
      </c>
      <c r="I393" s="49" t="inlineStr">
        <is>
          <t>OLD</t>
        </is>
      </c>
      <c r="J393" s="48" t="inlineStr">
        <is>
          <t>TRS</t>
        </is>
      </c>
      <c r="K393" s="51" t="inlineStr">
        <is>
          <t>PAC</t>
        </is>
      </c>
      <c r="L393" s="105" t="inlineStr">
        <is>
          <t>VR</t>
        </is>
      </c>
      <c r="M393" s="210" t="n"/>
      <c r="N393" s="211" t="n"/>
      <c r="O393" s="263" t="n"/>
      <c r="P393" s="261" t="inlineStr">
        <is>
          <t>WVN</t>
        </is>
      </c>
      <c r="Q393" s="271" t="n"/>
      <c r="R393" s="282" t="inlineStr">
        <is>
          <t>WVN</t>
        </is>
      </c>
    </row>
    <row r="394" ht="18" customHeight="1" s="305">
      <c r="A394" s="8" t="inlineStr">
        <is>
          <t>Y 461</t>
        </is>
      </c>
      <c r="B394" s="5" t="n">
        <v>318</v>
      </c>
      <c r="C394" s="6" t="inlineStr">
        <is>
          <t>X</t>
        </is>
      </c>
      <c r="D394" s="5" t="n">
        <v>216</v>
      </c>
      <c r="E394" s="2">
        <f>B394*D394/10000</f>
        <v/>
      </c>
      <c r="F394" s="3">
        <f>B394/30.48</f>
        <v/>
      </c>
      <c r="G394" s="3">
        <f>D394/30.48</f>
        <v/>
      </c>
      <c r="H394" s="615" t="n"/>
      <c r="J394" s="48" t="inlineStr">
        <is>
          <t>TRS</t>
        </is>
      </c>
      <c r="K394" s="51" t="inlineStr">
        <is>
          <t>PAC</t>
        </is>
      </c>
      <c r="L394" s="105" t="inlineStr">
        <is>
          <t>VR</t>
        </is>
      </c>
      <c r="M394" s="210" t="n"/>
      <c r="N394" s="211" t="n"/>
      <c r="O394" s="263" t="n"/>
      <c r="Q394" s="271" t="n"/>
      <c r="R394" s="282" t="n"/>
    </row>
    <row r="395" ht="18" customHeight="1" s="305">
      <c r="A395" s="8" t="inlineStr">
        <is>
          <t>Y 643</t>
        </is>
      </c>
      <c r="B395" s="5" t="n">
        <v>393</v>
      </c>
      <c r="C395" s="6" t="inlineStr">
        <is>
          <t>X</t>
        </is>
      </c>
      <c r="D395" s="5" t="n">
        <v>298</v>
      </c>
      <c r="E395" s="2">
        <f>B395*D395/10000</f>
        <v/>
      </c>
      <c r="F395" s="3">
        <f>B395/30.48</f>
        <v/>
      </c>
      <c r="G395" s="3">
        <f>D395/30.48</f>
        <v/>
      </c>
      <c r="H395" s="615" t="n"/>
      <c r="I395" s="49" t="inlineStr">
        <is>
          <t>OLD</t>
        </is>
      </c>
      <c r="J395" s="48" t="inlineStr">
        <is>
          <t>TRS</t>
        </is>
      </c>
      <c r="K395" s="51" t="inlineStr">
        <is>
          <t>PAC</t>
        </is>
      </c>
      <c r="M395" s="210" t="n"/>
      <c r="N395" s="211" t="n"/>
      <c r="O395" s="263" t="n"/>
      <c r="P395" s="261" t="inlineStr">
        <is>
          <t>WVN</t>
        </is>
      </c>
      <c r="Q395" s="271" t="n"/>
      <c r="R395" s="282" t="inlineStr">
        <is>
          <t>WVN</t>
        </is>
      </c>
    </row>
    <row r="396" ht="18" customHeight="1" s="305">
      <c r="A396" s="8" t="n">
        <v>238</v>
      </c>
      <c r="B396" s="5" t="n">
        <v>310</v>
      </c>
      <c r="C396" s="6" t="inlineStr">
        <is>
          <t>X</t>
        </is>
      </c>
      <c r="D396" s="5" t="n">
        <v>189</v>
      </c>
      <c r="E396" s="2">
        <f>B396*D396/10000</f>
        <v/>
      </c>
      <c r="F396" s="3">
        <f>B396/30.48</f>
        <v/>
      </c>
      <c r="G396" s="3">
        <f>D396/30.48</f>
        <v/>
      </c>
      <c r="H396" s="615" t="n"/>
      <c r="I396" s="49" t="inlineStr">
        <is>
          <t>OLD</t>
        </is>
      </c>
      <c r="J396" s="48" t="inlineStr">
        <is>
          <t>TRS</t>
        </is>
      </c>
      <c r="K396" s="51" t="inlineStr">
        <is>
          <t>PAC</t>
        </is>
      </c>
      <c r="L396" s="105" t="inlineStr">
        <is>
          <t>VR</t>
        </is>
      </c>
      <c r="M396" s="210" t="n"/>
      <c r="N396" s="211" t="n"/>
      <c r="O396" s="263" t="n"/>
      <c r="Q396" s="271" t="n"/>
      <c r="R396" s="282" t="n"/>
    </row>
    <row r="397" ht="18" customHeight="1" s="305">
      <c r="A397" s="8" t="n">
        <v>408</v>
      </c>
      <c r="B397" s="5" t="n">
        <v>265</v>
      </c>
      <c r="C397" s="6" t="inlineStr">
        <is>
          <t>X</t>
        </is>
      </c>
      <c r="D397" s="5" t="n">
        <v>186</v>
      </c>
      <c r="E397" s="2">
        <f>B397*D397/10000</f>
        <v/>
      </c>
      <c r="F397" s="3">
        <f>B397/30.48</f>
        <v/>
      </c>
      <c r="G397" s="3">
        <f>D397/30.48</f>
        <v/>
      </c>
      <c r="H397" s="615" t="n"/>
      <c r="I397" s="49" t="inlineStr">
        <is>
          <t>OLD</t>
        </is>
      </c>
      <c r="J397" s="48" t="inlineStr">
        <is>
          <t>TRS</t>
        </is>
      </c>
      <c r="K397" s="51" t="inlineStr">
        <is>
          <t>PAC</t>
        </is>
      </c>
      <c r="M397" s="210" t="inlineStr">
        <is>
          <t>RK</t>
        </is>
      </c>
      <c r="N397" s="211" t="n"/>
      <c r="O397" s="263" t="n"/>
      <c r="Q397" s="271" t="n"/>
      <c r="R397" s="282" t="n"/>
    </row>
    <row r="398" ht="18" customHeight="1" s="305">
      <c r="A398" s="8" t="inlineStr">
        <is>
          <t>Y 55</t>
        </is>
      </c>
      <c r="B398" s="5" t="n">
        <v>402</v>
      </c>
      <c r="C398" s="6" t="inlineStr">
        <is>
          <t>X</t>
        </is>
      </c>
      <c r="D398" s="5" t="n">
        <v>288</v>
      </c>
      <c r="E398" s="2">
        <f>B398*D398/10000</f>
        <v/>
      </c>
      <c r="F398" s="3">
        <f>B398/30.48</f>
        <v/>
      </c>
      <c r="G398" s="3">
        <f>D398/30.48</f>
        <v/>
      </c>
      <c r="H398" s="615" t="n"/>
      <c r="I398" s="49" t="inlineStr">
        <is>
          <t>OLD</t>
        </is>
      </c>
      <c r="J398" s="48" t="inlineStr">
        <is>
          <t>TRS</t>
        </is>
      </c>
      <c r="K398" s="51" t="inlineStr">
        <is>
          <t>PAC</t>
        </is>
      </c>
      <c r="L398" s="105" t="inlineStr">
        <is>
          <t>VR</t>
        </is>
      </c>
      <c r="M398" s="210" t="n"/>
      <c r="N398" s="211" t="n"/>
      <c r="O398" s="263" t="n"/>
      <c r="P398" s="261" t="inlineStr">
        <is>
          <t>WVN</t>
        </is>
      </c>
      <c r="Q398" s="271" t="n"/>
      <c r="R398" s="282" t="inlineStr">
        <is>
          <t>WVN</t>
        </is>
      </c>
    </row>
    <row r="399" ht="18" customHeight="1" s="305">
      <c r="A399" s="8" t="inlineStr">
        <is>
          <t>Y 200</t>
        </is>
      </c>
      <c r="B399" s="5" t="n">
        <v>286</v>
      </c>
      <c r="C399" s="6" t="inlineStr">
        <is>
          <t>X</t>
        </is>
      </c>
      <c r="D399" s="5" t="n">
        <v>194</v>
      </c>
      <c r="E399" s="2">
        <f>B399*D399/10000</f>
        <v/>
      </c>
      <c r="F399" s="3">
        <f>B399/30.48</f>
        <v/>
      </c>
      <c r="G399" s="3">
        <f>D399/30.48</f>
        <v/>
      </c>
      <c r="H399" s="615" t="n"/>
      <c r="I399" s="49" t="inlineStr">
        <is>
          <t>OLD</t>
        </is>
      </c>
      <c r="K399" s="51" t="inlineStr">
        <is>
          <t>PAC</t>
        </is>
      </c>
      <c r="L399" s="105" t="inlineStr">
        <is>
          <t>VR</t>
        </is>
      </c>
      <c r="M399" s="210" t="n"/>
      <c r="N399" s="211" t="n"/>
      <c r="O399" s="263" t="n"/>
      <c r="Q399" s="271" t="n"/>
      <c r="R399" s="282" t="n"/>
    </row>
    <row r="400" ht="18" customHeight="1" s="305">
      <c r="A400" s="8" t="inlineStr">
        <is>
          <t>Y 220</t>
        </is>
      </c>
      <c r="B400" s="5" t="n">
        <v>296</v>
      </c>
      <c r="C400" s="6" t="inlineStr">
        <is>
          <t>X</t>
        </is>
      </c>
      <c r="D400" s="5" t="n">
        <v>255</v>
      </c>
      <c r="E400" s="2">
        <f>B400*D400/10000</f>
        <v/>
      </c>
      <c r="F400" s="3">
        <f>B400/30.48</f>
        <v/>
      </c>
      <c r="G400" s="3">
        <f>D400/30.48</f>
        <v/>
      </c>
      <c r="H400" s="615" t="n"/>
      <c r="I400" s="49" t="inlineStr">
        <is>
          <t>OLD</t>
        </is>
      </c>
      <c r="K400" s="51" t="inlineStr">
        <is>
          <t>PAC</t>
        </is>
      </c>
      <c r="L400" s="105" t="inlineStr">
        <is>
          <t>VR</t>
        </is>
      </c>
      <c r="M400" s="210" t="n"/>
      <c r="N400" s="211" t="n"/>
      <c r="O400" s="263" t="n"/>
      <c r="Q400" s="271" t="n"/>
      <c r="R400" s="282" t="n"/>
    </row>
    <row r="401" ht="18" customHeight="1" s="305">
      <c r="A401" s="8" t="inlineStr">
        <is>
          <t>Y 221</t>
        </is>
      </c>
      <c r="B401" s="5" t="n">
        <v>356</v>
      </c>
      <c r="C401" s="6" t="inlineStr">
        <is>
          <t>X</t>
        </is>
      </c>
      <c r="D401" s="5" t="n">
        <v>276</v>
      </c>
      <c r="E401" s="2">
        <f>B401*D401/10000</f>
        <v/>
      </c>
      <c r="F401" s="3">
        <f>B401/30.48</f>
        <v/>
      </c>
      <c r="G401" s="3">
        <f>D401/30.48</f>
        <v/>
      </c>
      <c r="H401" s="615" t="n"/>
      <c r="I401" s="49" t="inlineStr">
        <is>
          <t>OLD</t>
        </is>
      </c>
      <c r="J401" s="48" t="inlineStr">
        <is>
          <t>TRS</t>
        </is>
      </c>
      <c r="K401" s="51" t="inlineStr">
        <is>
          <t>PAC</t>
        </is>
      </c>
      <c r="L401" s="105" t="inlineStr">
        <is>
          <t>VR</t>
        </is>
      </c>
      <c r="M401" s="210" t="n"/>
      <c r="N401" s="211" t="n"/>
      <c r="O401" s="263" t="n"/>
      <c r="P401" s="261" t="inlineStr">
        <is>
          <t>WVN</t>
        </is>
      </c>
      <c r="Q401" s="271" t="n"/>
      <c r="R401" s="282" t="inlineStr">
        <is>
          <t>WVN</t>
        </is>
      </c>
    </row>
    <row r="402" ht="18" customHeight="1" s="305">
      <c r="A402" s="8" t="inlineStr">
        <is>
          <t>Y 224</t>
        </is>
      </c>
      <c r="B402" s="5" t="n">
        <v>454</v>
      </c>
      <c r="C402" s="6" t="inlineStr">
        <is>
          <t>X</t>
        </is>
      </c>
      <c r="D402" s="5" t="n">
        <v>350</v>
      </c>
      <c r="E402" s="2">
        <f>B402*D402/10000</f>
        <v/>
      </c>
      <c r="F402" s="3">
        <f>B402/30.48</f>
        <v/>
      </c>
      <c r="G402" s="3">
        <f>D402/30.48</f>
        <v/>
      </c>
      <c r="H402" s="615" t="inlineStr">
        <is>
          <t xml:space="preserve">kontrol </t>
        </is>
      </c>
      <c r="K402" s="51" t="inlineStr">
        <is>
          <t>PAC</t>
        </is>
      </c>
      <c r="L402" s="105" t="inlineStr">
        <is>
          <t>VR</t>
        </is>
      </c>
      <c r="M402" s="210" t="n"/>
      <c r="N402" s="211" t="n"/>
      <c r="O402" s="263" t="n"/>
      <c r="P402" s="261" t="inlineStr">
        <is>
          <t>WVN</t>
        </is>
      </c>
      <c r="Q402" s="271" t="n"/>
      <c r="R402" s="282" t="inlineStr">
        <is>
          <t>WVN</t>
        </is>
      </c>
    </row>
    <row r="403" ht="18" customHeight="1" s="305">
      <c r="A403" s="8" t="inlineStr">
        <is>
          <t>Y 435</t>
        </is>
      </c>
      <c r="B403" s="5" t="n">
        <v>290</v>
      </c>
      <c r="C403" s="6" t="inlineStr">
        <is>
          <t>X</t>
        </is>
      </c>
      <c r="D403" s="5" t="n">
        <v>193</v>
      </c>
      <c r="E403" s="2">
        <f>B403*D403/10000</f>
        <v/>
      </c>
      <c r="F403" s="3">
        <f>B403/30.48</f>
        <v/>
      </c>
      <c r="G403" s="3">
        <f>D403/30.48</f>
        <v/>
      </c>
      <c r="H403" s="615" t="n"/>
      <c r="I403" s="49" t="inlineStr">
        <is>
          <t>OLD</t>
        </is>
      </c>
      <c r="J403" s="48" t="inlineStr">
        <is>
          <t>TRS</t>
        </is>
      </c>
      <c r="K403" s="51" t="inlineStr">
        <is>
          <t>PAC</t>
        </is>
      </c>
      <c r="L403" s="105" t="inlineStr">
        <is>
          <t>VR</t>
        </is>
      </c>
      <c r="M403" s="210" t="n"/>
      <c r="N403" s="211" t="n"/>
      <c r="O403" s="263" t="n"/>
      <c r="Q403" s="271" t="n"/>
      <c r="R403" s="282" t="n"/>
    </row>
    <row r="404" ht="18" customHeight="1" s="305">
      <c r="A404" s="8" t="inlineStr">
        <is>
          <t>Y 677</t>
        </is>
      </c>
      <c r="B404" s="5" t="n">
        <v>277</v>
      </c>
      <c r="C404" s="6" t="inlineStr">
        <is>
          <t>X</t>
        </is>
      </c>
      <c r="D404" s="5" t="n">
        <v>178</v>
      </c>
      <c r="E404" s="2">
        <f>B404*D404/10000</f>
        <v/>
      </c>
      <c r="F404" s="3">
        <f>B404/30.48</f>
        <v/>
      </c>
      <c r="G404" s="3">
        <f>D404/30.48</f>
        <v/>
      </c>
      <c r="H404" s="615" t="n"/>
      <c r="I404" s="49" t="inlineStr">
        <is>
          <t>OLD</t>
        </is>
      </c>
      <c r="J404" s="48" t="inlineStr">
        <is>
          <t>TRS</t>
        </is>
      </c>
      <c r="K404" s="51" t="inlineStr">
        <is>
          <t>PAC</t>
        </is>
      </c>
      <c r="L404" s="105" t="inlineStr">
        <is>
          <t>VR</t>
        </is>
      </c>
      <c r="M404" s="210" t="inlineStr">
        <is>
          <t>RK</t>
        </is>
      </c>
      <c r="N404" s="211" t="n"/>
      <c r="O404" s="263" t="n"/>
      <c r="Q404" s="271" t="n"/>
      <c r="R404" s="282" t="n"/>
    </row>
    <row r="405" ht="18" customHeight="1" s="305">
      <c r="A405" s="8" t="inlineStr">
        <is>
          <t>Y 678</t>
        </is>
      </c>
      <c r="B405" s="5" t="n">
        <v>290</v>
      </c>
      <c r="C405" s="6" t="inlineStr">
        <is>
          <t>X</t>
        </is>
      </c>
      <c r="D405" s="5" t="n">
        <v>190</v>
      </c>
      <c r="E405" s="2">
        <f>B405*D405/10000</f>
        <v/>
      </c>
      <c r="F405" s="3">
        <f>B405/30.48</f>
        <v/>
      </c>
      <c r="G405" s="3">
        <f>D405/30.48</f>
        <v/>
      </c>
      <c r="H405" s="615" t="n"/>
      <c r="I405" s="49" t="inlineStr">
        <is>
          <t>OLD</t>
        </is>
      </c>
      <c r="J405" s="48" t="inlineStr">
        <is>
          <t>TRS</t>
        </is>
      </c>
      <c r="K405" s="51" t="inlineStr">
        <is>
          <t>PAC</t>
        </is>
      </c>
      <c r="M405" s="210" t="n"/>
      <c r="N405" s="211" t="n"/>
      <c r="O405" s="263" t="n"/>
      <c r="Q405" s="271" t="n"/>
      <c r="R405" s="282" t="n"/>
    </row>
    <row r="406" ht="18" customHeight="1" s="305">
      <c r="A406" s="8" t="inlineStr">
        <is>
          <t>Y 719</t>
        </is>
      </c>
      <c r="B406" s="5" t="n">
        <v>402</v>
      </c>
      <c r="C406" s="6" t="inlineStr">
        <is>
          <t>X</t>
        </is>
      </c>
      <c r="D406" s="5" t="n">
        <v>149</v>
      </c>
      <c r="E406" s="2">
        <f>B406*D406/10000</f>
        <v/>
      </c>
      <c r="F406" s="3">
        <f>B406/30.48</f>
        <v/>
      </c>
      <c r="G406" s="3">
        <f>D406/30.48</f>
        <v/>
      </c>
      <c r="H406" s="615" t="inlineStr">
        <is>
          <t>eksik 2</t>
        </is>
      </c>
      <c r="I406" s="49" t="inlineStr">
        <is>
          <t>OLD</t>
        </is>
      </c>
      <c r="K406" s="51" t="inlineStr">
        <is>
          <t>PAC</t>
        </is>
      </c>
      <c r="L406" s="105" t="inlineStr">
        <is>
          <t>VR</t>
        </is>
      </c>
      <c r="M406" s="210" t="n"/>
      <c r="N406" s="211" t="n"/>
      <c r="O406" s="340" t="inlineStr">
        <is>
          <t>SBL</t>
        </is>
      </c>
      <c r="Q406" s="271" t="n"/>
      <c r="R406" s="282" t="n"/>
    </row>
    <row r="407" ht="18" customHeight="1" s="305">
      <c r="A407" s="8" t="inlineStr">
        <is>
          <t>Y 886</t>
        </is>
      </c>
      <c r="B407" s="5" t="n">
        <v>382</v>
      </c>
      <c r="C407" s="6" t="inlineStr">
        <is>
          <t>X</t>
        </is>
      </c>
      <c r="D407" s="5" t="n">
        <v>145</v>
      </c>
      <c r="E407" s="2">
        <f>B407*D407/10000</f>
        <v/>
      </c>
      <c r="F407" s="3">
        <f>B407/30.48</f>
        <v/>
      </c>
      <c r="G407" s="3">
        <f>D407/30.48</f>
        <v/>
      </c>
      <c r="H407" s="615" t="inlineStr">
        <is>
          <t>eksik 2</t>
        </is>
      </c>
      <c r="I407" s="49" t="inlineStr">
        <is>
          <t>OLD</t>
        </is>
      </c>
      <c r="K407" s="51" t="inlineStr">
        <is>
          <t>PAC</t>
        </is>
      </c>
      <c r="L407" s="105" t="inlineStr">
        <is>
          <t>VR</t>
        </is>
      </c>
      <c r="M407" s="210" t="n"/>
      <c r="N407" s="211" t="n"/>
      <c r="O407" s="340" t="inlineStr">
        <is>
          <t>SBL</t>
        </is>
      </c>
      <c r="Q407" s="271" t="n"/>
      <c r="R407" s="282" t="n"/>
    </row>
    <row r="408" ht="18" customHeight="1" s="305">
      <c r="A408" s="8" t="inlineStr">
        <is>
          <t>Y 901</t>
        </is>
      </c>
      <c r="B408" s="5" t="n">
        <v>294</v>
      </c>
      <c r="C408" s="6" t="inlineStr">
        <is>
          <t>X</t>
        </is>
      </c>
      <c r="D408" s="5" t="n">
        <v>212</v>
      </c>
      <c r="E408" s="2">
        <f>B408*D408/10000</f>
        <v/>
      </c>
      <c r="F408" s="3">
        <f>B408/30.48</f>
        <v/>
      </c>
      <c r="G408" s="3">
        <f>D408/30.48</f>
        <v/>
      </c>
      <c r="H408" s="615" t="n"/>
      <c r="J408" s="48" t="inlineStr">
        <is>
          <t>TRS</t>
        </is>
      </c>
      <c r="K408" s="51" t="inlineStr">
        <is>
          <t>PAC</t>
        </is>
      </c>
      <c r="L408" s="105" t="inlineStr">
        <is>
          <t>VR</t>
        </is>
      </c>
      <c r="M408" s="210" t="n"/>
      <c r="N408" s="211" t="n"/>
      <c r="O408" s="263" t="n"/>
      <c r="Q408" s="271" t="n"/>
      <c r="R408" s="282" t="n"/>
    </row>
    <row r="409" ht="18" customHeight="1" s="305">
      <c r="A409" s="8" t="inlineStr">
        <is>
          <t>S 01</t>
        </is>
      </c>
      <c r="B409" s="5" t="n">
        <v>295</v>
      </c>
      <c r="C409" s="6" t="inlineStr">
        <is>
          <t>X</t>
        </is>
      </c>
      <c r="D409" s="5" t="n">
        <v>210</v>
      </c>
      <c r="E409" s="2">
        <f>B409*D409/10000</f>
        <v/>
      </c>
      <c r="F409" s="3">
        <f>B409/30.48</f>
        <v/>
      </c>
      <c r="G409" s="3">
        <f>D409/30.48</f>
        <v/>
      </c>
      <c r="H409" s="615" t="n"/>
      <c r="I409" s="49" t="inlineStr">
        <is>
          <t>OLD</t>
        </is>
      </c>
      <c r="J409" s="48" t="inlineStr">
        <is>
          <t>TRS</t>
        </is>
      </c>
      <c r="K409" s="51" t="inlineStr">
        <is>
          <t>PAC</t>
        </is>
      </c>
      <c r="M409" s="210" t="n"/>
      <c r="N409" s="211" t="n"/>
      <c r="O409" s="263" t="n"/>
      <c r="Q409" s="271" t="n"/>
      <c r="R409" s="282" t="n"/>
    </row>
    <row r="410" ht="18" customHeight="1" s="305">
      <c r="A410" s="8" t="n">
        <v>728</v>
      </c>
      <c r="B410" s="5" t="n">
        <v>317</v>
      </c>
      <c r="C410" s="6" t="inlineStr">
        <is>
          <t>X</t>
        </is>
      </c>
      <c r="D410" s="5" t="n">
        <v>227</v>
      </c>
      <c r="E410" s="2">
        <f>B410*D410/10000</f>
        <v/>
      </c>
      <c r="F410" s="3">
        <f>B410/30.48</f>
        <v/>
      </c>
      <c r="G410" s="3">
        <f>D410/30.48</f>
        <v/>
      </c>
      <c r="H410" s="615" t="n"/>
      <c r="I410" s="49" t="inlineStr">
        <is>
          <t>OLD</t>
        </is>
      </c>
      <c r="K410" s="51" t="inlineStr">
        <is>
          <t>PAC</t>
        </is>
      </c>
      <c r="L410" s="105" t="inlineStr">
        <is>
          <t>VR</t>
        </is>
      </c>
      <c r="M410" s="210" t="inlineStr">
        <is>
          <t>RK</t>
        </is>
      </c>
      <c r="N410" s="211" t="n"/>
      <c r="O410" s="263" t="n"/>
      <c r="Q410" s="271" t="n"/>
      <c r="R410" s="282" t="n"/>
    </row>
    <row r="411" ht="18" customHeight="1" s="305">
      <c r="A411" s="8" t="n">
        <v>56</v>
      </c>
      <c r="B411" s="5" t="n">
        <v>286</v>
      </c>
      <c r="C411" s="6" t="inlineStr">
        <is>
          <t>X</t>
        </is>
      </c>
      <c r="D411" s="5" t="n">
        <v>157</v>
      </c>
      <c r="E411" s="2">
        <f>B411*D411/10000</f>
        <v/>
      </c>
      <c r="F411" s="3">
        <f>B411/30.48</f>
        <v/>
      </c>
      <c r="G411" s="3">
        <f>D411/30.48</f>
        <v/>
      </c>
      <c r="H411" s="615" t="inlineStr">
        <is>
          <t>eksik 2</t>
        </is>
      </c>
      <c r="I411" s="49" t="inlineStr">
        <is>
          <t>OLD</t>
        </is>
      </c>
      <c r="J411" s="48" t="inlineStr">
        <is>
          <t>TRS</t>
        </is>
      </c>
      <c r="K411" s="51" t="inlineStr">
        <is>
          <t>PAC</t>
        </is>
      </c>
      <c r="L411" s="105" t="inlineStr">
        <is>
          <t>VR</t>
        </is>
      </c>
      <c r="M411" s="210" t="inlineStr">
        <is>
          <t>RK</t>
        </is>
      </c>
      <c r="N411" s="211" t="n"/>
      <c r="O411" s="340" t="inlineStr">
        <is>
          <t>SBL</t>
        </is>
      </c>
      <c r="Q411" s="271" t="n"/>
      <c r="R411" s="282" t="n"/>
    </row>
    <row r="412" ht="18" customHeight="1" s="305">
      <c r="A412" s="8" t="n">
        <v>217</v>
      </c>
      <c r="B412" s="5" t="n">
        <v>282</v>
      </c>
      <c r="C412" s="6" t="inlineStr">
        <is>
          <t>X</t>
        </is>
      </c>
      <c r="D412" s="5" t="n">
        <v>159</v>
      </c>
      <c r="E412" s="2">
        <f>B412*D412/10000</f>
        <v/>
      </c>
      <c r="F412" s="3">
        <f>B412/30.48</f>
        <v/>
      </c>
      <c r="G412" s="3">
        <f>D412/30.48</f>
        <v/>
      </c>
      <c r="H412" s="615" t="n"/>
      <c r="I412" s="49" t="inlineStr">
        <is>
          <t>OLD</t>
        </is>
      </c>
      <c r="J412" s="48" t="inlineStr">
        <is>
          <t>TRS</t>
        </is>
      </c>
      <c r="K412" s="51" t="inlineStr">
        <is>
          <t>PAC</t>
        </is>
      </c>
      <c r="M412" s="210" t="inlineStr">
        <is>
          <t>RK</t>
        </is>
      </c>
      <c r="N412" s="211" t="n"/>
      <c r="O412" s="263" t="n"/>
      <c r="Q412" s="271" t="n"/>
      <c r="R412" s="282" t="n"/>
    </row>
    <row r="413" ht="18" customHeight="1" s="305">
      <c r="A413" s="8" t="n">
        <v>220</v>
      </c>
      <c r="B413" s="5" t="n">
        <v>282</v>
      </c>
      <c r="C413" s="6" t="inlineStr">
        <is>
          <t>X</t>
        </is>
      </c>
      <c r="D413" s="5" t="n">
        <v>182</v>
      </c>
      <c r="E413" s="2">
        <f>B413*D413/10000</f>
        <v/>
      </c>
      <c r="F413" s="3">
        <f>B413/30.48</f>
        <v/>
      </c>
      <c r="G413" s="3">
        <f>D413/30.48</f>
        <v/>
      </c>
      <c r="H413" s="615" t="n"/>
      <c r="I413" s="49" t="inlineStr">
        <is>
          <t>OLD</t>
        </is>
      </c>
      <c r="J413" s="48" t="inlineStr">
        <is>
          <t>TRS</t>
        </is>
      </c>
      <c r="K413" s="51" t="inlineStr">
        <is>
          <t>PAC</t>
        </is>
      </c>
      <c r="L413" s="105" t="inlineStr">
        <is>
          <t>VR</t>
        </is>
      </c>
      <c r="M413" s="210" t="inlineStr">
        <is>
          <t>RK</t>
        </is>
      </c>
      <c r="N413" s="211" t="n"/>
      <c r="O413" s="263" t="n"/>
      <c r="Q413" s="271" t="n"/>
      <c r="R413" s="282" t="n"/>
    </row>
    <row r="414" ht="18" customHeight="1" s="305">
      <c r="A414" s="8" t="n">
        <v>371</v>
      </c>
      <c r="B414" s="5" t="n">
        <v>263</v>
      </c>
      <c r="C414" s="6" t="inlineStr">
        <is>
          <t>X</t>
        </is>
      </c>
      <c r="D414" s="5" t="n">
        <v>200</v>
      </c>
      <c r="E414" s="2">
        <f>B414*D414/10000</f>
        <v/>
      </c>
      <c r="F414" s="3">
        <f>B414/30.48</f>
        <v/>
      </c>
      <c r="G414" s="3">
        <f>D414/30.48</f>
        <v/>
      </c>
      <c r="H414" s="615" t="n"/>
      <c r="I414" s="49" t="inlineStr">
        <is>
          <t>OLD</t>
        </is>
      </c>
      <c r="J414" s="48" t="inlineStr">
        <is>
          <t>TRS</t>
        </is>
      </c>
      <c r="K414" s="51" t="inlineStr">
        <is>
          <t>PAC</t>
        </is>
      </c>
      <c r="L414" s="105" t="inlineStr">
        <is>
          <t>VR</t>
        </is>
      </c>
      <c r="M414" s="210" t="inlineStr">
        <is>
          <t>RK</t>
        </is>
      </c>
      <c r="N414" s="211" t="n"/>
      <c r="O414" s="263" t="n"/>
      <c r="Q414" s="271" t="n"/>
      <c r="R414" s="282" t="n"/>
    </row>
    <row r="415" ht="18" customHeight="1" s="305">
      <c r="A415" s="8" t="n">
        <v>383</v>
      </c>
      <c r="B415" s="5" t="n">
        <v>279</v>
      </c>
      <c r="C415" s="6" t="inlineStr">
        <is>
          <t>X</t>
        </is>
      </c>
      <c r="D415" s="5" t="n">
        <v>178</v>
      </c>
      <c r="E415" s="2">
        <f>B415*D415/10000</f>
        <v/>
      </c>
      <c r="F415" s="3">
        <f>B415/30.48</f>
        <v/>
      </c>
      <c r="G415" s="3">
        <f>D415/30.48</f>
        <v/>
      </c>
      <c r="H415" s="615" t="n"/>
      <c r="I415" s="49" t="inlineStr">
        <is>
          <t>OLD</t>
        </is>
      </c>
      <c r="J415" s="48" t="inlineStr">
        <is>
          <t>TRS</t>
        </is>
      </c>
      <c r="K415" s="51" t="inlineStr">
        <is>
          <t>PAC</t>
        </is>
      </c>
      <c r="M415" s="210" t="inlineStr">
        <is>
          <t>RK</t>
        </is>
      </c>
      <c r="N415" s="211" t="n"/>
      <c r="O415" s="263" t="n"/>
      <c r="Q415" s="271" t="n"/>
      <c r="R415" s="282" t="n"/>
    </row>
    <row r="416" ht="18" customHeight="1" s="305">
      <c r="A416" s="8" t="n">
        <v>401</v>
      </c>
      <c r="B416" s="5" t="n">
        <v>310</v>
      </c>
      <c r="C416" s="6" t="inlineStr">
        <is>
          <t>X</t>
        </is>
      </c>
      <c r="D416" s="5" t="n">
        <v>198</v>
      </c>
      <c r="E416" s="2">
        <f>B416*D416/10000</f>
        <v/>
      </c>
      <c r="F416" s="3">
        <f>B416/30.48</f>
        <v/>
      </c>
      <c r="G416" s="3">
        <f>D416/30.48</f>
        <v/>
      </c>
      <c r="H416" s="615" t="n"/>
      <c r="I416" s="49" t="inlineStr">
        <is>
          <t>OLD</t>
        </is>
      </c>
      <c r="J416" s="48" t="inlineStr">
        <is>
          <t>TRS</t>
        </is>
      </c>
      <c r="K416" s="51" t="inlineStr">
        <is>
          <t>PAC</t>
        </is>
      </c>
      <c r="L416" s="105" t="inlineStr">
        <is>
          <t>VR</t>
        </is>
      </c>
      <c r="M416" s="210" t="inlineStr">
        <is>
          <t>RK</t>
        </is>
      </c>
      <c r="N416" s="211" t="n"/>
      <c r="O416" s="263" t="n"/>
      <c r="Q416" s="271" t="n"/>
      <c r="R416" s="282" t="n"/>
    </row>
    <row r="417" ht="18" customHeight="1" s="305">
      <c r="A417" s="8" t="n">
        <v>491</v>
      </c>
      <c r="B417" s="5" t="n">
        <v>312</v>
      </c>
      <c r="C417" s="6" t="inlineStr">
        <is>
          <t>X</t>
        </is>
      </c>
      <c r="D417" s="5" t="n">
        <v>212</v>
      </c>
      <c r="E417" s="2">
        <f>B417*D417/10000</f>
        <v/>
      </c>
      <c r="F417" s="3">
        <f>B417/30.48</f>
        <v/>
      </c>
      <c r="G417" s="3">
        <f>D417/30.48</f>
        <v/>
      </c>
      <c r="H417" s="615" t="n"/>
      <c r="I417" s="49" t="inlineStr">
        <is>
          <t>OLD</t>
        </is>
      </c>
      <c r="K417" s="51" t="inlineStr">
        <is>
          <t>PAC</t>
        </is>
      </c>
      <c r="M417" s="210" t="inlineStr">
        <is>
          <t>RK</t>
        </is>
      </c>
      <c r="N417" s="211" t="n"/>
      <c r="O417" s="263" t="n"/>
      <c r="Q417" s="271" t="n"/>
      <c r="R417" s="282" t="n"/>
    </row>
    <row r="418" ht="18" customHeight="1" s="305">
      <c r="A418" s="8" t="n">
        <v>1093</v>
      </c>
      <c r="B418" s="5" t="n">
        <v>315</v>
      </c>
      <c r="C418" s="6" t="inlineStr">
        <is>
          <t>X</t>
        </is>
      </c>
      <c r="D418" s="5" t="n">
        <v>190</v>
      </c>
      <c r="E418" s="2">
        <f>B418*D418/10000</f>
        <v/>
      </c>
      <c r="F418" s="3">
        <f>B418/30.48</f>
        <v/>
      </c>
      <c r="G418" s="3">
        <f>D418/30.48</f>
        <v/>
      </c>
      <c r="H418" s="615" t="n"/>
      <c r="J418" s="48" t="inlineStr">
        <is>
          <t>TRS</t>
        </is>
      </c>
      <c r="K418" s="51" t="inlineStr">
        <is>
          <t>PAC</t>
        </is>
      </c>
      <c r="M418" s="210" t="inlineStr">
        <is>
          <t>RK</t>
        </is>
      </c>
      <c r="N418" s="211" t="n"/>
      <c r="O418" s="263" t="n"/>
      <c r="Q418" s="271" t="n"/>
      <c r="R418" s="282" t="n"/>
    </row>
    <row r="419" ht="18" customHeight="1" s="305">
      <c r="A419" s="8" t="n">
        <v>1115</v>
      </c>
      <c r="B419" s="5" t="n">
        <v>335</v>
      </c>
      <c r="C419" s="6" t="inlineStr">
        <is>
          <t>X</t>
        </is>
      </c>
      <c r="D419" s="5" t="n">
        <v>198</v>
      </c>
      <c r="E419" s="2">
        <f>B419*D419/10000</f>
        <v/>
      </c>
      <c r="F419" s="3">
        <f>B419/30.48</f>
        <v/>
      </c>
      <c r="G419" s="3">
        <f>D419/30.48</f>
        <v/>
      </c>
      <c r="H419" s="615" t="n"/>
      <c r="J419" s="48" t="inlineStr">
        <is>
          <t>TRS</t>
        </is>
      </c>
      <c r="K419" s="51" t="inlineStr">
        <is>
          <t>PAC</t>
        </is>
      </c>
      <c r="M419" s="210" t="inlineStr">
        <is>
          <t>RK</t>
        </is>
      </c>
      <c r="N419" s="211" t="n"/>
      <c r="O419" s="263" t="n"/>
      <c r="Q419" s="271" t="n"/>
      <c r="R419" s="282" t="n"/>
    </row>
    <row r="420" ht="18" customHeight="1" s="305">
      <c r="A420" s="8" t="inlineStr">
        <is>
          <t>C 37</t>
        </is>
      </c>
      <c r="B420" s="5" t="n">
        <v>370</v>
      </c>
      <c r="C420" s="6" t="inlineStr">
        <is>
          <t>X</t>
        </is>
      </c>
      <c r="D420" s="5" t="n">
        <v>303</v>
      </c>
      <c r="E420" s="2">
        <f>B420*D420/10000</f>
        <v/>
      </c>
      <c r="F420" s="3">
        <f>B420/30.48</f>
        <v/>
      </c>
      <c r="G420" s="3">
        <f>D420/30.48</f>
        <v/>
      </c>
      <c r="H420" s="615" t="inlineStr">
        <is>
          <t>Tamir</t>
        </is>
      </c>
      <c r="I420" s="49" t="inlineStr">
        <is>
          <t>OLD</t>
        </is>
      </c>
      <c r="J420" s="48" t="inlineStr">
        <is>
          <t>TRS</t>
        </is>
      </c>
      <c r="L420" s="105" t="inlineStr">
        <is>
          <t>VR</t>
        </is>
      </c>
      <c r="M420" s="210" t="n"/>
      <c r="N420" s="211" t="n"/>
      <c r="O420" s="263" t="n"/>
      <c r="P420" s="261" t="inlineStr">
        <is>
          <t>wvn</t>
        </is>
      </c>
      <c r="Q420" s="271" t="n"/>
      <c r="R420" s="282" t="inlineStr">
        <is>
          <t>wvn</t>
        </is>
      </c>
    </row>
    <row r="421" ht="18" customHeight="1" s="305">
      <c r="A421" s="8" t="inlineStr">
        <is>
          <t>C 38</t>
        </is>
      </c>
      <c r="B421" s="5" t="n">
        <v>374</v>
      </c>
      <c r="C421" s="6" t="inlineStr">
        <is>
          <t>X</t>
        </is>
      </c>
      <c r="D421" s="5" t="n">
        <v>303</v>
      </c>
      <c r="E421" s="2">
        <f>B421*D421/10000</f>
        <v/>
      </c>
      <c r="F421" s="3">
        <f>B421/30.48</f>
        <v/>
      </c>
      <c r="G421" s="3">
        <f>D421/30.48</f>
        <v/>
      </c>
      <c r="H421" s="615" t="inlineStr">
        <is>
          <t>Tamir</t>
        </is>
      </c>
      <c r="I421" s="49" t="inlineStr">
        <is>
          <t>OLD</t>
        </is>
      </c>
      <c r="J421" s="48" t="inlineStr">
        <is>
          <t>TRS</t>
        </is>
      </c>
      <c r="K421" s="51" t="inlineStr">
        <is>
          <t>PAC</t>
        </is>
      </c>
      <c r="L421" s="105" t="inlineStr">
        <is>
          <t>VR</t>
        </is>
      </c>
      <c r="M421" s="210" t="n"/>
      <c r="N421" s="211" t="n"/>
      <c r="O421" s="263" t="n"/>
      <c r="P421" s="261" t="inlineStr">
        <is>
          <t>WVN</t>
        </is>
      </c>
      <c r="Q421" s="271" t="n"/>
      <c r="R421" s="282" t="inlineStr">
        <is>
          <t>WVN</t>
        </is>
      </c>
    </row>
    <row r="422" ht="18" customHeight="1" s="305">
      <c r="A422" s="8" t="inlineStr">
        <is>
          <t>C 99</t>
        </is>
      </c>
      <c r="B422" s="5" t="n">
        <v>318</v>
      </c>
      <c r="C422" s="6" t="inlineStr">
        <is>
          <t>X</t>
        </is>
      </c>
      <c r="D422" s="5" t="n">
        <v>201</v>
      </c>
      <c r="E422" s="2">
        <f>B422*D422/10000</f>
        <v/>
      </c>
      <c r="F422" s="3">
        <f>B422/30.48</f>
        <v/>
      </c>
      <c r="G422" s="3">
        <f>D422/30.48</f>
        <v/>
      </c>
      <c r="H422" s="615" t="n"/>
      <c r="I422" s="49" t="inlineStr">
        <is>
          <t>OLD</t>
        </is>
      </c>
      <c r="J422" s="48" t="inlineStr">
        <is>
          <t>TRS</t>
        </is>
      </c>
      <c r="K422" s="51" t="inlineStr">
        <is>
          <t>PAC</t>
        </is>
      </c>
      <c r="M422" s="210" t="n"/>
      <c r="N422" s="211" t="n"/>
      <c r="O422" s="340" t="inlineStr">
        <is>
          <t>SBL</t>
        </is>
      </c>
      <c r="Q422" s="271" t="n"/>
      <c r="R422" s="282" t="n"/>
    </row>
    <row r="423" ht="18" customHeight="1" s="305">
      <c r="A423" s="8" t="inlineStr">
        <is>
          <t>C 107</t>
        </is>
      </c>
      <c r="B423" s="5" t="n">
        <v>353</v>
      </c>
      <c r="C423" s="6" t="inlineStr">
        <is>
          <t>X</t>
        </is>
      </c>
      <c r="D423" s="5" t="n">
        <v>153</v>
      </c>
      <c r="E423" s="2">
        <f>B423*D423/10000</f>
        <v/>
      </c>
      <c r="F423" s="3">
        <f>B423/30.48</f>
        <v/>
      </c>
      <c r="G423" s="3">
        <f>D423/30.48</f>
        <v/>
      </c>
      <c r="H423" s="615" t="n"/>
      <c r="I423" s="49" t="inlineStr">
        <is>
          <t>OLD</t>
        </is>
      </c>
      <c r="J423" s="48" t="inlineStr">
        <is>
          <t>TRS</t>
        </is>
      </c>
      <c r="K423" s="51" t="inlineStr">
        <is>
          <t>PAC</t>
        </is>
      </c>
      <c r="L423" s="105" t="inlineStr">
        <is>
          <t>VR</t>
        </is>
      </c>
      <c r="M423" s="210" t="inlineStr">
        <is>
          <t>RK</t>
        </is>
      </c>
      <c r="N423" s="211" t="n"/>
      <c r="O423" s="340" t="inlineStr">
        <is>
          <t>SBL</t>
        </is>
      </c>
      <c r="Q423" s="271" t="n"/>
      <c r="R423" s="282" t="n"/>
    </row>
    <row r="424" ht="18" customHeight="1" s="305">
      <c r="A424" s="8" t="inlineStr">
        <is>
          <t>K 115</t>
        </is>
      </c>
      <c r="B424" s="5" t="n">
        <v>315</v>
      </c>
      <c r="C424" s="6" t="inlineStr">
        <is>
          <t>X</t>
        </is>
      </c>
      <c r="D424" s="5" t="n">
        <v>191</v>
      </c>
      <c r="E424" s="2">
        <f>B424*D424/10000</f>
        <v/>
      </c>
      <c r="F424" s="3">
        <f>B424/30.48</f>
        <v/>
      </c>
      <c r="G424" s="3">
        <f>D424/30.48</f>
        <v/>
      </c>
      <c r="H424" s="615" t="n"/>
      <c r="I424" s="49" t="inlineStr">
        <is>
          <t>OLD</t>
        </is>
      </c>
      <c r="J424" s="48" t="inlineStr">
        <is>
          <t>TRS</t>
        </is>
      </c>
      <c r="K424" s="51" t="inlineStr">
        <is>
          <t>PAC</t>
        </is>
      </c>
      <c r="M424" s="210" t="n"/>
      <c r="N424" s="211" t="n"/>
      <c r="O424" s="263" t="n"/>
      <c r="Q424" s="271" t="n"/>
      <c r="R424" s="282" t="n"/>
    </row>
    <row r="425" ht="18" customHeight="1" s="305">
      <c r="A425" s="8" t="inlineStr">
        <is>
          <t>K 134</t>
        </is>
      </c>
      <c r="B425" s="5" t="n">
        <v>274</v>
      </c>
      <c r="C425" s="6" t="inlineStr">
        <is>
          <t>X</t>
        </is>
      </c>
      <c r="D425" s="5" t="n">
        <v>147</v>
      </c>
      <c r="E425" s="2">
        <f>B425*D425/10000</f>
        <v/>
      </c>
      <c r="F425" s="3">
        <f>B425/30.48</f>
        <v/>
      </c>
      <c r="G425" s="3">
        <f>D425/30.48</f>
        <v/>
      </c>
      <c r="H425" s="615" t="inlineStr">
        <is>
          <t>eksik 2</t>
        </is>
      </c>
      <c r="I425" s="49" t="inlineStr">
        <is>
          <t>OLD</t>
        </is>
      </c>
      <c r="M425" s="210" t="n"/>
      <c r="N425" s="211" t="n"/>
      <c r="O425" s="340" t="inlineStr">
        <is>
          <t>SBL</t>
        </is>
      </c>
      <c r="Q425" s="271" t="n"/>
      <c r="R425" s="282" t="n"/>
    </row>
    <row r="426" ht="18" customHeight="1" s="305">
      <c r="A426" s="8" t="inlineStr">
        <is>
          <t>K 176</t>
        </is>
      </c>
      <c r="B426" s="5" t="n">
        <v>258</v>
      </c>
      <c r="C426" s="6" t="inlineStr">
        <is>
          <t>X</t>
        </is>
      </c>
      <c r="D426" s="5" t="n">
        <v>170</v>
      </c>
      <c r="E426" s="2">
        <f>B426*D426/10000</f>
        <v/>
      </c>
      <c r="F426" s="3">
        <f>B426/30.48</f>
        <v/>
      </c>
      <c r="G426" s="3">
        <f>D426/30.48</f>
        <v/>
      </c>
      <c r="H426" s="615" t="n"/>
      <c r="I426" s="49" t="inlineStr">
        <is>
          <t>OLD</t>
        </is>
      </c>
      <c r="J426" s="48" t="inlineStr">
        <is>
          <t>TRS</t>
        </is>
      </c>
      <c r="K426" s="51" t="inlineStr">
        <is>
          <t>PAC</t>
        </is>
      </c>
      <c r="L426" s="105" t="inlineStr">
        <is>
          <t>VR</t>
        </is>
      </c>
      <c r="M426" s="210" t="n"/>
      <c r="N426" s="211" t="n"/>
      <c r="O426" s="263" t="n"/>
      <c r="Q426" s="271" t="inlineStr">
        <is>
          <t>RST</t>
        </is>
      </c>
      <c r="R426" s="282" t="n"/>
    </row>
    <row r="427" ht="18" customHeight="1" s="305">
      <c r="A427" s="8" t="inlineStr">
        <is>
          <t>M 2</t>
        </is>
      </c>
      <c r="B427" s="5" t="n">
        <v>280</v>
      </c>
      <c r="C427" s="6" t="inlineStr">
        <is>
          <t>X</t>
        </is>
      </c>
      <c r="D427" s="5" t="n">
        <v>176</v>
      </c>
      <c r="E427" s="2">
        <f>B427*D427/10000</f>
        <v/>
      </c>
      <c r="F427" s="3">
        <f>B427/30.48</f>
        <v/>
      </c>
      <c r="G427" s="3">
        <f>D427/30.48</f>
        <v/>
      </c>
      <c r="H427" s="615" t="n"/>
      <c r="I427" s="49" t="inlineStr">
        <is>
          <t>OLD</t>
        </is>
      </c>
      <c r="J427" s="48" t="inlineStr">
        <is>
          <t>TRS</t>
        </is>
      </c>
      <c r="K427" s="51" t="inlineStr">
        <is>
          <t>PAC</t>
        </is>
      </c>
      <c r="L427" s="105" t="inlineStr">
        <is>
          <t>VR</t>
        </is>
      </c>
      <c r="M427" s="210" t="n"/>
      <c r="N427" s="211" t="n"/>
      <c r="O427" s="263" t="n"/>
      <c r="Q427" s="271" t="n"/>
      <c r="R427" s="282" t="n"/>
    </row>
    <row r="428" ht="18" customHeight="1" s="305">
      <c r="A428" s="8" t="inlineStr">
        <is>
          <t>M 4</t>
        </is>
      </c>
      <c r="B428" s="5" t="n">
        <v>275</v>
      </c>
      <c r="C428" s="6" t="inlineStr">
        <is>
          <t>X</t>
        </is>
      </c>
      <c r="D428" s="5" t="n">
        <v>173</v>
      </c>
      <c r="E428" s="2">
        <f>B428*D428/10000</f>
        <v/>
      </c>
      <c r="F428" s="3">
        <f>B428/30.48</f>
        <v/>
      </c>
      <c r="G428" s="3">
        <f>D428/30.48</f>
        <v/>
      </c>
      <c r="H428" s="615" t="n"/>
      <c r="I428" s="49" t="inlineStr">
        <is>
          <t>OLD</t>
        </is>
      </c>
      <c r="J428" s="48" t="inlineStr">
        <is>
          <t>TRS</t>
        </is>
      </c>
      <c r="K428" s="51" t="inlineStr">
        <is>
          <t>PAC</t>
        </is>
      </c>
      <c r="L428" s="105" t="inlineStr">
        <is>
          <t>VR</t>
        </is>
      </c>
      <c r="M428" s="210" t="n"/>
      <c r="N428" s="211" t="n"/>
      <c r="O428" s="263" t="n"/>
      <c r="Q428" s="271" t="n"/>
      <c r="R428" s="282" t="n"/>
    </row>
    <row r="429" ht="18" customHeight="1" s="305">
      <c r="A429" s="8" t="inlineStr">
        <is>
          <t>S 932</t>
        </is>
      </c>
      <c r="B429" s="5" t="n">
        <v>315</v>
      </c>
      <c r="C429" s="6" t="inlineStr">
        <is>
          <t>X</t>
        </is>
      </c>
      <c r="D429" s="5" t="n">
        <v>203</v>
      </c>
      <c r="E429" s="2">
        <f>B429*D429/10000</f>
        <v/>
      </c>
      <c r="F429" s="3">
        <f>B429/30.48</f>
        <v/>
      </c>
      <c r="G429" s="3">
        <f>D429/30.48</f>
        <v/>
      </c>
      <c r="H429" s="615" t="n"/>
      <c r="I429" s="49" t="inlineStr">
        <is>
          <t>OLD</t>
        </is>
      </c>
      <c r="J429" s="48" t="inlineStr">
        <is>
          <t>TRS</t>
        </is>
      </c>
      <c r="K429" s="51" t="inlineStr">
        <is>
          <t>PAC</t>
        </is>
      </c>
      <c r="L429" s="105" t="inlineStr">
        <is>
          <t>VR</t>
        </is>
      </c>
      <c r="M429" s="210" t="n"/>
      <c r="N429" s="211" t="n"/>
      <c r="O429" s="263" t="n"/>
      <c r="Q429" s="271" t="n"/>
      <c r="R429" s="282" t="n"/>
    </row>
    <row r="430" ht="18" customHeight="1" s="305">
      <c r="A430" s="8" t="inlineStr">
        <is>
          <t>Y 569</t>
        </is>
      </c>
      <c r="B430" s="5" t="n">
        <v>314</v>
      </c>
      <c r="C430" s="6" t="inlineStr">
        <is>
          <t>X</t>
        </is>
      </c>
      <c r="D430" s="5" t="n">
        <v>221</v>
      </c>
      <c r="E430" s="2">
        <f>B430*D430/10000</f>
        <v/>
      </c>
      <c r="F430" s="3">
        <f>B430/30.48</f>
        <v/>
      </c>
      <c r="G430" s="3">
        <f>D430/30.48</f>
        <v/>
      </c>
      <c r="H430" s="615" t="n"/>
      <c r="K430" s="51" t="inlineStr">
        <is>
          <t>PAC</t>
        </is>
      </c>
      <c r="L430" s="105" t="inlineStr">
        <is>
          <t>VR</t>
        </is>
      </c>
      <c r="M430" s="210" t="n"/>
      <c r="N430" s="211" t="n"/>
      <c r="O430" s="263" t="n"/>
      <c r="Q430" s="271" t="n"/>
      <c r="R430" s="282" t="n"/>
    </row>
    <row r="431" ht="18" customHeight="1" s="305">
      <c r="A431" s="8" t="inlineStr">
        <is>
          <t>Y 657</t>
        </is>
      </c>
      <c r="B431" s="5" t="n">
        <v>298</v>
      </c>
      <c r="C431" s="6" t="inlineStr">
        <is>
          <t>X</t>
        </is>
      </c>
      <c r="D431" s="5" t="n">
        <v>196</v>
      </c>
      <c r="E431" s="2">
        <f>B431*D431/10000</f>
        <v/>
      </c>
      <c r="F431" s="3">
        <f>B431/30.48</f>
        <v/>
      </c>
      <c r="G431" s="3">
        <f>D431/30.48</f>
        <v/>
      </c>
      <c r="H431" s="615" t="n"/>
      <c r="I431" s="49" t="inlineStr">
        <is>
          <t>OLD</t>
        </is>
      </c>
      <c r="J431" s="48" t="inlineStr">
        <is>
          <t>TRS</t>
        </is>
      </c>
      <c r="K431" s="51" t="inlineStr">
        <is>
          <t>PAC</t>
        </is>
      </c>
      <c r="L431" s="105" t="inlineStr">
        <is>
          <t>VR</t>
        </is>
      </c>
      <c r="M431" s="210" t="n"/>
      <c r="N431" s="211" t="n"/>
      <c r="O431" s="263" t="n"/>
      <c r="Q431" s="271" t="n"/>
      <c r="R431" s="282" t="n"/>
    </row>
    <row r="432" ht="18" customHeight="1" s="305">
      <c r="A432" s="8" t="inlineStr">
        <is>
          <t>Y 702</t>
        </is>
      </c>
      <c r="B432" s="5" t="n">
        <v>301</v>
      </c>
      <c r="C432" s="6" t="inlineStr">
        <is>
          <t>X</t>
        </is>
      </c>
      <c r="D432" s="5" t="n">
        <v>189</v>
      </c>
      <c r="E432" s="2">
        <f>B432*D432/10000</f>
        <v/>
      </c>
      <c r="F432" s="3">
        <f>B432/30.48</f>
        <v/>
      </c>
      <c r="G432" s="3">
        <f>D432/30.48</f>
        <v/>
      </c>
      <c r="H432" s="615" t="n"/>
      <c r="I432" s="49" t="inlineStr">
        <is>
          <t>OLD</t>
        </is>
      </c>
      <c r="J432" s="48" t="inlineStr">
        <is>
          <t>TRS</t>
        </is>
      </c>
      <c r="K432" s="51" t="inlineStr">
        <is>
          <t>PAC</t>
        </is>
      </c>
      <c r="L432" s="105" t="inlineStr">
        <is>
          <t>VR</t>
        </is>
      </c>
      <c r="M432" s="210" t="n"/>
      <c r="N432" s="211" t="n"/>
      <c r="O432" s="263" t="n"/>
      <c r="Q432" s="271" t="n"/>
      <c r="R432" s="282" t="n"/>
    </row>
    <row r="433" ht="18" customHeight="1" s="305">
      <c r="A433" s="8" t="inlineStr">
        <is>
          <t>Y 860</t>
        </is>
      </c>
      <c r="B433" s="5" t="n">
        <v>315</v>
      </c>
      <c r="C433" s="6" t="inlineStr">
        <is>
          <t>X</t>
        </is>
      </c>
      <c r="D433" s="5" t="n">
        <v>225</v>
      </c>
      <c r="E433" s="2">
        <f>B433*D433/10000</f>
        <v/>
      </c>
      <c r="F433" s="3">
        <f>B433/30.48</f>
        <v/>
      </c>
      <c r="G433" s="3">
        <f>D433/30.48</f>
        <v/>
      </c>
      <c r="H433" s="615" t="n"/>
      <c r="I433" s="49" t="inlineStr">
        <is>
          <t>OLD</t>
        </is>
      </c>
      <c r="J433" s="48" t="inlineStr">
        <is>
          <t>TRS</t>
        </is>
      </c>
      <c r="K433" s="51" t="inlineStr">
        <is>
          <t>PAC</t>
        </is>
      </c>
      <c r="L433" s="105" t="inlineStr">
        <is>
          <t>VR</t>
        </is>
      </c>
      <c r="M433" s="210" t="n"/>
      <c r="N433" s="211" t="n"/>
      <c r="O433" s="263" t="n"/>
      <c r="Q433" s="271" t="n"/>
      <c r="R433" s="282" t="n"/>
    </row>
    <row r="434" ht="18" customHeight="1" s="305">
      <c r="A434" s="8" t="inlineStr">
        <is>
          <t>Y 892</t>
        </is>
      </c>
      <c r="B434" s="5" t="n">
        <v>290</v>
      </c>
      <c r="C434" s="6" t="inlineStr">
        <is>
          <t>X</t>
        </is>
      </c>
      <c r="D434" s="5" t="n">
        <v>195</v>
      </c>
      <c r="E434" s="2">
        <f>B434*D434/10000</f>
        <v/>
      </c>
      <c r="F434" s="3">
        <f>B434/30.48</f>
        <v/>
      </c>
      <c r="G434" s="3">
        <f>D434/30.48</f>
        <v/>
      </c>
      <c r="H434" s="615" t="n"/>
      <c r="I434" s="49" t="inlineStr">
        <is>
          <t>OLD</t>
        </is>
      </c>
      <c r="J434" s="48" t="inlineStr">
        <is>
          <t>TRS</t>
        </is>
      </c>
      <c r="K434" s="51" t="inlineStr">
        <is>
          <t>PAC</t>
        </is>
      </c>
      <c r="L434" s="105" t="inlineStr">
        <is>
          <t>VR</t>
        </is>
      </c>
      <c r="M434" s="210" t="n"/>
      <c r="N434" s="211" t="n"/>
      <c r="O434" s="263" t="n"/>
      <c r="Q434" s="271" t="n"/>
      <c r="R434" s="282" t="n"/>
    </row>
    <row r="435" ht="18" customHeight="1" s="305">
      <c r="A435" s="8" t="inlineStr">
        <is>
          <t>Y 895</t>
        </is>
      </c>
      <c r="B435" s="5" t="n">
        <v>323</v>
      </c>
      <c r="C435" s="6" t="inlineStr">
        <is>
          <t>X</t>
        </is>
      </c>
      <c r="D435" s="5" t="n">
        <v>220</v>
      </c>
      <c r="E435" s="2">
        <f>B435*D435/10000</f>
        <v/>
      </c>
      <c r="F435" s="3">
        <f>B435/30.48</f>
        <v/>
      </c>
      <c r="G435" s="3">
        <f>D435/30.48</f>
        <v/>
      </c>
      <c r="H435" s="615" t="n"/>
      <c r="I435" s="49" t="inlineStr">
        <is>
          <t>OLD</t>
        </is>
      </c>
      <c r="J435" s="48" t="inlineStr">
        <is>
          <t>TRS</t>
        </is>
      </c>
      <c r="K435" s="51" t="inlineStr">
        <is>
          <t>PAC</t>
        </is>
      </c>
      <c r="L435" s="105" t="inlineStr">
        <is>
          <t>VR</t>
        </is>
      </c>
      <c r="M435" s="210" t="n"/>
      <c r="N435" s="211" t="n"/>
      <c r="O435" s="263" t="n"/>
      <c r="Q435" s="271" t="n"/>
      <c r="R435" s="282" t="n"/>
    </row>
    <row r="436" ht="18" customHeight="1" s="305">
      <c r="A436" s="8" t="inlineStr">
        <is>
          <t>A 63</t>
        </is>
      </c>
      <c r="B436" s="5" t="n">
        <v>277</v>
      </c>
      <c r="C436" s="6" t="inlineStr">
        <is>
          <t>X</t>
        </is>
      </c>
      <c r="D436" s="5" t="n">
        <v>183</v>
      </c>
      <c r="E436" s="2">
        <f>B436*D436/10000</f>
        <v/>
      </c>
      <c r="F436" s="3">
        <f>B436/30.48</f>
        <v/>
      </c>
      <c r="G436" s="3">
        <f>D436/30.48</f>
        <v/>
      </c>
      <c r="H436" s="615" t="n"/>
      <c r="I436" s="49" t="inlineStr">
        <is>
          <t>OLD</t>
        </is>
      </c>
      <c r="J436" s="48" t="inlineStr">
        <is>
          <t>TRS</t>
        </is>
      </c>
      <c r="K436" s="51" t="inlineStr">
        <is>
          <t>PAC</t>
        </is>
      </c>
      <c r="L436" s="105" t="inlineStr">
        <is>
          <t>VR</t>
        </is>
      </c>
      <c r="M436" s="210" t="n"/>
      <c r="N436" s="211" t="n"/>
      <c r="O436" s="263" t="n"/>
      <c r="Q436" s="271" t="n"/>
      <c r="R436" s="282" t="n"/>
    </row>
    <row r="437" ht="18" customHeight="1" s="305">
      <c r="A437" s="8" t="n">
        <v>48</v>
      </c>
      <c r="B437" s="5" t="n">
        <v>217</v>
      </c>
      <c r="C437" s="6" t="inlineStr">
        <is>
          <t>X</t>
        </is>
      </c>
      <c r="D437" s="5" t="n">
        <v>133</v>
      </c>
      <c r="E437" s="2">
        <f>B437*D437/10000</f>
        <v/>
      </c>
      <c r="F437" s="3">
        <f>B437/30.48</f>
        <v/>
      </c>
      <c r="G437" s="3">
        <f>D437/30.48</f>
        <v/>
      </c>
      <c r="H437" s="615" t="n"/>
      <c r="I437" s="49" t="inlineStr">
        <is>
          <t>OLD</t>
        </is>
      </c>
      <c r="J437" s="48" t="inlineStr">
        <is>
          <t>TRS</t>
        </is>
      </c>
      <c r="K437" s="51" t="inlineStr">
        <is>
          <t>PAC</t>
        </is>
      </c>
      <c r="L437" s="105" t="inlineStr">
        <is>
          <t>VR</t>
        </is>
      </c>
      <c r="M437" s="210" t="n"/>
      <c r="N437" s="211" t="n"/>
      <c r="O437" s="340" t="inlineStr">
        <is>
          <t>SBL</t>
        </is>
      </c>
      <c r="Q437" s="271" t="inlineStr">
        <is>
          <t>RST</t>
        </is>
      </c>
      <c r="R437" s="282" t="n"/>
    </row>
    <row r="438" ht="18" customHeight="1" s="305">
      <c r="A438" s="8" t="n">
        <v>76</v>
      </c>
      <c r="B438" s="5" t="n">
        <v>238</v>
      </c>
      <c r="C438" s="6" t="inlineStr">
        <is>
          <t>X</t>
        </is>
      </c>
      <c r="D438" s="5" t="n">
        <v>118</v>
      </c>
      <c r="E438" s="2">
        <f>B438*D438/10000</f>
        <v/>
      </c>
      <c r="F438" s="3">
        <f>B438/30.48</f>
        <v/>
      </c>
      <c r="G438" s="3">
        <f>D438/30.48</f>
        <v/>
      </c>
      <c r="H438" s="615" t="n"/>
      <c r="I438" s="49" t="inlineStr">
        <is>
          <t>OLD</t>
        </is>
      </c>
      <c r="J438" s="48" t="inlineStr">
        <is>
          <t>TRS</t>
        </is>
      </c>
      <c r="K438" s="51" t="inlineStr">
        <is>
          <t>PAC</t>
        </is>
      </c>
      <c r="L438" s="105" t="inlineStr">
        <is>
          <t>VR</t>
        </is>
      </c>
      <c r="M438" s="210" t="inlineStr">
        <is>
          <t>RK</t>
        </is>
      </c>
      <c r="N438" s="211" t="n"/>
      <c r="O438" s="340" t="inlineStr">
        <is>
          <t>SBL</t>
        </is>
      </c>
      <c r="Q438" s="271" t="n"/>
      <c r="R438" s="282" t="n"/>
    </row>
    <row r="439" ht="18" customHeight="1" s="305">
      <c r="A439" s="8" t="n">
        <v>127</v>
      </c>
      <c r="B439" s="5" t="n">
        <v>208</v>
      </c>
      <c r="C439" s="6" t="inlineStr">
        <is>
          <t>X</t>
        </is>
      </c>
      <c r="D439" s="5" t="n">
        <v>136</v>
      </c>
      <c r="E439" s="2">
        <f>B439*D439/10000</f>
        <v/>
      </c>
      <c r="F439" s="3">
        <f>B439/30.48</f>
        <v/>
      </c>
      <c r="G439" s="3">
        <f>D439/30.48</f>
        <v/>
      </c>
      <c r="H439" s="615" t="n"/>
      <c r="I439" s="49" t="inlineStr">
        <is>
          <t>OLD</t>
        </is>
      </c>
      <c r="J439" s="48" t="inlineStr">
        <is>
          <t>TRS</t>
        </is>
      </c>
      <c r="K439" s="51" t="inlineStr">
        <is>
          <t>PAC</t>
        </is>
      </c>
      <c r="L439" s="105" t="inlineStr">
        <is>
          <t>VR</t>
        </is>
      </c>
      <c r="M439" s="210" t="n"/>
      <c r="N439" s="211" t="n"/>
      <c r="O439" s="340" t="inlineStr">
        <is>
          <t>SBL</t>
        </is>
      </c>
      <c r="Q439" s="271" t="n"/>
      <c r="R439" s="282" t="n"/>
    </row>
    <row r="440" ht="18" customHeight="1" s="305">
      <c r="A440" s="8" t="n">
        <v>161</v>
      </c>
      <c r="B440" s="5" t="n">
        <v>210</v>
      </c>
      <c r="C440" s="6" t="inlineStr">
        <is>
          <t>X</t>
        </is>
      </c>
      <c r="D440" s="5" t="n">
        <v>135</v>
      </c>
      <c r="E440" s="2">
        <f>B440*D440/10000</f>
        <v/>
      </c>
      <c r="F440" s="3">
        <f>B440/30.48</f>
        <v/>
      </c>
      <c r="G440" s="3">
        <f>D440/30.48</f>
        <v/>
      </c>
      <c r="H440" s="615" t="n"/>
      <c r="I440" s="49" t="inlineStr">
        <is>
          <t>OLD</t>
        </is>
      </c>
      <c r="J440" s="48" t="inlineStr">
        <is>
          <t>TRS</t>
        </is>
      </c>
      <c r="K440" s="51" t="inlineStr">
        <is>
          <t>PAC</t>
        </is>
      </c>
      <c r="L440" s="105" t="inlineStr">
        <is>
          <t>VR</t>
        </is>
      </c>
      <c r="M440" s="210" t="inlineStr">
        <is>
          <t>RK</t>
        </is>
      </c>
      <c r="N440" s="211" t="n"/>
      <c r="O440" s="340" t="inlineStr">
        <is>
          <t>SBL</t>
        </is>
      </c>
      <c r="Q440" s="271" t="n"/>
      <c r="R440" s="282" t="n"/>
    </row>
    <row r="441" ht="18" customHeight="1" s="305">
      <c r="A441" s="8" t="n">
        <v>1089</v>
      </c>
      <c r="B441" s="5" t="n">
        <v>213</v>
      </c>
      <c r="C441" s="6" t="inlineStr">
        <is>
          <t>X</t>
        </is>
      </c>
      <c r="D441" s="5" t="n">
        <v>117</v>
      </c>
      <c r="E441" s="2">
        <f>B441*D441/10000</f>
        <v/>
      </c>
      <c r="F441" s="3">
        <f>B441/30.48</f>
        <v/>
      </c>
      <c r="G441" s="3">
        <f>D441/30.48</f>
        <v/>
      </c>
      <c r="H441" s="615" t="n"/>
      <c r="I441" s="49" t="inlineStr">
        <is>
          <t>OLD</t>
        </is>
      </c>
      <c r="J441" s="48" t="inlineStr">
        <is>
          <t>TRS</t>
        </is>
      </c>
      <c r="K441" s="51" t="inlineStr">
        <is>
          <t>PAC</t>
        </is>
      </c>
      <c r="L441" s="105" t="inlineStr">
        <is>
          <t>VR</t>
        </is>
      </c>
      <c r="M441" s="210" t="inlineStr">
        <is>
          <t>RK</t>
        </is>
      </c>
      <c r="N441" s="211" t="n"/>
      <c r="O441" s="340" t="inlineStr">
        <is>
          <t>SBL</t>
        </is>
      </c>
      <c r="Q441" s="271" t="n"/>
      <c r="R441" s="282" t="n"/>
    </row>
    <row r="442" ht="18" customHeight="1" s="305">
      <c r="A442" s="8" t="inlineStr">
        <is>
          <t>K 187</t>
        </is>
      </c>
      <c r="B442" s="5" t="n">
        <v>220</v>
      </c>
      <c r="C442" s="6" t="inlineStr">
        <is>
          <t>X</t>
        </is>
      </c>
      <c r="D442" s="5" t="n">
        <v>116</v>
      </c>
      <c r="E442" s="2">
        <f>B442*D442/10000</f>
        <v/>
      </c>
      <c r="F442" s="3">
        <f>B442/30.48</f>
        <v/>
      </c>
      <c r="G442" s="3">
        <f>D442/30.48</f>
        <v/>
      </c>
      <c r="H442" s="615" t="inlineStr">
        <is>
          <t>eksik 2</t>
        </is>
      </c>
      <c r="I442" s="49" t="inlineStr">
        <is>
          <t>OLD</t>
        </is>
      </c>
      <c r="M442" s="210" t="n"/>
      <c r="N442" s="211" t="n"/>
      <c r="O442" s="340" t="inlineStr">
        <is>
          <t>SBL</t>
        </is>
      </c>
      <c r="Q442" s="271" t="n"/>
      <c r="R442" s="282" t="n"/>
    </row>
    <row r="443" ht="18" customHeight="1" s="305">
      <c r="A443" s="8" t="inlineStr">
        <is>
          <t>K 208</t>
        </is>
      </c>
      <c r="B443" s="5" t="n">
        <v>222</v>
      </c>
      <c r="C443" s="6" t="inlineStr">
        <is>
          <t>X</t>
        </is>
      </c>
      <c r="D443" s="5" t="n">
        <v>131</v>
      </c>
      <c r="E443" s="2">
        <f>B443*D443/10000</f>
        <v/>
      </c>
      <c r="F443" s="3">
        <f>B443/30.48</f>
        <v/>
      </c>
      <c r="G443" s="3">
        <f>D443/30.48</f>
        <v/>
      </c>
      <c r="H443" s="615" t="inlineStr">
        <is>
          <t>eksik 2</t>
        </is>
      </c>
      <c r="I443" s="49" t="inlineStr">
        <is>
          <t>OLD</t>
        </is>
      </c>
      <c r="L443" s="105" t="inlineStr">
        <is>
          <t>VR</t>
        </is>
      </c>
      <c r="M443" s="210" t="n"/>
      <c r="N443" s="211" t="n"/>
      <c r="O443" s="340" t="inlineStr">
        <is>
          <t>SBL</t>
        </is>
      </c>
      <c r="Q443" s="271" t="n"/>
      <c r="R443" s="282" t="n"/>
    </row>
    <row r="444" ht="18" customHeight="1" s="305">
      <c r="A444" s="8" t="inlineStr">
        <is>
          <t>Y 49</t>
        </is>
      </c>
      <c r="B444" s="5" t="n">
        <v>238</v>
      </c>
      <c r="C444" s="6" t="inlineStr">
        <is>
          <t>X</t>
        </is>
      </c>
      <c r="D444" s="5" t="n">
        <v>123</v>
      </c>
      <c r="E444" s="2">
        <f>B444*D444/10000</f>
        <v/>
      </c>
      <c r="F444" s="3">
        <f>B444/30.48</f>
        <v/>
      </c>
      <c r="G444" s="3">
        <f>D444/30.48</f>
        <v/>
      </c>
      <c r="H444" s="615" t="inlineStr">
        <is>
          <t>eksik 2</t>
        </is>
      </c>
      <c r="I444" s="49" t="inlineStr">
        <is>
          <t>OLD</t>
        </is>
      </c>
      <c r="J444" s="48" t="inlineStr">
        <is>
          <t>TRS</t>
        </is>
      </c>
      <c r="K444" s="51" t="inlineStr">
        <is>
          <t>PAC</t>
        </is>
      </c>
      <c r="L444" s="105" t="inlineStr">
        <is>
          <t>VR</t>
        </is>
      </c>
      <c r="M444" s="210" t="n"/>
      <c r="N444" s="211" t="n"/>
      <c r="O444" s="340" t="inlineStr">
        <is>
          <t>SBL</t>
        </is>
      </c>
      <c r="Q444" s="271" t="n"/>
      <c r="R444" s="282" t="n"/>
    </row>
    <row r="445" ht="18" customHeight="1" s="305">
      <c r="A445" s="8" t="inlineStr">
        <is>
          <t>Y 51</t>
        </is>
      </c>
      <c r="B445" s="5" t="n">
        <v>215</v>
      </c>
      <c r="C445" s="6" t="inlineStr">
        <is>
          <t>X</t>
        </is>
      </c>
      <c r="D445" s="5" t="n">
        <v>130</v>
      </c>
      <c r="E445" s="2">
        <f>B445*D445/10000</f>
        <v/>
      </c>
      <c r="F445" s="3">
        <f>B445/30.48</f>
        <v/>
      </c>
      <c r="G445" s="3">
        <f>D445/30.48</f>
        <v/>
      </c>
      <c r="H445" s="615" t="n"/>
      <c r="I445" s="49" t="inlineStr">
        <is>
          <t>OLD</t>
        </is>
      </c>
      <c r="J445" s="48" t="inlineStr">
        <is>
          <t>TRS</t>
        </is>
      </c>
      <c r="K445" s="51" t="inlineStr">
        <is>
          <t>PAC</t>
        </is>
      </c>
      <c r="M445" s="210" t="n"/>
      <c r="N445" s="211" t="n"/>
      <c r="O445" s="340" t="inlineStr">
        <is>
          <t>SBL</t>
        </is>
      </c>
      <c r="Q445" s="271" t="n"/>
      <c r="R445" s="282" t="n"/>
    </row>
    <row r="446" ht="18" customHeight="1" s="305">
      <c r="A446" s="8" t="inlineStr">
        <is>
          <t>Y 70</t>
        </is>
      </c>
      <c r="B446" s="5" t="n">
        <v>272</v>
      </c>
      <c r="C446" s="6" t="inlineStr">
        <is>
          <t>X</t>
        </is>
      </c>
      <c r="D446" s="5" t="n">
        <v>129</v>
      </c>
      <c r="E446" s="2">
        <f>B446*D446/10000</f>
        <v/>
      </c>
      <c r="F446" s="3">
        <f>B446/30.48</f>
        <v/>
      </c>
      <c r="G446" s="3">
        <f>D446/30.48</f>
        <v/>
      </c>
      <c r="H446" s="615" t="n"/>
      <c r="I446" s="49" t="inlineStr">
        <is>
          <t>OLD</t>
        </is>
      </c>
      <c r="J446" s="48" t="inlineStr">
        <is>
          <t>TRS</t>
        </is>
      </c>
      <c r="K446" s="51" t="inlineStr">
        <is>
          <t>PAC</t>
        </is>
      </c>
      <c r="M446" s="210" t="n"/>
      <c r="N446" s="211" t="n"/>
      <c r="O446" s="340" t="inlineStr">
        <is>
          <t>SBL</t>
        </is>
      </c>
      <c r="Q446" s="271" t="n"/>
      <c r="R446" s="282" t="n"/>
    </row>
    <row r="447" ht="18" customHeight="1" s="305">
      <c r="A447" s="8" t="inlineStr">
        <is>
          <t>Y 155</t>
        </is>
      </c>
      <c r="B447" s="5" t="n">
        <v>212</v>
      </c>
      <c r="C447" s="6" t="inlineStr">
        <is>
          <t>X</t>
        </is>
      </c>
      <c r="D447" s="5" t="n">
        <v>109</v>
      </c>
      <c r="E447" s="2">
        <f>B447*D447/10000</f>
        <v/>
      </c>
      <c r="F447" s="3">
        <f>B447/30.48</f>
        <v/>
      </c>
      <c r="G447" s="3">
        <f>D447/30.48</f>
        <v/>
      </c>
      <c r="H447" s="615" t="n"/>
      <c r="I447" s="49" t="inlineStr">
        <is>
          <t>OLD</t>
        </is>
      </c>
      <c r="J447" s="48" t="inlineStr">
        <is>
          <t>TRS</t>
        </is>
      </c>
      <c r="K447" s="51" t="inlineStr">
        <is>
          <t>PAC</t>
        </is>
      </c>
      <c r="L447" s="105" t="inlineStr">
        <is>
          <t>VR</t>
        </is>
      </c>
      <c r="M447" s="210" t="n"/>
      <c r="N447" s="211" t="n"/>
      <c r="O447" s="340" t="inlineStr">
        <is>
          <t>SBL</t>
        </is>
      </c>
      <c r="Q447" s="271" t="n"/>
      <c r="R447" s="282" t="n"/>
    </row>
    <row r="448" ht="18" customHeight="1" s="305">
      <c r="A448" s="8" t="inlineStr">
        <is>
          <t>Y 196</t>
        </is>
      </c>
      <c r="B448" s="5" t="n">
        <v>197</v>
      </c>
      <c r="C448" s="6" t="inlineStr">
        <is>
          <t>X</t>
        </is>
      </c>
      <c r="D448" s="5" t="n">
        <v>107</v>
      </c>
      <c r="E448" s="2">
        <f>B448*D448/10000</f>
        <v/>
      </c>
      <c r="F448" s="3">
        <f>B448/30.48</f>
        <v/>
      </c>
      <c r="G448" s="3">
        <f>D448/30.48</f>
        <v/>
      </c>
      <c r="H448" s="615" t="n"/>
      <c r="I448" s="49" t="inlineStr">
        <is>
          <t>OLD</t>
        </is>
      </c>
      <c r="J448" s="48" t="inlineStr">
        <is>
          <t>TRS</t>
        </is>
      </c>
      <c r="K448" s="51" t="inlineStr">
        <is>
          <t>PAC</t>
        </is>
      </c>
      <c r="L448" s="105" t="inlineStr">
        <is>
          <t>VR</t>
        </is>
      </c>
      <c r="M448" s="210" t="n"/>
      <c r="N448" s="211" t="n"/>
      <c r="O448" s="340" t="inlineStr">
        <is>
          <t>SBL</t>
        </is>
      </c>
      <c r="Q448" s="271" t="n"/>
      <c r="R448" s="282" t="n"/>
    </row>
    <row r="449" ht="18" customHeight="1" s="305">
      <c r="A449" s="8" t="inlineStr">
        <is>
          <t>Y 329</t>
        </is>
      </c>
      <c r="B449" s="5" t="n">
        <v>255</v>
      </c>
      <c r="C449" s="6" t="inlineStr">
        <is>
          <t>X</t>
        </is>
      </c>
      <c r="D449" s="5" t="n">
        <v>124</v>
      </c>
      <c r="E449" s="2">
        <f>B449*D449/10000</f>
        <v/>
      </c>
      <c r="F449" s="3">
        <f>B449/30.48</f>
        <v/>
      </c>
      <c r="G449" s="3">
        <f>D449/30.48</f>
        <v/>
      </c>
      <c r="H449" s="615" t="n"/>
      <c r="I449" s="49" t="inlineStr">
        <is>
          <t>OLD</t>
        </is>
      </c>
      <c r="J449" s="48" t="inlineStr">
        <is>
          <t>TRS</t>
        </is>
      </c>
      <c r="K449" s="51" t="inlineStr">
        <is>
          <t>PAC</t>
        </is>
      </c>
      <c r="L449" s="105" t="inlineStr">
        <is>
          <t>VR</t>
        </is>
      </c>
      <c r="M449" s="210" t="n"/>
      <c r="N449" s="211" t="n"/>
      <c r="O449" s="340" t="inlineStr">
        <is>
          <t>SBL</t>
        </is>
      </c>
      <c r="Q449" s="271" t="n"/>
      <c r="R449" s="282" t="n"/>
    </row>
    <row r="450" ht="18" customHeight="1" s="305">
      <c r="A450" s="8" t="inlineStr">
        <is>
          <t>Y 331</t>
        </is>
      </c>
      <c r="B450" s="5" t="n">
        <v>214</v>
      </c>
      <c r="C450" s="6" t="inlineStr">
        <is>
          <t>X</t>
        </is>
      </c>
      <c r="D450" s="5" t="n">
        <v>117</v>
      </c>
      <c r="E450" s="2">
        <f>B450*D450/10000</f>
        <v/>
      </c>
      <c r="F450" s="3">
        <f>B450/30.48</f>
        <v/>
      </c>
      <c r="G450" s="3">
        <f>D450/30.48</f>
        <v/>
      </c>
      <c r="H450" s="615" t="n"/>
      <c r="I450" s="49" t="inlineStr">
        <is>
          <t>OLD</t>
        </is>
      </c>
      <c r="J450" s="48" t="inlineStr">
        <is>
          <t>TRS</t>
        </is>
      </c>
      <c r="K450" s="51" t="inlineStr">
        <is>
          <t>PAC</t>
        </is>
      </c>
      <c r="L450" s="105" t="inlineStr">
        <is>
          <t>VR</t>
        </is>
      </c>
      <c r="M450" s="210" t="n"/>
      <c r="N450" s="211" t="n"/>
      <c r="O450" s="340" t="inlineStr">
        <is>
          <t>SBL</t>
        </is>
      </c>
      <c r="Q450" s="271" t="n"/>
      <c r="R450" s="282" t="n"/>
    </row>
    <row r="451" ht="18" customHeight="1" s="305">
      <c r="A451" s="8" t="inlineStr">
        <is>
          <t>Y 343</t>
        </is>
      </c>
      <c r="B451" s="5" t="n">
        <v>200</v>
      </c>
      <c r="C451" s="6" t="inlineStr">
        <is>
          <t>X</t>
        </is>
      </c>
      <c r="D451" s="5" t="n">
        <v>116</v>
      </c>
      <c r="E451" s="2">
        <f>B451*D451/10000</f>
        <v/>
      </c>
      <c r="F451" s="3">
        <f>B451/30.48</f>
        <v/>
      </c>
      <c r="G451" s="3">
        <f>D451/30.48</f>
        <v/>
      </c>
      <c r="H451" s="615" t="n"/>
      <c r="I451" s="49" t="inlineStr">
        <is>
          <t>OLD</t>
        </is>
      </c>
      <c r="J451" s="48" t="inlineStr">
        <is>
          <t>TRS</t>
        </is>
      </c>
      <c r="K451" s="51" t="inlineStr">
        <is>
          <t>PAC</t>
        </is>
      </c>
      <c r="L451" s="105" t="inlineStr">
        <is>
          <t>VR</t>
        </is>
      </c>
      <c r="M451" s="210" t="n"/>
      <c r="N451" s="211" t="n"/>
      <c r="O451" s="340" t="inlineStr">
        <is>
          <t>SBL</t>
        </is>
      </c>
      <c r="Q451" s="271" t="n"/>
      <c r="R451" s="282" t="n"/>
    </row>
    <row r="452" ht="18" customHeight="1" s="305">
      <c r="A452" s="8" t="inlineStr">
        <is>
          <t>Y 344</t>
        </is>
      </c>
      <c r="B452" s="5" t="n">
        <v>206</v>
      </c>
      <c r="C452" s="6" t="inlineStr">
        <is>
          <t>X</t>
        </is>
      </c>
      <c r="D452" s="5" t="n">
        <v>117</v>
      </c>
      <c r="E452" s="2">
        <f>B452*D452/10000</f>
        <v/>
      </c>
      <c r="F452" s="3">
        <f>B452/30.48</f>
        <v/>
      </c>
      <c r="G452" s="3">
        <f>D452/30.48</f>
        <v/>
      </c>
      <c r="H452" s="615" t="n"/>
      <c r="I452" s="49" t="inlineStr">
        <is>
          <t>OLD</t>
        </is>
      </c>
      <c r="J452" s="48" t="inlineStr">
        <is>
          <t>TRS</t>
        </is>
      </c>
      <c r="K452" s="51" t="inlineStr">
        <is>
          <t>PAC</t>
        </is>
      </c>
      <c r="L452" s="105" t="inlineStr">
        <is>
          <t>VR</t>
        </is>
      </c>
      <c r="M452" s="210" t="n"/>
      <c r="N452" s="211" t="n"/>
      <c r="O452" s="340" t="inlineStr">
        <is>
          <t>SBL</t>
        </is>
      </c>
      <c r="Q452" s="271" t="n"/>
      <c r="R452" s="282" t="n"/>
    </row>
    <row r="453" ht="18" customHeight="1" s="305">
      <c r="A453" s="8" t="inlineStr">
        <is>
          <t>Y 350</t>
        </is>
      </c>
      <c r="B453" s="5" t="n">
        <v>200</v>
      </c>
      <c r="C453" s="6" t="inlineStr">
        <is>
          <t>X</t>
        </is>
      </c>
      <c r="D453" s="5" t="n">
        <v>117</v>
      </c>
      <c r="E453" s="2">
        <f>B453*D453/10000</f>
        <v/>
      </c>
      <c r="F453" s="3">
        <f>B453/30.48</f>
        <v/>
      </c>
      <c r="G453" s="3">
        <f>D453/30.48</f>
        <v/>
      </c>
      <c r="H453" s="615" t="n"/>
      <c r="I453" s="49" t="inlineStr">
        <is>
          <t>OLD</t>
        </is>
      </c>
      <c r="J453" s="48" t="inlineStr">
        <is>
          <t>TRS</t>
        </is>
      </c>
      <c r="K453" s="51" t="inlineStr">
        <is>
          <t>PAC</t>
        </is>
      </c>
      <c r="L453" s="105" t="inlineStr">
        <is>
          <t>VR</t>
        </is>
      </c>
      <c r="M453" s="210" t="n"/>
      <c r="N453" s="211" t="n"/>
      <c r="O453" s="340" t="inlineStr">
        <is>
          <t>SBL</t>
        </is>
      </c>
      <c r="Q453" s="271" t="n"/>
      <c r="R453" s="282" t="n"/>
    </row>
    <row r="454" ht="18" customHeight="1" s="305">
      <c r="A454" s="8" t="inlineStr">
        <is>
          <t>Y 385</t>
        </is>
      </c>
      <c r="B454" s="5" t="n">
        <v>246</v>
      </c>
      <c r="C454" s="6" t="inlineStr">
        <is>
          <t>X</t>
        </is>
      </c>
      <c r="D454" s="5" t="n">
        <v>120</v>
      </c>
      <c r="E454" s="2">
        <f>B454*D454/10000</f>
        <v/>
      </c>
      <c r="F454" s="3">
        <f>B454/30.48</f>
        <v/>
      </c>
      <c r="G454" s="3">
        <f>D454/30.48</f>
        <v/>
      </c>
      <c r="H454" s="615" t="n"/>
      <c r="I454" s="49" t="inlineStr">
        <is>
          <t>OLD</t>
        </is>
      </c>
      <c r="J454" s="48" t="inlineStr">
        <is>
          <t>TRS</t>
        </is>
      </c>
      <c r="K454" s="51" t="inlineStr">
        <is>
          <t>PAC</t>
        </is>
      </c>
      <c r="L454" s="105" t="inlineStr">
        <is>
          <t>VR</t>
        </is>
      </c>
      <c r="M454" s="210" t="n"/>
      <c r="N454" s="211" t="n"/>
      <c r="O454" s="340" t="inlineStr">
        <is>
          <t>SBL</t>
        </is>
      </c>
      <c r="Q454" s="271" t="n"/>
      <c r="R454" s="282" t="n"/>
    </row>
    <row r="455" ht="18" customHeight="1" s="305">
      <c r="A455" s="8" t="inlineStr">
        <is>
          <t>Y 405</t>
        </is>
      </c>
      <c r="B455" s="5" t="n">
        <v>239</v>
      </c>
      <c r="C455" s="6" t="inlineStr">
        <is>
          <t>X</t>
        </is>
      </c>
      <c r="D455" s="5" t="n">
        <v>132</v>
      </c>
      <c r="E455" s="2">
        <f>B455*D455/10000</f>
        <v/>
      </c>
      <c r="F455" s="3">
        <f>B455/30.48</f>
        <v/>
      </c>
      <c r="G455" s="3">
        <f>D455/30.48</f>
        <v/>
      </c>
      <c r="H455" s="615" t="n"/>
      <c r="I455" s="49" t="inlineStr">
        <is>
          <t>OLD</t>
        </is>
      </c>
      <c r="L455" s="105" t="inlineStr">
        <is>
          <t>VR</t>
        </is>
      </c>
      <c r="M455" s="210" t="n"/>
      <c r="N455" s="211" t="n"/>
      <c r="O455" s="263" t="n"/>
      <c r="Q455" s="271" t="n"/>
      <c r="R455" s="282" t="n"/>
    </row>
    <row r="456" ht="18" customHeight="1" s="305">
      <c r="A456" s="8" t="inlineStr">
        <is>
          <t>Y 506</t>
        </is>
      </c>
      <c r="B456" s="5" t="n">
        <v>250</v>
      </c>
      <c r="C456" s="6" t="inlineStr">
        <is>
          <t>X</t>
        </is>
      </c>
      <c r="D456" s="5" t="n">
        <v>134</v>
      </c>
      <c r="E456" s="2">
        <f>B456*D456/10000</f>
        <v/>
      </c>
      <c r="F456" s="3">
        <f>B456/30.48</f>
        <v/>
      </c>
      <c r="G456" s="3">
        <f>D456/30.48</f>
        <v/>
      </c>
      <c r="H456" s="615" t="n"/>
      <c r="I456" s="49" t="inlineStr">
        <is>
          <t>OLD</t>
        </is>
      </c>
      <c r="J456" s="48" t="inlineStr">
        <is>
          <t>TRS</t>
        </is>
      </c>
      <c r="K456" s="51" t="inlineStr">
        <is>
          <t>PAC</t>
        </is>
      </c>
      <c r="L456" s="105" t="inlineStr">
        <is>
          <t>VR</t>
        </is>
      </c>
      <c r="M456" s="210" t="n"/>
      <c r="N456" s="211" t="n"/>
      <c r="O456" s="263" t="n"/>
      <c r="Q456" s="271" t="n"/>
      <c r="R456" s="282" t="n"/>
    </row>
    <row r="457" ht="18" customHeight="1" s="305">
      <c r="A457" s="8" t="inlineStr">
        <is>
          <t>Y 514</t>
        </is>
      </c>
      <c r="B457" s="5" t="n">
        <v>215</v>
      </c>
      <c r="C457" s="6" t="inlineStr">
        <is>
          <t>X</t>
        </is>
      </c>
      <c r="D457" s="5" t="n">
        <v>112</v>
      </c>
      <c r="E457" s="2">
        <f>B457*D457/10000</f>
        <v/>
      </c>
      <c r="F457" s="3">
        <f>B457/30.48</f>
        <v/>
      </c>
      <c r="G457" s="3">
        <f>D457/30.48</f>
        <v/>
      </c>
      <c r="H457" s="615" t="n"/>
      <c r="I457" s="49" t="inlineStr">
        <is>
          <t>OLD</t>
        </is>
      </c>
      <c r="J457" s="48" t="inlineStr">
        <is>
          <t>TRS</t>
        </is>
      </c>
      <c r="K457" s="51" t="inlineStr">
        <is>
          <t>PAC</t>
        </is>
      </c>
      <c r="L457" s="105" t="inlineStr">
        <is>
          <t>VR</t>
        </is>
      </c>
      <c r="M457" s="210" t="n"/>
      <c r="N457" s="211" t="n"/>
      <c r="O457" s="263" t="n"/>
      <c r="Q457" s="271" t="n"/>
      <c r="R457" s="282" t="n"/>
    </row>
    <row r="458" ht="18" customHeight="1" s="305">
      <c r="A458" s="8" t="inlineStr">
        <is>
          <t>Y 521</t>
        </is>
      </c>
      <c r="B458" s="5" t="n">
        <v>250</v>
      </c>
      <c r="C458" s="6" t="inlineStr">
        <is>
          <t>X</t>
        </is>
      </c>
      <c r="D458" s="5" t="n">
        <v>128</v>
      </c>
      <c r="E458" s="2">
        <f>B458*D458/10000</f>
        <v/>
      </c>
      <c r="F458" s="3">
        <f>B458/30.48</f>
        <v/>
      </c>
      <c r="G458" s="3">
        <f>D458/30.48</f>
        <v/>
      </c>
      <c r="H458" s="615" t="n"/>
      <c r="I458" s="49" t="inlineStr">
        <is>
          <t>OLD</t>
        </is>
      </c>
      <c r="K458" s="51" t="inlineStr">
        <is>
          <t>PAC</t>
        </is>
      </c>
      <c r="L458" s="105" t="inlineStr">
        <is>
          <t>VR</t>
        </is>
      </c>
      <c r="M458" s="210" t="n"/>
      <c r="N458" s="211" t="n"/>
      <c r="O458" s="340" t="inlineStr">
        <is>
          <t>SBL</t>
        </is>
      </c>
      <c r="Q458" s="271" t="n"/>
      <c r="R458" s="282" t="n"/>
    </row>
    <row r="459" ht="18" customHeight="1" s="305">
      <c r="A459" s="8" t="inlineStr">
        <is>
          <t>Y 525</t>
        </is>
      </c>
      <c r="B459" s="5" t="n">
        <v>214</v>
      </c>
      <c r="C459" s="6" t="inlineStr">
        <is>
          <t>X</t>
        </is>
      </c>
      <c r="D459" s="5" t="n">
        <v>135</v>
      </c>
      <c r="E459" s="2">
        <f>B459*D459/10000</f>
        <v/>
      </c>
      <c r="F459" s="3">
        <f>B459/30.48</f>
        <v/>
      </c>
      <c r="G459" s="3">
        <f>D459/30.48</f>
        <v/>
      </c>
      <c r="H459" s="615" t="n"/>
      <c r="I459" s="49" t="inlineStr">
        <is>
          <t>OLD</t>
        </is>
      </c>
      <c r="K459" s="51" t="inlineStr">
        <is>
          <t>PAC</t>
        </is>
      </c>
      <c r="L459" s="105" t="inlineStr">
        <is>
          <t>VR</t>
        </is>
      </c>
      <c r="M459" s="210" t="n"/>
      <c r="N459" s="211" t="n"/>
      <c r="O459" s="340" t="inlineStr">
        <is>
          <t>SBL</t>
        </is>
      </c>
      <c r="Q459" s="271" t="n"/>
      <c r="R459" s="282" t="n"/>
    </row>
    <row r="460" ht="18" customHeight="1" s="305">
      <c r="A460" s="8" t="inlineStr">
        <is>
          <t>Y 533</t>
        </is>
      </c>
      <c r="B460" s="5" t="n">
        <v>237</v>
      </c>
      <c r="C460" s="6" t="inlineStr">
        <is>
          <t>X</t>
        </is>
      </c>
      <c r="D460" s="5" t="n">
        <v>131</v>
      </c>
      <c r="E460" s="2">
        <f>B460*D460/10000</f>
        <v/>
      </c>
      <c r="F460" s="3">
        <f>B460/30.48</f>
        <v/>
      </c>
      <c r="G460" s="3">
        <f>D460/30.48</f>
        <v/>
      </c>
      <c r="H460" s="615" t="n"/>
      <c r="I460" s="49" t="inlineStr">
        <is>
          <t>OLD</t>
        </is>
      </c>
      <c r="K460" s="51" t="inlineStr">
        <is>
          <t>PAC</t>
        </is>
      </c>
      <c r="L460" s="105" t="inlineStr">
        <is>
          <t>VR</t>
        </is>
      </c>
      <c r="M460" s="210" t="n"/>
      <c r="N460" s="211" t="n"/>
      <c r="O460" s="340" t="inlineStr">
        <is>
          <t>SBL</t>
        </is>
      </c>
      <c r="Q460" s="271" t="n"/>
      <c r="R460" s="282" t="n"/>
    </row>
    <row r="461" ht="18" customHeight="1" s="305">
      <c r="A461" s="8" t="inlineStr">
        <is>
          <t>Y 580</t>
        </is>
      </c>
      <c r="B461" s="5" t="n">
        <v>212</v>
      </c>
      <c r="C461" s="6" t="inlineStr">
        <is>
          <t>X</t>
        </is>
      </c>
      <c r="D461" s="5" t="n">
        <v>118</v>
      </c>
      <c r="E461" s="2">
        <f>B461*D461/10000</f>
        <v/>
      </c>
      <c r="F461" s="3">
        <f>B461/30.48</f>
        <v/>
      </c>
      <c r="G461" s="3">
        <f>D461/30.48</f>
        <v/>
      </c>
      <c r="H461" s="615" t="n"/>
      <c r="I461" s="49" t="inlineStr">
        <is>
          <t>OLD</t>
        </is>
      </c>
      <c r="K461" s="51" t="inlineStr">
        <is>
          <t>PAC</t>
        </is>
      </c>
      <c r="L461" s="105" t="inlineStr">
        <is>
          <t>VR</t>
        </is>
      </c>
      <c r="M461" s="210" t="n"/>
      <c r="N461" s="211" t="n"/>
      <c r="O461" s="340" t="inlineStr">
        <is>
          <t>SBL</t>
        </is>
      </c>
      <c r="Q461" s="271" t="n"/>
      <c r="R461" s="282" t="n"/>
    </row>
    <row r="462" ht="18" customHeight="1" s="305">
      <c r="A462" s="8" t="inlineStr">
        <is>
          <t>Y 583</t>
        </is>
      </c>
      <c r="B462" s="5" t="n">
        <v>195</v>
      </c>
      <c r="C462" s="6" t="inlineStr">
        <is>
          <t>X</t>
        </is>
      </c>
      <c r="D462" s="5" t="n">
        <v>111</v>
      </c>
      <c r="E462" s="2">
        <f>B462*D462/10000</f>
        <v/>
      </c>
      <c r="F462" s="3">
        <f>B462/30.48</f>
        <v/>
      </c>
      <c r="G462" s="3">
        <f>D462/30.48</f>
        <v/>
      </c>
      <c r="H462" s="615" t="n"/>
      <c r="I462" s="49" t="inlineStr">
        <is>
          <t>OLD</t>
        </is>
      </c>
      <c r="K462" s="51" t="inlineStr">
        <is>
          <t>PAC</t>
        </is>
      </c>
      <c r="L462" s="105" t="inlineStr">
        <is>
          <t>VR</t>
        </is>
      </c>
      <c r="M462" s="210" t="n"/>
      <c r="N462" s="211" t="n"/>
      <c r="O462" s="340" t="inlineStr">
        <is>
          <t>SBL</t>
        </is>
      </c>
      <c r="Q462" s="271" t="n"/>
      <c r="R462" s="282" t="n"/>
    </row>
    <row r="463" ht="18" customHeight="1" s="305">
      <c r="A463" s="8" t="inlineStr">
        <is>
          <t>Y 587</t>
        </is>
      </c>
      <c r="B463" s="5" t="n">
        <v>210</v>
      </c>
      <c r="C463" s="6" t="inlineStr">
        <is>
          <t>X</t>
        </is>
      </c>
      <c r="D463" s="5" t="n">
        <v>123</v>
      </c>
      <c r="E463" s="2">
        <f>B463*D463/10000</f>
        <v/>
      </c>
      <c r="F463" s="3">
        <f>B463/30.48</f>
        <v/>
      </c>
      <c r="G463" s="3">
        <f>D463/30.48</f>
        <v/>
      </c>
      <c r="H463" s="615" t="n"/>
      <c r="I463" s="49" t="inlineStr">
        <is>
          <t>OLD</t>
        </is>
      </c>
      <c r="K463" s="51" t="inlineStr">
        <is>
          <t>PAC</t>
        </is>
      </c>
      <c r="L463" s="105" t="inlineStr">
        <is>
          <t>VR</t>
        </is>
      </c>
      <c r="M463" s="210" t="n"/>
      <c r="N463" s="211" t="n"/>
      <c r="O463" s="340" t="inlineStr">
        <is>
          <t>SBL</t>
        </is>
      </c>
      <c r="Q463" s="271" t="n"/>
      <c r="R463" s="282" t="n"/>
    </row>
    <row r="464" ht="18" customHeight="1" s="305">
      <c r="A464" s="8" t="inlineStr">
        <is>
          <t>Y 669</t>
        </is>
      </c>
      <c r="B464" s="5" t="n">
        <v>120</v>
      </c>
      <c r="C464" s="6" t="inlineStr">
        <is>
          <t>X</t>
        </is>
      </c>
      <c r="D464" s="5" t="n">
        <v>85</v>
      </c>
      <c r="E464" s="2">
        <f>B464*D464/10000</f>
        <v/>
      </c>
      <c r="F464" s="3">
        <f>B464/30.48</f>
        <v/>
      </c>
      <c r="G464" s="3">
        <f>D464/30.48</f>
        <v/>
      </c>
      <c r="H464" s="615" t="inlineStr">
        <is>
          <t>eksik 2</t>
        </is>
      </c>
      <c r="K464" s="51" t="inlineStr">
        <is>
          <t>PAC</t>
        </is>
      </c>
      <c r="L464" s="105" t="inlineStr">
        <is>
          <t>VR</t>
        </is>
      </c>
      <c r="M464" s="210" t="n"/>
      <c r="N464" s="211" t="n"/>
      <c r="O464" s="340" t="inlineStr">
        <is>
          <t>SBL</t>
        </is>
      </c>
      <c r="Q464" s="271" t="n"/>
      <c r="R464" s="282" t="n"/>
    </row>
    <row r="465" ht="18" customHeight="1" s="305">
      <c r="A465" s="8" t="inlineStr">
        <is>
          <t>Y 612</t>
        </is>
      </c>
      <c r="B465" s="5" t="n">
        <v>215</v>
      </c>
      <c r="C465" s="6" t="inlineStr">
        <is>
          <t>X</t>
        </is>
      </c>
      <c r="D465" s="5" t="n">
        <v>119</v>
      </c>
      <c r="E465" s="2">
        <f>B465*D465/10000</f>
        <v/>
      </c>
      <c r="F465" s="3">
        <f>B465/30.48</f>
        <v/>
      </c>
      <c r="G465" s="3">
        <f>D465/30.48</f>
        <v/>
      </c>
      <c r="H465" s="615" t="n"/>
      <c r="I465" s="49" t="inlineStr">
        <is>
          <t>OLD</t>
        </is>
      </c>
      <c r="J465" s="48" t="inlineStr">
        <is>
          <t>TRS</t>
        </is>
      </c>
      <c r="K465" s="51" t="inlineStr">
        <is>
          <t>PAC</t>
        </is>
      </c>
      <c r="M465" s="210" t="n"/>
      <c r="N465" s="211" t="n"/>
      <c r="O465" s="263" t="n"/>
      <c r="Q465" s="271" t="n"/>
      <c r="R465" s="282" t="n"/>
    </row>
    <row r="466" ht="18" customHeight="1" s="305">
      <c r="A466" s="8" t="inlineStr">
        <is>
          <t>Y 729</t>
        </is>
      </c>
      <c r="B466" s="5" t="n">
        <v>208</v>
      </c>
      <c r="C466" s="6" t="inlineStr">
        <is>
          <t>X</t>
        </is>
      </c>
      <c r="D466" s="5" t="n">
        <v>122</v>
      </c>
      <c r="E466" s="2">
        <f>B466*D466/10000</f>
        <v/>
      </c>
      <c r="F466" s="3">
        <f>B466/30.48</f>
        <v/>
      </c>
      <c r="G466" s="3">
        <f>D466/30.48</f>
        <v/>
      </c>
      <c r="H466" s="615" t="inlineStr">
        <is>
          <t>eksik 2</t>
        </is>
      </c>
      <c r="I466" s="49" t="inlineStr">
        <is>
          <t>OLD</t>
        </is>
      </c>
      <c r="K466" s="51" t="inlineStr">
        <is>
          <t>PAC</t>
        </is>
      </c>
      <c r="L466" s="105" t="inlineStr">
        <is>
          <t>VR</t>
        </is>
      </c>
      <c r="M466" s="210" t="n"/>
      <c r="N466" s="211" t="n"/>
      <c r="O466" s="340" t="inlineStr">
        <is>
          <t>SBL</t>
        </is>
      </c>
      <c r="Q466" s="271" t="n"/>
      <c r="R466" s="282" t="n"/>
    </row>
    <row r="467" ht="18" customHeight="1" s="305">
      <c r="A467" s="8" t="inlineStr">
        <is>
          <t>Y 764</t>
        </is>
      </c>
      <c r="B467" s="5" t="n">
        <v>397</v>
      </c>
      <c r="C467" s="6" t="inlineStr">
        <is>
          <t>X</t>
        </is>
      </c>
      <c r="D467" s="5" t="n">
        <v>292</v>
      </c>
      <c r="E467" s="2">
        <f>B467*D467/10000</f>
        <v/>
      </c>
      <c r="F467" s="3">
        <f>B467/30.48</f>
        <v/>
      </c>
      <c r="G467" s="3">
        <f>D467/30.48</f>
        <v/>
      </c>
      <c r="H467" s="615" t="n"/>
      <c r="J467" s="48" t="inlineStr">
        <is>
          <t>TRS</t>
        </is>
      </c>
      <c r="K467" s="51" t="inlineStr">
        <is>
          <t>PAC</t>
        </is>
      </c>
      <c r="L467" s="105" t="inlineStr">
        <is>
          <t>VR</t>
        </is>
      </c>
      <c r="M467" s="210" t="n"/>
      <c r="N467" s="211" t="n"/>
      <c r="O467" s="263" t="n"/>
      <c r="P467" s="261" t="inlineStr">
        <is>
          <t>WVN</t>
        </is>
      </c>
      <c r="Q467" s="271" t="n"/>
      <c r="R467" s="282" t="inlineStr">
        <is>
          <t>WVN</t>
        </is>
      </c>
    </row>
    <row r="468" ht="18" customHeight="1" s="305">
      <c r="A468" s="8" t="inlineStr">
        <is>
          <t>Y 782</t>
        </is>
      </c>
      <c r="B468" s="5" t="n">
        <v>250</v>
      </c>
      <c r="C468" s="6" t="inlineStr">
        <is>
          <t>X</t>
        </is>
      </c>
      <c r="D468" s="5" t="n">
        <v>131</v>
      </c>
      <c r="E468" s="2">
        <f>B468*D468/10000</f>
        <v/>
      </c>
      <c r="F468" s="3">
        <f>B468/30.48</f>
        <v/>
      </c>
      <c r="G468" s="3">
        <f>D468/30.48</f>
        <v/>
      </c>
      <c r="H468" s="615" t="inlineStr">
        <is>
          <t>eksik 2</t>
        </is>
      </c>
      <c r="I468" s="49" t="inlineStr">
        <is>
          <t>OLD</t>
        </is>
      </c>
      <c r="K468" s="51" t="inlineStr">
        <is>
          <t>PAC</t>
        </is>
      </c>
      <c r="L468" s="105" t="inlineStr">
        <is>
          <t>VR</t>
        </is>
      </c>
      <c r="M468" s="210" t="n"/>
      <c r="N468" s="211" t="n"/>
      <c r="O468" s="340" t="inlineStr">
        <is>
          <t>SBL</t>
        </is>
      </c>
      <c r="Q468" s="271" t="n"/>
      <c r="R468" s="282" t="n"/>
    </row>
    <row r="469" ht="18" customHeight="1" s="305">
      <c r="A469" s="8" t="inlineStr">
        <is>
          <t>Y 800</t>
        </is>
      </c>
      <c r="B469" s="5" t="n">
        <v>238</v>
      </c>
      <c r="C469" s="6" t="inlineStr">
        <is>
          <t>X</t>
        </is>
      </c>
      <c r="D469" s="5" t="n">
        <v>133</v>
      </c>
      <c r="E469" s="2">
        <f>B469*D469/10000</f>
        <v/>
      </c>
      <c r="F469" s="3">
        <f>B469/30.48</f>
        <v/>
      </c>
      <c r="G469" s="3">
        <f>D469/30.48</f>
        <v/>
      </c>
      <c r="H469" s="615" t="inlineStr">
        <is>
          <t>eksik 2</t>
        </is>
      </c>
      <c r="I469" s="49" t="inlineStr">
        <is>
          <t>OLD</t>
        </is>
      </c>
      <c r="K469" s="51" t="inlineStr">
        <is>
          <t>PAC</t>
        </is>
      </c>
      <c r="L469" s="105" t="inlineStr">
        <is>
          <t>VR</t>
        </is>
      </c>
      <c r="M469" s="210" t="n"/>
      <c r="N469" s="211" t="n"/>
      <c r="O469" s="340" t="inlineStr">
        <is>
          <t>SBL</t>
        </is>
      </c>
      <c r="Q469" s="271" t="n"/>
      <c r="R469" s="282" t="n"/>
    </row>
    <row r="470" ht="18" customHeight="1" s="305">
      <c r="A470" s="8" t="inlineStr">
        <is>
          <t>Y 816</t>
        </is>
      </c>
      <c r="B470" s="5" t="n">
        <v>206</v>
      </c>
      <c r="C470" s="6" t="inlineStr">
        <is>
          <t>X</t>
        </is>
      </c>
      <c r="D470" s="5" t="n">
        <v>115</v>
      </c>
      <c r="E470" s="2">
        <f>B470*D470/10000</f>
        <v/>
      </c>
      <c r="F470" s="3">
        <f>B470/30.48</f>
        <v/>
      </c>
      <c r="G470" s="3">
        <f>D470/30.48</f>
        <v/>
      </c>
      <c r="H470" s="615" t="n"/>
      <c r="I470" s="49" t="inlineStr">
        <is>
          <t>OLD</t>
        </is>
      </c>
      <c r="J470" s="48" t="inlineStr">
        <is>
          <t>TRS</t>
        </is>
      </c>
      <c r="K470" s="51" t="inlineStr">
        <is>
          <t>PAC</t>
        </is>
      </c>
      <c r="M470" s="210" t="n"/>
      <c r="N470" s="211" t="n"/>
      <c r="O470" s="263" t="n"/>
      <c r="Q470" s="271" t="n"/>
      <c r="R470" s="282" t="n"/>
    </row>
    <row r="471" ht="18" customHeight="1" s="305">
      <c r="A471" s="8" t="inlineStr">
        <is>
          <t>Y 822</t>
        </is>
      </c>
      <c r="B471" s="5" t="n">
        <v>217</v>
      </c>
      <c r="C471" s="6" t="inlineStr">
        <is>
          <t>X</t>
        </is>
      </c>
      <c r="D471" s="5" t="n">
        <v>129</v>
      </c>
      <c r="E471" s="2">
        <f>B471*D471/10000</f>
        <v/>
      </c>
      <c r="F471" s="3">
        <f>B471/30.48</f>
        <v/>
      </c>
      <c r="G471" s="3">
        <f>D471/30.48</f>
        <v/>
      </c>
      <c r="H471" s="615" t="inlineStr">
        <is>
          <t>eksik 2</t>
        </is>
      </c>
      <c r="I471" s="49" t="inlineStr">
        <is>
          <t>OLD</t>
        </is>
      </c>
      <c r="K471" s="51" t="inlineStr">
        <is>
          <t>PAC</t>
        </is>
      </c>
      <c r="L471" s="105" t="inlineStr">
        <is>
          <t>VR</t>
        </is>
      </c>
      <c r="M471" s="210" t="n"/>
      <c r="N471" s="211" t="n"/>
      <c r="O471" s="340" t="inlineStr">
        <is>
          <t>SBL</t>
        </is>
      </c>
      <c r="Q471" s="271" t="n"/>
      <c r="R471" s="282" t="n"/>
    </row>
    <row r="472" ht="18" customHeight="1" s="305">
      <c r="A472" s="8" t="inlineStr">
        <is>
          <t>Y 840</t>
        </is>
      </c>
      <c r="B472" s="5" t="n">
        <v>214</v>
      </c>
      <c r="C472" s="6" t="inlineStr">
        <is>
          <t>X</t>
        </is>
      </c>
      <c r="D472" s="5" t="n">
        <v>121</v>
      </c>
      <c r="E472" s="2">
        <f>B472*D472/10000</f>
        <v/>
      </c>
      <c r="F472" s="3">
        <f>B472/30.48</f>
        <v/>
      </c>
      <c r="G472" s="3">
        <f>D472/30.48</f>
        <v/>
      </c>
      <c r="H472" s="615" t="n"/>
      <c r="I472" s="49" t="inlineStr">
        <is>
          <t>OLD</t>
        </is>
      </c>
      <c r="J472" s="48" t="inlineStr">
        <is>
          <t>TRS</t>
        </is>
      </c>
      <c r="K472" s="51" t="inlineStr">
        <is>
          <t>PAC</t>
        </is>
      </c>
      <c r="L472" s="105" t="inlineStr">
        <is>
          <t>VR</t>
        </is>
      </c>
      <c r="M472" s="210" t="n"/>
      <c r="N472" s="211" t="n"/>
      <c r="O472" s="263" t="n"/>
      <c r="Q472" s="271" t="n"/>
      <c r="R472" s="282" t="n"/>
    </row>
    <row r="473" ht="18" customHeight="1" s="305">
      <c r="A473" s="8" t="inlineStr">
        <is>
          <t>Y 866</t>
        </is>
      </c>
      <c r="B473" s="5" t="n">
        <v>198</v>
      </c>
      <c r="C473" s="6" t="inlineStr">
        <is>
          <t>X</t>
        </is>
      </c>
      <c r="D473" s="5" t="n">
        <v>120</v>
      </c>
      <c r="E473" s="2">
        <f>B473*D473/10000</f>
        <v/>
      </c>
      <c r="F473" s="3">
        <f>B473/30.48</f>
        <v/>
      </c>
      <c r="G473" s="3">
        <f>D473/30.48</f>
        <v/>
      </c>
      <c r="H473" s="615" t="inlineStr">
        <is>
          <t>eksik 2</t>
        </is>
      </c>
      <c r="I473" s="49" t="inlineStr">
        <is>
          <t>OLD</t>
        </is>
      </c>
      <c r="K473" s="51" t="inlineStr">
        <is>
          <t>PAC</t>
        </is>
      </c>
      <c r="L473" s="105" t="inlineStr">
        <is>
          <t>VR</t>
        </is>
      </c>
      <c r="M473" s="210" t="n"/>
      <c r="N473" s="211" t="n"/>
      <c r="O473" s="340" t="inlineStr">
        <is>
          <t>SBL</t>
        </is>
      </c>
      <c r="Q473" s="271" t="n"/>
      <c r="R473" s="282" t="n"/>
    </row>
    <row r="474" ht="18" customHeight="1" s="305">
      <c r="A474" s="8" t="n">
        <v>31</v>
      </c>
      <c r="B474" s="5" t="n">
        <v>135</v>
      </c>
      <c r="C474" s="6" t="inlineStr">
        <is>
          <t>X</t>
        </is>
      </c>
      <c r="D474" s="5" t="n">
        <v>215</v>
      </c>
      <c r="E474" s="2">
        <f>B474*D474/10000</f>
        <v/>
      </c>
      <c r="F474" s="3">
        <f>B474/30.48</f>
        <v/>
      </c>
      <c r="G474" s="3">
        <f>D474/30.48</f>
        <v/>
      </c>
      <c r="H474" s="615" t="n"/>
      <c r="I474" s="49" t="inlineStr">
        <is>
          <t>OLD</t>
        </is>
      </c>
      <c r="J474" s="48" t="inlineStr">
        <is>
          <t>TRS</t>
        </is>
      </c>
      <c r="K474" s="51" t="inlineStr">
        <is>
          <t>PAC</t>
        </is>
      </c>
      <c r="L474" s="105" t="inlineStr">
        <is>
          <t>VR</t>
        </is>
      </c>
      <c r="M474" s="210" t="inlineStr">
        <is>
          <t>RK</t>
        </is>
      </c>
      <c r="N474" s="211" t="n"/>
      <c r="O474" s="340" t="inlineStr">
        <is>
          <t>SBL</t>
        </is>
      </c>
      <c r="Q474" s="271" t="n"/>
      <c r="R474" s="282" t="n"/>
    </row>
    <row r="475" ht="18" customHeight="1" s="305">
      <c r="A475" s="8" t="n">
        <v>36</v>
      </c>
      <c r="B475" s="5" t="n">
        <v>198</v>
      </c>
      <c r="C475" s="6" t="inlineStr">
        <is>
          <t>X</t>
        </is>
      </c>
      <c r="D475" s="5" t="n">
        <v>128</v>
      </c>
      <c r="E475" s="2">
        <f>B475*D475/10000</f>
        <v/>
      </c>
      <c r="F475" s="3">
        <f>B475/30.48</f>
        <v/>
      </c>
      <c r="G475" s="3">
        <f>D475/30.48</f>
        <v/>
      </c>
      <c r="H475" s="615" t="n"/>
      <c r="I475" s="49" t="inlineStr">
        <is>
          <t>OLD</t>
        </is>
      </c>
      <c r="J475" s="48" t="inlineStr">
        <is>
          <t>TRS</t>
        </is>
      </c>
      <c r="K475" s="51" t="inlineStr">
        <is>
          <t>PAC</t>
        </is>
      </c>
      <c r="L475" s="105" t="inlineStr">
        <is>
          <t>VR</t>
        </is>
      </c>
      <c r="M475" s="210" t="inlineStr">
        <is>
          <t>RK</t>
        </is>
      </c>
      <c r="N475" s="211" t="n"/>
      <c r="O475" s="340" t="inlineStr">
        <is>
          <t>SBL</t>
        </is>
      </c>
      <c r="Q475" s="271" t="n"/>
      <c r="R475" s="282" t="n"/>
    </row>
    <row r="476" ht="18" customHeight="1" s="305">
      <c r="A476" s="8" t="inlineStr">
        <is>
          <t>C 8</t>
        </is>
      </c>
      <c r="B476" s="5" t="n">
        <v>193</v>
      </c>
      <c r="C476" s="6" t="inlineStr">
        <is>
          <t>X</t>
        </is>
      </c>
      <c r="D476" s="5" t="n">
        <v>110</v>
      </c>
      <c r="E476" s="2">
        <f>B476*D476/10000</f>
        <v/>
      </c>
      <c r="F476" s="3">
        <f>B476/30.48</f>
        <v/>
      </c>
      <c r="G476" s="3">
        <f>D476/30.48</f>
        <v/>
      </c>
      <c r="H476" s="615" t="n"/>
      <c r="I476" s="49" t="inlineStr">
        <is>
          <t>OLD</t>
        </is>
      </c>
      <c r="J476" s="48" t="inlineStr">
        <is>
          <t>TRS</t>
        </is>
      </c>
      <c r="K476" s="51" t="inlineStr">
        <is>
          <t>PAC</t>
        </is>
      </c>
      <c r="L476" s="105" t="inlineStr">
        <is>
          <t>VR</t>
        </is>
      </c>
      <c r="M476" s="210" t="n"/>
      <c r="N476" s="211" t="n"/>
      <c r="O476" s="340" t="inlineStr">
        <is>
          <t>SBL</t>
        </is>
      </c>
      <c r="Q476" s="271" t="n"/>
      <c r="R476" s="282" t="n"/>
    </row>
    <row r="477" ht="18" customHeight="1" s="305">
      <c r="A477" s="8" t="inlineStr">
        <is>
          <t>C 13</t>
        </is>
      </c>
      <c r="B477" s="5" t="n">
        <v>213</v>
      </c>
      <c r="C477" s="6" t="inlineStr">
        <is>
          <t>X</t>
        </is>
      </c>
      <c r="D477" s="5" t="n">
        <v>110</v>
      </c>
      <c r="E477" s="2">
        <f>B477*D477/10000</f>
        <v/>
      </c>
      <c r="F477" s="3">
        <f>B477/30.48</f>
        <v/>
      </c>
      <c r="G477" s="3">
        <f>D477/30.48</f>
        <v/>
      </c>
      <c r="H477" s="615" t="n"/>
      <c r="I477" s="49" t="inlineStr">
        <is>
          <t>OLD</t>
        </is>
      </c>
      <c r="J477" s="48" t="inlineStr">
        <is>
          <t>TRS</t>
        </is>
      </c>
      <c r="K477" s="51" t="inlineStr">
        <is>
          <t>PAC</t>
        </is>
      </c>
      <c r="L477" s="105" t="inlineStr">
        <is>
          <t>VR</t>
        </is>
      </c>
      <c r="M477" s="210" t="inlineStr">
        <is>
          <t>RK</t>
        </is>
      </c>
      <c r="N477" s="211" t="n"/>
      <c r="O477" s="340" t="inlineStr">
        <is>
          <t>SBL</t>
        </is>
      </c>
      <c r="Q477" s="271" t="n"/>
      <c r="R477" s="282" t="n"/>
    </row>
    <row r="478" ht="18" customHeight="1" s="305">
      <c r="A478" s="8" t="inlineStr">
        <is>
          <t>Y 280</t>
        </is>
      </c>
      <c r="B478" s="5" t="n">
        <v>200</v>
      </c>
      <c r="C478" s="6" t="inlineStr">
        <is>
          <t>X</t>
        </is>
      </c>
      <c r="D478" s="5" t="n">
        <v>117</v>
      </c>
      <c r="E478" s="2">
        <f>B478*D478/10000</f>
        <v/>
      </c>
      <c r="F478" s="3">
        <f>B478/30.48</f>
        <v/>
      </c>
      <c r="G478" s="3">
        <f>D478/30.48</f>
        <v/>
      </c>
      <c r="H478" s="615" t="inlineStr">
        <is>
          <t>eksik 2</t>
        </is>
      </c>
      <c r="I478" s="49" t="inlineStr">
        <is>
          <t>OLD</t>
        </is>
      </c>
      <c r="J478" s="48" t="inlineStr">
        <is>
          <t>TRS</t>
        </is>
      </c>
      <c r="K478" s="51" t="inlineStr">
        <is>
          <t>PAC</t>
        </is>
      </c>
      <c r="L478" s="105" t="inlineStr">
        <is>
          <t>VR</t>
        </is>
      </c>
      <c r="M478" s="210" t="n"/>
      <c r="N478" s="211" t="n"/>
      <c r="O478" s="340" t="inlineStr">
        <is>
          <t>SBL</t>
        </is>
      </c>
      <c r="Q478" s="271" t="n"/>
      <c r="R478" s="282" t="n"/>
    </row>
    <row r="479" ht="18" customHeight="1" s="305">
      <c r="A479" s="8" t="inlineStr">
        <is>
          <t>Y 347</t>
        </is>
      </c>
      <c r="B479" s="5" t="n">
        <v>218</v>
      </c>
      <c r="C479" s="6" t="inlineStr">
        <is>
          <t>X</t>
        </is>
      </c>
      <c r="D479" s="5" t="n">
        <v>112</v>
      </c>
      <c r="E479" s="2">
        <f>B479*D479/10000</f>
        <v/>
      </c>
      <c r="F479" s="3">
        <f>B479/30.48</f>
        <v/>
      </c>
      <c r="G479" s="3">
        <f>D479/30.48</f>
        <v/>
      </c>
      <c r="H479" s="615" t="inlineStr">
        <is>
          <t>eksik 2</t>
        </is>
      </c>
      <c r="I479" s="49" t="inlineStr">
        <is>
          <t>OLD</t>
        </is>
      </c>
      <c r="J479" s="48" t="inlineStr">
        <is>
          <t>TRS</t>
        </is>
      </c>
      <c r="K479" s="51" t="inlineStr">
        <is>
          <t>PAC</t>
        </is>
      </c>
      <c r="L479" s="105" t="inlineStr">
        <is>
          <t>VR</t>
        </is>
      </c>
      <c r="M479" s="210" t="n"/>
      <c r="N479" s="211" t="inlineStr">
        <is>
          <t xml:space="preserve"> </t>
        </is>
      </c>
      <c r="O479" s="340" t="inlineStr">
        <is>
          <t>SBL</t>
        </is>
      </c>
      <c r="Q479" s="271" t="n"/>
      <c r="R479" s="282" t="n"/>
    </row>
    <row r="480" ht="18" customHeight="1" s="305">
      <c r="A480" s="8" t="inlineStr">
        <is>
          <t>Y 351</t>
        </is>
      </c>
      <c r="B480" s="5" t="n">
        <v>206</v>
      </c>
      <c r="C480" s="6" t="inlineStr">
        <is>
          <t>X</t>
        </is>
      </c>
      <c r="D480" s="5" t="n">
        <v>118</v>
      </c>
      <c r="E480" s="2">
        <f>B480*D480/10000</f>
        <v/>
      </c>
      <c r="F480" s="3">
        <f>B480/30.48</f>
        <v/>
      </c>
      <c r="G480" s="3">
        <f>D480/30.48</f>
        <v/>
      </c>
      <c r="H480" s="615" t="inlineStr">
        <is>
          <t>eksik 2</t>
        </is>
      </c>
      <c r="I480" s="49" t="inlineStr">
        <is>
          <t>OLD</t>
        </is>
      </c>
      <c r="J480" s="48" t="inlineStr">
        <is>
          <t>TRS</t>
        </is>
      </c>
      <c r="K480" s="51" t="inlineStr">
        <is>
          <t>PAC</t>
        </is>
      </c>
      <c r="L480" s="105" t="inlineStr">
        <is>
          <t>VR</t>
        </is>
      </c>
      <c r="M480" s="210" t="n"/>
      <c r="N480" s="211" t="n"/>
      <c r="O480" s="340" t="inlineStr">
        <is>
          <t>SBL</t>
        </is>
      </c>
      <c r="Q480" s="271" t="n"/>
      <c r="R480" s="282" t="n"/>
    </row>
    <row r="481" ht="18" customHeight="1" s="305">
      <c r="A481" s="8" t="inlineStr">
        <is>
          <t>Y 390</t>
        </is>
      </c>
      <c r="B481" s="5" t="n">
        <v>210</v>
      </c>
      <c r="C481" s="6" t="inlineStr">
        <is>
          <t>X</t>
        </is>
      </c>
      <c r="D481" s="5" t="n">
        <v>113</v>
      </c>
      <c r="E481" s="2">
        <f>B481*D481/10000</f>
        <v/>
      </c>
      <c r="F481" s="3">
        <f>B481/30.48</f>
        <v/>
      </c>
      <c r="G481" s="3">
        <f>D481/30.48</f>
        <v/>
      </c>
      <c r="H481" s="615" t="n"/>
      <c r="I481" s="49" t="inlineStr">
        <is>
          <t>OLD</t>
        </is>
      </c>
      <c r="J481" s="48" t="inlineStr">
        <is>
          <t>TRS</t>
        </is>
      </c>
      <c r="K481" s="51" t="inlineStr">
        <is>
          <t>PAC</t>
        </is>
      </c>
      <c r="L481" s="105" t="inlineStr">
        <is>
          <t>VR</t>
        </is>
      </c>
      <c r="M481" s="210" t="n"/>
      <c r="N481" s="211" t="n"/>
      <c r="O481" s="263" t="n"/>
      <c r="Q481" s="271" t="n"/>
      <c r="R481" s="282" t="n"/>
    </row>
    <row r="482" ht="18.75" customHeight="1" s="305">
      <c r="A482" s="8" t="inlineStr">
        <is>
          <t>Y 427</t>
        </is>
      </c>
      <c r="B482" s="5" t="n">
        <v>230</v>
      </c>
      <c r="C482" s="6" t="inlineStr">
        <is>
          <t>X</t>
        </is>
      </c>
      <c r="D482" s="5" t="n">
        <v>107</v>
      </c>
      <c r="E482" s="2">
        <f>B482*D482/10000</f>
        <v/>
      </c>
      <c r="F482" s="3">
        <f>B482/30.48</f>
        <v/>
      </c>
      <c r="G482" s="3">
        <f>D482/30.48</f>
        <v/>
      </c>
      <c r="H482" s="615" t="n"/>
      <c r="I482" s="49" t="inlineStr">
        <is>
          <t>OLD</t>
        </is>
      </c>
      <c r="J482" s="48" t="inlineStr">
        <is>
          <t>TRS</t>
        </is>
      </c>
      <c r="K482" s="51" t="inlineStr">
        <is>
          <t>PAC</t>
        </is>
      </c>
      <c r="L482" s="105" t="inlineStr">
        <is>
          <t>VR</t>
        </is>
      </c>
      <c r="M482" s="210" t="n"/>
      <c r="N482" s="211" t="n"/>
      <c r="O482" s="263" t="n"/>
      <c r="Q482" s="271" t="n"/>
      <c r="R482" s="282" t="n"/>
    </row>
    <row r="483" ht="18" customHeight="1" s="305">
      <c r="A483" s="8" t="inlineStr">
        <is>
          <t>Y 431</t>
        </is>
      </c>
      <c r="B483" s="5" t="n">
        <v>243</v>
      </c>
      <c r="C483" s="6" t="inlineStr">
        <is>
          <t>X</t>
        </is>
      </c>
      <c r="D483" s="5" t="n">
        <v>120</v>
      </c>
      <c r="E483" s="2">
        <f>B483*D483/10000</f>
        <v/>
      </c>
      <c r="F483" s="3">
        <f>B483/30.48</f>
        <v/>
      </c>
      <c r="G483" s="3">
        <f>D483/30.48</f>
        <v/>
      </c>
      <c r="H483" s="615" t="inlineStr">
        <is>
          <t>eksik 2</t>
        </is>
      </c>
      <c r="I483" s="49" t="inlineStr">
        <is>
          <t>OLD</t>
        </is>
      </c>
      <c r="J483" s="48" t="inlineStr">
        <is>
          <t>TRS</t>
        </is>
      </c>
      <c r="K483" s="51" t="inlineStr">
        <is>
          <t>PAC</t>
        </is>
      </c>
      <c r="L483" s="105" t="inlineStr">
        <is>
          <t>VR</t>
        </is>
      </c>
      <c r="M483" s="210" t="n"/>
      <c r="N483" s="211" t="n"/>
      <c r="O483" s="340" t="inlineStr">
        <is>
          <t>SBL</t>
        </is>
      </c>
      <c r="Q483" s="271" t="n"/>
      <c r="R483" s="282" t="n"/>
    </row>
    <row r="484" ht="18" customHeight="1" s="305">
      <c r="A484" s="8" t="inlineStr">
        <is>
          <t>Y 440</t>
        </is>
      </c>
      <c r="B484" s="5" t="n">
        <v>216</v>
      </c>
      <c r="C484" s="6" t="inlineStr">
        <is>
          <t>X</t>
        </is>
      </c>
      <c r="D484" s="5" t="n">
        <v>126</v>
      </c>
      <c r="E484" s="2">
        <f>B484*D484/10000</f>
        <v/>
      </c>
      <c r="F484" s="3">
        <f>B484/30.48</f>
        <v/>
      </c>
      <c r="G484" s="3">
        <f>D484/30.48</f>
        <v/>
      </c>
      <c r="H484" s="615" t="inlineStr">
        <is>
          <t>eksik 2</t>
        </is>
      </c>
      <c r="I484" s="49" t="inlineStr">
        <is>
          <t>OLD</t>
        </is>
      </c>
      <c r="J484" s="48" t="inlineStr">
        <is>
          <t>TRS</t>
        </is>
      </c>
      <c r="K484" s="51" t="inlineStr">
        <is>
          <t>PAC</t>
        </is>
      </c>
      <c r="L484" s="105" t="inlineStr">
        <is>
          <t>VR</t>
        </is>
      </c>
      <c r="M484" s="210" t="n"/>
      <c r="N484" s="211" t="n"/>
      <c r="O484" s="340" t="inlineStr">
        <is>
          <t>SBL</t>
        </is>
      </c>
      <c r="Q484" s="271" t="n"/>
      <c r="R484" s="282" t="n"/>
    </row>
    <row r="485" ht="18" customHeight="1" s="305">
      <c r="A485" s="8" t="inlineStr">
        <is>
          <t>Y 474</t>
        </is>
      </c>
      <c r="B485" s="5" t="n">
        <v>238</v>
      </c>
      <c r="C485" s="6" t="inlineStr">
        <is>
          <t>X</t>
        </is>
      </c>
      <c r="D485" s="5" t="n">
        <v>132</v>
      </c>
      <c r="E485" s="2">
        <f>B485*D485/10000</f>
        <v/>
      </c>
      <c r="F485" s="3">
        <f>B485/30.48</f>
        <v/>
      </c>
      <c r="G485" s="3">
        <f>D485/30.48</f>
        <v/>
      </c>
      <c r="H485" s="615" t="inlineStr">
        <is>
          <t>germe</t>
        </is>
      </c>
      <c r="I485" s="49" t="inlineStr">
        <is>
          <t>OLD</t>
        </is>
      </c>
      <c r="J485" s="48" t="inlineStr">
        <is>
          <t>TRS</t>
        </is>
      </c>
      <c r="K485" s="51" t="inlineStr">
        <is>
          <t>PAC</t>
        </is>
      </c>
      <c r="L485" s="105" t="inlineStr">
        <is>
          <t>VR</t>
        </is>
      </c>
      <c r="M485" s="210" t="n"/>
      <c r="N485" s="211" t="n"/>
      <c r="O485" s="340" t="inlineStr">
        <is>
          <t>SBL</t>
        </is>
      </c>
      <c r="Q485" s="271" t="n"/>
      <c r="R485" s="282" t="n"/>
    </row>
    <row r="486" ht="18" customHeight="1" s="305">
      <c r="A486" s="8" t="inlineStr">
        <is>
          <t>Y 476</t>
        </is>
      </c>
      <c r="B486" s="5" t="n">
        <v>249</v>
      </c>
      <c r="C486" s="6" t="inlineStr">
        <is>
          <t>X</t>
        </is>
      </c>
      <c r="D486" s="5" t="n">
        <v>134</v>
      </c>
      <c r="E486" s="2">
        <f>B486*D486/10000</f>
        <v/>
      </c>
      <c r="F486" s="3">
        <f>B486/30.48</f>
        <v/>
      </c>
      <c r="G486" s="3">
        <f>D486/30.48</f>
        <v/>
      </c>
      <c r="H486" s="615" t="inlineStr">
        <is>
          <t>germe</t>
        </is>
      </c>
      <c r="I486" s="49" t="inlineStr">
        <is>
          <t>OLD</t>
        </is>
      </c>
      <c r="J486" s="48" t="inlineStr">
        <is>
          <t>TRS</t>
        </is>
      </c>
      <c r="K486" s="51" t="inlineStr">
        <is>
          <t>PAC</t>
        </is>
      </c>
      <c r="L486" s="105" t="inlineStr">
        <is>
          <t>VR</t>
        </is>
      </c>
      <c r="M486" s="210" t="n"/>
      <c r="N486" s="211" t="n"/>
      <c r="O486" s="340" t="inlineStr">
        <is>
          <t>SBL</t>
        </is>
      </c>
      <c r="Q486" s="271" t="n"/>
      <c r="R486" s="282" t="n"/>
    </row>
    <row r="487" ht="18" customHeight="1" s="305">
      <c r="A487" s="8" t="inlineStr">
        <is>
          <t>Y 629</t>
        </is>
      </c>
      <c r="B487" s="5" t="n">
        <v>220</v>
      </c>
      <c r="C487" s="6" t="inlineStr">
        <is>
          <t>X</t>
        </is>
      </c>
      <c r="D487" s="5" t="n">
        <v>130</v>
      </c>
      <c r="E487" s="2">
        <f>B487*D487/10000</f>
        <v/>
      </c>
      <c r="F487" s="3">
        <f>B487/30.48</f>
        <v/>
      </c>
      <c r="G487" s="3">
        <f>D487/30.48</f>
        <v/>
      </c>
      <c r="H487" s="615" t="n"/>
      <c r="I487" s="49" t="inlineStr">
        <is>
          <t>OLD</t>
        </is>
      </c>
      <c r="J487" s="48" t="inlineStr">
        <is>
          <t>TRS</t>
        </is>
      </c>
      <c r="K487" s="51" t="inlineStr">
        <is>
          <t>PAC</t>
        </is>
      </c>
      <c r="M487" s="210" t="n"/>
      <c r="N487" s="211" t="n"/>
      <c r="O487" s="263" t="n"/>
      <c r="Q487" s="271" t="n"/>
      <c r="R487" s="282" t="n"/>
    </row>
    <row r="488" ht="18" customHeight="1" s="305">
      <c r="A488" s="8" t="inlineStr">
        <is>
          <t>Y 665</t>
        </is>
      </c>
      <c r="B488" s="5" t="n">
        <v>213</v>
      </c>
      <c r="C488" s="6" t="inlineStr">
        <is>
          <t>X</t>
        </is>
      </c>
      <c r="D488" s="5" t="n">
        <v>120</v>
      </c>
      <c r="E488" s="2">
        <f>B488*D488/10000</f>
        <v/>
      </c>
      <c r="F488" s="3">
        <f>B488/30.48</f>
        <v/>
      </c>
      <c r="G488" s="3">
        <f>D488/30.48</f>
        <v/>
      </c>
      <c r="H488" s="615" t="n"/>
      <c r="I488" s="49" t="inlineStr">
        <is>
          <t>OLD</t>
        </is>
      </c>
      <c r="K488" s="51" t="inlineStr">
        <is>
          <t>PAC</t>
        </is>
      </c>
      <c r="L488" s="105" t="inlineStr">
        <is>
          <t>VR</t>
        </is>
      </c>
      <c r="M488" s="210" t="n"/>
      <c r="N488" s="211" t="n"/>
      <c r="O488" s="340" t="inlineStr">
        <is>
          <t>SBL</t>
        </is>
      </c>
      <c r="Q488" s="271" t="n"/>
      <c r="R488" s="282" t="n"/>
    </row>
    <row r="489" ht="18" customHeight="1" s="305">
      <c r="A489" s="8" t="inlineStr">
        <is>
          <t>Y 675</t>
        </is>
      </c>
      <c r="B489" s="5" t="n">
        <v>212</v>
      </c>
      <c r="C489" s="6" t="inlineStr">
        <is>
          <t>X</t>
        </is>
      </c>
      <c r="D489" s="5" t="n">
        <v>136</v>
      </c>
      <c r="E489" s="2">
        <f>B489*D489/10000</f>
        <v/>
      </c>
      <c r="F489" s="3">
        <f>B489/30.48</f>
        <v/>
      </c>
      <c r="G489" s="3">
        <f>D489/30.48</f>
        <v/>
      </c>
      <c r="H489" s="615" t="inlineStr">
        <is>
          <t>eksik 2</t>
        </is>
      </c>
      <c r="I489" s="49" t="inlineStr">
        <is>
          <t>OLD</t>
        </is>
      </c>
      <c r="K489" s="51" t="inlineStr">
        <is>
          <t>PAC</t>
        </is>
      </c>
      <c r="L489" s="105" t="inlineStr">
        <is>
          <t>VR</t>
        </is>
      </c>
      <c r="M489" s="210" t="n"/>
      <c r="N489" s="211" t="n"/>
      <c r="O489" s="340" t="inlineStr">
        <is>
          <t>SBL</t>
        </is>
      </c>
      <c r="Q489" s="271" t="n"/>
      <c r="R489" s="282" t="n"/>
    </row>
    <row r="490" ht="18" customHeight="1" s="305">
      <c r="A490" s="8" t="inlineStr">
        <is>
          <t>Y 733</t>
        </is>
      </c>
      <c r="B490" s="5" t="n">
        <v>200</v>
      </c>
      <c r="C490" s="6" t="inlineStr">
        <is>
          <t>X</t>
        </is>
      </c>
      <c r="D490" s="5" t="n">
        <v>118</v>
      </c>
      <c r="E490" s="2">
        <f>B490*D490/10000</f>
        <v/>
      </c>
      <c r="F490" s="3">
        <f>B490/30.48</f>
        <v/>
      </c>
      <c r="G490" s="3">
        <f>D490/30.48</f>
        <v/>
      </c>
      <c r="H490" s="615" t="inlineStr">
        <is>
          <t>eksik 2</t>
        </is>
      </c>
      <c r="I490" s="49" t="inlineStr">
        <is>
          <t>OLD</t>
        </is>
      </c>
      <c r="K490" s="51" t="inlineStr">
        <is>
          <t>PAC</t>
        </is>
      </c>
      <c r="L490" s="105" t="inlineStr">
        <is>
          <t>VR</t>
        </is>
      </c>
      <c r="M490" s="210" t="n"/>
      <c r="N490" s="211" t="n"/>
      <c r="O490" s="340" t="inlineStr">
        <is>
          <t>SBL</t>
        </is>
      </c>
      <c r="Q490" s="271" t="n"/>
      <c r="R490" s="282" t="n"/>
    </row>
    <row r="491" ht="18" customHeight="1" s="305">
      <c r="A491" s="8" t="inlineStr">
        <is>
          <t>Y 793</t>
        </is>
      </c>
      <c r="B491" s="5" t="n">
        <v>216</v>
      </c>
      <c r="C491" s="6" t="inlineStr">
        <is>
          <t>X</t>
        </is>
      </c>
      <c r="D491" s="5" t="n">
        <v>131</v>
      </c>
      <c r="E491" s="2">
        <f>B491*D491/10000</f>
        <v/>
      </c>
      <c r="F491" s="3">
        <f>B491/30.48</f>
        <v/>
      </c>
      <c r="G491" s="3">
        <f>D491/30.48</f>
        <v/>
      </c>
      <c r="H491" s="615" t="inlineStr">
        <is>
          <t>eksik 2</t>
        </is>
      </c>
      <c r="I491" s="49" t="inlineStr">
        <is>
          <t>OLD</t>
        </is>
      </c>
      <c r="K491" s="51" t="inlineStr">
        <is>
          <t>PAC</t>
        </is>
      </c>
      <c r="L491" s="105" t="inlineStr">
        <is>
          <t>VR</t>
        </is>
      </c>
      <c r="M491" s="210" t="n"/>
      <c r="N491" s="211" t="n"/>
      <c r="O491" s="340" t="inlineStr">
        <is>
          <t>SBL</t>
        </is>
      </c>
      <c r="Q491" s="271" t="n"/>
      <c r="R491" s="282" t="n"/>
    </row>
    <row r="492" ht="18" customHeight="1" s="305">
      <c r="A492" s="8" t="inlineStr">
        <is>
          <t>Y 851</t>
        </is>
      </c>
      <c r="B492" s="5" t="n">
        <v>210</v>
      </c>
      <c r="C492" s="6" t="inlineStr">
        <is>
          <t>X</t>
        </is>
      </c>
      <c r="D492" s="5" t="n">
        <v>117</v>
      </c>
      <c r="E492" s="2">
        <f>B492*D492/10000</f>
        <v/>
      </c>
      <c r="F492" s="3">
        <f>B492/30.48</f>
        <v/>
      </c>
      <c r="G492" s="3">
        <f>D492/30.48</f>
        <v/>
      </c>
      <c r="H492" s="615" t="inlineStr">
        <is>
          <t>eksik 2</t>
        </is>
      </c>
      <c r="I492" s="49" t="inlineStr">
        <is>
          <t>OLD</t>
        </is>
      </c>
      <c r="K492" s="51" t="inlineStr">
        <is>
          <t>PAC</t>
        </is>
      </c>
      <c r="L492" s="105" t="inlineStr">
        <is>
          <t>VR</t>
        </is>
      </c>
      <c r="M492" s="210" t="n"/>
      <c r="N492" s="211" t="n"/>
      <c r="O492" s="340" t="inlineStr">
        <is>
          <t>SBL</t>
        </is>
      </c>
      <c r="Q492" s="271" t="n"/>
      <c r="R492" s="282" t="n"/>
    </row>
    <row r="493" ht="18" customHeight="1" s="305">
      <c r="A493" s="8" t="inlineStr">
        <is>
          <t>Y 864</t>
        </is>
      </c>
      <c r="B493" s="5" t="n">
        <v>268</v>
      </c>
      <c r="C493" s="6" t="inlineStr">
        <is>
          <t>X</t>
        </is>
      </c>
      <c r="D493" s="5" t="n">
        <v>131</v>
      </c>
      <c r="E493" s="2">
        <f>B493*D493/10000</f>
        <v/>
      </c>
      <c r="F493" s="3">
        <f>B493/30.48</f>
        <v/>
      </c>
      <c r="G493" s="3">
        <f>D493/30.48</f>
        <v/>
      </c>
      <c r="H493" s="615" t="inlineStr">
        <is>
          <t>germe</t>
        </is>
      </c>
      <c r="I493" s="49" t="inlineStr">
        <is>
          <t>OLD</t>
        </is>
      </c>
      <c r="K493" s="51" t="inlineStr">
        <is>
          <t>PAC</t>
        </is>
      </c>
      <c r="L493" s="105" t="inlineStr">
        <is>
          <t>VR</t>
        </is>
      </c>
      <c r="M493" s="210" t="n"/>
      <c r="N493" s="211" t="n"/>
      <c r="O493" s="263" t="n"/>
      <c r="Q493" s="271" t="n"/>
      <c r="R493" s="282" t="n"/>
    </row>
    <row r="494" ht="18" customHeight="1" s="305">
      <c r="A494" s="8" t="inlineStr">
        <is>
          <t>Y 880</t>
        </is>
      </c>
      <c r="B494" s="5" t="n">
        <v>202</v>
      </c>
      <c r="C494" s="6" t="inlineStr">
        <is>
          <t>X</t>
        </is>
      </c>
      <c r="D494" s="5" t="n">
        <v>113</v>
      </c>
      <c r="E494" s="2">
        <f>B494*D494/10000</f>
        <v/>
      </c>
      <c r="F494" s="3">
        <f>B494/30.48</f>
        <v/>
      </c>
      <c r="G494" s="3">
        <f>D494/30.48</f>
        <v/>
      </c>
      <c r="H494" s="615" t="inlineStr">
        <is>
          <t>eksik 2</t>
        </is>
      </c>
      <c r="I494" s="49" t="inlineStr">
        <is>
          <t>OLD</t>
        </is>
      </c>
      <c r="K494" s="51" t="inlineStr">
        <is>
          <t>PAC</t>
        </is>
      </c>
      <c r="L494" s="105" t="inlineStr">
        <is>
          <t>VR</t>
        </is>
      </c>
      <c r="M494" s="210" t="n"/>
      <c r="N494" s="211" t="n"/>
      <c r="O494" s="340" t="inlineStr">
        <is>
          <t>SBL</t>
        </is>
      </c>
      <c r="Q494" s="271" t="n"/>
      <c r="R494" s="282" t="n"/>
    </row>
    <row r="495" ht="18" customHeight="1" s="305">
      <c r="A495" s="8" t="inlineStr">
        <is>
          <t>Y 902</t>
        </is>
      </c>
      <c r="B495" s="5" t="n">
        <v>201</v>
      </c>
      <c r="C495" s="6" t="inlineStr">
        <is>
          <t>X</t>
        </is>
      </c>
      <c r="D495" s="5" t="n">
        <v>124</v>
      </c>
      <c r="E495" s="2">
        <f>B495*D495/10000</f>
        <v/>
      </c>
      <c r="F495" s="3">
        <f>B495/30.48</f>
        <v/>
      </c>
      <c r="G495" s="3">
        <f>D495/30.48</f>
        <v/>
      </c>
      <c r="H495" s="615" t="inlineStr">
        <is>
          <t>eksik 2</t>
        </is>
      </c>
      <c r="I495" s="49" t="inlineStr">
        <is>
          <t>OLD</t>
        </is>
      </c>
      <c r="K495" s="51" t="inlineStr">
        <is>
          <t>PAC</t>
        </is>
      </c>
      <c r="L495" s="105" t="inlineStr">
        <is>
          <t>VR</t>
        </is>
      </c>
      <c r="M495" s="210" t="n"/>
      <c r="N495" s="211" t="n"/>
      <c r="O495" s="340" t="inlineStr">
        <is>
          <t>SBL</t>
        </is>
      </c>
      <c r="Q495" s="271" t="n"/>
      <c r="R495" s="282" t="n"/>
    </row>
    <row r="496" ht="18" customHeight="1" s="305">
      <c r="A496" s="8" t="inlineStr">
        <is>
          <t>Y 913</t>
        </is>
      </c>
      <c r="B496" s="5" t="n">
        <v>116</v>
      </c>
      <c r="C496" s="6" t="inlineStr">
        <is>
          <t>X</t>
        </is>
      </c>
      <c r="D496" s="5" t="n">
        <v>106</v>
      </c>
      <c r="E496" s="2">
        <f>B496*D496/10000</f>
        <v/>
      </c>
      <c r="F496" s="3">
        <f>B496/30.48</f>
        <v/>
      </c>
      <c r="G496" s="3">
        <f>D496/30.48</f>
        <v/>
      </c>
      <c r="H496" s="615" t="inlineStr">
        <is>
          <t>eksik 2</t>
        </is>
      </c>
      <c r="I496" s="49" t="inlineStr">
        <is>
          <t>OLD</t>
        </is>
      </c>
      <c r="K496" s="51" t="inlineStr">
        <is>
          <t>PAC</t>
        </is>
      </c>
      <c r="L496" s="105" t="inlineStr">
        <is>
          <t>VR</t>
        </is>
      </c>
      <c r="M496" s="210" t="n"/>
      <c r="N496" s="211" t="n"/>
      <c r="O496" s="340" t="inlineStr">
        <is>
          <t>SBL</t>
        </is>
      </c>
      <c r="Q496" s="271" t="n"/>
      <c r="R496" s="282" t="n"/>
    </row>
    <row r="497" ht="18" customHeight="1" s="305">
      <c r="A497" s="8" t="inlineStr">
        <is>
          <t>Y 935</t>
        </is>
      </c>
      <c r="B497" s="5" t="n">
        <v>199</v>
      </c>
      <c r="C497" s="6" t="inlineStr">
        <is>
          <t>X</t>
        </is>
      </c>
      <c r="D497" s="5" t="n">
        <v>107</v>
      </c>
      <c r="E497" s="2">
        <f>B497*D497/10000</f>
        <v/>
      </c>
      <c r="F497" s="3">
        <f>B497/30.48</f>
        <v/>
      </c>
      <c r="G497" s="3">
        <f>D497/30.48</f>
        <v/>
      </c>
      <c r="H497" s="615" t="inlineStr">
        <is>
          <t>eksik 2</t>
        </is>
      </c>
      <c r="I497" s="49" t="inlineStr">
        <is>
          <t>OLD</t>
        </is>
      </c>
      <c r="K497" s="51" t="inlineStr">
        <is>
          <t>PAC</t>
        </is>
      </c>
      <c r="M497" s="210" t="n"/>
      <c r="N497" s="211" t="n"/>
      <c r="O497" s="340" t="inlineStr">
        <is>
          <t>SBL</t>
        </is>
      </c>
      <c r="Q497" s="271" t="n"/>
      <c r="R497" s="282" t="n"/>
    </row>
    <row r="498" ht="18" customHeight="1" s="305">
      <c r="A498" s="8" t="inlineStr">
        <is>
          <t>Y 936</t>
        </is>
      </c>
      <c r="B498" s="5" t="n">
        <v>192</v>
      </c>
      <c r="C498" s="6" t="inlineStr">
        <is>
          <t>X</t>
        </is>
      </c>
      <c r="D498" s="5" t="n">
        <v>108</v>
      </c>
      <c r="E498" s="2">
        <f>B498*D498/10000</f>
        <v/>
      </c>
      <c r="F498" s="3">
        <f>B498/30.48</f>
        <v/>
      </c>
      <c r="G498" s="3">
        <f>D498/30.48</f>
        <v/>
      </c>
      <c r="H498" s="615" t="inlineStr">
        <is>
          <t>eksik 3</t>
        </is>
      </c>
      <c r="I498" s="49" t="inlineStr">
        <is>
          <t>OLD</t>
        </is>
      </c>
      <c r="K498" s="51" t="inlineStr">
        <is>
          <t>PAC</t>
        </is>
      </c>
      <c r="M498" s="210" t="n"/>
      <c r="N498" s="211" t="n"/>
      <c r="O498" s="340" t="inlineStr">
        <is>
          <t>SBL</t>
        </is>
      </c>
      <c r="Q498" s="271" t="n"/>
      <c r="R498" s="282" t="n"/>
    </row>
    <row r="499" ht="18" customHeight="1" s="305">
      <c r="A499" s="8" t="inlineStr">
        <is>
          <t>Y 978</t>
        </is>
      </c>
      <c r="B499" s="5" t="n">
        <v>192</v>
      </c>
      <c r="C499" s="6" t="inlineStr">
        <is>
          <t>X</t>
        </is>
      </c>
      <c r="D499" s="5" t="n">
        <v>140</v>
      </c>
      <c r="E499" s="2">
        <f>B499*D499/10000</f>
        <v/>
      </c>
      <c r="F499" s="3">
        <f>B499/30.48</f>
        <v/>
      </c>
      <c r="G499" s="3">
        <f>D499/30.48</f>
        <v/>
      </c>
      <c r="H499" s="615" t="inlineStr">
        <is>
          <t>eksik 2</t>
        </is>
      </c>
      <c r="M499" s="210" t="n"/>
      <c r="N499" s="211" t="n"/>
      <c r="O499" s="340" t="inlineStr">
        <is>
          <t>SBL</t>
        </is>
      </c>
      <c r="Q499" s="271" t="n"/>
      <c r="R499" s="282" t="n"/>
    </row>
    <row r="500" ht="18" customHeight="1" s="305">
      <c r="A500" s="8" t="inlineStr">
        <is>
          <t>Y 995</t>
        </is>
      </c>
      <c r="B500" s="5" t="n">
        <v>190</v>
      </c>
      <c r="C500" s="6" t="inlineStr">
        <is>
          <t>X</t>
        </is>
      </c>
      <c r="D500" s="5" t="n">
        <v>100</v>
      </c>
      <c r="E500" s="2">
        <f>B500*D500/10000</f>
        <v/>
      </c>
      <c r="F500" s="3">
        <f>B500/30.48</f>
        <v/>
      </c>
      <c r="G500" s="3">
        <f>D500/30.48</f>
        <v/>
      </c>
      <c r="H500" s="615" t="n"/>
      <c r="I500" s="49" t="inlineStr">
        <is>
          <t>OLD</t>
        </is>
      </c>
      <c r="J500" s="48" t="inlineStr">
        <is>
          <t>TRS</t>
        </is>
      </c>
      <c r="K500" s="51" t="inlineStr">
        <is>
          <t>PAC</t>
        </is>
      </c>
      <c r="L500" s="105" t="inlineStr">
        <is>
          <t>VR</t>
        </is>
      </c>
      <c r="M500" s="210" t="n"/>
      <c r="N500" s="211" t="n"/>
      <c r="O500" s="340" t="inlineStr">
        <is>
          <t>SBL</t>
        </is>
      </c>
      <c r="Q500" s="271" t="n"/>
      <c r="R500" s="282" t="n"/>
    </row>
    <row r="501" ht="18" customHeight="1" s="305">
      <c r="A501" s="8" t="n">
        <v>21</v>
      </c>
      <c r="B501" s="5" t="n">
        <v>84</v>
      </c>
      <c r="C501" s="6" t="inlineStr">
        <is>
          <t>X</t>
        </is>
      </c>
      <c r="D501" s="5" t="n">
        <v>46</v>
      </c>
      <c r="E501" s="2">
        <f>B501*D501/10000</f>
        <v/>
      </c>
      <c r="F501" s="3">
        <f>B501/30.48</f>
        <v/>
      </c>
      <c r="G501" s="3">
        <f>D501/30.48</f>
        <v/>
      </c>
      <c r="H501" s="615" t="n"/>
      <c r="L501" s="105" t="inlineStr">
        <is>
          <t>VR</t>
        </is>
      </c>
      <c r="M501" s="210" t="n"/>
      <c r="N501" s="211" t="n"/>
      <c r="O501" s="263" t="n"/>
      <c r="Q501" s="271" t="n"/>
      <c r="R501" s="282" t="n"/>
    </row>
    <row r="502" ht="18" customHeight="1" s="305">
      <c r="A502" s="8" t="n">
        <v>27</v>
      </c>
      <c r="B502" s="5" t="n">
        <v>87</v>
      </c>
      <c r="C502" s="6" t="inlineStr">
        <is>
          <t>X</t>
        </is>
      </c>
      <c r="D502" s="5" t="n">
        <v>46</v>
      </c>
      <c r="E502" s="2">
        <f>B502*D502/10000</f>
        <v/>
      </c>
      <c r="F502" s="3">
        <f>B502/30.48</f>
        <v/>
      </c>
      <c r="G502" s="3">
        <f>D502/30.48</f>
        <v/>
      </c>
      <c r="H502" s="615" t="n"/>
      <c r="K502" s="51" t="inlineStr">
        <is>
          <t>PAC</t>
        </is>
      </c>
      <c r="L502" s="105" t="inlineStr">
        <is>
          <t>VR</t>
        </is>
      </c>
      <c r="M502" s="210" t="n"/>
      <c r="N502" s="211" t="n"/>
      <c r="O502" s="263" t="n"/>
      <c r="Q502" s="271" t="n"/>
      <c r="R502" s="282" t="n"/>
    </row>
    <row r="503" ht="18" customHeight="1" s="305">
      <c r="A503" s="8" t="n">
        <v>50</v>
      </c>
      <c r="B503" s="5" t="n">
        <v>96</v>
      </c>
      <c r="C503" s="6" t="inlineStr">
        <is>
          <t>X</t>
        </is>
      </c>
      <c r="D503" s="5" t="n">
        <v>49</v>
      </c>
      <c r="E503" s="2">
        <f>B503*D503/10000</f>
        <v/>
      </c>
      <c r="F503" s="3">
        <f>B503/30.48</f>
        <v/>
      </c>
      <c r="G503" s="3">
        <f>D503/30.48</f>
        <v/>
      </c>
      <c r="H503" s="615" t="n"/>
      <c r="L503" s="105" t="inlineStr">
        <is>
          <t>VR</t>
        </is>
      </c>
      <c r="M503" s="210" t="n"/>
      <c r="N503" s="211" t="n"/>
      <c r="O503" s="263" t="n"/>
      <c r="Q503" s="271" t="n"/>
      <c r="R503" s="282" t="n"/>
    </row>
    <row r="504" ht="18" customHeight="1" s="305">
      <c r="A504" s="8" t="n">
        <v>80</v>
      </c>
      <c r="B504" s="5" t="n">
        <v>82</v>
      </c>
      <c r="C504" s="6" t="inlineStr">
        <is>
          <t>X</t>
        </is>
      </c>
      <c r="D504" s="5" t="n">
        <v>48</v>
      </c>
      <c r="E504" s="2">
        <f>B504*D504/10000</f>
        <v/>
      </c>
      <c r="F504" s="3">
        <f>B504/30.48</f>
        <v/>
      </c>
      <c r="G504" s="3">
        <f>D504/30.48</f>
        <v/>
      </c>
      <c r="H504" s="615" t="n"/>
      <c r="L504" s="105" t="inlineStr">
        <is>
          <t>VR</t>
        </is>
      </c>
      <c r="M504" s="210" t="n"/>
      <c r="N504" s="211" t="n"/>
      <c r="O504" s="263" t="n"/>
      <c r="Q504" s="271" t="n"/>
      <c r="R504" s="282" t="n"/>
    </row>
    <row r="505" ht="18" customHeight="1" s="305">
      <c r="A505" s="8" t="n">
        <v>128</v>
      </c>
      <c r="B505" s="5" t="n">
        <v>75</v>
      </c>
      <c r="C505" s="6" t="inlineStr">
        <is>
          <t>X</t>
        </is>
      </c>
      <c r="D505" s="5" t="n">
        <v>46</v>
      </c>
      <c r="E505" s="2">
        <f>B505*D505/10000</f>
        <v/>
      </c>
      <c r="F505" s="3">
        <f>B505/30.48</f>
        <v/>
      </c>
      <c r="G505" s="3">
        <f>D505/30.48</f>
        <v/>
      </c>
      <c r="H505" s="615" t="n"/>
      <c r="L505" s="105" t="inlineStr">
        <is>
          <t>VR</t>
        </is>
      </c>
      <c r="M505" s="210" t="n"/>
      <c r="N505" s="211" t="n"/>
      <c r="O505" s="263" t="n"/>
      <c r="Q505" s="271" t="n"/>
      <c r="R505" s="282" t="n"/>
    </row>
    <row r="506" ht="18" customHeight="1" s="305">
      <c r="A506" s="8" t="n">
        <v>136</v>
      </c>
      <c r="B506" s="5" t="n">
        <v>105</v>
      </c>
      <c r="C506" s="6" t="inlineStr">
        <is>
          <t>X</t>
        </is>
      </c>
      <c r="D506" s="5" t="n">
        <v>50</v>
      </c>
      <c r="E506" s="2">
        <f>B506*D506/10000</f>
        <v/>
      </c>
      <c r="F506" s="3">
        <f>B506/30.48</f>
        <v/>
      </c>
      <c r="G506" s="3">
        <f>D506/30.48</f>
        <v/>
      </c>
      <c r="H506" s="615" t="n"/>
      <c r="L506" s="105" t="inlineStr">
        <is>
          <t>VR</t>
        </is>
      </c>
      <c r="M506" s="210" t="n"/>
      <c r="N506" s="211" t="n"/>
      <c r="O506" s="263" t="n"/>
      <c r="Q506" s="271" t="n"/>
      <c r="R506" s="282" t="n"/>
    </row>
    <row r="507" ht="18" customHeight="1" s="305">
      <c r="A507" s="8" t="n">
        <v>162</v>
      </c>
      <c r="B507" s="5" t="n">
        <v>70</v>
      </c>
      <c r="C507" s="6" t="inlineStr">
        <is>
          <t>X</t>
        </is>
      </c>
      <c r="D507" s="5" t="n">
        <v>51</v>
      </c>
      <c r="E507" s="2">
        <f>B507*D507/10000</f>
        <v/>
      </c>
      <c r="F507" s="3">
        <f>B507/30.48</f>
        <v/>
      </c>
      <c r="G507" s="3">
        <f>D507/30.48</f>
        <v/>
      </c>
      <c r="H507" s="615" t="n"/>
      <c r="L507" s="105" t="inlineStr">
        <is>
          <t>VR</t>
        </is>
      </c>
      <c r="M507" s="210" t="n"/>
      <c r="N507" s="211" t="n"/>
      <c r="O507" s="263" t="n"/>
      <c r="Q507" s="271" t="n"/>
      <c r="R507" s="282" t="n"/>
    </row>
    <row r="508" ht="18" customHeight="1" s="305">
      <c r="A508" s="8" t="n">
        <v>170</v>
      </c>
      <c r="B508" s="5" t="n">
        <v>77</v>
      </c>
      <c r="C508" s="6" t="inlineStr">
        <is>
          <t>X</t>
        </is>
      </c>
      <c r="D508" s="5" t="n">
        <v>47</v>
      </c>
      <c r="E508" s="2">
        <f>B508*D508/10000</f>
        <v/>
      </c>
      <c r="F508" s="3">
        <f>B508/30.48</f>
        <v/>
      </c>
      <c r="G508" s="3">
        <f>D508/30.48</f>
        <v/>
      </c>
      <c r="H508" s="615" t="n"/>
      <c r="L508" s="105" t="inlineStr">
        <is>
          <t>VR</t>
        </is>
      </c>
      <c r="M508" s="210" t="n"/>
      <c r="N508" s="211" t="n"/>
      <c r="O508" s="263" t="n"/>
      <c r="Q508" s="271" t="n"/>
      <c r="R508" s="282" t="n"/>
    </row>
    <row r="509" ht="18" customHeight="1" s="305">
      <c r="A509" s="8" t="n">
        <v>171</v>
      </c>
      <c r="B509" s="5" t="n">
        <v>69</v>
      </c>
      <c r="C509" s="6" t="inlineStr">
        <is>
          <t>X</t>
        </is>
      </c>
      <c r="D509" s="5" t="n">
        <v>49</v>
      </c>
      <c r="E509" s="2">
        <f>B509*D509/10000</f>
        <v/>
      </c>
      <c r="F509" s="3">
        <f>B509/30.48</f>
        <v/>
      </c>
      <c r="G509" s="3">
        <f>D509/30.48</f>
        <v/>
      </c>
      <c r="H509" s="615" t="n"/>
      <c r="L509" s="105" t="inlineStr">
        <is>
          <t>VR</t>
        </is>
      </c>
      <c r="M509" s="210" t="n"/>
      <c r="N509" s="211" t="n"/>
      <c r="O509" s="263" t="n"/>
      <c r="Q509" s="271" t="n"/>
      <c r="R509" s="282" t="n"/>
    </row>
    <row r="510" ht="18" customHeight="1" s="305">
      <c r="A510" s="8" t="n">
        <v>224</v>
      </c>
      <c r="B510" s="5" t="n">
        <v>85</v>
      </c>
      <c r="C510" s="6" t="inlineStr">
        <is>
          <t>X</t>
        </is>
      </c>
      <c r="D510" s="5" t="n">
        <v>56</v>
      </c>
      <c r="E510" s="2">
        <f>B510*D510/10000</f>
        <v/>
      </c>
      <c r="F510" s="3">
        <f>B510/30.48</f>
        <v/>
      </c>
      <c r="G510" s="3">
        <f>D510/30.48</f>
        <v/>
      </c>
      <c r="H510" s="615" t="n"/>
      <c r="L510" s="105" t="inlineStr">
        <is>
          <t>VR</t>
        </is>
      </c>
      <c r="M510" s="210" t="n"/>
      <c r="N510" s="211" t="n"/>
      <c r="O510" s="263" t="n"/>
      <c r="Q510" s="271" t="n"/>
      <c r="R510" s="282" t="n"/>
    </row>
    <row r="511" ht="18" customHeight="1" s="305">
      <c r="A511" s="8" t="n">
        <v>226</v>
      </c>
      <c r="B511" s="5" t="n">
        <v>90</v>
      </c>
      <c r="C511" s="6" t="inlineStr">
        <is>
          <t>X</t>
        </is>
      </c>
      <c r="D511" s="5" t="n">
        <v>44</v>
      </c>
      <c r="E511" s="2">
        <f>B511*D511/10000</f>
        <v/>
      </c>
      <c r="F511" s="3">
        <f>B511/30.48</f>
        <v/>
      </c>
      <c r="G511" s="3">
        <f>D511/30.48</f>
        <v/>
      </c>
      <c r="H511" s="615" t="n"/>
      <c r="L511" s="105" t="inlineStr">
        <is>
          <t>VR</t>
        </is>
      </c>
      <c r="M511" s="210" t="inlineStr">
        <is>
          <t>RK</t>
        </is>
      </c>
      <c r="N511" s="211" t="n"/>
      <c r="O511" s="263" t="n"/>
      <c r="Q511" s="271" t="n"/>
      <c r="R511" s="282" t="n"/>
    </row>
    <row r="512" ht="18" customHeight="1" s="305">
      <c r="A512" s="8" t="n">
        <v>228</v>
      </c>
      <c r="B512" s="5" t="n">
        <v>70</v>
      </c>
      <c r="C512" s="6" t="inlineStr">
        <is>
          <t>X</t>
        </is>
      </c>
      <c r="D512" s="5" t="n">
        <v>56</v>
      </c>
      <c r="E512" s="2">
        <f>B512*D512/10000</f>
        <v/>
      </c>
      <c r="F512" s="3">
        <f>B512/30.48</f>
        <v/>
      </c>
      <c r="G512" s="3">
        <f>D512/30.48</f>
        <v/>
      </c>
      <c r="H512" s="615" t="n"/>
      <c r="L512" s="105" t="inlineStr">
        <is>
          <t>VR</t>
        </is>
      </c>
      <c r="M512" s="210" t="n"/>
      <c r="N512" s="211" t="n"/>
      <c r="O512" s="263" t="n"/>
      <c r="Q512" s="271" t="n"/>
      <c r="R512" s="282" t="n"/>
    </row>
    <row r="513" ht="18" customHeight="1" s="305">
      <c r="A513" s="8" t="n">
        <v>231</v>
      </c>
      <c r="B513" s="5" t="n">
        <v>81</v>
      </c>
      <c r="C513" s="6" t="inlineStr">
        <is>
          <t>X</t>
        </is>
      </c>
      <c r="D513" s="5" t="n">
        <v>50</v>
      </c>
      <c r="E513" s="2">
        <f>B513*D513/10000</f>
        <v/>
      </c>
      <c r="F513" s="3">
        <f>B513/30.48</f>
        <v/>
      </c>
      <c r="G513" s="3">
        <f>D513/30.48</f>
        <v/>
      </c>
      <c r="H513" s="615" t="n"/>
      <c r="L513" s="105" t="inlineStr">
        <is>
          <t>VR</t>
        </is>
      </c>
      <c r="M513" s="210" t="n"/>
      <c r="N513" s="211" t="n"/>
      <c r="O513" s="263" t="n"/>
      <c r="Q513" s="271" t="n"/>
      <c r="R513" s="282" t="n"/>
    </row>
    <row r="514" ht="18" customHeight="1" s="305">
      <c r="A514" s="8" t="n">
        <v>233</v>
      </c>
      <c r="B514" s="5" t="n">
        <v>111</v>
      </c>
      <c r="C514" s="6" t="inlineStr">
        <is>
          <t>X</t>
        </is>
      </c>
      <c r="D514" s="5" t="n">
        <v>46</v>
      </c>
      <c r="E514" s="2">
        <f>B514*D514/10000</f>
        <v/>
      </c>
      <c r="F514" s="3">
        <f>B514/30.48</f>
        <v/>
      </c>
      <c r="G514" s="3">
        <f>D514/30.48</f>
        <v/>
      </c>
      <c r="H514" s="615" t="n"/>
      <c r="L514" s="105" t="inlineStr">
        <is>
          <t>VR</t>
        </is>
      </c>
      <c r="M514" s="210" t="n"/>
      <c r="N514" s="211" t="n"/>
      <c r="O514" s="263" t="n"/>
      <c r="Q514" s="271" t="n"/>
      <c r="R514" s="282" t="n"/>
    </row>
    <row r="515" ht="18" customHeight="1" s="305">
      <c r="A515" s="8" t="n">
        <v>237</v>
      </c>
      <c r="B515" s="5" t="n">
        <v>81</v>
      </c>
      <c r="C515" s="6" t="inlineStr">
        <is>
          <t>X</t>
        </is>
      </c>
      <c r="D515" s="5" t="n">
        <v>55</v>
      </c>
      <c r="E515" s="2">
        <f>B515*D515/10000</f>
        <v/>
      </c>
      <c r="F515" s="3">
        <f>B515/30.48</f>
        <v/>
      </c>
      <c r="G515" s="3">
        <f>D515/30.48</f>
        <v/>
      </c>
      <c r="H515" s="615" t="n"/>
      <c r="L515" s="105" t="inlineStr">
        <is>
          <t>VR</t>
        </is>
      </c>
      <c r="M515" s="210" t="n"/>
      <c r="N515" s="211" t="n"/>
      <c r="O515" s="263" t="n"/>
      <c r="Q515" s="271" t="n"/>
      <c r="R515" s="282" t="n"/>
    </row>
    <row r="516" ht="18" customHeight="1" s="305">
      <c r="A516" s="8" t="n">
        <v>239</v>
      </c>
      <c r="B516" s="5" t="n">
        <v>86</v>
      </c>
      <c r="C516" s="6" t="inlineStr">
        <is>
          <t>X</t>
        </is>
      </c>
      <c r="D516" s="5" t="n">
        <v>49</v>
      </c>
      <c r="E516" s="2">
        <f>B516*D516/10000</f>
        <v/>
      </c>
      <c r="F516" s="3">
        <f>B516/30.48</f>
        <v/>
      </c>
      <c r="G516" s="3">
        <f>D516/30.48</f>
        <v/>
      </c>
      <c r="H516" s="615" t="n"/>
      <c r="L516" s="105" t="inlineStr">
        <is>
          <t>VR</t>
        </is>
      </c>
      <c r="M516" s="210" t="n"/>
      <c r="N516" s="211" t="n"/>
      <c r="O516" s="263" t="n"/>
      <c r="Q516" s="271" t="n"/>
      <c r="R516" s="282" t="n"/>
    </row>
    <row r="517" ht="18" customHeight="1" s="305">
      <c r="A517" s="8" t="n">
        <v>240</v>
      </c>
      <c r="B517" s="5" t="n">
        <v>82</v>
      </c>
      <c r="C517" s="6" t="inlineStr">
        <is>
          <t>X</t>
        </is>
      </c>
      <c r="D517" s="5" t="n">
        <v>43</v>
      </c>
      <c r="E517" s="2">
        <f>B517*D517/10000</f>
        <v/>
      </c>
      <c r="F517" s="3">
        <f>B517/30.48</f>
        <v/>
      </c>
      <c r="G517" s="3">
        <f>D517/30.48</f>
        <v/>
      </c>
      <c r="H517" s="615" t="n"/>
      <c r="L517" s="105" t="inlineStr">
        <is>
          <t>VR</t>
        </is>
      </c>
      <c r="M517" s="210" t="n"/>
      <c r="N517" s="211" t="n"/>
      <c r="O517" s="263" t="n"/>
      <c r="Q517" s="271" t="n"/>
      <c r="R517" s="282" t="n"/>
    </row>
    <row r="518" ht="18" customHeight="1" s="305">
      <c r="A518" s="8" t="n">
        <v>242</v>
      </c>
      <c r="B518" s="5" t="n">
        <v>90</v>
      </c>
      <c r="C518" s="6" t="inlineStr">
        <is>
          <t>X</t>
        </is>
      </c>
      <c r="D518" s="5" t="n">
        <v>41</v>
      </c>
      <c r="E518" s="2">
        <f>B518*D518/10000</f>
        <v/>
      </c>
      <c r="F518" s="3">
        <f>B518/30.48</f>
        <v/>
      </c>
      <c r="G518" s="3">
        <f>D518/30.48</f>
        <v/>
      </c>
      <c r="H518" s="615" t="n"/>
      <c r="L518" s="105" t="inlineStr">
        <is>
          <t>VR</t>
        </is>
      </c>
      <c r="M518" s="210" t="n"/>
      <c r="N518" s="211" t="n"/>
      <c r="O518" s="263" t="n"/>
      <c r="Q518" s="271" t="n"/>
      <c r="R518" s="282" t="n"/>
    </row>
    <row r="519" ht="18" customHeight="1" s="305">
      <c r="A519" s="8" t="n">
        <v>246</v>
      </c>
      <c r="B519" s="5" t="n">
        <v>81</v>
      </c>
      <c r="C519" s="6" t="inlineStr">
        <is>
          <t>X</t>
        </is>
      </c>
      <c r="D519" s="5" t="n">
        <v>47</v>
      </c>
      <c r="E519" s="2">
        <f>B519*D519/10000</f>
        <v/>
      </c>
      <c r="F519" s="3">
        <f>B519/30.48</f>
        <v/>
      </c>
      <c r="G519" s="3">
        <f>D519/30.48</f>
        <v/>
      </c>
      <c r="H519" s="615" t="n"/>
      <c r="L519" s="105" t="inlineStr">
        <is>
          <t>VR</t>
        </is>
      </c>
      <c r="M519" s="210" t="n"/>
      <c r="N519" s="211" t="n"/>
      <c r="O519" s="263" t="n"/>
      <c r="Q519" s="271" t="n"/>
      <c r="R519" s="282" t="n"/>
    </row>
    <row r="520" ht="18" customHeight="1" s="305">
      <c r="A520" s="8" t="n">
        <v>248</v>
      </c>
      <c r="B520" s="5" t="n">
        <v>89</v>
      </c>
      <c r="C520" s="6" t="inlineStr">
        <is>
          <t>X</t>
        </is>
      </c>
      <c r="D520" s="5" t="n">
        <v>52</v>
      </c>
      <c r="E520" s="2">
        <f>B520*D520/10000</f>
        <v/>
      </c>
      <c r="F520" s="3">
        <f>B520/30.48</f>
        <v/>
      </c>
      <c r="G520" s="3">
        <f>D520/30.48</f>
        <v/>
      </c>
      <c r="H520" s="615" t="n"/>
      <c r="L520" s="105" t="inlineStr">
        <is>
          <t>VR</t>
        </is>
      </c>
      <c r="M520" s="210" t="n"/>
      <c r="N520" s="211" t="n"/>
      <c r="O520" s="263" t="n"/>
      <c r="Q520" s="271" t="n"/>
      <c r="R520" s="282" t="n"/>
    </row>
    <row r="521" ht="18" customHeight="1" s="305">
      <c r="A521" s="8" t="n">
        <v>251</v>
      </c>
      <c r="B521" s="5" t="n">
        <v>89</v>
      </c>
      <c r="C521" s="6" t="inlineStr">
        <is>
          <t>X</t>
        </is>
      </c>
      <c r="D521" s="5" t="n">
        <v>39</v>
      </c>
      <c r="E521" s="2">
        <f>B521*D521/10000</f>
        <v/>
      </c>
      <c r="F521" s="3">
        <f>B521/30.48</f>
        <v/>
      </c>
      <c r="G521" s="3">
        <f>D521/30.48</f>
        <v/>
      </c>
      <c r="H521" s="615" t="n"/>
      <c r="L521" s="105" t="inlineStr">
        <is>
          <t>VR</t>
        </is>
      </c>
      <c r="M521" s="210" t="n"/>
      <c r="N521" s="211" t="n"/>
      <c r="O521" s="263" t="n"/>
      <c r="Q521" s="271" t="n"/>
      <c r="R521" s="282" t="n"/>
    </row>
    <row r="522" ht="18" customHeight="1" s="305">
      <c r="A522" s="8" t="n">
        <v>252</v>
      </c>
      <c r="B522" s="5" t="n">
        <v>79</v>
      </c>
      <c r="C522" s="6" t="inlineStr">
        <is>
          <t>X</t>
        </is>
      </c>
      <c r="D522" s="5" t="n">
        <v>40</v>
      </c>
      <c r="E522" s="2">
        <f>B522*D522/10000</f>
        <v/>
      </c>
      <c r="F522" s="3">
        <f>B522/30.48</f>
        <v/>
      </c>
      <c r="G522" s="3">
        <f>D522/30.48</f>
        <v/>
      </c>
      <c r="H522" s="615" t="n"/>
      <c r="L522" s="105" t="inlineStr">
        <is>
          <t>VR</t>
        </is>
      </c>
      <c r="M522" s="210" t="n"/>
      <c r="N522" s="211" t="n"/>
      <c r="O522" s="263" t="n"/>
      <c r="Q522" s="271" t="n"/>
      <c r="R522" s="282" t="n"/>
    </row>
    <row r="523" ht="18" customHeight="1" s="305">
      <c r="A523" s="8" t="n">
        <v>262</v>
      </c>
      <c r="B523" s="5" t="n">
        <v>82</v>
      </c>
      <c r="C523" s="6" t="inlineStr">
        <is>
          <t>X</t>
        </is>
      </c>
      <c r="D523" s="5" t="n">
        <v>43</v>
      </c>
      <c r="E523" s="2">
        <f>B523*D523/10000</f>
        <v/>
      </c>
      <c r="F523" s="3">
        <f>B523/30.48</f>
        <v/>
      </c>
      <c r="G523" s="3">
        <f>D523/30.48</f>
        <v/>
      </c>
      <c r="H523" s="615" t="n"/>
      <c r="L523" s="105" t="inlineStr">
        <is>
          <t>VR</t>
        </is>
      </c>
      <c r="M523" s="210" t="n"/>
      <c r="N523" s="211" t="n"/>
      <c r="O523" s="263" t="n"/>
      <c r="Q523" s="271" t="n"/>
      <c r="R523" s="282" t="n"/>
    </row>
    <row r="524" ht="18" customHeight="1" s="305">
      <c r="A524" s="8" t="n">
        <v>263</v>
      </c>
      <c r="B524" s="5" t="n">
        <v>81</v>
      </c>
      <c r="C524" s="6" t="inlineStr">
        <is>
          <t>X</t>
        </is>
      </c>
      <c r="D524" s="5" t="n">
        <v>50</v>
      </c>
      <c r="E524" s="2">
        <f>B524*D524/10000</f>
        <v/>
      </c>
      <c r="F524" s="3">
        <f>B524/30.48</f>
        <v/>
      </c>
      <c r="G524" s="3">
        <f>D524/30.48</f>
        <v/>
      </c>
      <c r="H524" s="615" t="n"/>
      <c r="L524" s="105" t="inlineStr">
        <is>
          <t>VR</t>
        </is>
      </c>
      <c r="M524" s="210" t="n"/>
      <c r="N524" s="211" t="n"/>
      <c r="O524" s="263" t="n"/>
      <c r="Q524" s="271" t="n"/>
      <c r="R524" s="282" t="n"/>
    </row>
    <row r="525" ht="18" customHeight="1" s="305">
      <c r="A525" s="8" t="n">
        <v>267</v>
      </c>
      <c r="B525" s="5" t="n">
        <v>83</v>
      </c>
      <c r="C525" s="6" t="inlineStr">
        <is>
          <t>X</t>
        </is>
      </c>
      <c r="D525" s="5" t="n">
        <v>42</v>
      </c>
      <c r="E525" s="2">
        <f>B525*D525/10000</f>
        <v/>
      </c>
      <c r="F525" s="3">
        <f>B525/30.48</f>
        <v/>
      </c>
      <c r="G525" s="3">
        <f>D525/30.48</f>
        <v/>
      </c>
      <c r="H525" s="615" t="n"/>
      <c r="L525" s="105" t="inlineStr">
        <is>
          <t>VR</t>
        </is>
      </c>
      <c r="M525" s="210" t="n"/>
      <c r="N525" s="211" t="n"/>
      <c r="O525" s="263" t="n"/>
      <c r="Q525" s="271" t="n"/>
      <c r="R525" s="282" t="n"/>
    </row>
    <row r="526" ht="18" customHeight="1" s="305">
      <c r="A526" s="8" t="n">
        <v>268</v>
      </c>
      <c r="B526" s="5" t="n">
        <v>74</v>
      </c>
      <c r="C526" s="6" t="inlineStr">
        <is>
          <t>X</t>
        </is>
      </c>
      <c r="D526" s="5" t="n">
        <v>41</v>
      </c>
      <c r="E526" s="2">
        <f>B526*D526/10000</f>
        <v/>
      </c>
      <c r="F526" s="3">
        <f>B526/30.48</f>
        <v/>
      </c>
      <c r="G526" s="3">
        <f>D526/30.48</f>
        <v/>
      </c>
      <c r="H526" s="615" t="n"/>
      <c r="L526" s="105" t="inlineStr">
        <is>
          <t>VR</t>
        </is>
      </c>
      <c r="M526" s="210" t="n"/>
      <c r="N526" s="211" t="n"/>
      <c r="O526" s="263" t="n"/>
      <c r="Q526" s="271" t="n"/>
      <c r="R526" s="282" t="n"/>
    </row>
    <row r="527" ht="18" customHeight="1" s="305">
      <c r="A527" s="8" t="n">
        <v>273</v>
      </c>
      <c r="B527" s="5" t="n">
        <v>81</v>
      </c>
      <c r="C527" s="6" t="inlineStr">
        <is>
          <t>X</t>
        </is>
      </c>
      <c r="D527" s="5" t="n">
        <v>39</v>
      </c>
      <c r="E527" s="2">
        <f>B527*D527/10000</f>
        <v/>
      </c>
      <c r="F527" s="3">
        <f>B527/30.48</f>
        <v/>
      </c>
      <c r="G527" s="3">
        <f>D527/30.48</f>
        <v/>
      </c>
      <c r="H527" s="615" t="n"/>
      <c r="L527" s="105" t="inlineStr">
        <is>
          <t>VR</t>
        </is>
      </c>
      <c r="M527" s="210" t="n"/>
      <c r="N527" s="211" t="n"/>
      <c r="O527" s="263" t="n"/>
      <c r="Q527" s="271" t="n"/>
      <c r="R527" s="282" t="n"/>
    </row>
    <row r="528" ht="18" customHeight="1" s="305">
      <c r="A528" s="8" t="n">
        <v>274</v>
      </c>
      <c r="B528" s="5" t="n">
        <v>85</v>
      </c>
      <c r="C528" s="6" t="inlineStr">
        <is>
          <t>X</t>
        </is>
      </c>
      <c r="D528" s="5" t="n">
        <v>38</v>
      </c>
      <c r="E528" s="2">
        <f>B528*D528/10000</f>
        <v/>
      </c>
      <c r="F528" s="3">
        <f>B528/30.48</f>
        <v/>
      </c>
      <c r="G528" s="3">
        <f>D528/30.48</f>
        <v/>
      </c>
      <c r="H528" s="615" t="n"/>
      <c r="L528" s="105" t="inlineStr">
        <is>
          <t>VR</t>
        </is>
      </c>
      <c r="M528" s="210" t="n"/>
      <c r="N528" s="211" t="n"/>
      <c r="O528" s="263" t="n"/>
      <c r="Q528" s="271" t="n"/>
      <c r="R528" s="282" t="n"/>
    </row>
    <row r="529" ht="18" customHeight="1" s="305">
      <c r="A529" s="8" t="n">
        <v>276</v>
      </c>
      <c r="B529" s="5" t="n">
        <v>91</v>
      </c>
      <c r="C529" s="6" t="inlineStr">
        <is>
          <t>X</t>
        </is>
      </c>
      <c r="D529" s="5" t="n">
        <v>42</v>
      </c>
      <c r="E529" s="2">
        <f>B529*D529/10000</f>
        <v/>
      </c>
      <c r="F529" s="3">
        <f>B529/30.48</f>
        <v/>
      </c>
      <c r="G529" s="3">
        <f>D529/30.48</f>
        <v/>
      </c>
      <c r="H529" s="615" t="n"/>
      <c r="L529" s="105" t="inlineStr">
        <is>
          <t>VR</t>
        </is>
      </c>
      <c r="M529" s="210" t="n"/>
      <c r="N529" s="211" t="n"/>
      <c r="O529" s="263" t="n"/>
      <c r="Q529" s="271" t="n"/>
      <c r="R529" s="282" t="n"/>
    </row>
    <row r="530" ht="18" customHeight="1" s="305">
      <c r="A530" s="8" t="n">
        <v>283</v>
      </c>
      <c r="B530" s="5" t="n">
        <v>84</v>
      </c>
      <c r="C530" s="6" t="inlineStr">
        <is>
          <t>X</t>
        </is>
      </c>
      <c r="D530" s="5" t="n">
        <v>42</v>
      </c>
      <c r="E530" s="2">
        <f>B530*D530/10000</f>
        <v/>
      </c>
      <c r="F530" s="3">
        <f>B530/30.48</f>
        <v/>
      </c>
      <c r="G530" s="3">
        <f>D530/30.48</f>
        <v/>
      </c>
      <c r="H530" s="615" t="n"/>
      <c r="L530" s="105" t="inlineStr">
        <is>
          <t>VR</t>
        </is>
      </c>
      <c r="M530" s="210" t="n"/>
      <c r="N530" s="211" t="n"/>
      <c r="O530" s="263" t="n"/>
      <c r="Q530" s="271" t="n"/>
      <c r="R530" s="282" t="n"/>
    </row>
    <row r="531" ht="18" customHeight="1" s="305">
      <c r="A531" s="8" t="n">
        <v>284</v>
      </c>
      <c r="B531" s="5" t="n">
        <v>86</v>
      </c>
      <c r="C531" s="6" t="inlineStr">
        <is>
          <t>X</t>
        </is>
      </c>
      <c r="D531" s="5" t="n">
        <v>46</v>
      </c>
      <c r="E531" s="2">
        <f>B531*D531/10000</f>
        <v/>
      </c>
      <c r="F531" s="3">
        <f>B531/30.48</f>
        <v/>
      </c>
      <c r="G531" s="3">
        <f>D531/30.48</f>
        <v/>
      </c>
      <c r="H531" s="615" t="n"/>
      <c r="L531" s="105" t="inlineStr">
        <is>
          <t>VR</t>
        </is>
      </c>
      <c r="M531" s="210" t="n"/>
      <c r="N531" s="211" t="n"/>
      <c r="O531" s="263" t="n"/>
      <c r="Q531" s="271" t="n"/>
      <c r="R531" s="282" t="n"/>
    </row>
    <row r="532" ht="18" customHeight="1" s="305">
      <c r="A532" s="8" t="n">
        <v>287</v>
      </c>
      <c r="B532" s="5" t="n">
        <v>82</v>
      </c>
      <c r="C532" s="6" t="inlineStr">
        <is>
          <t>X</t>
        </is>
      </c>
      <c r="D532" s="5" t="n">
        <v>47</v>
      </c>
      <c r="E532" s="2">
        <f>B532*D532/10000</f>
        <v/>
      </c>
      <c r="F532" s="3">
        <f>B532/30.48</f>
        <v/>
      </c>
      <c r="G532" s="3">
        <f>D532/30.48</f>
        <v/>
      </c>
      <c r="H532" s="615" t="n"/>
      <c r="L532" s="105" t="inlineStr">
        <is>
          <t>VR</t>
        </is>
      </c>
      <c r="M532" s="210" t="n"/>
      <c r="N532" s="211" t="n"/>
      <c r="O532" s="263" t="n"/>
      <c r="Q532" s="271" t="n"/>
      <c r="R532" s="282" t="n"/>
    </row>
    <row r="533" ht="18" customHeight="1" s="305">
      <c r="A533" s="8" t="n">
        <v>291</v>
      </c>
      <c r="B533" s="5" t="n">
        <v>80</v>
      </c>
      <c r="C533" s="6" t="inlineStr">
        <is>
          <t>X</t>
        </is>
      </c>
      <c r="D533" s="5" t="n">
        <v>41</v>
      </c>
      <c r="E533" s="2">
        <f>B533*D533/10000</f>
        <v/>
      </c>
      <c r="F533" s="3">
        <f>B533/30.48</f>
        <v/>
      </c>
      <c r="G533" s="3">
        <f>D533/30.48</f>
        <v/>
      </c>
      <c r="H533" s="615" t="n"/>
      <c r="L533" s="105" t="inlineStr">
        <is>
          <t>VR</t>
        </is>
      </c>
      <c r="M533" s="210" t="n"/>
      <c r="N533" s="211" t="n"/>
      <c r="O533" s="263" t="n"/>
      <c r="Q533" s="271" t="n"/>
      <c r="R533" s="282" t="n"/>
    </row>
    <row r="534" ht="18" customHeight="1" s="305">
      <c r="A534" s="8" t="n">
        <v>299</v>
      </c>
      <c r="B534" s="5" t="n">
        <v>88</v>
      </c>
      <c r="C534" s="6" t="inlineStr">
        <is>
          <t>X</t>
        </is>
      </c>
      <c r="D534" s="5" t="n">
        <v>32</v>
      </c>
      <c r="E534" s="2">
        <f>B534*D534/10000</f>
        <v/>
      </c>
      <c r="F534" s="3">
        <f>B534/30.48</f>
        <v/>
      </c>
      <c r="G534" s="3">
        <f>D534/30.48</f>
        <v/>
      </c>
      <c r="H534" s="615" t="n"/>
      <c r="L534" s="105" t="inlineStr">
        <is>
          <t>VR</t>
        </is>
      </c>
      <c r="M534" s="210" t="n"/>
      <c r="N534" s="211" t="n"/>
      <c r="O534" s="263" t="n"/>
      <c r="Q534" s="271" t="n"/>
      <c r="R534" s="282" t="n"/>
    </row>
    <row r="535" ht="18" customHeight="1" s="305">
      <c r="A535" s="8" t="n">
        <v>35</v>
      </c>
      <c r="B535" s="5" t="n">
        <v>95</v>
      </c>
      <c r="C535" s="6" t="inlineStr">
        <is>
          <t>X</t>
        </is>
      </c>
      <c r="D535" s="5" t="n">
        <v>54</v>
      </c>
      <c r="E535" s="2">
        <f>B535*D535/10000</f>
        <v/>
      </c>
      <c r="F535" s="3">
        <f>B535/30.48</f>
        <v/>
      </c>
      <c r="G535" s="3">
        <f>D535/30.48</f>
        <v/>
      </c>
      <c r="H535" s="615" t="n"/>
      <c r="L535" s="105" t="inlineStr">
        <is>
          <t>VR</t>
        </is>
      </c>
      <c r="M535" s="210" t="n"/>
      <c r="N535" s="211" t="n"/>
      <c r="O535" s="263" t="n"/>
      <c r="Q535" s="271" t="n"/>
      <c r="R535" s="282" t="n"/>
    </row>
    <row r="536" ht="18" customHeight="1" s="305">
      <c r="A536" s="8" t="n">
        <v>41</v>
      </c>
      <c r="B536" s="5" t="n">
        <v>94</v>
      </c>
      <c r="C536" s="6" t="inlineStr">
        <is>
          <t>X</t>
        </is>
      </c>
      <c r="D536" s="5" t="n">
        <v>58</v>
      </c>
      <c r="E536" s="2">
        <f>B536*D536/10000</f>
        <v/>
      </c>
      <c r="F536" s="3">
        <f>B536/30.48</f>
        <v/>
      </c>
      <c r="G536" s="3">
        <f>D536/30.48</f>
        <v/>
      </c>
      <c r="H536" s="615" t="n"/>
      <c r="M536" s="210" t="n"/>
      <c r="N536" s="211" t="n"/>
      <c r="O536" s="263" t="n"/>
      <c r="Q536" s="271" t="n"/>
      <c r="R536" s="282" t="n"/>
    </row>
    <row r="537" ht="18" customHeight="1" s="305">
      <c r="A537" s="8" t="n">
        <v>59</v>
      </c>
      <c r="B537" s="5" t="n">
        <v>96</v>
      </c>
      <c r="C537" s="6" t="inlineStr">
        <is>
          <t>X</t>
        </is>
      </c>
      <c r="D537" s="5" t="n">
        <v>48</v>
      </c>
      <c r="E537" s="2">
        <f>B537*D537/10000</f>
        <v/>
      </c>
      <c r="F537" s="3">
        <f>B537/30.48</f>
        <v/>
      </c>
      <c r="G537" s="3">
        <f>D537/30.48</f>
        <v/>
      </c>
      <c r="H537" s="615" t="n"/>
      <c r="L537" s="105" t="inlineStr">
        <is>
          <t>VR</t>
        </is>
      </c>
      <c r="M537" s="210" t="n"/>
      <c r="N537" s="211" t="n"/>
      <c r="O537" s="263" t="n"/>
      <c r="Q537" s="271" t="n"/>
      <c r="R537" s="282" t="n"/>
    </row>
    <row r="538" ht="18" customHeight="1" s="305">
      <c r="A538" s="8" t="n">
        <v>62</v>
      </c>
      <c r="B538" s="5" t="n">
        <v>72</v>
      </c>
      <c r="C538" s="6" t="inlineStr">
        <is>
          <t>X</t>
        </is>
      </c>
      <c r="D538" s="5" t="n">
        <v>48</v>
      </c>
      <c r="E538" s="2">
        <f>B538*D538/10000</f>
        <v/>
      </c>
      <c r="F538" s="3">
        <f>B538/30.48</f>
        <v/>
      </c>
      <c r="G538" s="3">
        <f>D538/30.48</f>
        <v/>
      </c>
      <c r="H538" s="615" t="n"/>
      <c r="L538" s="105" t="inlineStr">
        <is>
          <t>VR</t>
        </is>
      </c>
      <c r="M538" s="210" t="n"/>
      <c r="N538" s="211" t="n"/>
      <c r="O538" s="263" t="n"/>
      <c r="Q538" s="271" t="n"/>
      <c r="R538" s="282" t="n"/>
    </row>
    <row r="539" ht="18" customHeight="1" s="305">
      <c r="A539" s="8" t="n">
        <v>85</v>
      </c>
      <c r="B539" s="5" t="n">
        <v>86</v>
      </c>
      <c r="C539" s="6" t="inlineStr">
        <is>
          <t>X</t>
        </is>
      </c>
      <c r="D539" s="5" t="n">
        <v>47</v>
      </c>
      <c r="E539" s="2">
        <f>B539*D539/10000</f>
        <v/>
      </c>
      <c r="F539" s="3">
        <f>B539/30.48</f>
        <v/>
      </c>
      <c r="G539" s="3">
        <f>D539/30.48</f>
        <v/>
      </c>
      <c r="H539" s="615" t="n"/>
      <c r="L539" s="105" t="inlineStr">
        <is>
          <t>VR</t>
        </is>
      </c>
      <c r="M539" s="210" t="n"/>
      <c r="N539" s="211" t="n"/>
      <c r="O539" s="263" t="n"/>
      <c r="Q539" s="271" t="n"/>
      <c r="R539" s="282" t="n"/>
    </row>
    <row r="540" ht="18" customHeight="1" s="305">
      <c r="A540" s="8" t="n">
        <v>90</v>
      </c>
      <c r="B540" s="5" t="n">
        <v>105</v>
      </c>
      <c r="C540" s="6" t="inlineStr">
        <is>
          <t>X</t>
        </is>
      </c>
      <c r="D540" s="5" t="n">
        <v>47</v>
      </c>
      <c r="E540" s="2">
        <f>B540*D540/10000</f>
        <v/>
      </c>
      <c r="F540" s="3">
        <f>B540/30.48</f>
        <v/>
      </c>
      <c r="G540" s="3">
        <f>D540/30.48</f>
        <v/>
      </c>
      <c r="H540" s="615" t="n"/>
      <c r="L540" s="105" t="inlineStr">
        <is>
          <t>VR</t>
        </is>
      </c>
      <c r="M540" s="210" t="n"/>
      <c r="N540" s="211" t="n"/>
      <c r="O540" s="263" t="n"/>
      <c r="Q540" s="271" t="n"/>
      <c r="R540" s="282" t="n"/>
    </row>
    <row r="541" ht="18" customHeight="1" s="305">
      <c r="A541" s="8" t="n">
        <v>99</v>
      </c>
      <c r="B541" s="5" t="n">
        <v>95</v>
      </c>
      <c r="C541" s="6" t="inlineStr">
        <is>
          <t>X</t>
        </is>
      </c>
      <c r="D541" s="5" t="n">
        <v>49</v>
      </c>
      <c r="E541" s="2">
        <f>B541*D541/10000</f>
        <v/>
      </c>
      <c r="F541" s="3">
        <f>B541/30.48</f>
        <v/>
      </c>
      <c r="G541" s="3">
        <f>D541/30.48</f>
        <v/>
      </c>
      <c r="H541" s="615" t="n"/>
      <c r="M541" s="210" t="n"/>
      <c r="N541" s="211" t="n"/>
      <c r="O541" s="263" t="n"/>
      <c r="Q541" s="271" t="n"/>
      <c r="R541" s="282" t="n"/>
    </row>
    <row r="542" ht="18" customHeight="1" s="305">
      <c r="A542" s="8" t="n">
        <v>116</v>
      </c>
      <c r="B542" s="5" t="n">
        <v>108</v>
      </c>
      <c r="C542" s="6" t="inlineStr">
        <is>
          <t>X</t>
        </is>
      </c>
      <c r="D542" s="5" t="n">
        <v>55</v>
      </c>
      <c r="E542" s="2">
        <f>B542*D542/10000</f>
        <v/>
      </c>
      <c r="F542" s="3">
        <f>B542/30.48</f>
        <v/>
      </c>
      <c r="G542" s="3">
        <f>D542/30.48</f>
        <v/>
      </c>
      <c r="H542" s="615" t="n"/>
      <c r="M542" s="210" t="n"/>
      <c r="N542" s="211" t="n"/>
      <c r="O542" s="263" t="n"/>
      <c r="Q542" s="271" t="n"/>
      <c r="R542" s="282" t="n"/>
    </row>
    <row r="543" ht="18" customHeight="1" s="305">
      <c r="A543" s="8" t="n">
        <v>187</v>
      </c>
      <c r="B543" s="5" t="n">
        <v>96</v>
      </c>
      <c r="C543" s="6" t="inlineStr">
        <is>
          <t>X</t>
        </is>
      </c>
      <c r="D543" s="5" t="n">
        <v>43</v>
      </c>
      <c r="E543" s="2">
        <f>B543*D543/10000</f>
        <v/>
      </c>
      <c r="F543" s="3">
        <f>B543/30.48</f>
        <v/>
      </c>
      <c r="G543" s="3">
        <f>D543/30.48</f>
        <v/>
      </c>
      <c r="H543" s="615" t="n"/>
      <c r="M543" s="210" t="n"/>
      <c r="N543" s="211" t="n"/>
      <c r="O543" s="263" t="n"/>
      <c r="Q543" s="271" t="n"/>
      <c r="R543" s="282" t="n"/>
    </row>
    <row r="544" ht="18" customHeight="1" s="305">
      <c r="A544" s="8" t="n">
        <v>190</v>
      </c>
      <c r="B544" s="5" t="n">
        <v>66</v>
      </c>
      <c r="C544" s="6" t="inlineStr">
        <is>
          <t>X</t>
        </is>
      </c>
      <c r="D544" s="5" t="n">
        <v>50</v>
      </c>
      <c r="E544" s="2">
        <f>B544*D544/10000</f>
        <v/>
      </c>
      <c r="F544" s="3">
        <f>B544/30.48</f>
        <v/>
      </c>
      <c r="G544" s="3">
        <f>D544/30.48</f>
        <v/>
      </c>
      <c r="H544" s="615" t="n"/>
      <c r="M544" s="210" t="n"/>
      <c r="N544" s="211" t="n"/>
      <c r="O544" s="263" t="n"/>
      <c r="Q544" s="271" t="n"/>
      <c r="R544" s="282" t="n"/>
    </row>
    <row r="545" ht="18" customHeight="1" s="305">
      <c r="A545" s="8" t="n">
        <v>194</v>
      </c>
      <c r="B545" s="5" t="n">
        <v>75</v>
      </c>
      <c r="C545" s="6" t="inlineStr">
        <is>
          <t>X</t>
        </is>
      </c>
      <c r="D545" s="5" t="n">
        <v>52</v>
      </c>
      <c r="E545" s="2">
        <f>B545*D545/10000</f>
        <v/>
      </c>
      <c r="F545" s="3">
        <f>B545/30.48</f>
        <v/>
      </c>
      <c r="G545" s="3">
        <f>D545/30.48</f>
        <v/>
      </c>
      <c r="H545" s="615" t="n"/>
      <c r="M545" s="210" t="n"/>
      <c r="N545" s="211" t="n"/>
      <c r="O545" s="263" t="n"/>
      <c r="Q545" s="271" t="n"/>
      <c r="R545" s="282" t="n"/>
    </row>
    <row r="546" ht="18" customHeight="1" s="305">
      <c r="A546" s="8" t="n">
        <v>203</v>
      </c>
      <c r="B546" s="5" t="n">
        <v>86</v>
      </c>
      <c r="C546" s="6" t="inlineStr">
        <is>
          <t>X</t>
        </is>
      </c>
      <c r="D546" s="5" t="n">
        <v>51</v>
      </c>
      <c r="E546" s="2">
        <f>B546*D546/10000</f>
        <v/>
      </c>
      <c r="F546" s="3">
        <f>B546/30.48</f>
        <v/>
      </c>
      <c r="G546" s="3">
        <f>D546/30.48</f>
        <v/>
      </c>
      <c r="H546" s="615" t="n"/>
      <c r="M546" s="210" t="n"/>
      <c r="N546" s="211" t="n"/>
      <c r="O546" s="263" t="n"/>
      <c r="Q546" s="271" t="n"/>
      <c r="R546" s="282" t="n"/>
    </row>
    <row r="547" ht="18" customHeight="1" s="305">
      <c r="A547" s="8" t="n">
        <v>217</v>
      </c>
      <c r="B547" s="5" t="n">
        <v>92</v>
      </c>
      <c r="C547" s="6" t="inlineStr">
        <is>
          <t>X</t>
        </is>
      </c>
      <c r="D547" s="5" t="n">
        <v>51</v>
      </c>
      <c r="E547" s="2">
        <f>B547*D547/10000</f>
        <v/>
      </c>
      <c r="F547" s="3">
        <f>B547/30.48</f>
        <v/>
      </c>
      <c r="G547" s="3">
        <f>D547/30.48</f>
        <v/>
      </c>
      <c r="H547" s="615" t="n"/>
      <c r="M547" s="210" t="n"/>
      <c r="N547" s="211" t="n"/>
      <c r="O547" s="263" t="n"/>
      <c r="Q547" s="271" t="n"/>
      <c r="R547" s="282" t="n"/>
    </row>
    <row r="548" ht="18" customHeight="1" s="305">
      <c r="A548" s="8" t="n">
        <v>225</v>
      </c>
      <c r="B548" s="5" t="n">
        <v>66</v>
      </c>
      <c r="C548" s="6" t="inlineStr">
        <is>
          <t>X</t>
        </is>
      </c>
      <c r="D548" s="5" t="n">
        <v>46</v>
      </c>
      <c r="E548" s="2">
        <f>B548*D548/10000</f>
        <v/>
      </c>
      <c r="F548" s="3">
        <f>B548/30.48</f>
        <v/>
      </c>
      <c r="G548" s="3">
        <f>D548/30.48</f>
        <v/>
      </c>
      <c r="H548" s="615" t="n"/>
      <c r="M548" s="210" t="n"/>
      <c r="N548" s="211" t="n"/>
      <c r="O548" s="263" t="n"/>
      <c r="Q548" s="271" t="n"/>
      <c r="R548" s="282" t="n"/>
    </row>
    <row r="549" ht="18" customHeight="1" s="305">
      <c r="A549" s="8" t="n">
        <v>227</v>
      </c>
      <c r="B549" s="5" t="n">
        <v>73</v>
      </c>
      <c r="C549" s="6" t="inlineStr">
        <is>
          <t>X</t>
        </is>
      </c>
      <c r="D549" s="5" t="n">
        <v>50</v>
      </c>
      <c r="E549" s="2">
        <f>B549*D549/10000</f>
        <v/>
      </c>
      <c r="F549" s="3">
        <f>B549/30.48</f>
        <v/>
      </c>
      <c r="G549" s="3">
        <f>D549/30.48</f>
        <v/>
      </c>
      <c r="H549" s="615" t="n"/>
      <c r="M549" s="210" t="n"/>
      <c r="N549" s="211" t="n"/>
      <c r="O549" s="263" t="n"/>
      <c r="Q549" s="271" t="n"/>
      <c r="R549" s="282" t="n"/>
    </row>
    <row r="550" ht="18" customHeight="1" s="305">
      <c r="A550" s="8" t="n">
        <v>230</v>
      </c>
      <c r="B550" s="5" t="n">
        <v>81</v>
      </c>
      <c r="C550" s="6" t="inlineStr">
        <is>
          <t>X</t>
        </is>
      </c>
      <c r="D550" s="5" t="n">
        <v>45</v>
      </c>
      <c r="E550" s="2">
        <f>B550*D550/10000</f>
        <v/>
      </c>
      <c r="F550" s="3">
        <f>B550/30.48</f>
        <v/>
      </c>
      <c r="G550" s="3">
        <f>D550/30.48</f>
        <v/>
      </c>
      <c r="H550" s="615" t="n"/>
      <c r="M550" s="210" t="n"/>
      <c r="N550" s="211" t="n"/>
      <c r="O550" s="263" t="n"/>
      <c r="Q550" s="271" t="n"/>
      <c r="R550" s="282" t="n"/>
    </row>
    <row r="551" ht="18" customHeight="1" s="305">
      <c r="A551" s="8" t="n">
        <v>232</v>
      </c>
      <c r="B551" s="5" t="n">
        <v>76</v>
      </c>
      <c r="C551" s="6" t="inlineStr">
        <is>
          <t>X</t>
        </is>
      </c>
      <c r="D551" s="5" t="n">
        <v>47</v>
      </c>
      <c r="E551" s="2">
        <f>B551*D551/10000</f>
        <v/>
      </c>
      <c r="F551" s="3">
        <f>B551/30.48</f>
        <v/>
      </c>
      <c r="G551" s="3">
        <f>D551/30.48</f>
        <v/>
      </c>
      <c r="H551" s="615" t="n"/>
      <c r="M551" s="210" t="n"/>
      <c r="N551" s="211" t="n"/>
      <c r="O551" s="263" t="n"/>
      <c r="Q551" s="271" t="n"/>
      <c r="R551" s="282" t="n"/>
    </row>
    <row r="552" ht="18" customHeight="1" s="305">
      <c r="A552" s="8" t="n">
        <v>235</v>
      </c>
      <c r="B552" s="5" t="n">
        <v>82</v>
      </c>
      <c r="C552" s="6" t="inlineStr">
        <is>
          <t>X</t>
        </is>
      </c>
      <c r="D552" s="5" t="n">
        <v>47</v>
      </c>
      <c r="E552" s="2">
        <f>B552*D552/10000</f>
        <v/>
      </c>
      <c r="F552" s="3">
        <f>B552/30.48</f>
        <v/>
      </c>
      <c r="G552" s="3">
        <f>D552/30.48</f>
        <v/>
      </c>
      <c r="H552" s="615" t="n"/>
      <c r="M552" s="210" t="n"/>
      <c r="N552" s="211" t="n"/>
      <c r="O552" s="263" t="n"/>
      <c r="Q552" s="271" t="n"/>
      <c r="R552" s="282" t="n"/>
    </row>
    <row r="553" ht="18" customHeight="1" s="305">
      <c r="A553" s="8" t="n">
        <v>236</v>
      </c>
      <c r="B553" s="5" t="n">
        <v>90</v>
      </c>
      <c r="C553" s="6" t="inlineStr">
        <is>
          <t>X</t>
        </is>
      </c>
      <c r="D553" s="5" t="n">
        <v>48</v>
      </c>
      <c r="E553" s="2">
        <f>B553*D553/10000</f>
        <v/>
      </c>
      <c r="F553" s="3">
        <f>B553/30.48</f>
        <v/>
      </c>
      <c r="G553" s="3">
        <f>D553/30.48</f>
        <v/>
      </c>
      <c r="H553" s="615" t="n"/>
      <c r="M553" s="210" t="n"/>
      <c r="N553" s="211" t="n"/>
      <c r="O553" s="263" t="n"/>
      <c r="Q553" s="271" t="n"/>
      <c r="R553" s="282" t="n"/>
    </row>
    <row r="554" ht="18" customHeight="1" s="305">
      <c r="A554" s="8" t="n">
        <v>238</v>
      </c>
      <c r="B554" s="5" t="n">
        <v>93</v>
      </c>
      <c r="C554" s="6" t="inlineStr">
        <is>
          <t>X</t>
        </is>
      </c>
      <c r="D554" s="5" t="n">
        <v>42</v>
      </c>
      <c r="E554" s="2">
        <f>B554*D554/10000</f>
        <v/>
      </c>
      <c r="F554" s="3">
        <f>B554/30.48</f>
        <v/>
      </c>
      <c r="G554" s="3">
        <f>D554/30.48</f>
        <v/>
      </c>
      <c r="H554" s="615" t="n"/>
      <c r="M554" s="210" t="n"/>
      <c r="N554" s="211" t="inlineStr">
        <is>
          <t>RK</t>
        </is>
      </c>
      <c r="O554" s="263" t="n"/>
      <c r="Q554" s="271" t="n"/>
      <c r="R554" s="282" t="n"/>
    </row>
    <row r="555" ht="18" customHeight="1" s="305">
      <c r="A555" s="8" t="n">
        <v>243</v>
      </c>
      <c r="B555" s="5" t="n">
        <v>81</v>
      </c>
      <c r="C555" s="6" t="inlineStr">
        <is>
          <t>X</t>
        </is>
      </c>
      <c r="D555" s="5" t="n">
        <v>47</v>
      </c>
      <c r="E555" s="2">
        <f>B555*D555/10000</f>
        <v/>
      </c>
      <c r="F555" s="3">
        <f>B555/30.48</f>
        <v/>
      </c>
      <c r="G555" s="3">
        <f>D555/30.48</f>
        <v/>
      </c>
      <c r="H555" s="615" t="n"/>
      <c r="M555" s="210" t="n"/>
      <c r="N555" s="211" t="n"/>
      <c r="O555" s="263" t="n"/>
      <c r="Q555" s="271" t="n"/>
      <c r="R555" s="282" t="n"/>
    </row>
    <row r="556" ht="18" customHeight="1" s="305">
      <c r="A556" s="8" t="n">
        <v>245</v>
      </c>
      <c r="B556" s="5" t="n">
        <v>83</v>
      </c>
      <c r="C556" s="6" t="inlineStr">
        <is>
          <t>X</t>
        </is>
      </c>
      <c r="D556" s="5" t="n">
        <v>47</v>
      </c>
      <c r="E556" s="2">
        <f>B556*D556/10000</f>
        <v/>
      </c>
      <c r="F556" s="3">
        <f>B556/30.48</f>
        <v/>
      </c>
      <c r="G556" s="3">
        <f>D556/30.48</f>
        <v/>
      </c>
      <c r="H556" s="615" t="n"/>
      <c r="M556" s="210" t="n"/>
      <c r="N556" s="211" t="n"/>
      <c r="O556" s="263" t="n"/>
      <c r="Q556" s="271" t="n"/>
      <c r="R556" s="282" t="n"/>
    </row>
    <row r="557" ht="18" customHeight="1" s="305">
      <c r="A557" s="8" t="n">
        <v>247</v>
      </c>
      <c r="B557" s="5" t="n">
        <v>82</v>
      </c>
      <c r="C557" s="6" t="inlineStr">
        <is>
          <t>X</t>
        </is>
      </c>
      <c r="D557" s="5" t="n">
        <v>48</v>
      </c>
      <c r="E557" s="2">
        <f>B557*D557/10000</f>
        <v/>
      </c>
      <c r="F557" s="3">
        <f>B557/30.48</f>
        <v/>
      </c>
      <c r="G557" s="3">
        <f>D557/30.48</f>
        <v/>
      </c>
      <c r="H557" s="615" t="n"/>
      <c r="M557" s="210" t="n"/>
      <c r="N557" s="211" t="n"/>
      <c r="O557" s="263" t="n"/>
      <c r="Q557" s="271" t="n"/>
      <c r="R557" s="282" t="n"/>
    </row>
    <row r="558" ht="18" customHeight="1" s="305">
      <c r="A558" s="8" t="n">
        <v>249</v>
      </c>
      <c r="B558" s="5" t="n">
        <v>83</v>
      </c>
      <c r="C558" s="6" t="inlineStr">
        <is>
          <t>X</t>
        </is>
      </c>
      <c r="D558" s="5" t="n">
        <v>49</v>
      </c>
      <c r="E558" s="2">
        <f>B558*D558/10000</f>
        <v/>
      </c>
      <c r="F558" s="3">
        <f>B558/30.48</f>
        <v/>
      </c>
      <c r="G558" s="3">
        <f>D558/30.48</f>
        <v/>
      </c>
      <c r="H558" s="615" t="n"/>
      <c r="M558" s="210" t="n"/>
      <c r="N558" s="211" t="n"/>
      <c r="O558" s="263" t="n"/>
      <c r="Q558" s="271" t="n"/>
      <c r="R558" s="282" t="n"/>
    </row>
    <row r="559" ht="18" customHeight="1" s="305">
      <c r="A559" s="8" t="n">
        <v>250</v>
      </c>
      <c r="B559" s="5" t="n">
        <v>84</v>
      </c>
      <c r="C559" s="6" t="inlineStr">
        <is>
          <t>X</t>
        </is>
      </c>
      <c r="D559" s="5" t="n">
        <v>48</v>
      </c>
      <c r="E559" s="2">
        <f>B559*D559/10000</f>
        <v/>
      </c>
      <c r="F559" s="3">
        <f>B559/30.48</f>
        <v/>
      </c>
      <c r="G559" s="3">
        <f>D559/30.48</f>
        <v/>
      </c>
      <c r="H559" s="615" t="n"/>
      <c r="M559" s="210" t="n"/>
      <c r="N559" s="211" t="n"/>
      <c r="O559" s="263" t="n"/>
      <c r="Q559" s="271" t="n"/>
      <c r="R559" s="282" t="n"/>
    </row>
    <row r="560" ht="18" customHeight="1" s="305">
      <c r="A560" s="8" t="n">
        <v>253</v>
      </c>
      <c r="B560" s="5" t="n">
        <v>81</v>
      </c>
      <c r="C560" s="6" t="inlineStr">
        <is>
          <t>X</t>
        </is>
      </c>
      <c r="D560" s="5" t="n">
        <v>48</v>
      </c>
      <c r="E560" s="2">
        <f>B560*D560/10000</f>
        <v/>
      </c>
      <c r="F560" s="3">
        <f>B560/30.48</f>
        <v/>
      </c>
      <c r="G560" s="3">
        <f>D560/30.48</f>
        <v/>
      </c>
      <c r="H560" s="615" t="n"/>
      <c r="M560" s="210" t="n"/>
      <c r="N560" s="211" t="n"/>
      <c r="O560" s="263" t="n"/>
      <c r="Q560" s="271" t="n"/>
      <c r="R560" s="282" t="n"/>
    </row>
    <row r="561" ht="18" customHeight="1" s="305">
      <c r="A561" s="8" t="n">
        <v>254</v>
      </c>
      <c r="B561" s="5" t="n">
        <v>89</v>
      </c>
      <c r="C561" s="6" t="inlineStr">
        <is>
          <t>X</t>
        </is>
      </c>
      <c r="D561" s="5" t="n">
        <v>49</v>
      </c>
      <c r="E561" s="2">
        <f>B561*D561/10000</f>
        <v/>
      </c>
      <c r="F561" s="3">
        <f>B561/30.48</f>
        <v/>
      </c>
      <c r="G561" s="3">
        <f>D561/30.48</f>
        <v/>
      </c>
      <c r="H561" s="615" t="n"/>
      <c r="M561" s="210" t="n"/>
      <c r="N561" s="211" t="n"/>
      <c r="O561" s="263" t="n"/>
      <c r="Q561" s="271" t="n"/>
      <c r="R561" s="282" t="n"/>
    </row>
    <row r="562" ht="18" customHeight="1" s="305">
      <c r="A562" s="8" t="n">
        <v>256</v>
      </c>
      <c r="B562" s="5" t="n">
        <v>84</v>
      </c>
      <c r="C562" s="6" t="inlineStr">
        <is>
          <t>X</t>
        </is>
      </c>
      <c r="D562" s="5" t="n">
        <v>47</v>
      </c>
      <c r="E562" s="2">
        <f>B562*D562/10000</f>
        <v/>
      </c>
      <c r="F562" s="3">
        <f>B562/30.48</f>
        <v/>
      </c>
      <c r="G562" s="3">
        <f>D562/30.48</f>
        <v/>
      </c>
      <c r="H562" s="615" t="n"/>
      <c r="M562" s="210" t="n"/>
      <c r="N562" s="211" t="n"/>
      <c r="O562" s="263" t="n"/>
      <c r="Q562" s="271" t="n"/>
      <c r="R562" s="282" t="n"/>
    </row>
    <row r="563" ht="18" customHeight="1" s="305">
      <c r="A563" s="8" t="n">
        <v>257</v>
      </c>
      <c r="B563" s="5" t="n">
        <v>88</v>
      </c>
      <c r="C563" s="6" t="inlineStr">
        <is>
          <t>X</t>
        </is>
      </c>
      <c r="D563" s="5" t="n">
        <v>41</v>
      </c>
      <c r="E563" s="2">
        <f>B563*D563/10000</f>
        <v/>
      </c>
      <c r="F563" s="3">
        <f>B563/30.48</f>
        <v/>
      </c>
      <c r="G563" s="3">
        <f>D563/30.48</f>
        <v/>
      </c>
      <c r="H563" s="615" t="n"/>
      <c r="M563" s="210" t="n"/>
      <c r="N563" s="211" t="n"/>
      <c r="O563" s="263" t="n"/>
      <c r="Q563" s="271" t="n"/>
      <c r="R563" s="282" t="n"/>
    </row>
    <row r="564" ht="18" customHeight="1" s="305">
      <c r="A564" s="8" t="n">
        <v>258</v>
      </c>
      <c r="B564" s="5" t="n">
        <v>81</v>
      </c>
      <c r="C564" s="6" t="inlineStr">
        <is>
          <t>X</t>
        </is>
      </c>
      <c r="D564" s="5" t="n">
        <v>48</v>
      </c>
      <c r="E564" s="2">
        <f>B564*D564/10000</f>
        <v/>
      </c>
      <c r="F564" s="3">
        <f>B564/30.48</f>
        <v/>
      </c>
      <c r="G564" s="3">
        <f>D564/30.48</f>
        <v/>
      </c>
      <c r="H564" s="615" t="n"/>
      <c r="M564" s="210" t="n"/>
      <c r="N564" s="211" t="n"/>
      <c r="O564" s="263" t="n"/>
      <c r="Q564" s="271" t="n"/>
      <c r="R564" s="282" t="n"/>
    </row>
    <row r="565" ht="18" customHeight="1" s="305">
      <c r="A565" s="8" t="n">
        <v>259</v>
      </c>
      <c r="B565" s="5" t="n">
        <v>79</v>
      </c>
      <c r="C565" s="6" t="inlineStr">
        <is>
          <t>X</t>
        </is>
      </c>
      <c r="D565" s="5" t="n">
        <v>48</v>
      </c>
      <c r="E565" s="2">
        <f>B565*D565/10000</f>
        <v/>
      </c>
      <c r="F565" s="3">
        <f>B565/30.48</f>
        <v/>
      </c>
      <c r="G565" s="3">
        <f>D565/30.48</f>
        <v/>
      </c>
      <c r="H565" s="615" t="n"/>
      <c r="M565" s="210" t="n"/>
      <c r="N565" s="211" t="n"/>
      <c r="O565" s="263" t="n"/>
      <c r="Q565" s="271" t="n"/>
      <c r="R565" s="282" t="n"/>
    </row>
    <row r="566" ht="18" customHeight="1" s="305">
      <c r="A566" s="8" t="n">
        <v>264</v>
      </c>
      <c r="B566" s="5" t="n">
        <v>65</v>
      </c>
      <c r="C566" s="6" t="inlineStr">
        <is>
          <t>X</t>
        </is>
      </c>
      <c r="D566" s="5" t="n">
        <v>37</v>
      </c>
      <c r="E566" s="2">
        <f>B566*D566/10000</f>
        <v/>
      </c>
      <c r="F566" s="3">
        <f>B566/30.48</f>
        <v/>
      </c>
      <c r="G566" s="3">
        <f>D566/30.48</f>
        <v/>
      </c>
      <c r="H566" s="615" t="n"/>
      <c r="M566" s="210" t="n"/>
      <c r="N566" s="211" t="n"/>
      <c r="O566" s="263" t="n"/>
      <c r="Q566" s="271" t="n"/>
      <c r="R566" s="282" t="n"/>
    </row>
    <row r="567" ht="18" customHeight="1" s="305">
      <c r="A567" s="8" t="n">
        <v>265</v>
      </c>
      <c r="B567" s="5" t="n">
        <v>79</v>
      </c>
      <c r="C567" s="6" t="inlineStr">
        <is>
          <t>X</t>
        </is>
      </c>
      <c r="D567" s="5" t="n">
        <v>46</v>
      </c>
      <c r="E567" s="2">
        <f>B567*D567/10000</f>
        <v/>
      </c>
      <c r="F567" s="3">
        <f>B567/30.48</f>
        <v/>
      </c>
      <c r="G567" s="3">
        <f>D567/30.48</f>
        <v/>
      </c>
      <c r="H567" s="615" t="n"/>
      <c r="M567" s="210" t="inlineStr">
        <is>
          <t>RK</t>
        </is>
      </c>
      <c r="N567" s="211" t="n"/>
      <c r="O567" s="263" t="n"/>
      <c r="Q567" s="271" t="n"/>
      <c r="R567" s="282" t="n"/>
    </row>
    <row r="568" ht="18" customHeight="1" s="305">
      <c r="A568" s="8" t="n">
        <v>266</v>
      </c>
      <c r="B568" s="5" t="n">
        <v>87</v>
      </c>
      <c r="C568" s="6" t="inlineStr">
        <is>
          <t>X</t>
        </is>
      </c>
      <c r="D568" s="5" t="n">
        <v>37</v>
      </c>
      <c r="E568" s="2">
        <f>B568*D568/10000</f>
        <v/>
      </c>
      <c r="F568" s="3">
        <f>B568/30.48</f>
        <v/>
      </c>
      <c r="G568" s="3">
        <f>D568/30.48</f>
        <v/>
      </c>
      <c r="H568" s="615" t="n"/>
      <c r="M568" s="210" t="n"/>
      <c r="N568" s="211" t="n"/>
      <c r="O568" s="263" t="n"/>
      <c r="Q568" s="271" t="n"/>
      <c r="R568" s="282" t="n"/>
    </row>
    <row r="569" ht="18" customHeight="1" s="305">
      <c r="A569" s="8" t="n">
        <v>271</v>
      </c>
      <c r="B569" s="5" t="n">
        <v>79</v>
      </c>
      <c r="C569" s="6" t="inlineStr">
        <is>
          <t>X</t>
        </is>
      </c>
      <c r="D569" s="5" t="n">
        <v>43</v>
      </c>
      <c r="E569" s="2">
        <f>B569*D569/10000</f>
        <v/>
      </c>
      <c r="F569" s="3">
        <f>B569/30.48</f>
        <v/>
      </c>
      <c r="G569" s="3">
        <f>D569/30.48</f>
        <v/>
      </c>
      <c r="H569" s="615" t="n"/>
      <c r="M569" s="210" t="n"/>
      <c r="N569" s="211" t="n"/>
      <c r="O569" s="263" t="n"/>
      <c r="Q569" s="271" t="n"/>
      <c r="R569" s="282" t="n"/>
    </row>
    <row r="570" ht="18" customHeight="1" s="305">
      <c r="A570" s="8" t="n">
        <v>272</v>
      </c>
      <c r="B570" s="5" t="n">
        <v>83</v>
      </c>
      <c r="C570" s="6" t="inlineStr">
        <is>
          <t>X</t>
        </is>
      </c>
      <c r="D570" s="5" t="n">
        <v>49</v>
      </c>
      <c r="E570" s="2">
        <f>B570*D570/10000</f>
        <v/>
      </c>
      <c r="F570" s="3">
        <f>B570/30.48</f>
        <v/>
      </c>
      <c r="G570" s="3">
        <f>D570/30.48</f>
        <v/>
      </c>
      <c r="H570" s="615" t="n"/>
      <c r="M570" s="210" t="n"/>
      <c r="N570" s="211" t="n"/>
      <c r="O570" s="263" t="n"/>
      <c r="Q570" s="271" t="n"/>
      <c r="R570" s="282" t="n"/>
    </row>
    <row r="571" ht="18" customHeight="1" s="305">
      <c r="A571" s="8" t="n">
        <v>275</v>
      </c>
      <c r="B571" s="5" t="n">
        <v>80</v>
      </c>
      <c r="C571" s="6" t="inlineStr">
        <is>
          <t>X</t>
        </is>
      </c>
      <c r="D571" s="5" t="n">
        <v>47</v>
      </c>
      <c r="E571" s="2">
        <f>B571*D571/10000</f>
        <v/>
      </c>
      <c r="F571" s="3">
        <f>B571/30.48</f>
        <v/>
      </c>
      <c r="G571" s="3">
        <f>D571/30.48</f>
        <v/>
      </c>
      <c r="H571" s="615" t="n"/>
      <c r="M571" s="210" t="n"/>
      <c r="N571" s="211" t="n"/>
      <c r="O571" s="263" t="n"/>
      <c r="Q571" s="271" t="n"/>
      <c r="R571" s="282" t="n"/>
    </row>
    <row r="572" ht="18" customHeight="1" s="305">
      <c r="A572" s="8" t="n">
        <v>277</v>
      </c>
      <c r="B572" s="5" t="n">
        <v>99</v>
      </c>
      <c r="C572" s="6" t="inlineStr">
        <is>
          <t>X</t>
        </is>
      </c>
      <c r="D572" s="5" t="n">
        <v>62</v>
      </c>
      <c r="E572" s="2">
        <f>B572*D572/10000</f>
        <v/>
      </c>
      <c r="F572" s="3">
        <f>B572/30.48</f>
        <v/>
      </c>
      <c r="G572" s="3">
        <f>D572/30.48</f>
        <v/>
      </c>
      <c r="H572" s="615" t="n"/>
      <c r="M572" s="210" t="n"/>
      <c r="N572" s="211" t="n"/>
      <c r="O572" s="263" t="n"/>
      <c r="Q572" s="271" t="n"/>
      <c r="R572" s="282" t="n"/>
    </row>
    <row r="573" ht="18" customHeight="1" s="305">
      <c r="A573" s="8" t="n">
        <v>278</v>
      </c>
      <c r="B573" s="5" t="n">
        <v>83</v>
      </c>
      <c r="C573" s="6" t="inlineStr">
        <is>
          <t>X</t>
        </is>
      </c>
      <c r="D573" s="5" t="n">
        <v>46</v>
      </c>
      <c r="E573" s="2">
        <f>B573*D573/10000</f>
        <v/>
      </c>
      <c r="F573" s="3">
        <f>B573/30.48</f>
        <v/>
      </c>
      <c r="G573" s="3">
        <f>D573/30.48</f>
        <v/>
      </c>
      <c r="H573" s="615" t="n"/>
      <c r="M573" s="210" t="n"/>
      <c r="N573" s="211" t="n"/>
      <c r="O573" s="263" t="n"/>
      <c r="Q573" s="271" t="n"/>
      <c r="R573" s="282" t="n"/>
    </row>
    <row r="574" ht="18" customHeight="1" s="305">
      <c r="A574" s="8" t="n">
        <v>279</v>
      </c>
      <c r="B574" s="5" t="n">
        <v>73</v>
      </c>
      <c r="C574" s="6" t="inlineStr">
        <is>
          <t>X</t>
        </is>
      </c>
      <c r="D574" s="5" t="n">
        <v>66</v>
      </c>
      <c r="E574" s="2">
        <f>B574*D574/10000</f>
        <v/>
      </c>
      <c r="F574" s="3">
        <f>B574/30.48</f>
        <v/>
      </c>
      <c r="G574" s="3">
        <f>D574/30.48</f>
        <v/>
      </c>
      <c r="H574" s="615" t="n"/>
      <c r="M574" s="210" t="n"/>
      <c r="N574" s="211" t="n"/>
      <c r="O574" s="263" t="n"/>
      <c r="Q574" s="271" t="n"/>
      <c r="R574" s="282" t="n"/>
    </row>
    <row r="575" ht="18" customHeight="1" s="305">
      <c r="A575" s="8" t="n">
        <v>280</v>
      </c>
      <c r="B575" s="5" t="n">
        <v>81</v>
      </c>
      <c r="C575" s="6" t="inlineStr">
        <is>
          <t>X</t>
        </is>
      </c>
      <c r="D575" s="5" t="n">
        <v>41</v>
      </c>
      <c r="E575" s="2">
        <f>B575*D575/10000</f>
        <v/>
      </c>
      <c r="F575" s="3">
        <f>B575/30.48</f>
        <v/>
      </c>
      <c r="G575" s="3">
        <f>D575/30.48</f>
        <v/>
      </c>
      <c r="H575" s="615" t="n"/>
      <c r="M575" s="210" t="n"/>
      <c r="N575" s="211" t="n"/>
      <c r="O575" s="263" t="n"/>
      <c r="Q575" s="271" t="n"/>
      <c r="R575" s="282" t="n"/>
    </row>
    <row r="576" ht="18" customHeight="1" s="305">
      <c r="A576" s="8" t="n">
        <v>281</v>
      </c>
      <c r="B576" s="5" t="n">
        <v>81</v>
      </c>
      <c r="C576" s="6" t="inlineStr">
        <is>
          <t>X</t>
        </is>
      </c>
      <c r="D576" s="5" t="n">
        <v>49</v>
      </c>
      <c r="E576" s="2">
        <f>B576*D576/10000</f>
        <v/>
      </c>
      <c r="F576" s="3">
        <f>B576/30.48</f>
        <v/>
      </c>
      <c r="G576" s="3">
        <f>D576/30.48</f>
        <v/>
      </c>
      <c r="H576" s="615" t="n"/>
      <c r="M576" s="210" t="n"/>
      <c r="N576" s="211" t="n"/>
      <c r="O576" s="263" t="n"/>
      <c r="Q576" s="271" t="n"/>
      <c r="R576" s="282" t="n"/>
    </row>
    <row r="577" ht="18" customHeight="1" s="305">
      <c r="A577" s="8" t="n">
        <v>282</v>
      </c>
      <c r="B577" s="5" t="n">
        <v>86</v>
      </c>
      <c r="C577" s="6" t="inlineStr">
        <is>
          <t>X</t>
        </is>
      </c>
      <c r="D577" s="5" t="n">
        <v>44</v>
      </c>
      <c r="E577" s="2">
        <f>B577*D577/10000</f>
        <v/>
      </c>
      <c r="F577" s="3">
        <f>B577/30.48</f>
        <v/>
      </c>
      <c r="G577" s="3">
        <f>D577/30.48</f>
        <v/>
      </c>
      <c r="H577" s="615" t="n"/>
      <c r="M577" s="210" t="n"/>
      <c r="N577" s="211" t="n"/>
      <c r="O577" s="263" t="n"/>
      <c r="Q577" s="271" t="n"/>
      <c r="R577" s="282" t="n"/>
    </row>
    <row r="578" ht="18" customHeight="1" s="305">
      <c r="A578" s="8" t="n">
        <v>285</v>
      </c>
      <c r="B578" s="5" t="n">
        <v>86</v>
      </c>
      <c r="C578" s="6" t="inlineStr">
        <is>
          <t>X</t>
        </is>
      </c>
      <c r="D578" s="5" t="n">
        <v>45</v>
      </c>
      <c r="E578" s="2">
        <f>B578*D578/10000</f>
        <v/>
      </c>
      <c r="F578" s="3">
        <f>B578/30.48</f>
        <v/>
      </c>
      <c r="G578" s="3">
        <f>D578/30.48</f>
        <v/>
      </c>
      <c r="H578" s="615" t="n"/>
      <c r="M578" s="210" t="n"/>
      <c r="N578" s="211" t="n"/>
      <c r="O578" s="263" t="n"/>
      <c r="Q578" s="271" t="n"/>
      <c r="R578" s="282" t="n"/>
    </row>
    <row r="579" ht="18" customHeight="1" s="305">
      <c r="A579" s="8" t="n">
        <v>288</v>
      </c>
      <c r="B579" s="5" t="n">
        <v>87</v>
      </c>
      <c r="C579" s="6" t="inlineStr">
        <is>
          <t>X</t>
        </is>
      </c>
      <c r="D579" s="5" t="n">
        <v>50</v>
      </c>
      <c r="E579" s="2">
        <f>B579*D579/10000</f>
        <v/>
      </c>
      <c r="F579" s="3">
        <f>B579/30.48</f>
        <v/>
      </c>
      <c r="G579" s="3">
        <f>D579/30.48</f>
        <v/>
      </c>
      <c r="H579" s="615" t="n"/>
      <c r="M579" s="210" t="n"/>
      <c r="N579" s="211" t="n"/>
      <c r="O579" s="263" t="n"/>
      <c r="Q579" s="271" t="n"/>
      <c r="R579" s="282" t="n"/>
    </row>
    <row r="580" ht="18" customHeight="1" s="305">
      <c r="A580" s="8" t="n">
        <v>304</v>
      </c>
      <c r="B580" s="5" t="n">
        <v>89</v>
      </c>
      <c r="C580" s="6" t="inlineStr">
        <is>
          <t>X</t>
        </is>
      </c>
      <c r="D580" s="5" t="n">
        <v>47</v>
      </c>
      <c r="E580" s="2">
        <f>B580*D580/10000</f>
        <v/>
      </c>
      <c r="F580" s="3">
        <f>B580/30.48</f>
        <v/>
      </c>
      <c r="G580" s="3">
        <f>D580/30.48</f>
        <v/>
      </c>
      <c r="H580" s="615" t="n"/>
      <c r="M580" s="210" t="n"/>
      <c r="N580" s="211" t="n"/>
      <c r="O580" s="263" t="n"/>
      <c r="Q580" s="271" t="n"/>
      <c r="R580" s="282" t="n"/>
    </row>
    <row r="581" ht="18" customHeight="1" s="305">
      <c r="A581" s="8" t="n">
        <v>325</v>
      </c>
      <c r="B581" s="5" t="n">
        <v>86</v>
      </c>
      <c r="C581" s="6" t="inlineStr">
        <is>
          <t>X</t>
        </is>
      </c>
      <c r="D581" s="5" t="n">
        <v>43</v>
      </c>
      <c r="E581" s="2">
        <f>B581*D581/10000</f>
        <v/>
      </c>
      <c r="F581" s="3">
        <f>B581/30.48</f>
        <v/>
      </c>
      <c r="G581" s="3">
        <f>D581/30.48</f>
        <v/>
      </c>
      <c r="H581" s="615" t="n"/>
      <c r="M581" s="210" t="n"/>
      <c r="N581" s="211" t="n"/>
      <c r="O581" s="263" t="n"/>
      <c r="Q581" s="271" t="n"/>
      <c r="R581" s="282" t="n"/>
    </row>
    <row r="582" ht="18" customHeight="1" s="305">
      <c r="A582" s="8" t="inlineStr">
        <is>
          <t>C 313</t>
        </is>
      </c>
      <c r="B582" s="5" t="n">
        <v>190</v>
      </c>
      <c r="C582" s="6" t="inlineStr">
        <is>
          <t>X</t>
        </is>
      </c>
      <c r="D582" s="5" t="n">
        <v>92</v>
      </c>
      <c r="E582" s="2">
        <f>B582*D582/10000</f>
        <v/>
      </c>
      <c r="F582" s="3">
        <f>B582/30.48</f>
        <v/>
      </c>
      <c r="G582" s="3">
        <f>D582/30.48</f>
        <v/>
      </c>
      <c r="H582" s="615" t="n"/>
      <c r="I582" s="49" t="inlineStr">
        <is>
          <t>OLD</t>
        </is>
      </c>
      <c r="J582" s="48" t="inlineStr">
        <is>
          <t>TRS</t>
        </is>
      </c>
      <c r="K582" s="51" t="inlineStr">
        <is>
          <t>PAC</t>
        </is>
      </c>
      <c r="L582" s="105" t="inlineStr">
        <is>
          <t>VR</t>
        </is>
      </c>
      <c r="M582" s="210" t="inlineStr">
        <is>
          <t>RK</t>
        </is>
      </c>
      <c r="N582" s="211" t="n"/>
      <c r="O582" s="340" t="inlineStr">
        <is>
          <t>SBL</t>
        </is>
      </c>
      <c r="Q582" s="271" t="n"/>
      <c r="R582" s="282" t="n"/>
    </row>
    <row r="583" ht="18" customHeight="1" s="305">
      <c r="A583" s="8" t="inlineStr">
        <is>
          <t>C 324</t>
        </is>
      </c>
      <c r="B583" s="5" t="n">
        <v>256</v>
      </c>
      <c r="C583" s="6" t="inlineStr">
        <is>
          <t>X</t>
        </is>
      </c>
      <c r="D583" s="5" t="n">
        <v>115</v>
      </c>
      <c r="E583" s="2">
        <f>B583*D583/10000</f>
        <v/>
      </c>
      <c r="F583" s="3">
        <f>B583/30.48</f>
        <v/>
      </c>
      <c r="G583" s="3">
        <f>D583/30.48</f>
        <v/>
      </c>
      <c r="H583" s="615" t="n"/>
      <c r="I583" s="49" t="inlineStr">
        <is>
          <t>OLD</t>
        </is>
      </c>
      <c r="J583" s="48" t="inlineStr">
        <is>
          <t>TRS</t>
        </is>
      </c>
      <c r="K583" s="51" t="inlineStr">
        <is>
          <t>PAC</t>
        </is>
      </c>
      <c r="L583" s="105" t="inlineStr">
        <is>
          <t>VR</t>
        </is>
      </c>
      <c r="M583" s="210" t="n"/>
      <c r="N583" s="211" t="n"/>
      <c r="O583" s="340" t="inlineStr">
        <is>
          <t>SBL</t>
        </is>
      </c>
      <c r="Q583" s="271" t="n"/>
      <c r="R583" s="282" t="n"/>
    </row>
    <row r="584" ht="18" customHeight="1" s="305">
      <c r="A584" s="8" t="inlineStr">
        <is>
          <t>C 335</t>
        </is>
      </c>
      <c r="B584" s="5" t="n">
        <v>246</v>
      </c>
      <c r="C584" s="6" t="inlineStr">
        <is>
          <t>X</t>
        </is>
      </c>
      <c r="D584" s="5" t="n">
        <v>84</v>
      </c>
      <c r="E584" s="2">
        <f>B584*D584/10000</f>
        <v/>
      </c>
      <c r="F584" s="3">
        <f>B584/30.48</f>
        <v/>
      </c>
      <c r="G584" s="3">
        <f>D584/30.48</f>
        <v/>
      </c>
      <c r="H584" s="615" t="inlineStr">
        <is>
          <t xml:space="preserve">tamir </t>
        </is>
      </c>
      <c r="K584" s="51" t="inlineStr">
        <is>
          <t>PAC</t>
        </is>
      </c>
      <c r="L584" s="105" t="inlineStr">
        <is>
          <t>VR</t>
        </is>
      </c>
      <c r="M584" s="210" t="inlineStr">
        <is>
          <t>RK</t>
        </is>
      </c>
      <c r="N584" s="211" t="n"/>
      <c r="O584" s="340" t="inlineStr">
        <is>
          <t>SBL</t>
        </is>
      </c>
      <c r="Q584" s="271" t="n"/>
      <c r="R584" s="282" t="n"/>
    </row>
    <row r="585" ht="18" customHeight="1" s="305">
      <c r="A585" s="8" t="inlineStr">
        <is>
          <t>C 338</t>
        </is>
      </c>
      <c r="B585" s="5" t="n">
        <v>160</v>
      </c>
      <c r="C585" s="6" t="inlineStr">
        <is>
          <t>X</t>
        </is>
      </c>
      <c r="D585" s="5" t="n">
        <v>97</v>
      </c>
      <c r="E585" s="2">
        <f>B585*D585/10000</f>
        <v/>
      </c>
      <c r="F585" s="3">
        <f>B585/30.48</f>
        <v/>
      </c>
      <c r="G585" s="3">
        <f>D585/30.48</f>
        <v/>
      </c>
      <c r="H585" s="615" t="n"/>
      <c r="I585" s="49" t="inlineStr">
        <is>
          <t>OLD</t>
        </is>
      </c>
      <c r="J585" s="48" t="inlineStr">
        <is>
          <t>TRS</t>
        </is>
      </c>
      <c r="K585" s="51" t="inlineStr">
        <is>
          <t>PAC</t>
        </is>
      </c>
      <c r="L585" s="105" t="inlineStr">
        <is>
          <t>VR</t>
        </is>
      </c>
      <c r="M585" s="210" t="inlineStr">
        <is>
          <t>RK</t>
        </is>
      </c>
      <c r="N585" s="211" t="n"/>
      <c r="O585" s="340" t="inlineStr">
        <is>
          <t>SBL</t>
        </is>
      </c>
      <c r="Q585" s="271" t="n"/>
      <c r="R585" s="282" t="n"/>
    </row>
    <row r="586" ht="18" customHeight="1" s="305">
      <c r="A586" s="8" t="inlineStr">
        <is>
          <t>C 341</t>
        </is>
      </c>
      <c r="B586" s="5" t="n">
        <v>139</v>
      </c>
      <c r="C586" s="6" t="inlineStr">
        <is>
          <t>X</t>
        </is>
      </c>
      <c r="D586" s="5" t="n">
        <v>251</v>
      </c>
      <c r="E586" s="2">
        <f>B586*D586/10000</f>
        <v/>
      </c>
      <c r="F586" s="3">
        <f>B586/30.48</f>
        <v/>
      </c>
      <c r="G586" s="3">
        <f>D586/30.48</f>
        <v/>
      </c>
      <c r="H586" s="615" t="n"/>
      <c r="I586" s="49" t="inlineStr">
        <is>
          <t>OLD</t>
        </is>
      </c>
      <c r="J586" s="48" t="inlineStr">
        <is>
          <t>TRS</t>
        </is>
      </c>
      <c r="K586" s="51" t="inlineStr">
        <is>
          <t>PAC</t>
        </is>
      </c>
      <c r="L586" s="105" t="inlineStr">
        <is>
          <t>VR</t>
        </is>
      </c>
      <c r="M586" s="210" t="n"/>
      <c r="N586" s="211" t="n"/>
      <c r="O586" s="340" t="inlineStr">
        <is>
          <t>SBL</t>
        </is>
      </c>
      <c r="Q586" s="271" t="n"/>
      <c r="R586" s="282" t="n"/>
    </row>
    <row r="587" ht="18" customHeight="1" s="305">
      <c r="A587" s="8" t="inlineStr">
        <is>
          <t>C 357</t>
        </is>
      </c>
      <c r="B587" s="5" t="n">
        <v>326</v>
      </c>
      <c r="C587" s="6" t="inlineStr">
        <is>
          <t>X</t>
        </is>
      </c>
      <c r="D587" s="5" t="n">
        <v>76</v>
      </c>
      <c r="E587" s="2">
        <f>B587*D587/10000</f>
        <v/>
      </c>
      <c r="F587" s="3">
        <f>B587/30.48</f>
        <v/>
      </c>
      <c r="G587" s="3">
        <f>D587/30.48</f>
        <v/>
      </c>
      <c r="H587" s="615" t="n"/>
      <c r="I587" s="49" t="inlineStr">
        <is>
          <t>OLD</t>
        </is>
      </c>
      <c r="J587" s="48" t="inlineStr">
        <is>
          <t>TRS</t>
        </is>
      </c>
      <c r="K587" s="51" t="inlineStr">
        <is>
          <t>PAC</t>
        </is>
      </c>
      <c r="L587" s="105" t="inlineStr">
        <is>
          <t>VR</t>
        </is>
      </c>
      <c r="M587" s="210" t="n"/>
      <c r="N587" s="211" t="n"/>
      <c r="O587" s="340" t="inlineStr">
        <is>
          <t>SBL</t>
        </is>
      </c>
      <c r="Q587" s="271" t="n"/>
      <c r="R587" s="282" t="n"/>
    </row>
    <row r="588" ht="18" customHeight="1" s="305">
      <c r="A588" s="8" t="inlineStr">
        <is>
          <t>C 374</t>
        </is>
      </c>
      <c r="B588" s="5" t="n">
        <v>372</v>
      </c>
      <c r="C588" s="6" t="inlineStr">
        <is>
          <t>X</t>
        </is>
      </c>
      <c r="D588" s="5" t="n">
        <v>96</v>
      </c>
      <c r="E588" s="2">
        <f>B588*D588/10000</f>
        <v/>
      </c>
      <c r="F588" s="3">
        <f>B588/30.48</f>
        <v/>
      </c>
      <c r="G588" s="3">
        <f>D588/30.48</f>
        <v/>
      </c>
      <c r="H588" s="615" t="n"/>
      <c r="I588" s="49" t="inlineStr">
        <is>
          <t>OLD</t>
        </is>
      </c>
      <c r="J588" s="48" t="inlineStr">
        <is>
          <t>TRS</t>
        </is>
      </c>
      <c r="K588" s="51" t="inlineStr">
        <is>
          <t>PAC</t>
        </is>
      </c>
      <c r="L588" s="105" t="inlineStr">
        <is>
          <t>VR</t>
        </is>
      </c>
      <c r="M588" s="210" t="n"/>
      <c r="N588" s="211" t="n"/>
      <c r="O588" s="340" t="inlineStr">
        <is>
          <t>SBL</t>
        </is>
      </c>
      <c r="Q588" s="271" t="n"/>
      <c r="R588" s="282" t="n"/>
    </row>
    <row r="589" ht="18" customHeight="1" s="305">
      <c r="A589" s="8" t="inlineStr">
        <is>
          <t>C 405</t>
        </is>
      </c>
      <c r="B589" s="5" t="n">
        <v>180</v>
      </c>
      <c r="C589" s="6" t="inlineStr">
        <is>
          <t>X</t>
        </is>
      </c>
      <c r="D589" s="5" t="n">
        <v>105</v>
      </c>
      <c r="E589" s="2">
        <f>B589*D589/10000</f>
        <v/>
      </c>
      <c r="F589" s="3">
        <f>B589/30.48</f>
        <v/>
      </c>
      <c r="G589" s="3">
        <f>D589/30.48</f>
        <v/>
      </c>
      <c r="H589" s="615" t="n"/>
      <c r="I589" s="49" t="inlineStr">
        <is>
          <t>OLD</t>
        </is>
      </c>
      <c r="J589" s="48" t="inlineStr">
        <is>
          <t>TRS</t>
        </is>
      </c>
      <c r="K589" s="51" t="inlineStr">
        <is>
          <t>PAC</t>
        </is>
      </c>
      <c r="L589" s="105" t="inlineStr">
        <is>
          <t>VR</t>
        </is>
      </c>
      <c r="M589" s="210" t="inlineStr">
        <is>
          <t>RK</t>
        </is>
      </c>
      <c r="N589" s="211" t="n"/>
      <c r="O589" s="340" t="inlineStr">
        <is>
          <t>SBL</t>
        </is>
      </c>
      <c r="Q589" s="271" t="n"/>
      <c r="R589" s="282" t="n"/>
    </row>
    <row r="590" ht="18" customHeight="1" s="305">
      <c r="A590" s="8" t="inlineStr">
        <is>
          <t>C 459</t>
        </is>
      </c>
      <c r="B590" s="5" t="n">
        <v>152</v>
      </c>
      <c r="C590" s="6" t="inlineStr">
        <is>
          <t>X</t>
        </is>
      </c>
      <c r="D590" s="5" t="n">
        <v>99</v>
      </c>
      <c r="E590" s="2">
        <f>B590*D590/10000</f>
        <v/>
      </c>
      <c r="F590" s="3">
        <f>B590/30.48</f>
        <v/>
      </c>
      <c r="G590" s="3">
        <f>D590/30.48</f>
        <v/>
      </c>
      <c r="H590" s="615" t="n"/>
      <c r="I590" s="49" t="inlineStr">
        <is>
          <t>OLD</t>
        </is>
      </c>
      <c r="J590" s="48" t="inlineStr">
        <is>
          <t>TRS</t>
        </is>
      </c>
      <c r="K590" s="51" t="inlineStr">
        <is>
          <t>PAC</t>
        </is>
      </c>
      <c r="L590" s="105" t="inlineStr">
        <is>
          <t>VR</t>
        </is>
      </c>
      <c r="M590" s="210" t="inlineStr">
        <is>
          <t>RK</t>
        </is>
      </c>
      <c r="N590" s="211" t="n"/>
      <c r="O590" s="340" t="inlineStr">
        <is>
          <t>SBL</t>
        </is>
      </c>
      <c r="Q590" s="271" t="n"/>
      <c r="R590" s="282" t="n"/>
    </row>
    <row r="591" ht="18" customHeight="1" s="305">
      <c r="A591" s="8" t="inlineStr">
        <is>
          <t>C 489</t>
        </is>
      </c>
      <c r="B591" s="5" t="n">
        <v>264</v>
      </c>
      <c r="C591" s="6" t="inlineStr">
        <is>
          <t>X</t>
        </is>
      </c>
      <c r="D591" s="5" t="n">
        <v>125</v>
      </c>
      <c r="E591" s="2">
        <f>B591*D591/10000</f>
        <v/>
      </c>
      <c r="F591" s="3">
        <f>B591/30.48</f>
        <v/>
      </c>
      <c r="G591" s="3">
        <f>D591/30.48</f>
        <v/>
      </c>
      <c r="H591" s="615" t="n"/>
      <c r="I591" s="49" t="inlineStr">
        <is>
          <t>OLD</t>
        </is>
      </c>
      <c r="J591" s="48" t="inlineStr">
        <is>
          <t>TRS</t>
        </is>
      </c>
      <c r="K591" s="51" t="inlineStr">
        <is>
          <t>PAC</t>
        </is>
      </c>
      <c r="L591" s="105" t="inlineStr">
        <is>
          <t>VR</t>
        </is>
      </c>
      <c r="M591" s="210" t="inlineStr">
        <is>
          <t>RK</t>
        </is>
      </c>
      <c r="N591" s="211" t="n"/>
      <c r="O591" s="340" t="inlineStr">
        <is>
          <t>SBL</t>
        </is>
      </c>
      <c r="Q591" s="271" t="n"/>
      <c r="R591" s="282" t="n"/>
    </row>
    <row r="592" ht="18" customHeight="1" s="305">
      <c r="A592" s="8" t="inlineStr">
        <is>
          <t>H 200</t>
        </is>
      </c>
      <c r="B592" s="5" t="n">
        <v>105</v>
      </c>
      <c r="C592" s="6" t="inlineStr">
        <is>
          <t>X</t>
        </is>
      </c>
      <c r="D592" s="5" t="n">
        <v>346</v>
      </c>
      <c r="E592" s="2">
        <f>B592*D592/10000</f>
        <v/>
      </c>
      <c r="F592" s="3">
        <f>B592/30.48</f>
        <v/>
      </c>
      <c r="G592" s="3">
        <f>D592/30.48</f>
        <v/>
      </c>
      <c r="H592" s="615" t="n"/>
      <c r="I592" s="49" t="inlineStr">
        <is>
          <t>OLD</t>
        </is>
      </c>
      <c r="J592" s="48" t="inlineStr">
        <is>
          <t>TRS</t>
        </is>
      </c>
      <c r="K592" s="51" t="inlineStr">
        <is>
          <t>PAC</t>
        </is>
      </c>
      <c r="L592" s="105" t="inlineStr">
        <is>
          <t>VR</t>
        </is>
      </c>
      <c r="M592" s="210" t="n"/>
      <c r="N592" s="211" t="n"/>
      <c r="O592" s="263" t="n"/>
      <c r="Q592" s="271" t="n"/>
      <c r="R592" s="282" t="n"/>
    </row>
    <row r="593" ht="18" customHeight="1" s="305">
      <c r="A593" s="8" t="inlineStr">
        <is>
          <t>C 315</t>
        </is>
      </c>
      <c r="B593" s="5" t="n">
        <v>121</v>
      </c>
      <c r="C593" s="6" t="inlineStr">
        <is>
          <t>X</t>
        </is>
      </c>
      <c r="D593" s="5" t="n">
        <v>348</v>
      </c>
      <c r="E593" s="2">
        <f>B593*D593/10000</f>
        <v/>
      </c>
      <c r="F593" s="3">
        <f>B593/30.48</f>
        <v/>
      </c>
      <c r="G593" s="3">
        <f>D593/30.48</f>
        <v/>
      </c>
      <c r="H593" s="615" t="n"/>
      <c r="I593" s="49" t="inlineStr">
        <is>
          <t>OLD</t>
        </is>
      </c>
      <c r="J593" s="48" t="inlineStr">
        <is>
          <t>TRS</t>
        </is>
      </c>
      <c r="K593" s="51" t="inlineStr">
        <is>
          <t>PAC</t>
        </is>
      </c>
      <c r="L593" s="105" t="inlineStr">
        <is>
          <t>VR</t>
        </is>
      </c>
      <c r="M593" s="210" t="n"/>
      <c r="N593" s="211" t="n"/>
      <c r="O593" s="340" t="inlineStr">
        <is>
          <t>SBL</t>
        </is>
      </c>
      <c r="Q593" s="271" t="n"/>
      <c r="R593" s="282" t="n"/>
    </row>
    <row r="594" ht="18" customHeight="1" s="305">
      <c r="A594" s="8" t="inlineStr">
        <is>
          <t>C 350</t>
        </is>
      </c>
      <c r="B594" s="5" t="n">
        <v>97</v>
      </c>
      <c r="C594" s="6" t="inlineStr">
        <is>
          <t>X</t>
        </is>
      </c>
      <c r="D594" s="5" t="n">
        <v>359</v>
      </c>
      <c r="E594" s="2">
        <f>B594*D594/10000</f>
        <v/>
      </c>
      <c r="F594" s="3">
        <f>B594/30.48</f>
        <v/>
      </c>
      <c r="G594" s="3">
        <f>D594/30.48</f>
        <v/>
      </c>
      <c r="H594" s="615" t="n"/>
      <c r="I594" s="49" t="inlineStr">
        <is>
          <t>OLD</t>
        </is>
      </c>
      <c r="J594" s="48" t="inlineStr">
        <is>
          <t>TRS</t>
        </is>
      </c>
      <c r="K594" s="51" t="inlineStr">
        <is>
          <t>PAC</t>
        </is>
      </c>
      <c r="L594" s="105" t="inlineStr">
        <is>
          <t>VR</t>
        </is>
      </c>
      <c r="M594" s="210" t="inlineStr">
        <is>
          <t>RK</t>
        </is>
      </c>
      <c r="N594" s="211" t="n"/>
      <c r="O594" s="340" t="inlineStr">
        <is>
          <t>SBL</t>
        </is>
      </c>
      <c r="Q594" s="271" t="n"/>
      <c r="R594" s="282" t="n"/>
    </row>
    <row r="595" ht="18" customHeight="1" s="305">
      <c r="A595" s="8" t="inlineStr">
        <is>
          <t>C 461</t>
        </is>
      </c>
      <c r="B595" s="5" t="n">
        <v>136</v>
      </c>
      <c r="C595" s="6" t="inlineStr">
        <is>
          <t>X</t>
        </is>
      </c>
      <c r="D595" s="5" t="n">
        <v>220</v>
      </c>
      <c r="E595" s="2">
        <f>B595*D595/10000</f>
        <v/>
      </c>
      <c r="F595" s="3">
        <f>B595/30.48</f>
        <v/>
      </c>
      <c r="G595" s="3">
        <f>D595/30.48</f>
        <v/>
      </c>
      <c r="H595" s="615" t="n"/>
      <c r="I595" s="49" t="inlineStr">
        <is>
          <t>OLD</t>
        </is>
      </c>
      <c r="J595" s="48" t="inlineStr">
        <is>
          <t>TRS</t>
        </is>
      </c>
      <c r="K595" s="51" t="inlineStr">
        <is>
          <t>PAC</t>
        </is>
      </c>
      <c r="L595" s="105" t="inlineStr">
        <is>
          <t>VR</t>
        </is>
      </c>
      <c r="M595" s="210" t="n"/>
      <c r="N595" s="211" t="n"/>
      <c r="O595" s="340" t="inlineStr">
        <is>
          <t>SBL</t>
        </is>
      </c>
      <c r="Q595" s="271" t="n"/>
      <c r="R595" s="282" t="n"/>
    </row>
    <row r="596" ht="18" customHeight="1" s="305">
      <c r="A596" s="8" t="inlineStr">
        <is>
          <t>C 464</t>
        </is>
      </c>
      <c r="B596" s="5" t="n">
        <v>389</v>
      </c>
      <c r="C596" s="6" t="inlineStr">
        <is>
          <t>X</t>
        </is>
      </c>
      <c r="D596" s="5" t="n">
        <v>76</v>
      </c>
      <c r="E596" s="2">
        <f>B596*D596/10000</f>
        <v/>
      </c>
      <c r="F596" s="3">
        <f>B596/30.48</f>
        <v/>
      </c>
      <c r="G596" s="3">
        <f>D596/30.48</f>
        <v/>
      </c>
      <c r="H596" s="615" t="n"/>
      <c r="I596" s="49" t="inlineStr">
        <is>
          <t>OLD</t>
        </is>
      </c>
      <c r="J596" s="48" t="inlineStr">
        <is>
          <t>TRS</t>
        </is>
      </c>
      <c r="K596" s="51" t="inlineStr">
        <is>
          <t>PAC</t>
        </is>
      </c>
      <c r="L596" s="105" t="inlineStr">
        <is>
          <t>VR</t>
        </is>
      </c>
      <c r="M596" s="210" t="inlineStr">
        <is>
          <t>RK</t>
        </is>
      </c>
      <c r="N596" s="211" t="n"/>
      <c r="O596" s="340" t="inlineStr">
        <is>
          <t>SBL</t>
        </is>
      </c>
      <c r="Q596" s="271" t="n"/>
      <c r="R596" s="282" t="n"/>
    </row>
    <row r="597" ht="18" customHeight="1" s="305">
      <c r="A597" s="8" t="inlineStr">
        <is>
          <t>C 309</t>
        </is>
      </c>
      <c r="B597" s="5" t="n">
        <v>164</v>
      </c>
      <c r="C597" s="6" t="inlineStr">
        <is>
          <t>X</t>
        </is>
      </c>
      <c r="D597" s="5" t="n">
        <v>271</v>
      </c>
      <c r="E597" s="2">
        <f>B597*D597/10000</f>
        <v/>
      </c>
      <c r="F597" s="3">
        <f>B597/30.48</f>
        <v/>
      </c>
      <c r="G597" s="3">
        <f>D597/30.48</f>
        <v/>
      </c>
      <c r="H597" s="615" t="n"/>
      <c r="I597" s="49" t="inlineStr">
        <is>
          <t>OLD</t>
        </is>
      </c>
      <c r="J597" s="48" t="inlineStr">
        <is>
          <t>TRS</t>
        </is>
      </c>
      <c r="K597" s="51" t="inlineStr">
        <is>
          <t>PAC</t>
        </is>
      </c>
      <c r="L597" s="105" t="inlineStr">
        <is>
          <t>VR</t>
        </is>
      </c>
      <c r="M597" s="210" t="inlineStr">
        <is>
          <t>RK</t>
        </is>
      </c>
      <c r="N597" s="211" t="n"/>
      <c r="O597" s="340" t="inlineStr">
        <is>
          <t>SBL</t>
        </is>
      </c>
      <c r="Q597" s="271" t="n"/>
      <c r="R597" s="282" t="n"/>
    </row>
    <row r="598" ht="18" customHeight="1" s="305">
      <c r="A598" s="8" t="inlineStr">
        <is>
          <t>C 409</t>
        </is>
      </c>
      <c r="B598" s="5" t="n">
        <v>155</v>
      </c>
      <c r="C598" s="6" t="inlineStr">
        <is>
          <t>X</t>
        </is>
      </c>
      <c r="D598" s="5" t="n">
        <v>262</v>
      </c>
      <c r="E598" s="2">
        <f>B598*D598/10000</f>
        <v/>
      </c>
      <c r="F598" s="3">
        <f>B598/30.48</f>
        <v/>
      </c>
      <c r="G598" s="3">
        <f>D598/30.48</f>
        <v/>
      </c>
      <c r="H598" s="615" t="n"/>
      <c r="I598" s="49" t="inlineStr">
        <is>
          <t>OLD</t>
        </is>
      </c>
      <c r="J598" s="48" t="inlineStr">
        <is>
          <t>TRS</t>
        </is>
      </c>
      <c r="K598" s="51" t="inlineStr">
        <is>
          <t>PAC</t>
        </is>
      </c>
      <c r="L598" s="105" t="inlineStr">
        <is>
          <t>VR</t>
        </is>
      </c>
      <c r="M598" s="210" t="n"/>
      <c r="N598" s="211" t="n"/>
      <c r="O598" s="340" t="inlineStr">
        <is>
          <t>SBL</t>
        </is>
      </c>
      <c r="Q598" s="271" t="n"/>
      <c r="R598" s="282" t="n"/>
    </row>
    <row r="599" ht="18" customHeight="1" s="305">
      <c r="A599" s="8" t="inlineStr">
        <is>
          <t>C 413</t>
        </is>
      </c>
      <c r="B599" s="5" t="n">
        <v>165</v>
      </c>
      <c r="C599" s="6" t="inlineStr">
        <is>
          <t>X</t>
        </is>
      </c>
      <c r="D599" s="5" t="n">
        <v>268</v>
      </c>
      <c r="E599" s="2">
        <f>B599*D599/10000</f>
        <v/>
      </c>
      <c r="F599" s="3">
        <f>B599/30.48</f>
        <v/>
      </c>
      <c r="G599" s="3">
        <f>D599/30.48</f>
        <v/>
      </c>
      <c r="H599" s="615" t="n"/>
      <c r="I599" s="49" t="inlineStr">
        <is>
          <t>OLD</t>
        </is>
      </c>
      <c r="J599" s="48" t="inlineStr">
        <is>
          <t>TRS</t>
        </is>
      </c>
      <c r="K599" s="51" t="inlineStr">
        <is>
          <t>PAC</t>
        </is>
      </c>
      <c r="L599" s="105" t="inlineStr">
        <is>
          <t>VR</t>
        </is>
      </c>
      <c r="M599" s="210" t="n"/>
      <c r="N599" s="211" t="n"/>
      <c r="O599" s="340" t="inlineStr">
        <is>
          <t>SBL</t>
        </is>
      </c>
      <c r="Q599" s="271" t="n"/>
      <c r="R599" s="282" t="n"/>
    </row>
    <row r="600" ht="18" customHeight="1" s="305">
      <c r="A600" s="8" t="inlineStr">
        <is>
          <t>C 442</t>
        </is>
      </c>
      <c r="B600" s="5" t="n">
        <v>210</v>
      </c>
      <c r="C600" s="6" t="inlineStr">
        <is>
          <t>X</t>
        </is>
      </c>
      <c r="D600" s="5" t="n">
        <v>303</v>
      </c>
      <c r="E600" s="2">
        <f>B600*D600/10000</f>
        <v/>
      </c>
      <c r="F600" s="3">
        <f>B600/30.48</f>
        <v/>
      </c>
      <c r="G600" s="3">
        <f>D600/30.48</f>
        <v/>
      </c>
      <c r="H600" s="615" t="n"/>
      <c r="I600" s="49" t="inlineStr">
        <is>
          <t>OLD</t>
        </is>
      </c>
      <c r="J600" s="48" t="inlineStr">
        <is>
          <t>TRS</t>
        </is>
      </c>
      <c r="K600" s="51" t="inlineStr">
        <is>
          <t>PAC</t>
        </is>
      </c>
      <c r="M600" s="210" t="n"/>
      <c r="N600" s="211" t="n"/>
      <c r="O600" s="340" t="inlineStr">
        <is>
          <t>SBL</t>
        </is>
      </c>
      <c r="Q600" s="271" t="n"/>
      <c r="R600" s="282" t="n"/>
    </row>
    <row r="601" ht="18" customHeight="1" s="305">
      <c r="A601" s="8" t="inlineStr">
        <is>
          <t>C 443</t>
        </is>
      </c>
      <c r="B601" s="5" t="n">
        <v>191</v>
      </c>
      <c r="C601" s="6" t="inlineStr">
        <is>
          <t>X</t>
        </is>
      </c>
      <c r="D601" s="5" t="n">
        <v>295</v>
      </c>
      <c r="E601" s="2">
        <f>B601*D601/10000</f>
        <v/>
      </c>
      <c r="F601" s="3">
        <f>B601/30.48</f>
        <v/>
      </c>
      <c r="G601" s="3">
        <f>D601/30.48</f>
        <v/>
      </c>
      <c r="H601" s="615" t="n"/>
      <c r="I601" s="49" t="inlineStr">
        <is>
          <t>OLD</t>
        </is>
      </c>
      <c r="J601" s="48" t="inlineStr">
        <is>
          <t>TRS</t>
        </is>
      </c>
      <c r="K601" s="51" t="inlineStr">
        <is>
          <t>PAC</t>
        </is>
      </c>
      <c r="M601" s="210" t="n"/>
      <c r="N601" s="211" t="n"/>
      <c r="O601" s="340" t="inlineStr">
        <is>
          <t>SBL</t>
        </is>
      </c>
      <c r="Q601" s="271" t="n"/>
      <c r="R601" s="282" t="n"/>
    </row>
    <row r="602" ht="18" customHeight="1" s="305">
      <c r="A602" s="8" t="inlineStr">
        <is>
          <t>C 447</t>
        </is>
      </c>
      <c r="B602" s="5" t="n">
        <v>205</v>
      </c>
      <c r="C602" s="6" t="inlineStr">
        <is>
          <t>X</t>
        </is>
      </c>
      <c r="D602" s="5" t="n">
        <v>278</v>
      </c>
      <c r="E602" s="2">
        <f>B602*D602/10000</f>
        <v/>
      </c>
      <c r="F602" s="3">
        <f>B602/30.48</f>
        <v/>
      </c>
      <c r="G602" s="3">
        <f>D602/30.48</f>
        <v/>
      </c>
      <c r="H602" s="615" t="n"/>
      <c r="I602" s="49" t="inlineStr">
        <is>
          <t>OLD</t>
        </is>
      </c>
      <c r="J602" s="48" t="inlineStr">
        <is>
          <t>TRS</t>
        </is>
      </c>
      <c r="K602" s="51" t="inlineStr">
        <is>
          <t>PAC</t>
        </is>
      </c>
      <c r="L602" s="105" t="inlineStr">
        <is>
          <t>VR</t>
        </is>
      </c>
      <c r="M602" s="210" t="n"/>
      <c r="N602" s="211" t="n"/>
      <c r="O602" s="263" t="n"/>
      <c r="Q602" s="271" t="n"/>
      <c r="R602" s="282" t="n"/>
    </row>
    <row r="603" ht="18" customHeight="1" s="305">
      <c r="A603" s="8" t="inlineStr">
        <is>
          <t>C 449</t>
        </is>
      </c>
      <c r="B603" s="5" t="n">
        <v>165</v>
      </c>
      <c r="C603" s="6" t="inlineStr">
        <is>
          <t>X</t>
        </is>
      </c>
      <c r="D603" s="5" t="n">
        <v>250</v>
      </c>
      <c r="E603" s="2">
        <f>B603*D603/10000</f>
        <v/>
      </c>
      <c r="F603" s="3">
        <f>B603/30.48</f>
        <v/>
      </c>
      <c r="G603" s="3">
        <f>D603/30.48</f>
        <v/>
      </c>
      <c r="H603" s="615" t="n"/>
      <c r="I603" s="49" t="inlineStr">
        <is>
          <t>OLD</t>
        </is>
      </c>
      <c r="J603" s="48" t="inlineStr">
        <is>
          <t>TRS</t>
        </is>
      </c>
      <c r="K603" s="51" t="inlineStr">
        <is>
          <t>PAC</t>
        </is>
      </c>
      <c r="L603" s="105" t="inlineStr">
        <is>
          <t>VR</t>
        </is>
      </c>
      <c r="M603" s="210" t="n"/>
      <c r="N603" s="211" t="n"/>
      <c r="O603" s="340" t="inlineStr">
        <is>
          <t>SBL</t>
        </is>
      </c>
      <c r="Q603" s="271" t="n"/>
      <c r="R603" s="282" t="n"/>
    </row>
    <row r="604" ht="18" customHeight="1" s="305">
      <c r="A604" s="8" t="inlineStr">
        <is>
          <t>C 450</t>
        </is>
      </c>
      <c r="B604" s="5" t="n">
        <v>153</v>
      </c>
      <c r="C604" s="6" t="inlineStr">
        <is>
          <t>X</t>
        </is>
      </c>
      <c r="D604" s="5" t="n">
        <v>299</v>
      </c>
      <c r="E604" s="2">
        <f>B604*D604/10000</f>
        <v/>
      </c>
      <c r="F604" s="3">
        <f>B604/30.48</f>
        <v/>
      </c>
      <c r="G604" s="3">
        <f>D604/30.48</f>
        <v/>
      </c>
      <c r="H604" s="615" t="n"/>
      <c r="I604" s="49" t="inlineStr">
        <is>
          <t>OLD</t>
        </is>
      </c>
      <c r="J604" s="48" t="inlineStr">
        <is>
          <t>TRS</t>
        </is>
      </c>
      <c r="K604" s="51" t="inlineStr">
        <is>
          <t>PAC</t>
        </is>
      </c>
      <c r="L604" s="105" t="inlineStr">
        <is>
          <t>VR</t>
        </is>
      </c>
      <c r="M604" s="210" t="inlineStr">
        <is>
          <t>RK</t>
        </is>
      </c>
      <c r="N604" s="211" t="n"/>
      <c r="O604" s="340" t="inlineStr">
        <is>
          <t>SBL</t>
        </is>
      </c>
      <c r="Q604" s="271" t="n"/>
      <c r="R604" s="282" t="n"/>
    </row>
    <row r="605" ht="18" customHeight="1" s="305">
      <c r="A605" s="8" t="inlineStr">
        <is>
          <t>C 454</t>
        </is>
      </c>
      <c r="B605" s="5" t="n">
        <v>130</v>
      </c>
      <c r="C605" s="6" t="inlineStr">
        <is>
          <t>X</t>
        </is>
      </c>
      <c r="D605" s="5" t="n">
        <v>324</v>
      </c>
      <c r="E605" s="2">
        <f>B605*D605/10000</f>
        <v/>
      </c>
      <c r="F605" s="3">
        <f>B605/30.48</f>
        <v/>
      </c>
      <c r="G605" s="3">
        <f>D605/30.48</f>
        <v/>
      </c>
      <c r="H605" s="615" t="n"/>
      <c r="I605" s="49" t="inlineStr">
        <is>
          <t>OLD</t>
        </is>
      </c>
      <c r="J605" s="48" t="inlineStr">
        <is>
          <t>TRS</t>
        </is>
      </c>
      <c r="K605" s="51" t="inlineStr">
        <is>
          <t>PAC</t>
        </is>
      </c>
      <c r="M605" s="210" t="n"/>
      <c r="N605" s="211" t="n"/>
      <c r="O605" s="340" t="inlineStr">
        <is>
          <t>SBL</t>
        </is>
      </c>
      <c r="Q605" s="271" t="n"/>
      <c r="R605" s="282" t="n"/>
    </row>
    <row r="606" ht="18" customHeight="1" s="305">
      <c r="A606" s="8" t="n">
        <v>12</v>
      </c>
      <c r="B606" s="5" t="n">
        <v>243</v>
      </c>
      <c r="C606" s="6" t="inlineStr">
        <is>
          <t>X</t>
        </is>
      </c>
      <c r="D606" s="5" t="n">
        <v>325</v>
      </c>
      <c r="E606" s="2">
        <f>B606*D606/10000</f>
        <v/>
      </c>
      <c r="F606" s="3">
        <f>B606/30.48</f>
        <v/>
      </c>
      <c r="G606" s="3">
        <f>D606/30.48</f>
        <v/>
      </c>
      <c r="H606" s="615" t="n"/>
      <c r="I606" s="49" t="inlineStr">
        <is>
          <t>OLD</t>
        </is>
      </c>
      <c r="J606" s="48" t="inlineStr">
        <is>
          <t>TRS</t>
        </is>
      </c>
      <c r="K606" s="51" t="inlineStr">
        <is>
          <t>PAC</t>
        </is>
      </c>
      <c r="L606" s="105" t="inlineStr">
        <is>
          <t>VR</t>
        </is>
      </c>
      <c r="M606" s="210" t="n"/>
      <c r="N606" s="211" t="n"/>
      <c r="O606" s="340" t="inlineStr">
        <is>
          <t>SBL</t>
        </is>
      </c>
      <c r="Q606" s="271" t="n"/>
      <c r="R606" s="282" t="n"/>
    </row>
    <row r="607" ht="18" customHeight="1" s="305">
      <c r="A607" s="8" t="inlineStr">
        <is>
          <t>C 345</t>
        </is>
      </c>
      <c r="B607" s="5" t="n">
        <v>118</v>
      </c>
      <c r="C607" s="6" t="inlineStr">
        <is>
          <t>X</t>
        </is>
      </c>
      <c r="D607" s="5" t="n">
        <v>278</v>
      </c>
      <c r="E607" s="2">
        <f>B607*D607/10000</f>
        <v/>
      </c>
      <c r="F607" s="3">
        <f>B607/30.48</f>
        <v/>
      </c>
      <c r="G607" s="3">
        <f>D607/30.48</f>
        <v/>
      </c>
      <c r="H607" s="615" t="n"/>
      <c r="I607" s="49" t="inlineStr">
        <is>
          <t>OLD</t>
        </is>
      </c>
      <c r="J607" s="48" t="inlineStr">
        <is>
          <t>TRS</t>
        </is>
      </c>
      <c r="K607" s="51" t="inlineStr">
        <is>
          <t>PAC</t>
        </is>
      </c>
      <c r="L607" s="105" t="inlineStr">
        <is>
          <t>VR</t>
        </is>
      </c>
      <c r="M607" s="210" t="inlineStr">
        <is>
          <t>RK</t>
        </is>
      </c>
      <c r="N607" s="211" t="n"/>
      <c r="O607" s="340" t="inlineStr">
        <is>
          <t>SBL</t>
        </is>
      </c>
      <c r="Q607" s="271" t="n"/>
      <c r="R607" s="282" t="n"/>
    </row>
    <row r="608" ht="18" customHeight="1" s="305">
      <c r="A608" s="8" t="inlineStr">
        <is>
          <t>C 348</t>
        </is>
      </c>
      <c r="B608" s="5" t="n">
        <v>129</v>
      </c>
      <c r="C608" s="6" t="inlineStr">
        <is>
          <t>X</t>
        </is>
      </c>
      <c r="D608" s="5" t="n">
        <v>218</v>
      </c>
      <c r="E608" s="2">
        <f>B608*D608/10000</f>
        <v/>
      </c>
      <c r="F608" s="3">
        <f>B608/30.48</f>
        <v/>
      </c>
      <c r="G608" s="3">
        <f>D608/30.48</f>
        <v/>
      </c>
      <c r="H608" s="615" t="n"/>
      <c r="I608" s="49" t="inlineStr">
        <is>
          <t>OLD</t>
        </is>
      </c>
      <c r="J608" s="48" t="inlineStr">
        <is>
          <t>TRS</t>
        </is>
      </c>
      <c r="K608" s="51" t="inlineStr">
        <is>
          <t>PAC</t>
        </is>
      </c>
      <c r="L608" s="105" t="inlineStr">
        <is>
          <t>VR</t>
        </is>
      </c>
      <c r="M608" s="210" t="inlineStr">
        <is>
          <t>RK</t>
        </is>
      </c>
      <c r="N608" s="211" t="n"/>
      <c r="O608" s="340" t="inlineStr">
        <is>
          <t>SBL</t>
        </is>
      </c>
      <c r="Q608" s="271" t="n"/>
      <c r="R608" s="282" t="n"/>
    </row>
    <row r="609" ht="18" customHeight="1" s="305">
      <c r="A609" s="8" t="inlineStr">
        <is>
          <t>C 354</t>
        </is>
      </c>
      <c r="B609" s="5" t="n">
        <v>126</v>
      </c>
      <c r="C609" s="6" t="inlineStr">
        <is>
          <t>X</t>
        </is>
      </c>
      <c r="D609" s="5" t="n">
        <v>212</v>
      </c>
      <c r="E609" s="2">
        <f>B609*D609/10000</f>
        <v/>
      </c>
      <c r="F609" s="3">
        <f>B609/30.48</f>
        <v/>
      </c>
      <c r="G609" s="3">
        <f>D609/30.48</f>
        <v/>
      </c>
      <c r="H609" s="615" t="n"/>
      <c r="I609" s="49" t="inlineStr">
        <is>
          <t>OLD</t>
        </is>
      </c>
      <c r="J609" s="48" t="inlineStr">
        <is>
          <t>TRS</t>
        </is>
      </c>
      <c r="K609" s="51" t="inlineStr">
        <is>
          <t>PAC</t>
        </is>
      </c>
      <c r="L609" s="105" t="inlineStr">
        <is>
          <t>VR</t>
        </is>
      </c>
      <c r="M609" s="210" t="n"/>
      <c r="N609" s="211" t="n"/>
      <c r="O609" s="340" t="inlineStr">
        <is>
          <t>SBL</t>
        </is>
      </c>
      <c r="Q609" s="271" t="n"/>
      <c r="R609" s="282" t="n"/>
    </row>
    <row r="610" ht="18" customHeight="1" s="305">
      <c r="A610" s="8" t="inlineStr">
        <is>
          <t>C 355</t>
        </is>
      </c>
      <c r="B610" s="5" t="n">
        <v>115</v>
      </c>
      <c r="C610" s="6" t="inlineStr">
        <is>
          <t>X</t>
        </is>
      </c>
      <c r="D610" s="5" t="n">
        <v>360</v>
      </c>
      <c r="E610" s="2">
        <f>B610*D610/10000</f>
        <v/>
      </c>
      <c r="F610" s="3">
        <f>B610/30.48</f>
        <v/>
      </c>
      <c r="G610" s="3">
        <f>D610/30.48</f>
        <v/>
      </c>
      <c r="H610" s="615" t="n"/>
      <c r="I610" s="49" t="inlineStr">
        <is>
          <t>OLD</t>
        </is>
      </c>
      <c r="J610" s="48" t="inlineStr">
        <is>
          <t>TRS</t>
        </is>
      </c>
      <c r="K610" s="51" t="inlineStr">
        <is>
          <t>PAC</t>
        </is>
      </c>
      <c r="L610" s="105" t="inlineStr">
        <is>
          <t>VR</t>
        </is>
      </c>
      <c r="M610" s="210" t="n"/>
      <c r="N610" s="211" t="n"/>
      <c r="O610" s="340" t="inlineStr">
        <is>
          <t>SBL</t>
        </is>
      </c>
      <c r="Q610" s="271" t="n"/>
      <c r="R610" s="282" t="n"/>
    </row>
    <row r="611" ht="18" customHeight="1" s="305">
      <c r="A611" s="8" t="inlineStr">
        <is>
          <t>C 351</t>
        </is>
      </c>
      <c r="B611" s="5" t="n">
        <v>102</v>
      </c>
      <c r="C611" s="6" t="inlineStr">
        <is>
          <t>X</t>
        </is>
      </c>
      <c r="D611" s="5" t="n">
        <v>191</v>
      </c>
      <c r="E611" s="2">
        <f>B611*D611/10000</f>
        <v/>
      </c>
      <c r="F611" s="3">
        <f>B611/30.48</f>
        <v/>
      </c>
      <c r="G611" s="3">
        <f>D611/30.48</f>
        <v/>
      </c>
      <c r="H611" s="615" t="n"/>
      <c r="I611" s="49" t="inlineStr">
        <is>
          <t>OLD</t>
        </is>
      </c>
      <c r="J611" s="48" t="inlineStr">
        <is>
          <t>TRS</t>
        </is>
      </c>
      <c r="K611" s="51" t="inlineStr">
        <is>
          <t>PAC</t>
        </is>
      </c>
      <c r="L611" s="105" t="inlineStr">
        <is>
          <t>VR</t>
        </is>
      </c>
      <c r="M611" s="210" t="inlineStr">
        <is>
          <t>RK</t>
        </is>
      </c>
      <c r="N611" s="211" t="n"/>
      <c r="O611" s="340" t="inlineStr">
        <is>
          <t>SBL</t>
        </is>
      </c>
      <c r="Q611" s="271" t="n"/>
      <c r="R611" s="282" t="n"/>
    </row>
    <row r="612" ht="18" customHeight="1" s="305">
      <c r="A612" s="8" t="inlineStr">
        <is>
          <t>C 359</t>
        </is>
      </c>
      <c r="B612" s="5" t="n">
        <v>116</v>
      </c>
      <c r="C612" s="6" t="inlineStr">
        <is>
          <t>X</t>
        </is>
      </c>
      <c r="D612" s="5" t="n">
        <v>387</v>
      </c>
      <c r="E612" s="2">
        <f>B612*D612/10000</f>
        <v/>
      </c>
      <c r="F612" s="3">
        <f>B612/30.48</f>
        <v/>
      </c>
      <c r="G612" s="3">
        <f>D612/30.48</f>
        <v/>
      </c>
      <c r="H612" s="615" t="n"/>
      <c r="I612" s="49" t="inlineStr">
        <is>
          <t>OLD</t>
        </is>
      </c>
      <c r="J612" s="48" t="inlineStr">
        <is>
          <t>TRS</t>
        </is>
      </c>
      <c r="K612" s="51" t="inlineStr">
        <is>
          <t>PAC</t>
        </is>
      </c>
      <c r="L612" s="105" t="inlineStr">
        <is>
          <t>VR</t>
        </is>
      </c>
      <c r="M612" s="210" t="n"/>
      <c r="N612" s="211" t="n"/>
      <c r="O612" s="340" t="inlineStr">
        <is>
          <t>SBL</t>
        </is>
      </c>
      <c r="Q612" s="271" t="n"/>
      <c r="R612" s="282" t="n"/>
    </row>
    <row r="613" ht="18" customHeight="1" s="305">
      <c r="A613" s="8" t="inlineStr">
        <is>
          <t>C 372</t>
        </is>
      </c>
      <c r="B613" s="5" t="n">
        <v>158</v>
      </c>
      <c r="C613" s="6" t="inlineStr">
        <is>
          <t>X</t>
        </is>
      </c>
      <c r="D613" s="5" t="n">
        <v>255</v>
      </c>
      <c r="E613" s="2">
        <f>B613*D613/10000</f>
        <v/>
      </c>
      <c r="F613" s="3">
        <f>B613/30.48</f>
        <v/>
      </c>
      <c r="G613" s="3">
        <f>D613/30.48</f>
        <v/>
      </c>
      <c r="H613" s="615" t="n"/>
      <c r="I613" s="49" t="inlineStr">
        <is>
          <t>OLD</t>
        </is>
      </c>
      <c r="J613" s="48" t="inlineStr">
        <is>
          <t>TRS</t>
        </is>
      </c>
      <c r="K613" s="51" t="inlineStr">
        <is>
          <t>PAC</t>
        </is>
      </c>
      <c r="L613" s="105" t="inlineStr">
        <is>
          <t>VR</t>
        </is>
      </c>
      <c r="M613" s="210" t="n"/>
      <c r="N613" s="211" t="n"/>
      <c r="O613" s="340" t="inlineStr">
        <is>
          <t>SBL</t>
        </is>
      </c>
      <c r="Q613" s="271" t="n"/>
      <c r="R613" s="282" t="n"/>
    </row>
    <row r="614" ht="18" customHeight="1" s="305">
      <c r="A614" s="8" t="inlineStr">
        <is>
          <t>C 410</t>
        </is>
      </c>
      <c r="B614" s="5" t="n">
        <v>96</v>
      </c>
      <c r="C614" s="6" t="inlineStr">
        <is>
          <t>X</t>
        </is>
      </c>
      <c r="D614" s="5" t="n">
        <v>191</v>
      </c>
      <c r="E614" s="2">
        <f>B614*D614/10000</f>
        <v/>
      </c>
      <c r="F614" s="3">
        <f>B614/30.48</f>
        <v/>
      </c>
      <c r="G614" s="3">
        <f>D614/30.48</f>
        <v/>
      </c>
      <c r="H614" s="615" t="n"/>
      <c r="I614" s="49" t="inlineStr">
        <is>
          <t>OLD</t>
        </is>
      </c>
      <c r="J614" s="48" t="inlineStr">
        <is>
          <t>TRS</t>
        </is>
      </c>
      <c r="K614" s="51" t="inlineStr">
        <is>
          <t>PAC</t>
        </is>
      </c>
      <c r="L614" s="105" t="inlineStr">
        <is>
          <t>VR</t>
        </is>
      </c>
      <c r="M614" s="210" t="n"/>
      <c r="N614" s="211" t="n"/>
      <c r="O614" s="340" t="inlineStr">
        <is>
          <t>SBL</t>
        </is>
      </c>
      <c r="Q614" s="271" t="n"/>
      <c r="R614" s="282" t="n"/>
    </row>
    <row r="615" ht="18" customHeight="1" s="305">
      <c r="A615" s="8" t="inlineStr">
        <is>
          <t>C 422</t>
        </is>
      </c>
      <c r="B615" s="5" t="n">
        <v>154</v>
      </c>
      <c r="C615" s="6" t="inlineStr">
        <is>
          <t>X</t>
        </is>
      </c>
      <c r="D615" s="5" t="n">
        <v>245</v>
      </c>
      <c r="E615" s="2">
        <f>B615*D615/10000</f>
        <v/>
      </c>
      <c r="F615" s="3">
        <f>B615/30.48</f>
        <v/>
      </c>
      <c r="G615" s="3">
        <f>D615/30.48</f>
        <v/>
      </c>
      <c r="H615" s="615" t="n"/>
      <c r="I615" s="49" t="inlineStr">
        <is>
          <t>OLD</t>
        </is>
      </c>
      <c r="J615" s="48" t="inlineStr">
        <is>
          <t>TRS</t>
        </is>
      </c>
      <c r="K615" s="51" t="inlineStr">
        <is>
          <t>PAC</t>
        </is>
      </c>
      <c r="L615" s="105" t="inlineStr">
        <is>
          <t>VR</t>
        </is>
      </c>
      <c r="M615" s="210" t="n"/>
      <c r="N615" s="211" t="n"/>
      <c r="O615" s="340" t="inlineStr">
        <is>
          <t>SBL</t>
        </is>
      </c>
      <c r="Q615" s="271" t="n"/>
      <c r="R615" s="282" t="n"/>
    </row>
    <row r="616" ht="18" customHeight="1" s="305">
      <c r="A616" s="8" t="inlineStr">
        <is>
          <t>C 441</t>
        </is>
      </c>
      <c r="B616" s="5" t="n">
        <v>154</v>
      </c>
      <c r="C616" s="6" t="inlineStr">
        <is>
          <t>X</t>
        </is>
      </c>
      <c r="D616" s="5" t="n">
        <v>312</v>
      </c>
      <c r="E616" s="2">
        <f>B616*D616/10000</f>
        <v/>
      </c>
      <c r="F616" s="3">
        <f>B616/30.48</f>
        <v/>
      </c>
      <c r="G616" s="3">
        <f>D616/30.48</f>
        <v/>
      </c>
      <c r="H616" s="615" t="n"/>
      <c r="I616" s="49" t="inlineStr">
        <is>
          <t>OLD</t>
        </is>
      </c>
      <c r="J616" s="48" t="inlineStr">
        <is>
          <t>TRS</t>
        </is>
      </c>
      <c r="K616" s="51" t="inlineStr">
        <is>
          <t>PAC</t>
        </is>
      </c>
      <c r="L616" s="105" t="inlineStr">
        <is>
          <t>VR</t>
        </is>
      </c>
      <c r="M616" s="210" t="inlineStr">
        <is>
          <t>RK</t>
        </is>
      </c>
      <c r="N616" s="211" t="n"/>
      <c r="O616" s="340" t="inlineStr">
        <is>
          <t>SBL</t>
        </is>
      </c>
      <c r="Q616" s="271" t="n"/>
      <c r="R616" s="282" t="n"/>
    </row>
    <row r="617" ht="18" customHeight="1" s="305">
      <c r="A617" s="8" t="inlineStr">
        <is>
          <t>C 468</t>
        </is>
      </c>
      <c r="B617" s="5" t="n">
        <v>153</v>
      </c>
      <c r="C617" s="6" t="inlineStr">
        <is>
          <t>X</t>
        </is>
      </c>
      <c r="D617" s="5" t="n">
        <v>328</v>
      </c>
      <c r="E617" s="2">
        <f>B617*D617/10000</f>
        <v/>
      </c>
      <c r="F617" s="3">
        <f>B617/30.48</f>
        <v/>
      </c>
      <c r="G617" s="3">
        <f>D617/30.48</f>
        <v/>
      </c>
      <c r="H617" s="615" t="n"/>
      <c r="I617" s="49" t="inlineStr">
        <is>
          <t>OLD</t>
        </is>
      </c>
      <c r="J617" s="48" t="inlineStr">
        <is>
          <t>TRS</t>
        </is>
      </c>
      <c r="K617" s="51" t="inlineStr">
        <is>
          <t>PAC</t>
        </is>
      </c>
      <c r="M617" s="210" t="inlineStr">
        <is>
          <t>RK</t>
        </is>
      </c>
      <c r="N617" s="211" t="n"/>
      <c r="O617" s="340" t="inlineStr">
        <is>
          <t>SBL</t>
        </is>
      </c>
      <c r="Q617" s="271" t="n"/>
      <c r="R617" s="282" t="n"/>
    </row>
    <row r="618" ht="18" customHeight="1" s="305">
      <c r="A618" s="8" t="inlineStr">
        <is>
          <t>C 469</t>
        </is>
      </c>
      <c r="B618" s="5" t="n">
        <v>197</v>
      </c>
      <c r="C618" s="6" t="inlineStr">
        <is>
          <t>X</t>
        </is>
      </c>
      <c r="D618" s="5" t="n">
        <v>283</v>
      </c>
      <c r="E618" s="2">
        <f>B618*D618/10000</f>
        <v/>
      </c>
      <c r="F618" s="3">
        <f>B618/30.48</f>
        <v/>
      </c>
      <c r="G618" s="3">
        <f>D618/30.48</f>
        <v/>
      </c>
      <c r="H618" s="615" t="n"/>
      <c r="I618" s="49" t="inlineStr">
        <is>
          <t>OLD</t>
        </is>
      </c>
      <c r="J618" s="48" t="inlineStr">
        <is>
          <t>TRS</t>
        </is>
      </c>
      <c r="K618" s="51" t="inlineStr">
        <is>
          <t>PAC</t>
        </is>
      </c>
      <c r="L618" s="105" t="inlineStr">
        <is>
          <t>VR</t>
        </is>
      </c>
      <c r="M618" s="210" t="n"/>
      <c r="N618" s="211" t="n"/>
      <c r="O618" s="340" t="inlineStr">
        <is>
          <t>SBL</t>
        </is>
      </c>
      <c r="Q618" s="271" t="n"/>
      <c r="R618" s="282" t="n"/>
    </row>
    <row r="619" ht="18" customHeight="1" s="305">
      <c r="A619" s="8" t="inlineStr">
        <is>
          <t>C 471</t>
        </is>
      </c>
      <c r="B619" s="5" t="n">
        <v>85</v>
      </c>
      <c r="C619" s="6" t="inlineStr">
        <is>
          <t>X</t>
        </is>
      </c>
      <c r="D619" s="5" t="n">
        <v>234</v>
      </c>
      <c r="E619" s="2">
        <f>B619*D619/10000</f>
        <v/>
      </c>
      <c r="F619" s="3">
        <f>B619/30.48</f>
        <v/>
      </c>
      <c r="G619" s="3">
        <f>D619/30.48</f>
        <v/>
      </c>
      <c r="H619" s="615" t="n"/>
      <c r="I619" s="49" t="inlineStr">
        <is>
          <t>OLD</t>
        </is>
      </c>
      <c r="J619" s="48" t="inlineStr">
        <is>
          <t>TRS</t>
        </is>
      </c>
      <c r="K619" s="51" t="inlineStr">
        <is>
          <t>PAC</t>
        </is>
      </c>
      <c r="L619" s="105" t="inlineStr">
        <is>
          <t>VR</t>
        </is>
      </c>
      <c r="M619" s="210" t="n"/>
      <c r="N619" s="211" t="n"/>
      <c r="O619" s="340" t="inlineStr">
        <is>
          <t>SBL</t>
        </is>
      </c>
      <c r="Q619" s="271" t="n"/>
      <c r="R619" s="282" t="n"/>
    </row>
    <row r="620" ht="18" customHeight="1" s="305">
      <c r="A620" s="8" t="inlineStr">
        <is>
          <t>C 473</t>
        </is>
      </c>
      <c r="B620" s="5" t="n">
        <v>165</v>
      </c>
      <c r="C620" s="6" t="inlineStr">
        <is>
          <t>X</t>
        </is>
      </c>
      <c r="D620" s="5" t="n">
        <v>238</v>
      </c>
      <c r="E620" s="2">
        <f>B620*D620/10000</f>
        <v/>
      </c>
      <c r="F620" s="3">
        <f>B620/30.48</f>
        <v/>
      </c>
      <c r="G620" s="3">
        <f>D620/30.48</f>
        <v/>
      </c>
      <c r="H620" s="615" t="n"/>
      <c r="I620" s="49" t="inlineStr">
        <is>
          <t>OLD</t>
        </is>
      </c>
      <c r="J620" s="48" t="inlineStr">
        <is>
          <t>TRS</t>
        </is>
      </c>
      <c r="K620" s="51" t="inlineStr">
        <is>
          <t>PAC</t>
        </is>
      </c>
      <c r="L620" s="105" t="inlineStr">
        <is>
          <t>VR</t>
        </is>
      </c>
      <c r="M620" s="210" t="n"/>
      <c r="N620" s="211" t="n"/>
      <c r="O620" s="340" t="inlineStr">
        <is>
          <t>SBL</t>
        </is>
      </c>
      <c r="P620" s="261" t="inlineStr">
        <is>
          <t xml:space="preserve"> </t>
        </is>
      </c>
      <c r="Q620" s="271" t="n"/>
      <c r="R620" s="282" t="inlineStr">
        <is>
          <t xml:space="preserve"> </t>
        </is>
      </c>
    </row>
    <row r="621" ht="18" customHeight="1" s="305">
      <c r="A621" s="8" t="inlineStr">
        <is>
          <t>C 475</t>
        </is>
      </c>
      <c r="B621" s="5" t="n">
        <v>173</v>
      </c>
      <c r="C621" s="6" t="inlineStr">
        <is>
          <t>X</t>
        </is>
      </c>
      <c r="D621" s="5" t="n">
        <v>278</v>
      </c>
      <c r="E621" s="2">
        <f>B621*D621/10000</f>
        <v/>
      </c>
      <c r="F621" s="3">
        <f>B621/30.48</f>
        <v/>
      </c>
      <c r="G621" s="3">
        <f>D621/30.48</f>
        <v/>
      </c>
      <c r="H621" s="615" t="n"/>
      <c r="I621" s="49" t="inlineStr">
        <is>
          <t>OLD</t>
        </is>
      </c>
      <c r="J621" s="48" t="inlineStr">
        <is>
          <t>TRS</t>
        </is>
      </c>
      <c r="K621" s="51" t="inlineStr">
        <is>
          <t>PAC</t>
        </is>
      </c>
      <c r="M621" s="210" t="inlineStr">
        <is>
          <t>RK</t>
        </is>
      </c>
      <c r="N621" s="211" t="n"/>
      <c r="O621" s="340" t="inlineStr">
        <is>
          <t>SBL</t>
        </is>
      </c>
      <c r="Q621" s="271" t="n"/>
      <c r="R621" s="282" t="n"/>
    </row>
    <row r="622" ht="18" customHeight="1" s="305">
      <c r="A622" s="8" t="inlineStr">
        <is>
          <t>C 476</t>
        </is>
      </c>
      <c r="B622" s="5" t="n">
        <v>194</v>
      </c>
      <c r="C622" s="6" t="inlineStr">
        <is>
          <t>X</t>
        </is>
      </c>
      <c r="D622" s="5" t="n">
        <v>283</v>
      </c>
      <c r="E622" s="2">
        <f>B622*D622/10000</f>
        <v/>
      </c>
      <c r="F622" s="3">
        <f>B622/30.48</f>
        <v/>
      </c>
      <c r="G622" s="3">
        <f>D622/30.48</f>
        <v/>
      </c>
      <c r="H622" s="615" t="n"/>
      <c r="J622" s="48" t="inlineStr">
        <is>
          <t>TRS</t>
        </is>
      </c>
      <c r="K622" s="51" t="inlineStr">
        <is>
          <t>PAC</t>
        </is>
      </c>
      <c r="M622" s="210" t="n"/>
      <c r="N622" s="211" t="n"/>
      <c r="O622" s="340" t="inlineStr">
        <is>
          <t>SBL</t>
        </is>
      </c>
      <c r="Q622" s="271" t="n"/>
      <c r="R622" s="282" t="n"/>
    </row>
    <row r="623" ht="18" customHeight="1" s="305">
      <c r="A623" s="8" t="inlineStr">
        <is>
          <t>H 192</t>
        </is>
      </c>
      <c r="B623" s="5" t="n">
        <v>92</v>
      </c>
      <c r="C623" s="6" t="inlineStr">
        <is>
          <t>X</t>
        </is>
      </c>
      <c r="D623" s="5" t="n">
        <v>329</v>
      </c>
      <c r="E623" s="2">
        <f>B623*D623/10000</f>
        <v/>
      </c>
      <c r="F623" s="3">
        <f>B623/30.48</f>
        <v/>
      </c>
      <c r="G623" s="3">
        <f>D623/30.48</f>
        <v/>
      </c>
      <c r="H623" s="615" t="n"/>
      <c r="I623" s="49" t="inlineStr">
        <is>
          <t>OLD</t>
        </is>
      </c>
      <c r="J623" s="48" t="inlineStr">
        <is>
          <t>TRS</t>
        </is>
      </c>
      <c r="K623" s="51" t="inlineStr">
        <is>
          <t>PAC</t>
        </is>
      </c>
      <c r="L623" s="105" t="inlineStr">
        <is>
          <t>VR</t>
        </is>
      </c>
      <c r="M623" s="210" t="n"/>
      <c r="N623" s="211" t="n"/>
      <c r="O623" s="263" t="n"/>
      <c r="Q623" s="271" t="n"/>
      <c r="R623" s="282" t="n"/>
    </row>
    <row r="624" ht="18" customHeight="1" s="305">
      <c r="A624" s="8" t="inlineStr">
        <is>
          <t>C 470</t>
        </is>
      </c>
      <c r="B624" s="5" t="n">
        <v>212</v>
      </c>
      <c r="C624" s="6" t="inlineStr">
        <is>
          <t>X</t>
        </is>
      </c>
      <c r="D624" s="5" t="n">
        <v>308</v>
      </c>
      <c r="E624" s="2">
        <f>B624*D624/10000</f>
        <v/>
      </c>
      <c r="F624" s="3">
        <f>B624/30.48</f>
        <v/>
      </c>
      <c r="G624" s="3">
        <f>D624/30.48</f>
        <v/>
      </c>
      <c r="H624" s="615" t="n"/>
      <c r="J624" s="48" t="inlineStr">
        <is>
          <t>TRS</t>
        </is>
      </c>
      <c r="K624" s="51" t="inlineStr">
        <is>
          <t>PAC</t>
        </is>
      </c>
      <c r="L624" s="105" t="inlineStr">
        <is>
          <t>VR</t>
        </is>
      </c>
      <c r="M624" s="210" t="n"/>
      <c r="N624" s="211" t="n"/>
      <c r="O624" s="340" t="inlineStr">
        <is>
          <t>SBL</t>
        </is>
      </c>
      <c r="Q624" s="271" t="n"/>
      <c r="R624" s="282" t="n"/>
    </row>
    <row r="625" ht="18" customHeight="1" s="305">
      <c r="A625" s="8" t="inlineStr">
        <is>
          <t>C 370</t>
        </is>
      </c>
      <c r="B625" s="5" t="n">
        <v>83</v>
      </c>
      <c r="C625" s="6" t="inlineStr">
        <is>
          <t>X</t>
        </is>
      </c>
      <c r="D625" s="5" t="n">
        <v>300</v>
      </c>
      <c r="E625" s="2">
        <f>B625*D625/10000</f>
        <v/>
      </c>
      <c r="F625" s="3">
        <f>B625/30.48</f>
        <v/>
      </c>
      <c r="G625" s="3">
        <f>D625/30.48</f>
        <v/>
      </c>
      <c r="H625" s="615" t="n"/>
      <c r="I625" s="49" t="inlineStr">
        <is>
          <t>OLD</t>
        </is>
      </c>
      <c r="J625" s="48" t="inlineStr">
        <is>
          <t>TRS</t>
        </is>
      </c>
      <c r="K625" s="51" t="inlineStr">
        <is>
          <t>PAC</t>
        </is>
      </c>
      <c r="L625" s="105" t="inlineStr">
        <is>
          <t>VR</t>
        </is>
      </c>
      <c r="M625" s="210" t="inlineStr">
        <is>
          <t>RK</t>
        </is>
      </c>
      <c r="N625" s="211" t="n"/>
      <c r="O625" s="340" t="inlineStr">
        <is>
          <t>SBL</t>
        </is>
      </c>
      <c r="Q625" s="271" t="n"/>
      <c r="R625" s="282" t="n"/>
    </row>
    <row r="626" ht="18" customHeight="1" s="305">
      <c r="A626" s="8" t="inlineStr">
        <is>
          <t>C 390</t>
        </is>
      </c>
      <c r="B626" s="5" t="n">
        <v>80</v>
      </c>
      <c r="C626" s="6" t="inlineStr">
        <is>
          <t>X</t>
        </is>
      </c>
      <c r="D626" s="5" t="n">
        <v>364</v>
      </c>
      <c r="E626" s="2">
        <f>B626*D626/10000</f>
        <v/>
      </c>
      <c r="F626" s="3">
        <f>B626/30.48</f>
        <v/>
      </c>
      <c r="G626" s="3">
        <f>D626/30.48</f>
        <v/>
      </c>
      <c r="H626" s="615" t="n"/>
      <c r="I626" s="49" t="inlineStr">
        <is>
          <t>OLD</t>
        </is>
      </c>
      <c r="J626" s="48" t="inlineStr">
        <is>
          <t>TRS</t>
        </is>
      </c>
      <c r="K626" s="51" t="inlineStr">
        <is>
          <t>PAC</t>
        </is>
      </c>
      <c r="L626" s="105" t="inlineStr">
        <is>
          <t>VR</t>
        </is>
      </c>
      <c r="M626" s="210" t="n"/>
      <c r="N626" s="211" t="n"/>
      <c r="O626" s="340" t="inlineStr">
        <is>
          <t>SBL</t>
        </is>
      </c>
      <c r="Q626" s="271" t="n"/>
      <c r="R626" s="282" t="n"/>
    </row>
    <row r="627" ht="18" customHeight="1" s="305">
      <c r="A627" s="8" t="inlineStr">
        <is>
          <t>C 490</t>
        </is>
      </c>
      <c r="B627" s="5" t="n">
        <v>95</v>
      </c>
      <c r="C627" s="6" t="inlineStr">
        <is>
          <t>X</t>
        </is>
      </c>
      <c r="D627" s="5" t="n">
        <v>270</v>
      </c>
      <c r="E627" s="2">
        <f>B627*D627/10000</f>
        <v/>
      </c>
      <c r="F627" s="3">
        <f>B627/30.48</f>
        <v/>
      </c>
      <c r="G627" s="3">
        <f>D627/30.48</f>
        <v/>
      </c>
      <c r="H627" s="615" t="n"/>
      <c r="I627" s="49" t="inlineStr">
        <is>
          <t>OLD</t>
        </is>
      </c>
      <c r="J627" s="48" t="inlineStr">
        <is>
          <t>TRS</t>
        </is>
      </c>
      <c r="K627" s="51" t="inlineStr">
        <is>
          <t>PAC</t>
        </is>
      </c>
      <c r="L627" s="105" t="inlineStr">
        <is>
          <t>VR</t>
        </is>
      </c>
      <c r="M627" s="210" t="n"/>
      <c r="N627" s="211" t="n"/>
      <c r="O627" s="340" t="inlineStr">
        <is>
          <t>SBL</t>
        </is>
      </c>
      <c r="Q627" s="271" t="n"/>
      <c r="R627" s="282" t="n"/>
    </row>
    <row r="628" ht="18" customHeight="1" s="305">
      <c r="A628" s="8" t="inlineStr">
        <is>
          <t>H 201</t>
        </is>
      </c>
      <c r="B628" s="5" t="n">
        <v>102</v>
      </c>
      <c r="C628" s="6" t="inlineStr">
        <is>
          <t>X</t>
        </is>
      </c>
      <c r="D628" s="5" t="n">
        <v>345</v>
      </c>
      <c r="E628" s="2">
        <f>B628*D628/10000</f>
        <v/>
      </c>
      <c r="F628" s="3">
        <f>B628/30.48</f>
        <v/>
      </c>
      <c r="G628" s="3">
        <f>D628/30.48</f>
        <v/>
      </c>
      <c r="H628" s="615" t="n"/>
      <c r="I628" s="49" t="inlineStr">
        <is>
          <t>OLD</t>
        </is>
      </c>
      <c r="J628" s="48" t="inlineStr">
        <is>
          <t>TRS</t>
        </is>
      </c>
      <c r="K628" s="51" t="inlineStr">
        <is>
          <t>PAC</t>
        </is>
      </c>
      <c r="M628" s="210" t="n"/>
      <c r="N628" s="211" t="n"/>
      <c r="O628" s="263" t="n"/>
      <c r="Q628" s="271" t="n"/>
      <c r="R628" s="282" t="n"/>
    </row>
    <row r="629" ht="18" customHeight="1" s="305">
      <c r="A629" s="8" t="inlineStr">
        <is>
          <t>H 203</t>
        </is>
      </c>
      <c r="B629" s="5" t="n">
        <v>88</v>
      </c>
      <c r="C629" s="6" t="inlineStr">
        <is>
          <t>X</t>
        </is>
      </c>
      <c r="D629" s="5" t="n">
        <v>321</v>
      </c>
      <c r="E629" s="2">
        <f>B629*D629/10000</f>
        <v/>
      </c>
      <c r="F629" s="3">
        <f>B629/30.48</f>
        <v/>
      </c>
      <c r="G629" s="3">
        <f>D629/30.48</f>
        <v/>
      </c>
      <c r="H629" s="615" t="n"/>
      <c r="I629" s="49" t="inlineStr">
        <is>
          <t>OLD</t>
        </is>
      </c>
      <c r="J629" s="48" t="inlineStr">
        <is>
          <t>TRS</t>
        </is>
      </c>
      <c r="K629" s="51" t="inlineStr">
        <is>
          <t>PAC</t>
        </is>
      </c>
      <c r="M629" s="210" t="n"/>
      <c r="N629" s="211" t="n"/>
      <c r="O629" s="263" t="n"/>
      <c r="Q629" s="271" t="n"/>
      <c r="R629" s="282" t="n"/>
    </row>
    <row r="630" ht="18" customHeight="1" s="305">
      <c r="A630" s="8" t="inlineStr">
        <is>
          <t>H 204</t>
        </is>
      </c>
      <c r="B630" s="5" t="n">
        <v>106</v>
      </c>
      <c r="C630" s="6" t="inlineStr">
        <is>
          <t>X</t>
        </is>
      </c>
      <c r="D630" s="5" t="n">
        <v>325</v>
      </c>
      <c r="E630" s="2">
        <f>B630*D630/10000</f>
        <v/>
      </c>
      <c r="F630" s="3">
        <f>B630/30.48</f>
        <v/>
      </c>
      <c r="G630" s="3">
        <f>D630/30.48</f>
        <v/>
      </c>
      <c r="H630" s="615" t="n"/>
      <c r="I630" s="49" t="inlineStr">
        <is>
          <t>OLD</t>
        </is>
      </c>
      <c r="J630" s="48" t="inlineStr">
        <is>
          <t>TRS</t>
        </is>
      </c>
      <c r="K630" s="51" t="inlineStr">
        <is>
          <t>PAC</t>
        </is>
      </c>
      <c r="M630" s="210" t="n"/>
      <c r="N630" s="211" t="n"/>
      <c r="O630" s="263" t="n"/>
      <c r="Q630" s="271" t="n"/>
      <c r="R630" s="282" t="n"/>
    </row>
    <row r="631" ht="18" customHeight="1" s="305">
      <c r="A631" s="8" t="inlineStr">
        <is>
          <t>H 205</t>
        </is>
      </c>
      <c r="B631" s="5" t="n">
        <v>97</v>
      </c>
      <c r="C631" s="6" t="inlineStr">
        <is>
          <t>X</t>
        </is>
      </c>
      <c r="D631" s="5" t="n">
        <v>327</v>
      </c>
      <c r="E631" s="2">
        <f>B631*D631/10000</f>
        <v/>
      </c>
      <c r="F631" s="3">
        <f>B631/30.48</f>
        <v/>
      </c>
      <c r="G631" s="3">
        <f>D631/30.48</f>
        <v/>
      </c>
      <c r="H631" s="615" t="n"/>
      <c r="I631" s="49" t="inlineStr">
        <is>
          <t>OLD</t>
        </is>
      </c>
      <c r="J631" s="48" t="inlineStr">
        <is>
          <t>TRS</t>
        </is>
      </c>
      <c r="K631" s="51" t="inlineStr">
        <is>
          <t>PAC</t>
        </is>
      </c>
      <c r="L631" s="105" t="inlineStr">
        <is>
          <t>VR</t>
        </is>
      </c>
      <c r="M631" s="210" t="n"/>
      <c r="N631" s="211" t="n"/>
      <c r="O631" s="263" t="n"/>
      <c r="Q631" s="271" t="n"/>
      <c r="R631" s="282" t="n"/>
    </row>
    <row r="632" ht="18" customHeight="1" s="305">
      <c r="A632" s="8" t="inlineStr">
        <is>
          <t>C 311</t>
        </is>
      </c>
      <c r="B632" s="5" t="n">
        <v>184</v>
      </c>
      <c r="C632" s="6" t="inlineStr">
        <is>
          <t>X</t>
        </is>
      </c>
      <c r="D632" s="5" t="n">
        <v>286</v>
      </c>
      <c r="E632" s="2">
        <f>B632*D632/10000</f>
        <v/>
      </c>
      <c r="F632" s="3">
        <f>B632/30.48</f>
        <v/>
      </c>
      <c r="G632" s="3">
        <f>D632/30.48</f>
        <v/>
      </c>
      <c r="H632" s="615" t="n"/>
      <c r="I632" s="49" t="inlineStr">
        <is>
          <t>OLD</t>
        </is>
      </c>
      <c r="J632" s="48" t="inlineStr">
        <is>
          <t>TRS</t>
        </is>
      </c>
      <c r="K632" s="51" t="inlineStr">
        <is>
          <t>PAC</t>
        </is>
      </c>
      <c r="L632" s="105" t="inlineStr">
        <is>
          <t>VR</t>
        </is>
      </c>
      <c r="M632" s="210" t="n"/>
      <c r="N632" s="211" t="n"/>
      <c r="O632" s="340" t="inlineStr">
        <is>
          <t>SBL</t>
        </is>
      </c>
      <c r="Q632" s="271" t="n"/>
      <c r="R632" s="282" t="n"/>
    </row>
    <row r="633" ht="18" customHeight="1" s="305">
      <c r="A633" s="8" t="inlineStr">
        <is>
          <t>C 349</t>
        </is>
      </c>
      <c r="B633" s="5" t="n">
        <v>85</v>
      </c>
      <c r="C633" s="6" t="inlineStr">
        <is>
          <t>X</t>
        </is>
      </c>
      <c r="D633" s="5" t="n">
        <v>346</v>
      </c>
      <c r="E633" s="2">
        <f>B633*D633/10000</f>
        <v/>
      </c>
      <c r="F633" s="3">
        <f>B633/30.48</f>
        <v/>
      </c>
      <c r="G633" s="3">
        <f>D633/30.48</f>
        <v/>
      </c>
      <c r="H633" s="615" t="n"/>
      <c r="I633" s="49" t="inlineStr">
        <is>
          <t>OLD</t>
        </is>
      </c>
      <c r="J633" s="48" t="inlineStr">
        <is>
          <t>TRS</t>
        </is>
      </c>
      <c r="K633" s="51" t="inlineStr">
        <is>
          <t>PAC</t>
        </is>
      </c>
      <c r="L633" s="105" t="inlineStr">
        <is>
          <t>VR</t>
        </is>
      </c>
      <c r="M633" s="210" t="inlineStr">
        <is>
          <t>RK</t>
        </is>
      </c>
      <c r="N633" s="211" t="n"/>
      <c r="O633" s="340" t="inlineStr">
        <is>
          <t>SBL</t>
        </is>
      </c>
      <c r="Q633" s="271" t="n"/>
      <c r="R633" s="282" t="n"/>
    </row>
    <row r="634" ht="18" customHeight="1" s="305">
      <c r="A634" s="8" t="inlineStr">
        <is>
          <t>C 380</t>
        </is>
      </c>
      <c r="B634" s="5" t="n">
        <v>197</v>
      </c>
      <c r="C634" s="6" t="inlineStr">
        <is>
          <t>X</t>
        </is>
      </c>
      <c r="D634" s="5" t="n">
        <v>283</v>
      </c>
      <c r="E634" s="2">
        <f>B634*D634/10000</f>
        <v/>
      </c>
      <c r="F634" s="3">
        <f>B634/30.48</f>
        <v/>
      </c>
      <c r="G634" s="3">
        <f>D634/30.48</f>
        <v/>
      </c>
      <c r="H634" s="615" t="n"/>
      <c r="I634" s="49" t="inlineStr">
        <is>
          <t>OLD</t>
        </is>
      </c>
      <c r="J634" s="48" t="inlineStr">
        <is>
          <t>TRS</t>
        </is>
      </c>
      <c r="K634" s="51" t="inlineStr">
        <is>
          <t>PAC</t>
        </is>
      </c>
      <c r="L634" s="105" t="inlineStr">
        <is>
          <t>VR</t>
        </is>
      </c>
      <c r="M634" s="210" t="n"/>
      <c r="N634" s="211" t="n"/>
      <c r="O634" s="263" t="n"/>
      <c r="Q634" s="271" t="n"/>
      <c r="R634" s="282" t="n"/>
    </row>
    <row r="635" ht="18" customHeight="1" s="305">
      <c r="A635" s="8" t="inlineStr">
        <is>
          <t>C 388</t>
        </is>
      </c>
      <c r="B635" s="5" t="n">
        <v>88</v>
      </c>
      <c r="C635" s="6" t="inlineStr">
        <is>
          <t>X</t>
        </is>
      </c>
      <c r="D635" s="5" t="n">
        <v>384</v>
      </c>
      <c r="E635" s="2">
        <f>B635*D635/10000</f>
        <v/>
      </c>
      <c r="F635" s="3">
        <f>B635/30.48</f>
        <v/>
      </c>
      <c r="G635" s="3">
        <f>D635/30.48</f>
        <v/>
      </c>
      <c r="H635" s="615" t="n"/>
      <c r="I635" s="49" t="inlineStr">
        <is>
          <t>OLD</t>
        </is>
      </c>
      <c r="J635" s="48" t="inlineStr">
        <is>
          <t>TRS</t>
        </is>
      </c>
      <c r="K635" s="51" t="inlineStr">
        <is>
          <t>PAC</t>
        </is>
      </c>
      <c r="L635" s="105" t="inlineStr">
        <is>
          <t>VR</t>
        </is>
      </c>
      <c r="M635" s="210" t="inlineStr">
        <is>
          <t>RK</t>
        </is>
      </c>
      <c r="N635" s="211" t="n"/>
      <c r="O635" s="340" t="inlineStr">
        <is>
          <t>SBL</t>
        </is>
      </c>
      <c r="Q635" s="271" t="n"/>
      <c r="R635" s="282" t="n"/>
    </row>
    <row r="636" ht="18" customHeight="1" s="305">
      <c r="A636" s="8" t="inlineStr">
        <is>
          <t>C 394</t>
        </is>
      </c>
      <c r="B636" s="5" t="n">
        <v>92</v>
      </c>
      <c r="C636" s="6" t="inlineStr">
        <is>
          <t>X</t>
        </is>
      </c>
      <c r="D636" s="5" t="n">
        <v>320</v>
      </c>
      <c r="E636" s="2">
        <f>B636*D636/10000</f>
        <v/>
      </c>
      <c r="F636" s="3">
        <f>B636/30.48</f>
        <v/>
      </c>
      <c r="G636" s="3">
        <f>D636/30.48</f>
        <v/>
      </c>
      <c r="H636" s="615" t="n"/>
      <c r="I636" s="49" t="inlineStr">
        <is>
          <t>OLD</t>
        </is>
      </c>
      <c r="J636" s="48" t="inlineStr">
        <is>
          <t>TRS</t>
        </is>
      </c>
      <c r="K636" s="51" t="inlineStr">
        <is>
          <t>PAC</t>
        </is>
      </c>
      <c r="L636" s="105" t="inlineStr">
        <is>
          <t>VR</t>
        </is>
      </c>
      <c r="M636" s="210" t="inlineStr">
        <is>
          <t>RK</t>
        </is>
      </c>
      <c r="N636" s="211" t="n"/>
      <c r="O636" s="340" t="inlineStr">
        <is>
          <t>SBL</t>
        </is>
      </c>
      <c r="Q636" s="271" t="n"/>
      <c r="R636" s="282" t="n"/>
    </row>
    <row r="637" ht="18" customHeight="1" s="305">
      <c r="A637" s="8" t="inlineStr">
        <is>
          <t>C 401</t>
        </is>
      </c>
      <c r="B637" s="5" t="n">
        <v>171</v>
      </c>
      <c r="C637" s="6" t="inlineStr">
        <is>
          <t>X</t>
        </is>
      </c>
      <c r="D637" s="5" t="n">
        <v>310</v>
      </c>
      <c r="E637" s="2">
        <f>B637*D637/10000</f>
        <v/>
      </c>
      <c r="F637" s="3">
        <f>B637/30.48</f>
        <v/>
      </c>
      <c r="G637" s="3">
        <f>D637/30.48</f>
        <v/>
      </c>
      <c r="H637" s="615" t="n"/>
      <c r="I637" s="49" t="inlineStr">
        <is>
          <t>OLD</t>
        </is>
      </c>
      <c r="J637" s="48" t="inlineStr">
        <is>
          <t>TRS</t>
        </is>
      </c>
      <c r="K637" s="51" t="inlineStr">
        <is>
          <t>PAC</t>
        </is>
      </c>
      <c r="L637" s="105" t="inlineStr">
        <is>
          <t>VR</t>
        </is>
      </c>
      <c r="M637" s="210" t="n"/>
      <c r="N637" s="211" t="n"/>
      <c r="O637" s="340" t="inlineStr">
        <is>
          <t>SBL</t>
        </is>
      </c>
      <c r="Q637" s="271" t="n"/>
      <c r="R637" s="282" t="n"/>
    </row>
    <row r="638" ht="18" customHeight="1" s="305">
      <c r="A638" s="8" t="inlineStr">
        <is>
          <t>C 418</t>
        </is>
      </c>
      <c r="B638" s="5" t="n">
        <v>171</v>
      </c>
      <c r="C638" s="6" t="inlineStr">
        <is>
          <t>X</t>
        </is>
      </c>
      <c r="D638" s="5" t="n">
        <v>290</v>
      </c>
      <c r="E638" s="2">
        <f>B638*D638/10000</f>
        <v/>
      </c>
      <c r="F638" s="3">
        <f>B638/30.48</f>
        <v/>
      </c>
      <c r="G638" s="3">
        <f>D638/30.48</f>
        <v/>
      </c>
      <c r="H638" s="615" t="n"/>
      <c r="I638" s="49" t="inlineStr">
        <is>
          <t>OLD</t>
        </is>
      </c>
      <c r="J638" s="48" t="inlineStr">
        <is>
          <t>TRS</t>
        </is>
      </c>
      <c r="K638" s="51" t="inlineStr">
        <is>
          <t>PAC</t>
        </is>
      </c>
      <c r="L638" s="105" t="inlineStr">
        <is>
          <t>VR</t>
        </is>
      </c>
      <c r="M638" s="210" t="n"/>
      <c r="N638" s="211" t="n"/>
      <c r="O638" s="340" t="inlineStr">
        <is>
          <t>SBL</t>
        </is>
      </c>
      <c r="Q638" s="271" t="n"/>
      <c r="R638" s="282" t="n"/>
    </row>
    <row r="639" ht="18" customHeight="1" s="305">
      <c r="A639" s="8" t="inlineStr">
        <is>
          <t>C 421</t>
        </is>
      </c>
      <c r="B639" s="5" t="n">
        <v>147</v>
      </c>
      <c r="C639" s="6" t="inlineStr">
        <is>
          <t>X</t>
        </is>
      </c>
      <c r="D639" s="5" t="n">
        <v>210</v>
      </c>
      <c r="E639" s="2">
        <f>B639*D639/10000</f>
        <v/>
      </c>
      <c r="F639" s="3">
        <f>B639/30.48</f>
        <v/>
      </c>
      <c r="G639" s="3">
        <f>D639/30.48</f>
        <v/>
      </c>
      <c r="H639" s="615" t="n"/>
      <c r="I639" s="49" t="inlineStr">
        <is>
          <t>OLD</t>
        </is>
      </c>
      <c r="J639" s="48" t="inlineStr">
        <is>
          <t>TRS</t>
        </is>
      </c>
      <c r="K639" s="51" t="inlineStr">
        <is>
          <t>PAC</t>
        </is>
      </c>
      <c r="L639" s="105" t="inlineStr">
        <is>
          <t>VR</t>
        </is>
      </c>
      <c r="M639" s="210" t="inlineStr">
        <is>
          <t>RK</t>
        </is>
      </c>
      <c r="N639" s="211" t="n"/>
      <c r="O639" s="340" t="inlineStr">
        <is>
          <t>SBL</t>
        </is>
      </c>
      <c r="Q639" s="271" t="n"/>
      <c r="R639" s="282" t="n"/>
    </row>
    <row r="640" ht="18" customHeight="1" s="305">
      <c r="A640" s="8" t="inlineStr">
        <is>
          <t>C 424</t>
        </is>
      </c>
      <c r="B640" s="5" t="n">
        <v>174</v>
      </c>
      <c r="C640" s="6" t="inlineStr">
        <is>
          <t>X</t>
        </is>
      </c>
      <c r="D640" s="5" t="n">
        <v>305</v>
      </c>
      <c r="E640" s="2">
        <f>B640*D640/10000</f>
        <v/>
      </c>
      <c r="F640" s="3">
        <f>B640/30.48</f>
        <v/>
      </c>
      <c r="G640" s="3">
        <f>D640/30.48</f>
        <v/>
      </c>
      <c r="H640" s="615" t="n"/>
      <c r="I640" s="49" t="inlineStr">
        <is>
          <t>OLD</t>
        </is>
      </c>
      <c r="J640" s="48" t="inlineStr">
        <is>
          <t>TRS</t>
        </is>
      </c>
      <c r="K640" s="51" t="inlineStr">
        <is>
          <t>PAC</t>
        </is>
      </c>
      <c r="L640" s="105" t="inlineStr">
        <is>
          <t>VR</t>
        </is>
      </c>
      <c r="M640" s="210" t="n"/>
      <c r="N640" s="211" t="n"/>
      <c r="O640" s="340" t="inlineStr">
        <is>
          <t>SBL</t>
        </is>
      </c>
      <c r="Q640" s="271" t="n"/>
      <c r="R640" s="282" t="n"/>
    </row>
    <row r="641" ht="18" customHeight="1" s="305">
      <c r="A641" s="8" t="inlineStr">
        <is>
          <t>C 252</t>
        </is>
      </c>
      <c r="B641" s="5" t="n">
        <v>98</v>
      </c>
      <c r="C641" s="6" t="inlineStr">
        <is>
          <t>X</t>
        </is>
      </c>
      <c r="D641" s="5" t="n">
        <v>147</v>
      </c>
      <c r="E641" s="2">
        <f>B641*D641/10000</f>
        <v/>
      </c>
      <c r="F641" s="3">
        <f>B641/30.48</f>
        <v/>
      </c>
      <c r="G641" s="3">
        <f>D641/30.48</f>
        <v/>
      </c>
      <c r="H641" s="615" t="n"/>
      <c r="I641" s="49" t="inlineStr">
        <is>
          <t>OLD</t>
        </is>
      </c>
      <c r="J641" s="48" t="inlineStr">
        <is>
          <t>TRS</t>
        </is>
      </c>
      <c r="K641" s="51" t="inlineStr">
        <is>
          <t>PAC</t>
        </is>
      </c>
      <c r="L641" s="105" t="inlineStr">
        <is>
          <t>VR</t>
        </is>
      </c>
      <c r="M641" s="210" t="n"/>
      <c r="N641" s="211" t="n"/>
      <c r="O641" s="340" t="inlineStr">
        <is>
          <t>SBL</t>
        </is>
      </c>
      <c r="Q641" s="271" t="n"/>
      <c r="R641" s="282" t="n"/>
    </row>
    <row r="642" ht="18" customHeight="1" s="305">
      <c r="A642" s="8" t="inlineStr">
        <is>
          <t>C 255</t>
        </is>
      </c>
      <c r="B642" s="5" t="n">
        <v>88</v>
      </c>
      <c r="C642" s="6" t="inlineStr">
        <is>
          <t>X</t>
        </is>
      </c>
      <c r="D642" s="5" t="n">
        <v>454</v>
      </c>
      <c r="E642" s="2">
        <f>B642*D642/10000</f>
        <v/>
      </c>
      <c r="F642" s="3">
        <f>B642/30.48</f>
        <v/>
      </c>
      <c r="G642" s="3">
        <f>D642/30.48</f>
        <v/>
      </c>
      <c r="H642" s="615" t="n"/>
      <c r="I642" s="49" t="inlineStr">
        <is>
          <t>OLD</t>
        </is>
      </c>
      <c r="J642" s="48" t="inlineStr">
        <is>
          <t>TRS</t>
        </is>
      </c>
      <c r="K642" s="51" t="inlineStr">
        <is>
          <t>PAC</t>
        </is>
      </c>
      <c r="L642" s="105" t="inlineStr">
        <is>
          <t>VR</t>
        </is>
      </c>
      <c r="M642" s="210" t="inlineStr">
        <is>
          <t>RK</t>
        </is>
      </c>
      <c r="N642" s="211" t="n"/>
      <c r="O642" s="340" t="inlineStr">
        <is>
          <t>SBL</t>
        </is>
      </c>
      <c r="P642" s="261" t="inlineStr">
        <is>
          <t xml:space="preserve"> </t>
        </is>
      </c>
      <c r="Q642" s="271" t="n"/>
      <c r="R642" s="282" t="inlineStr">
        <is>
          <t xml:space="preserve"> </t>
        </is>
      </c>
    </row>
    <row r="643" ht="18" customHeight="1" s="305">
      <c r="A643" s="8" t="inlineStr">
        <is>
          <t>C 258</t>
        </is>
      </c>
      <c r="B643" s="5" t="n">
        <v>177</v>
      </c>
      <c r="C643" s="6" t="inlineStr">
        <is>
          <t>X</t>
        </is>
      </c>
      <c r="D643" s="5" t="n">
        <v>297</v>
      </c>
      <c r="E643" s="2">
        <f>B643*D643/10000</f>
        <v/>
      </c>
      <c r="F643" s="3">
        <f>B643/30.48</f>
        <v/>
      </c>
      <c r="G643" s="3">
        <f>D643/30.48</f>
        <v/>
      </c>
      <c r="H643" s="615" t="n"/>
      <c r="I643" s="49" t="inlineStr">
        <is>
          <t>OLD</t>
        </is>
      </c>
      <c r="J643" s="48" t="inlineStr">
        <is>
          <t>TRS</t>
        </is>
      </c>
      <c r="K643" s="51" t="inlineStr">
        <is>
          <t>PAC</t>
        </is>
      </c>
      <c r="L643" s="105" t="inlineStr">
        <is>
          <t>VR</t>
        </is>
      </c>
      <c r="M643" s="210" t="n"/>
      <c r="N643" s="211" t="n"/>
      <c r="O643" s="340" t="inlineStr">
        <is>
          <t>SBL</t>
        </is>
      </c>
      <c r="Q643" s="271" t="n"/>
      <c r="R643" s="282" t="n"/>
    </row>
    <row r="644" ht="18" customHeight="1" s="305">
      <c r="A644" s="8" t="inlineStr">
        <is>
          <t>C 259</t>
        </is>
      </c>
      <c r="B644" s="5" t="n">
        <v>131</v>
      </c>
      <c r="C644" s="6" t="inlineStr">
        <is>
          <t>X</t>
        </is>
      </c>
      <c r="D644" s="5" t="n">
        <v>251</v>
      </c>
      <c r="E644" s="2">
        <f>B644*D644/10000</f>
        <v/>
      </c>
      <c r="F644" s="3">
        <f>B644/30.48</f>
        <v/>
      </c>
      <c r="G644" s="3">
        <f>D644/30.48</f>
        <v/>
      </c>
      <c r="H644" s="615" t="n"/>
      <c r="I644" s="49" t="inlineStr">
        <is>
          <t>OLD</t>
        </is>
      </c>
      <c r="J644" s="48" t="inlineStr">
        <is>
          <t>TRS</t>
        </is>
      </c>
      <c r="K644" s="51" t="inlineStr">
        <is>
          <t>PAC</t>
        </is>
      </c>
      <c r="L644" s="105" t="inlineStr">
        <is>
          <t>VR</t>
        </is>
      </c>
      <c r="M644" s="210" t="inlineStr">
        <is>
          <t>RK</t>
        </is>
      </c>
      <c r="N644" s="211" t="n"/>
      <c r="O644" s="340" t="inlineStr">
        <is>
          <t>SBL</t>
        </is>
      </c>
      <c r="Q644" s="271" t="inlineStr">
        <is>
          <t>RST</t>
        </is>
      </c>
      <c r="R644" s="282" t="n"/>
    </row>
    <row r="645" ht="18" customHeight="1" s="305">
      <c r="A645" s="8" t="inlineStr">
        <is>
          <t>C 261</t>
        </is>
      </c>
      <c r="B645" s="5" t="n">
        <v>210</v>
      </c>
      <c r="C645" s="6" t="inlineStr">
        <is>
          <t>X</t>
        </is>
      </c>
      <c r="D645" s="5" t="n">
        <v>324</v>
      </c>
      <c r="E645" s="2">
        <f>B645*D645/10000</f>
        <v/>
      </c>
      <c r="F645" s="3">
        <f>B645/30.48</f>
        <v/>
      </c>
      <c r="G645" s="3">
        <f>D645/30.48</f>
        <v/>
      </c>
      <c r="H645" s="615" t="n"/>
      <c r="I645" s="49" t="inlineStr">
        <is>
          <t>OLD</t>
        </is>
      </c>
      <c r="J645" s="48" t="inlineStr">
        <is>
          <t>TRS</t>
        </is>
      </c>
      <c r="K645" s="51" t="inlineStr">
        <is>
          <t>PAC</t>
        </is>
      </c>
      <c r="M645" s="210" t="n"/>
      <c r="N645" s="211" t="n"/>
      <c r="O645" s="340" t="inlineStr">
        <is>
          <t>SBL</t>
        </is>
      </c>
      <c r="Q645" s="271" t="n"/>
      <c r="R645" s="282" t="n"/>
    </row>
    <row r="646" ht="18" customHeight="1" s="305">
      <c r="A646" s="8" t="inlineStr">
        <is>
          <t>C 262</t>
        </is>
      </c>
      <c r="B646" s="5" t="n">
        <v>117</v>
      </c>
      <c r="C646" s="6" t="inlineStr">
        <is>
          <t>X</t>
        </is>
      </c>
      <c r="D646" s="5" t="n">
        <v>193</v>
      </c>
      <c r="E646" s="2">
        <f>B646*D646/10000</f>
        <v/>
      </c>
      <c r="F646" s="3">
        <f>B646/30.48</f>
        <v/>
      </c>
      <c r="G646" s="3">
        <f>D646/30.48</f>
        <v/>
      </c>
      <c r="H646" s="615" t="n"/>
      <c r="I646" s="49" t="inlineStr">
        <is>
          <t>OLD</t>
        </is>
      </c>
      <c r="J646" s="48" t="inlineStr">
        <is>
          <t>TRS</t>
        </is>
      </c>
      <c r="K646" s="51" t="inlineStr">
        <is>
          <t>PAC</t>
        </is>
      </c>
      <c r="L646" s="105" t="inlineStr">
        <is>
          <t>VR</t>
        </is>
      </c>
      <c r="M646" s="210" t="inlineStr">
        <is>
          <t>RK</t>
        </is>
      </c>
      <c r="N646" s="211" t="n"/>
      <c r="O646" s="340" t="inlineStr">
        <is>
          <t>SBL</t>
        </is>
      </c>
      <c r="Q646" s="271" t="n"/>
      <c r="R646" s="282" t="n"/>
    </row>
    <row r="647" ht="18" customHeight="1" s="305">
      <c r="A647" s="8" t="inlineStr">
        <is>
          <t>C 265</t>
        </is>
      </c>
      <c r="B647" s="5" t="n">
        <v>93</v>
      </c>
      <c r="C647" s="6" t="inlineStr">
        <is>
          <t>X</t>
        </is>
      </c>
      <c r="D647" s="5" t="n">
        <v>367</v>
      </c>
      <c r="E647" s="2">
        <f>B647*D647/10000</f>
        <v/>
      </c>
      <c r="F647" s="3">
        <f>B647/30.48</f>
        <v/>
      </c>
      <c r="G647" s="3">
        <f>D647/30.48</f>
        <v/>
      </c>
      <c r="H647" s="615" t="n"/>
      <c r="I647" s="49" t="inlineStr">
        <is>
          <t>OLD</t>
        </is>
      </c>
      <c r="J647" s="48" t="inlineStr">
        <is>
          <t>TRS</t>
        </is>
      </c>
      <c r="K647" s="51" t="inlineStr">
        <is>
          <t>PAC</t>
        </is>
      </c>
      <c r="L647" s="105" t="inlineStr">
        <is>
          <t>VR</t>
        </is>
      </c>
      <c r="M647" s="210" t="inlineStr">
        <is>
          <t>RK</t>
        </is>
      </c>
      <c r="N647" s="211" t="n"/>
      <c r="O647" s="340" t="inlineStr">
        <is>
          <t>SBL</t>
        </is>
      </c>
      <c r="Q647" s="271" t="n"/>
      <c r="R647" s="282" t="n"/>
    </row>
    <row r="648" ht="18" customHeight="1" s="305">
      <c r="A648" s="8" t="inlineStr">
        <is>
          <t>C 266</t>
        </is>
      </c>
      <c r="B648" s="5" t="n">
        <v>93</v>
      </c>
      <c r="C648" s="6" t="inlineStr">
        <is>
          <t>X</t>
        </is>
      </c>
      <c r="D648" s="5" t="n">
        <v>378</v>
      </c>
      <c r="E648" s="2">
        <f>B648*D648/10000</f>
        <v/>
      </c>
      <c r="F648" s="3">
        <f>B648/30.48</f>
        <v/>
      </c>
      <c r="G648" s="3">
        <f>D648/30.48</f>
        <v/>
      </c>
      <c r="H648" s="615" t="n"/>
      <c r="I648" s="49" t="inlineStr">
        <is>
          <t>OLD</t>
        </is>
      </c>
      <c r="J648" s="48" t="inlineStr">
        <is>
          <t>TRS</t>
        </is>
      </c>
      <c r="K648" s="51" t="inlineStr">
        <is>
          <t>PAC</t>
        </is>
      </c>
      <c r="L648" s="105" t="inlineStr">
        <is>
          <t>VR</t>
        </is>
      </c>
      <c r="M648" s="210" t="n"/>
      <c r="N648" s="211" t="n"/>
      <c r="O648" s="340" t="inlineStr">
        <is>
          <t>SBL</t>
        </is>
      </c>
      <c r="Q648" s="271" t="n"/>
      <c r="R648" s="282" t="n"/>
    </row>
    <row r="649" ht="18" customHeight="1" s="305">
      <c r="A649" s="8" t="inlineStr">
        <is>
          <t>C 269</t>
        </is>
      </c>
      <c r="B649" s="5" t="n">
        <v>92</v>
      </c>
      <c r="C649" s="6" t="inlineStr">
        <is>
          <t>X</t>
        </is>
      </c>
      <c r="D649" s="5" t="n">
        <v>427</v>
      </c>
      <c r="E649" s="2">
        <f>B649*D649/10000</f>
        <v/>
      </c>
      <c r="F649" s="3">
        <f>B649/30.48</f>
        <v/>
      </c>
      <c r="G649" s="3">
        <f>D649/30.48</f>
        <v/>
      </c>
      <c r="H649" s="615" t="n"/>
      <c r="I649" s="49" t="inlineStr">
        <is>
          <t>OLD</t>
        </is>
      </c>
      <c r="J649" s="48" t="inlineStr">
        <is>
          <t>TRS</t>
        </is>
      </c>
      <c r="K649" s="51" t="inlineStr">
        <is>
          <t>PAC</t>
        </is>
      </c>
      <c r="L649" s="105" t="inlineStr">
        <is>
          <t>VR</t>
        </is>
      </c>
      <c r="M649" s="210" t="n"/>
      <c r="N649" s="211" t="n"/>
      <c r="O649" s="340" t="inlineStr">
        <is>
          <t>SBL</t>
        </is>
      </c>
      <c r="Q649" s="271" t="n"/>
      <c r="R649" s="282" t="n"/>
    </row>
    <row r="650" ht="18" customHeight="1" s="305">
      <c r="A650" s="8" t="inlineStr">
        <is>
          <t>C 270</t>
        </is>
      </c>
      <c r="B650" s="5" t="n">
        <v>82</v>
      </c>
      <c r="C650" s="6" t="inlineStr">
        <is>
          <t>X</t>
        </is>
      </c>
      <c r="D650" s="5" t="n">
        <v>346</v>
      </c>
      <c r="E650" s="2">
        <f>B650*D650/10000</f>
        <v/>
      </c>
      <c r="F650" s="3">
        <f>B650/30.48</f>
        <v/>
      </c>
      <c r="G650" s="3">
        <f>D650/30.48</f>
        <v/>
      </c>
      <c r="H650" s="615" t="n"/>
      <c r="I650" s="49" t="inlineStr">
        <is>
          <t>OLD</t>
        </is>
      </c>
      <c r="J650" s="48" t="inlineStr">
        <is>
          <t>TRS</t>
        </is>
      </c>
      <c r="K650" s="51" t="inlineStr">
        <is>
          <t>PAC</t>
        </is>
      </c>
      <c r="L650" s="105" t="inlineStr">
        <is>
          <t>VR</t>
        </is>
      </c>
      <c r="M650" s="210" t="n"/>
      <c r="N650" s="211" t="n"/>
      <c r="O650" s="340" t="inlineStr">
        <is>
          <t>SBL</t>
        </is>
      </c>
      <c r="Q650" s="271" t="n"/>
      <c r="R650" s="282" t="n"/>
    </row>
    <row r="651" ht="18" customHeight="1" s="305">
      <c r="A651" s="8" t="inlineStr">
        <is>
          <t>C 272</t>
        </is>
      </c>
      <c r="B651" s="5" t="n">
        <v>152</v>
      </c>
      <c r="C651" s="6" t="inlineStr">
        <is>
          <t>X</t>
        </is>
      </c>
      <c r="D651" s="5" t="n">
        <v>232</v>
      </c>
      <c r="E651" s="2">
        <f>B651*D651/10000</f>
        <v/>
      </c>
      <c r="F651" s="3">
        <f>B651/30.48</f>
        <v/>
      </c>
      <c r="G651" s="3">
        <f>D651/30.48</f>
        <v/>
      </c>
      <c r="H651" s="615" t="n"/>
      <c r="I651" s="49" t="inlineStr">
        <is>
          <t>OLD</t>
        </is>
      </c>
      <c r="J651" s="48" t="inlineStr">
        <is>
          <t>TRS</t>
        </is>
      </c>
      <c r="K651" s="51" t="inlineStr">
        <is>
          <t>PAC</t>
        </is>
      </c>
      <c r="L651" s="105" t="inlineStr">
        <is>
          <t>VR</t>
        </is>
      </c>
      <c r="M651" s="210" t="inlineStr">
        <is>
          <t>RK</t>
        </is>
      </c>
      <c r="N651" s="211" t="n"/>
      <c r="O651" s="340" t="inlineStr">
        <is>
          <t>SBL</t>
        </is>
      </c>
      <c r="Q651" s="271" t="n"/>
      <c r="R651" s="282" t="n"/>
    </row>
    <row r="652" ht="18" customHeight="1" s="305">
      <c r="A652" s="8" t="inlineStr">
        <is>
          <t>C 273</t>
        </is>
      </c>
      <c r="B652" s="5" t="n">
        <v>160</v>
      </c>
      <c r="C652" s="6" t="inlineStr">
        <is>
          <t>X</t>
        </is>
      </c>
      <c r="D652" s="5" t="n">
        <v>256</v>
      </c>
      <c r="E652" s="2">
        <f>B652*D652/10000</f>
        <v/>
      </c>
      <c r="F652" s="3">
        <f>B652/30.48</f>
        <v/>
      </c>
      <c r="G652" s="3">
        <f>D652/30.48</f>
        <v/>
      </c>
      <c r="H652" s="615" t="n"/>
      <c r="I652" s="49" t="inlineStr">
        <is>
          <t>OLD</t>
        </is>
      </c>
      <c r="J652" s="48" t="inlineStr">
        <is>
          <t>TRS</t>
        </is>
      </c>
      <c r="K652" s="51" t="inlineStr">
        <is>
          <t>PAC</t>
        </is>
      </c>
      <c r="L652" s="105" t="inlineStr">
        <is>
          <t>VR</t>
        </is>
      </c>
      <c r="M652" s="210" t="n"/>
      <c r="N652" s="211" t="n"/>
      <c r="O652" s="340" t="inlineStr">
        <is>
          <t>SBL</t>
        </is>
      </c>
      <c r="Q652" s="271" t="n"/>
      <c r="R652" s="282" t="n"/>
    </row>
    <row r="653" ht="18" customHeight="1" s="305">
      <c r="A653" s="8" t="inlineStr">
        <is>
          <t>C 274</t>
        </is>
      </c>
      <c r="B653" s="5" t="n">
        <v>185</v>
      </c>
      <c r="C653" s="6" t="inlineStr">
        <is>
          <t>X</t>
        </is>
      </c>
      <c r="D653" s="5" t="n">
        <v>251</v>
      </c>
      <c r="E653" s="2">
        <f>B653*D653/10000</f>
        <v/>
      </c>
      <c r="F653" s="3">
        <f>B653/30.48</f>
        <v/>
      </c>
      <c r="G653" s="3">
        <f>D653/30.48</f>
        <v/>
      </c>
      <c r="H653" s="615" t="n"/>
      <c r="I653" s="49" t="inlineStr">
        <is>
          <t>OLD</t>
        </is>
      </c>
      <c r="J653" s="48" t="inlineStr">
        <is>
          <t>TRS</t>
        </is>
      </c>
      <c r="K653" s="51" t="inlineStr">
        <is>
          <t>PAC</t>
        </is>
      </c>
      <c r="L653" s="105" t="inlineStr">
        <is>
          <t>VR</t>
        </is>
      </c>
      <c r="M653" s="210" t="n"/>
      <c r="N653" s="211" t="n"/>
      <c r="O653" s="263" t="n"/>
      <c r="Q653" s="271" t="n"/>
      <c r="R653" s="282" t="n"/>
    </row>
    <row r="654" ht="18" customHeight="1" s="305">
      <c r="A654" s="8" t="inlineStr">
        <is>
          <t>C 276</t>
        </is>
      </c>
      <c r="B654" s="5" t="n">
        <v>207</v>
      </c>
      <c r="C654" s="6" t="inlineStr">
        <is>
          <t>X</t>
        </is>
      </c>
      <c r="D654" s="5" t="n">
        <v>312</v>
      </c>
      <c r="E654" s="2">
        <f>B654*D654/10000</f>
        <v/>
      </c>
      <c r="F654" s="3">
        <f>B654/30.48</f>
        <v/>
      </c>
      <c r="G654" s="3">
        <f>D654/30.48</f>
        <v/>
      </c>
      <c r="H654" s="615" t="inlineStr">
        <is>
          <t xml:space="preserve">eksik 1 </t>
        </is>
      </c>
      <c r="I654" s="49" t="inlineStr">
        <is>
          <t>OLD</t>
        </is>
      </c>
      <c r="J654" s="48" t="inlineStr">
        <is>
          <t>TRS</t>
        </is>
      </c>
      <c r="K654" s="51" t="inlineStr">
        <is>
          <t>PAC</t>
        </is>
      </c>
      <c r="M654" s="210" t="n"/>
      <c r="N654" s="211" t="n"/>
      <c r="O654" s="340" t="inlineStr">
        <is>
          <t>SBL</t>
        </is>
      </c>
      <c r="Q654" s="271" t="n"/>
      <c r="R654" s="282" t="n"/>
    </row>
    <row r="655" ht="18" customHeight="1" s="305">
      <c r="A655" s="8" t="inlineStr">
        <is>
          <t>C 279</t>
        </is>
      </c>
      <c r="B655" s="5" t="n">
        <v>211</v>
      </c>
      <c r="C655" s="6" t="inlineStr">
        <is>
          <t>X</t>
        </is>
      </c>
      <c r="D655" s="5" t="n">
        <v>282</v>
      </c>
      <c r="E655" s="2">
        <f>B655*D655/10000</f>
        <v/>
      </c>
      <c r="F655" s="3">
        <f>B655/30.48</f>
        <v/>
      </c>
      <c r="G655" s="3">
        <f>D655/30.48</f>
        <v/>
      </c>
      <c r="H655" s="615" t="n"/>
      <c r="I655" s="49" t="inlineStr">
        <is>
          <t>OLD</t>
        </is>
      </c>
      <c r="J655" s="48" t="inlineStr">
        <is>
          <t>TRS</t>
        </is>
      </c>
      <c r="K655" s="51" t="inlineStr">
        <is>
          <t>PAC</t>
        </is>
      </c>
      <c r="M655" s="210" t="n"/>
      <c r="N655" s="211" t="n"/>
      <c r="O655" s="340" t="inlineStr">
        <is>
          <t>SBL</t>
        </is>
      </c>
      <c r="Q655" s="271" t="n"/>
      <c r="R655" s="282" t="n"/>
    </row>
    <row r="656" ht="18" customHeight="1" s="305">
      <c r="A656" s="8" t="inlineStr">
        <is>
          <t>C 280</t>
        </is>
      </c>
      <c r="B656" s="5" t="n">
        <v>89</v>
      </c>
      <c r="C656" s="6" t="inlineStr">
        <is>
          <t>X</t>
        </is>
      </c>
      <c r="D656" s="5" t="n">
        <v>338</v>
      </c>
      <c r="E656" s="2">
        <f>B656*D656/10000</f>
        <v/>
      </c>
      <c r="F656" s="3">
        <f>B656/30.48</f>
        <v/>
      </c>
      <c r="G656" s="3">
        <f>D656/30.48</f>
        <v/>
      </c>
      <c r="H656" s="615" t="n"/>
      <c r="I656" s="49" t="inlineStr">
        <is>
          <t>OLD</t>
        </is>
      </c>
      <c r="J656" s="48" t="inlineStr">
        <is>
          <t>TRS</t>
        </is>
      </c>
      <c r="K656" s="51" t="inlineStr">
        <is>
          <t>PAC</t>
        </is>
      </c>
      <c r="L656" s="105" t="inlineStr">
        <is>
          <t>VR</t>
        </is>
      </c>
      <c r="M656" s="210" t="inlineStr">
        <is>
          <t>RK</t>
        </is>
      </c>
      <c r="N656" s="211" t="n"/>
      <c r="O656" s="340" t="inlineStr">
        <is>
          <t>SBL</t>
        </is>
      </c>
      <c r="Q656" s="271" t="n"/>
      <c r="R656" s="282" t="n"/>
    </row>
    <row r="657" ht="18" customHeight="1" s="305">
      <c r="A657" s="8" t="inlineStr">
        <is>
          <t>C 286</t>
        </is>
      </c>
      <c r="B657" s="5" t="n">
        <v>79</v>
      </c>
      <c r="C657" s="6" t="inlineStr">
        <is>
          <t>X</t>
        </is>
      </c>
      <c r="D657" s="5" t="n">
        <v>269</v>
      </c>
      <c r="E657" s="2">
        <f>B657*D657/10000</f>
        <v/>
      </c>
      <c r="F657" s="3">
        <f>B657/30.48</f>
        <v/>
      </c>
      <c r="G657" s="3">
        <f>D657/30.48</f>
        <v/>
      </c>
      <c r="H657" s="615" t="inlineStr">
        <is>
          <t>tamir</t>
        </is>
      </c>
      <c r="K657" s="51" t="inlineStr">
        <is>
          <t>PAC</t>
        </is>
      </c>
      <c r="L657" s="105" t="inlineStr">
        <is>
          <t>VR</t>
        </is>
      </c>
      <c r="M657" s="210" t="n"/>
      <c r="N657" s="211" t="n"/>
      <c r="O657" s="340" t="inlineStr">
        <is>
          <t>SBL</t>
        </is>
      </c>
      <c r="Q657" s="271" t="n"/>
      <c r="R657" s="282" t="n"/>
    </row>
    <row r="658" ht="18" customHeight="1" s="305">
      <c r="A658" s="8" t="inlineStr">
        <is>
          <t>C 432</t>
        </is>
      </c>
      <c r="B658" s="5" t="n">
        <v>198</v>
      </c>
      <c r="C658" s="6" t="inlineStr">
        <is>
          <t>X</t>
        </is>
      </c>
      <c r="D658" s="5" t="n">
        <v>334</v>
      </c>
      <c r="E658" s="2">
        <f>B658*D658/10000</f>
        <v/>
      </c>
      <c r="F658" s="3">
        <f>B658/30.48</f>
        <v/>
      </c>
      <c r="G658" s="3">
        <f>D658/30.48</f>
        <v/>
      </c>
      <c r="H658" s="615" t="n"/>
      <c r="I658" s="49" t="inlineStr">
        <is>
          <t>OLD</t>
        </is>
      </c>
      <c r="J658" s="48" t="inlineStr">
        <is>
          <t>TRS</t>
        </is>
      </c>
      <c r="K658" s="51" t="inlineStr">
        <is>
          <t>PAC</t>
        </is>
      </c>
      <c r="M658" s="210" t="n"/>
      <c r="N658" s="211" t="n"/>
      <c r="O658" s="340" t="inlineStr">
        <is>
          <t>SBL</t>
        </is>
      </c>
      <c r="Q658" s="271" t="n"/>
      <c r="R658" s="282" t="n"/>
    </row>
    <row r="659" ht="18" customHeight="1" s="305">
      <c r="A659" s="8" t="inlineStr">
        <is>
          <t>C 434</t>
        </is>
      </c>
      <c r="B659" s="5" t="n">
        <v>91</v>
      </c>
      <c r="C659" s="6" t="inlineStr">
        <is>
          <t>X</t>
        </is>
      </c>
      <c r="D659" s="5" t="n">
        <v>373</v>
      </c>
      <c r="E659" s="2">
        <f>B659*D659/10000</f>
        <v/>
      </c>
      <c r="F659" s="3">
        <f>B659/30.48</f>
        <v/>
      </c>
      <c r="G659" s="3">
        <f>D659/30.48</f>
        <v/>
      </c>
      <c r="H659" s="615" t="n"/>
      <c r="I659" s="49" t="inlineStr">
        <is>
          <t>OLD</t>
        </is>
      </c>
      <c r="J659" s="48" t="inlineStr">
        <is>
          <t>TRS</t>
        </is>
      </c>
      <c r="K659" s="51" t="inlineStr">
        <is>
          <t>PAC</t>
        </is>
      </c>
      <c r="L659" s="105" t="inlineStr">
        <is>
          <t>VR</t>
        </is>
      </c>
      <c r="M659" s="210" t="inlineStr">
        <is>
          <t>RK</t>
        </is>
      </c>
      <c r="N659" s="211" t="n"/>
      <c r="O659" s="340" t="inlineStr">
        <is>
          <t>SBL</t>
        </is>
      </c>
      <c r="Q659" s="271" t="n"/>
      <c r="R659" s="282" t="n"/>
    </row>
    <row r="660" ht="18" customHeight="1" s="305">
      <c r="A660" s="8" t="inlineStr">
        <is>
          <t>C 438</t>
        </is>
      </c>
      <c r="B660" s="5" t="n">
        <v>84</v>
      </c>
      <c r="C660" s="6" t="inlineStr">
        <is>
          <t>X</t>
        </is>
      </c>
      <c r="D660" s="5" t="n">
        <v>380</v>
      </c>
      <c r="E660" s="2">
        <f>B660*D660/10000</f>
        <v/>
      </c>
      <c r="F660" s="3">
        <f>B660/30.48</f>
        <v/>
      </c>
      <c r="G660" s="3">
        <f>D660/30.48</f>
        <v/>
      </c>
      <c r="H660" s="615" t="n"/>
      <c r="I660" s="49" t="inlineStr">
        <is>
          <t>OLD</t>
        </is>
      </c>
      <c r="J660" s="48" t="inlineStr">
        <is>
          <t>TRS</t>
        </is>
      </c>
      <c r="K660" s="51" t="inlineStr">
        <is>
          <t>PAC</t>
        </is>
      </c>
      <c r="L660" s="105" t="inlineStr">
        <is>
          <t>VR</t>
        </is>
      </c>
      <c r="M660" s="210" t="inlineStr">
        <is>
          <t>RK</t>
        </is>
      </c>
      <c r="N660" s="211" t="n"/>
      <c r="O660" s="340" t="inlineStr">
        <is>
          <t>SBL</t>
        </is>
      </c>
      <c r="Q660" s="271" t="n"/>
      <c r="R660" s="282" t="n"/>
    </row>
    <row r="661" ht="18" customHeight="1" s="305">
      <c r="A661" s="8" t="inlineStr">
        <is>
          <t>H 183</t>
        </is>
      </c>
      <c r="B661" s="5" t="n">
        <v>89</v>
      </c>
      <c r="C661" s="6" t="inlineStr">
        <is>
          <t>X</t>
        </is>
      </c>
      <c r="D661" s="5" t="n">
        <v>343</v>
      </c>
      <c r="E661" s="2">
        <f>B661*D661/10000</f>
        <v/>
      </c>
      <c r="F661" s="3">
        <f>B661/30.48</f>
        <v/>
      </c>
      <c r="G661" s="3">
        <f>D661/30.48</f>
        <v/>
      </c>
      <c r="H661" s="615" t="n"/>
      <c r="I661" s="49" t="inlineStr">
        <is>
          <t>OLD</t>
        </is>
      </c>
      <c r="J661" s="48" t="inlineStr">
        <is>
          <t>TRS</t>
        </is>
      </c>
      <c r="K661" s="51" t="inlineStr">
        <is>
          <t>PAC</t>
        </is>
      </c>
      <c r="L661" s="105" t="inlineStr">
        <is>
          <t>VR</t>
        </is>
      </c>
      <c r="M661" s="210" t="n"/>
      <c r="N661" s="211" t="n"/>
      <c r="O661" s="263" t="n"/>
      <c r="Q661" s="271" t="n"/>
      <c r="R661" s="282" t="n"/>
    </row>
    <row r="662" ht="18" customHeight="1" s="305">
      <c r="A662" s="8" t="inlineStr">
        <is>
          <t>H 191</t>
        </is>
      </c>
      <c r="B662" s="5" t="n">
        <v>81</v>
      </c>
      <c r="C662" s="6" t="inlineStr">
        <is>
          <t>X</t>
        </is>
      </c>
      <c r="D662" s="5" t="n">
        <v>270</v>
      </c>
      <c r="E662" s="2">
        <f>B662*D662/10000</f>
        <v/>
      </c>
      <c r="F662" s="3">
        <f>B662/30.48</f>
        <v/>
      </c>
      <c r="G662" s="3">
        <f>D662/30.48</f>
        <v/>
      </c>
      <c r="H662" s="615" t="n"/>
      <c r="I662" s="49" t="inlineStr">
        <is>
          <t>OLD</t>
        </is>
      </c>
      <c r="J662" s="48" t="inlineStr">
        <is>
          <t>TRS</t>
        </is>
      </c>
      <c r="K662" s="51" t="inlineStr">
        <is>
          <t>PAC</t>
        </is>
      </c>
      <c r="M662" s="210" t="n"/>
      <c r="N662" s="211" t="n"/>
      <c r="O662" s="263" t="n"/>
      <c r="Q662" s="271" t="n"/>
      <c r="R662" s="282" t="n"/>
    </row>
    <row r="663" ht="18" customHeight="1" s="305">
      <c r="A663" s="8" t="inlineStr">
        <is>
          <t>C 287</t>
        </is>
      </c>
      <c r="B663" s="5" t="n">
        <v>84</v>
      </c>
      <c r="C663" s="6" t="inlineStr">
        <is>
          <t>X</t>
        </is>
      </c>
      <c r="D663" s="5" t="n">
        <v>339</v>
      </c>
      <c r="E663" s="2">
        <f>B663*D663/10000</f>
        <v/>
      </c>
      <c r="F663" s="3">
        <f>B663/30.48</f>
        <v/>
      </c>
      <c r="G663" s="3">
        <f>D663/30.48</f>
        <v/>
      </c>
      <c r="H663" s="615" t="n"/>
      <c r="I663" s="49" t="inlineStr">
        <is>
          <t>OLD</t>
        </is>
      </c>
      <c r="J663" s="48" t="inlineStr">
        <is>
          <t>TRS</t>
        </is>
      </c>
      <c r="K663" s="51" t="inlineStr">
        <is>
          <t>PAC</t>
        </is>
      </c>
      <c r="L663" s="105" t="inlineStr">
        <is>
          <t>VR</t>
        </is>
      </c>
      <c r="M663" s="210" t="inlineStr">
        <is>
          <t>RK</t>
        </is>
      </c>
      <c r="N663" s="211" t="n"/>
      <c r="O663" s="340" t="inlineStr">
        <is>
          <t>SBL</t>
        </is>
      </c>
      <c r="Q663" s="271" t="n"/>
      <c r="R663" s="282" t="n"/>
    </row>
    <row r="664" ht="18" customHeight="1" s="305">
      <c r="A664" s="8" t="inlineStr">
        <is>
          <t>C 293</t>
        </is>
      </c>
      <c r="B664" s="5" t="n">
        <v>89</v>
      </c>
      <c r="C664" s="6" t="inlineStr">
        <is>
          <t>X</t>
        </is>
      </c>
      <c r="D664" s="5" t="n">
        <v>303</v>
      </c>
      <c r="E664" s="2">
        <f>B664*D664/10000</f>
        <v/>
      </c>
      <c r="F664" s="3">
        <f>B664/30.48</f>
        <v/>
      </c>
      <c r="G664" s="3">
        <f>D664/30.48</f>
        <v/>
      </c>
      <c r="H664" s="615" t="n"/>
      <c r="I664" s="49" t="inlineStr">
        <is>
          <t>OLD</t>
        </is>
      </c>
      <c r="J664" s="48" t="inlineStr">
        <is>
          <t>TRS</t>
        </is>
      </c>
      <c r="K664" s="51" t="inlineStr">
        <is>
          <t>PAC</t>
        </is>
      </c>
      <c r="L664" s="105" t="inlineStr">
        <is>
          <t>VR</t>
        </is>
      </c>
      <c r="M664" s="210" t="n"/>
      <c r="N664" s="211" t="n"/>
      <c r="O664" s="340" t="inlineStr">
        <is>
          <t>SBL</t>
        </is>
      </c>
      <c r="Q664" s="271" t="n"/>
      <c r="R664" s="282" t="n"/>
    </row>
    <row r="665" ht="18" customHeight="1" s="305">
      <c r="A665" s="8" t="inlineStr">
        <is>
          <t>C 295</t>
        </is>
      </c>
      <c r="B665" s="5" t="n">
        <v>105</v>
      </c>
      <c r="C665" s="6" t="inlineStr">
        <is>
          <t>X</t>
        </is>
      </c>
      <c r="D665" s="5" t="n">
        <v>434</v>
      </c>
      <c r="E665" s="2">
        <f>B665*D665/10000</f>
        <v/>
      </c>
      <c r="F665" s="3">
        <f>B665/30.48</f>
        <v/>
      </c>
      <c r="G665" s="3">
        <f>D665/30.48</f>
        <v/>
      </c>
      <c r="H665" s="615" t="n"/>
      <c r="I665" s="49" t="inlineStr">
        <is>
          <t>OLD</t>
        </is>
      </c>
      <c r="J665" s="48" t="inlineStr">
        <is>
          <t>TRS</t>
        </is>
      </c>
      <c r="K665" s="51" t="inlineStr">
        <is>
          <t>PAC</t>
        </is>
      </c>
      <c r="L665" s="105" t="inlineStr">
        <is>
          <t>VR</t>
        </is>
      </c>
      <c r="M665" s="210" t="n"/>
      <c r="N665" s="211" t="n"/>
      <c r="O665" s="340" t="inlineStr">
        <is>
          <t>SBL</t>
        </is>
      </c>
      <c r="Q665" s="271" t="n"/>
      <c r="R665" s="282" t="n"/>
    </row>
    <row r="666" ht="18" customHeight="1" s="305">
      <c r="A666" s="8" t="inlineStr">
        <is>
          <t>C 296</t>
        </is>
      </c>
      <c r="B666" s="5" t="n">
        <v>110</v>
      </c>
      <c r="C666" s="6" t="inlineStr">
        <is>
          <t>X</t>
        </is>
      </c>
      <c r="D666" s="5" t="n">
        <v>236</v>
      </c>
      <c r="E666" s="2">
        <f>B666*D666/10000</f>
        <v/>
      </c>
      <c r="F666" s="3">
        <f>B666/30.48</f>
        <v/>
      </c>
      <c r="G666" s="3">
        <f>D666/30.48</f>
        <v/>
      </c>
      <c r="H666" s="615" t="n"/>
      <c r="I666" s="49" t="inlineStr">
        <is>
          <t>OLD</t>
        </is>
      </c>
      <c r="J666" s="48" t="inlineStr">
        <is>
          <t>TRS</t>
        </is>
      </c>
      <c r="K666" s="51" t="inlineStr">
        <is>
          <t>PAC</t>
        </is>
      </c>
      <c r="M666" s="210" t="inlineStr">
        <is>
          <t>RK</t>
        </is>
      </c>
      <c r="N666" s="211" t="n"/>
      <c r="O666" s="340" t="inlineStr">
        <is>
          <t>SBL</t>
        </is>
      </c>
      <c r="Q666" s="271" t="n"/>
      <c r="R666" s="282" t="n"/>
    </row>
    <row r="667" ht="18" customHeight="1" s="305">
      <c r="A667" s="8" t="inlineStr">
        <is>
          <t>C 298</t>
        </is>
      </c>
      <c r="B667" s="5" t="n">
        <v>234</v>
      </c>
      <c r="C667" s="6" t="inlineStr">
        <is>
          <t>X</t>
        </is>
      </c>
      <c r="D667" s="5" t="n">
        <v>328</v>
      </c>
      <c r="E667" s="2">
        <f>B667*D667/10000</f>
        <v/>
      </c>
      <c r="F667" s="3">
        <f>B667/30.48</f>
        <v/>
      </c>
      <c r="G667" s="3">
        <f>D667/30.48</f>
        <v/>
      </c>
      <c r="H667" s="615" t="n"/>
      <c r="I667" s="49" t="inlineStr">
        <is>
          <t>OLD</t>
        </is>
      </c>
      <c r="J667" s="48" t="inlineStr">
        <is>
          <t>TRS</t>
        </is>
      </c>
      <c r="K667" s="51" t="inlineStr">
        <is>
          <t>PAC</t>
        </is>
      </c>
      <c r="M667" s="210" t="n"/>
      <c r="N667" s="211" t="n"/>
      <c r="O667" s="340" t="inlineStr">
        <is>
          <t>SBL</t>
        </is>
      </c>
      <c r="Q667" s="271" t="n"/>
      <c r="R667" s="282" t="n"/>
    </row>
    <row r="668" ht="18" customHeight="1" s="305">
      <c r="A668" s="8" t="inlineStr">
        <is>
          <t>C 302</t>
        </is>
      </c>
      <c r="B668" s="5" t="n">
        <v>131</v>
      </c>
      <c r="C668" s="6" t="inlineStr">
        <is>
          <t>X</t>
        </is>
      </c>
      <c r="D668" s="5" t="n">
        <v>284</v>
      </c>
      <c r="E668" s="2">
        <f>B668*D668/10000</f>
        <v/>
      </c>
      <c r="F668" s="3">
        <f>B668/30.48</f>
        <v/>
      </c>
      <c r="G668" s="3">
        <f>D668/30.48</f>
        <v/>
      </c>
      <c r="H668" s="615" t="n"/>
      <c r="I668" s="49" t="inlineStr">
        <is>
          <t>OLD</t>
        </is>
      </c>
      <c r="J668" s="48" t="inlineStr">
        <is>
          <t>TRS</t>
        </is>
      </c>
      <c r="K668" s="51" t="inlineStr">
        <is>
          <t>PAC</t>
        </is>
      </c>
      <c r="L668" s="105" t="inlineStr">
        <is>
          <t>VR</t>
        </is>
      </c>
      <c r="M668" s="210" t="inlineStr">
        <is>
          <t>RK</t>
        </is>
      </c>
      <c r="N668" s="211" t="n"/>
      <c r="O668" s="340" t="inlineStr">
        <is>
          <t>SBL</t>
        </is>
      </c>
      <c r="Q668" s="271" t="n"/>
      <c r="R668" s="282" t="n"/>
    </row>
    <row r="669" ht="18" customHeight="1" s="305">
      <c r="A669" s="8" t="inlineStr">
        <is>
          <t>C 303</t>
        </is>
      </c>
      <c r="B669" s="5" t="n">
        <v>110</v>
      </c>
      <c r="C669" s="6" t="inlineStr">
        <is>
          <t>X</t>
        </is>
      </c>
      <c r="D669" s="5" t="n">
        <v>267</v>
      </c>
      <c r="E669" s="2">
        <f>B669*D669/10000</f>
        <v/>
      </c>
      <c r="F669" s="3">
        <f>B669/30.48</f>
        <v/>
      </c>
      <c r="G669" s="3">
        <f>D669/30.48</f>
        <v/>
      </c>
      <c r="H669" s="615" t="n"/>
      <c r="I669" s="49" t="inlineStr">
        <is>
          <t>OLD</t>
        </is>
      </c>
      <c r="J669" s="48" t="inlineStr">
        <is>
          <t>TRS</t>
        </is>
      </c>
      <c r="K669" s="51" t="inlineStr">
        <is>
          <t>PAC</t>
        </is>
      </c>
      <c r="L669" s="105" t="inlineStr">
        <is>
          <t>VR</t>
        </is>
      </c>
      <c r="M669" s="210" t="inlineStr">
        <is>
          <t>RK</t>
        </is>
      </c>
      <c r="N669" s="211" t="n"/>
      <c r="O669" s="340" t="inlineStr">
        <is>
          <t>SBL</t>
        </is>
      </c>
      <c r="Q669" s="271" t="n"/>
      <c r="R669" s="282" t="n"/>
    </row>
    <row r="670" ht="18" customHeight="1" s="305">
      <c r="A670" s="8" t="inlineStr">
        <is>
          <t>C 305</t>
        </is>
      </c>
      <c r="B670" s="5" t="n">
        <v>80</v>
      </c>
      <c r="C670" s="6" t="inlineStr">
        <is>
          <t>X</t>
        </is>
      </c>
      <c r="D670" s="5" t="n">
        <v>270</v>
      </c>
      <c r="E670" s="2">
        <f>B670*D670/10000</f>
        <v/>
      </c>
      <c r="F670" s="3">
        <f>B670/30.48</f>
        <v/>
      </c>
      <c r="G670" s="3">
        <f>D670/30.48</f>
        <v/>
      </c>
      <c r="H670" s="615" t="n"/>
      <c r="I670" s="49" t="inlineStr">
        <is>
          <t>OLD</t>
        </is>
      </c>
      <c r="J670" s="48" t="inlineStr">
        <is>
          <t>TRS</t>
        </is>
      </c>
      <c r="K670" s="51" t="inlineStr">
        <is>
          <t>PAC</t>
        </is>
      </c>
      <c r="L670" s="105" t="inlineStr">
        <is>
          <t>VR</t>
        </is>
      </c>
      <c r="M670" s="210" t="inlineStr">
        <is>
          <t>RK</t>
        </is>
      </c>
      <c r="N670" s="211" t="n"/>
      <c r="O670" s="340" t="inlineStr">
        <is>
          <t>SBL</t>
        </is>
      </c>
      <c r="Q670" s="271" t="n"/>
      <c r="R670" s="282" t="n"/>
    </row>
    <row r="671" ht="18" customHeight="1" s="305">
      <c r="A671" s="8" t="inlineStr">
        <is>
          <t>C 306</t>
        </is>
      </c>
      <c r="B671" s="5" t="n">
        <v>183</v>
      </c>
      <c r="C671" s="6" t="inlineStr">
        <is>
          <t>X</t>
        </is>
      </c>
      <c r="D671" s="5" t="n">
        <v>271</v>
      </c>
      <c r="E671" s="2">
        <f>B671*D671/10000</f>
        <v/>
      </c>
      <c r="F671" s="3">
        <f>B671/30.48</f>
        <v/>
      </c>
      <c r="G671" s="3">
        <f>D671/30.48</f>
        <v/>
      </c>
      <c r="H671" s="615" t="n"/>
      <c r="I671" s="49" t="inlineStr">
        <is>
          <t>OLD</t>
        </is>
      </c>
      <c r="J671" s="48" t="inlineStr">
        <is>
          <t>TRS</t>
        </is>
      </c>
      <c r="K671" s="51" t="inlineStr">
        <is>
          <t>PAC</t>
        </is>
      </c>
      <c r="M671" s="210" t="n"/>
      <c r="N671" s="211" t="n"/>
      <c r="O671" s="340" t="inlineStr">
        <is>
          <t>SBL</t>
        </is>
      </c>
      <c r="Q671" s="271" t="n"/>
      <c r="R671" s="282" t="n"/>
    </row>
    <row r="672" ht="18" customHeight="1" s="305">
      <c r="A672" s="8" t="inlineStr">
        <is>
          <t>C 323</t>
        </is>
      </c>
      <c r="B672" s="5" t="n">
        <v>94</v>
      </c>
      <c r="C672" s="6" t="inlineStr">
        <is>
          <t>X</t>
        </is>
      </c>
      <c r="D672" s="5" t="n">
        <v>305</v>
      </c>
      <c r="E672" s="2">
        <f>B672*D672/10000</f>
        <v/>
      </c>
      <c r="F672" s="3">
        <f>B672/30.48</f>
        <v/>
      </c>
      <c r="G672" s="3">
        <f>D672/30.48</f>
        <v/>
      </c>
      <c r="H672" s="615" t="n"/>
      <c r="I672" s="49" t="inlineStr">
        <is>
          <t>OLD</t>
        </is>
      </c>
      <c r="J672" s="48" t="inlineStr">
        <is>
          <t>TRS</t>
        </is>
      </c>
      <c r="K672" s="51" t="inlineStr">
        <is>
          <t>PAC</t>
        </is>
      </c>
      <c r="L672" s="105" t="inlineStr">
        <is>
          <t>VR</t>
        </is>
      </c>
      <c r="M672" s="210" t="n"/>
      <c r="N672" s="211" t="n"/>
      <c r="O672" s="340" t="inlineStr">
        <is>
          <t>SBL</t>
        </is>
      </c>
      <c r="Q672" s="271" t="n"/>
      <c r="R672" s="282" t="n"/>
    </row>
    <row r="673" ht="18" customHeight="1" s="305">
      <c r="A673" s="8" t="inlineStr">
        <is>
          <t>C 385</t>
        </is>
      </c>
      <c r="B673" s="5" t="n">
        <v>113</v>
      </c>
      <c r="C673" s="6" t="inlineStr">
        <is>
          <t>X</t>
        </is>
      </c>
      <c r="D673" s="5" t="n">
        <v>213</v>
      </c>
      <c r="E673" s="2">
        <f>B673*D673/10000</f>
        <v/>
      </c>
      <c r="F673" s="3">
        <f>B673/30.48</f>
        <v/>
      </c>
      <c r="G673" s="3">
        <f>D673/30.48</f>
        <v/>
      </c>
      <c r="H673" s="615" t="n"/>
      <c r="I673" s="49" t="inlineStr">
        <is>
          <t>OLD</t>
        </is>
      </c>
      <c r="J673" s="48" t="inlineStr">
        <is>
          <t>TRS</t>
        </is>
      </c>
      <c r="K673" s="51" t="inlineStr">
        <is>
          <t>PAC</t>
        </is>
      </c>
      <c r="L673" s="105" t="inlineStr">
        <is>
          <t>VR</t>
        </is>
      </c>
      <c r="M673" s="210" t="n"/>
      <c r="N673" s="211" t="n"/>
      <c r="O673" s="340" t="inlineStr">
        <is>
          <t>SBL</t>
        </is>
      </c>
      <c r="Q673" s="271" t="n"/>
      <c r="R673" s="282" t="n"/>
    </row>
    <row r="674" ht="18" customHeight="1" s="305">
      <c r="A674" s="8" t="inlineStr">
        <is>
          <t>C 402</t>
        </is>
      </c>
      <c r="B674" s="5" t="n">
        <v>160</v>
      </c>
      <c r="C674" s="6" t="inlineStr">
        <is>
          <t>X</t>
        </is>
      </c>
      <c r="D674" s="5" t="n">
        <v>242</v>
      </c>
      <c r="E674" s="2">
        <f>B674*D674/10000</f>
        <v/>
      </c>
      <c r="F674" s="3">
        <f>B674/30.48</f>
        <v/>
      </c>
      <c r="G674" s="3">
        <f>D674/30.48</f>
        <v/>
      </c>
      <c r="H674" s="615" t="n"/>
      <c r="I674" s="49" t="inlineStr">
        <is>
          <t>OLD</t>
        </is>
      </c>
      <c r="J674" s="48" t="inlineStr">
        <is>
          <t>TRS</t>
        </is>
      </c>
      <c r="K674" s="51" t="inlineStr">
        <is>
          <t>PAC</t>
        </is>
      </c>
      <c r="M674" s="210" t="inlineStr">
        <is>
          <t>RK</t>
        </is>
      </c>
      <c r="N674" s="211" t="n"/>
      <c r="O674" s="340" t="inlineStr">
        <is>
          <t>SBL</t>
        </is>
      </c>
      <c r="Q674" s="271" t="n"/>
      <c r="R674" s="282" t="n"/>
    </row>
    <row r="675" ht="18" customHeight="1" s="305">
      <c r="A675" s="8" t="inlineStr">
        <is>
          <t>H 189</t>
        </is>
      </c>
      <c r="B675" s="5" t="n">
        <v>100</v>
      </c>
      <c r="C675" s="6" t="inlineStr">
        <is>
          <t>X</t>
        </is>
      </c>
      <c r="D675" s="5" t="n">
        <v>335</v>
      </c>
      <c r="E675" s="2">
        <f>B675*D675/10000</f>
        <v/>
      </c>
      <c r="F675" s="3">
        <f>B675/30.48</f>
        <v/>
      </c>
      <c r="G675" s="3">
        <f>D675/30.48</f>
        <v/>
      </c>
      <c r="H675" s="615" t="n"/>
      <c r="I675" s="49" t="inlineStr">
        <is>
          <t>OLD</t>
        </is>
      </c>
      <c r="J675" s="48" t="inlineStr">
        <is>
          <t>TRS</t>
        </is>
      </c>
      <c r="K675" s="51" t="inlineStr">
        <is>
          <t>PAC</t>
        </is>
      </c>
      <c r="L675" s="105" t="inlineStr">
        <is>
          <t>VR</t>
        </is>
      </c>
      <c r="M675" s="210" t="n"/>
      <c r="N675" s="211" t="n"/>
      <c r="O675" s="263" t="n"/>
      <c r="Q675" s="271" t="n"/>
      <c r="R675" s="282" t="n"/>
    </row>
    <row r="676" ht="18" customHeight="1" s="305">
      <c r="A676" s="8" t="inlineStr">
        <is>
          <t>H 193</t>
        </is>
      </c>
      <c r="B676" s="5" t="n">
        <v>86</v>
      </c>
      <c r="C676" s="6" t="inlineStr">
        <is>
          <t>X</t>
        </is>
      </c>
      <c r="D676" s="5" t="n">
        <v>350</v>
      </c>
      <c r="E676" s="2">
        <f>B676*D676/10000</f>
        <v/>
      </c>
      <c r="F676" s="3">
        <f>B676/30.48</f>
        <v/>
      </c>
      <c r="G676" s="3">
        <f>D676/30.48</f>
        <v/>
      </c>
      <c r="H676" s="615" t="n"/>
      <c r="I676" s="49" t="inlineStr">
        <is>
          <t>OLD</t>
        </is>
      </c>
      <c r="J676" s="48" t="inlineStr">
        <is>
          <t>TRS</t>
        </is>
      </c>
      <c r="K676" s="51" t="inlineStr">
        <is>
          <t>PAC</t>
        </is>
      </c>
      <c r="L676" s="105" t="inlineStr">
        <is>
          <t>VR</t>
        </is>
      </c>
      <c r="M676" s="210" t="n"/>
      <c r="N676" s="211" t="n"/>
      <c r="O676" s="263" t="n"/>
      <c r="Q676" s="271" t="n"/>
      <c r="R676" s="282" t="n"/>
    </row>
    <row r="677" ht="18" customHeight="1" s="305">
      <c r="A677" s="8" t="inlineStr">
        <is>
          <t>H 194</t>
        </is>
      </c>
      <c r="B677" s="5" t="n">
        <v>102</v>
      </c>
      <c r="C677" s="6" t="inlineStr">
        <is>
          <t>X</t>
        </is>
      </c>
      <c r="D677" s="5" t="n">
        <v>312</v>
      </c>
      <c r="E677" s="2">
        <f>B677*D677/10000</f>
        <v/>
      </c>
      <c r="F677" s="3">
        <f>B677/30.48</f>
        <v/>
      </c>
      <c r="G677" s="3">
        <f>D677/30.48</f>
        <v/>
      </c>
      <c r="H677" s="615" t="n"/>
      <c r="I677" s="49" t="inlineStr">
        <is>
          <t>OLD</t>
        </is>
      </c>
      <c r="J677" s="48" t="inlineStr">
        <is>
          <t>TRS</t>
        </is>
      </c>
      <c r="K677" s="51" t="inlineStr">
        <is>
          <t>PAC</t>
        </is>
      </c>
      <c r="L677" s="105" t="inlineStr">
        <is>
          <t>VR</t>
        </is>
      </c>
      <c r="M677" s="210" t="n"/>
      <c r="N677" s="211" t="n"/>
      <c r="O677" s="263" t="n"/>
      <c r="Q677" s="271" t="n"/>
      <c r="R677" s="282" t="n"/>
    </row>
    <row r="678" ht="18" customHeight="1" s="305">
      <c r="A678" s="8" t="inlineStr">
        <is>
          <t>H 195</t>
        </is>
      </c>
      <c r="B678" s="5" t="n">
        <v>94</v>
      </c>
      <c r="C678" s="6" t="inlineStr">
        <is>
          <t>X</t>
        </is>
      </c>
      <c r="D678" s="5" t="n">
        <v>333</v>
      </c>
      <c r="E678" s="2">
        <f>B678*D678/10000</f>
        <v/>
      </c>
      <c r="F678" s="3">
        <f>B678/30.48</f>
        <v/>
      </c>
      <c r="G678" s="3">
        <f>D678/30.48</f>
        <v/>
      </c>
      <c r="H678" s="615" t="n"/>
      <c r="I678" s="49" t="inlineStr">
        <is>
          <t>OLD</t>
        </is>
      </c>
      <c r="J678" s="48" t="inlineStr">
        <is>
          <t>TRS</t>
        </is>
      </c>
      <c r="K678" s="51" t="inlineStr">
        <is>
          <t>PAC</t>
        </is>
      </c>
      <c r="L678" s="105" t="inlineStr">
        <is>
          <t>VR</t>
        </is>
      </c>
      <c r="M678" s="210" t="n"/>
      <c r="N678" s="211" t="n"/>
      <c r="O678" s="263" t="n"/>
      <c r="Q678" s="271" t="n"/>
      <c r="R678" s="282" t="n"/>
    </row>
    <row r="679" ht="18" customHeight="1" s="305">
      <c r="A679" s="8" t="inlineStr">
        <is>
          <t>A 3</t>
        </is>
      </c>
      <c r="B679" s="5" t="n">
        <v>197</v>
      </c>
      <c r="C679" s="6" t="inlineStr">
        <is>
          <t>X</t>
        </is>
      </c>
      <c r="D679" s="5" t="n">
        <v>306</v>
      </c>
      <c r="E679" s="2">
        <f>B679*D679/10000</f>
        <v/>
      </c>
      <c r="F679" s="3">
        <f>B679/30.48</f>
        <v/>
      </c>
      <c r="G679" s="3">
        <f>D679/30.48</f>
        <v/>
      </c>
      <c r="H679" s="615" t="inlineStr">
        <is>
          <t>tamir</t>
        </is>
      </c>
      <c r="J679" s="48" t="inlineStr">
        <is>
          <t>TRS</t>
        </is>
      </c>
      <c r="K679" s="51" t="inlineStr">
        <is>
          <t>PAC</t>
        </is>
      </c>
      <c r="L679" s="105" t="inlineStr">
        <is>
          <t>VR</t>
        </is>
      </c>
      <c r="M679" s="210" t="inlineStr">
        <is>
          <t>RK</t>
        </is>
      </c>
      <c r="N679" s="211" t="n"/>
      <c r="O679" s="263" t="n"/>
      <c r="P679" s="261" t="inlineStr">
        <is>
          <t>WVN</t>
        </is>
      </c>
      <c r="Q679" s="271" t="n"/>
      <c r="R679" s="282" t="inlineStr">
        <is>
          <t>WVN</t>
        </is>
      </c>
    </row>
    <row r="680" ht="18" customHeight="1" s="305">
      <c r="A680" s="8" t="inlineStr">
        <is>
          <t>A 4</t>
        </is>
      </c>
      <c r="B680" s="5" t="n">
        <v>106</v>
      </c>
      <c r="C680" s="6" t="inlineStr">
        <is>
          <t>X</t>
        </is>
      </c>
      <c r="D680" s="5" t="n">
        <v>372</v>
      </c>
      <c r="E680" s="2">
        <f>B680*D680/10000</f>
        <v/>
      </c>
      <c r="F680" s="3">
        <f>B680/30.48</f>
        <v/>
      </c>
      <c r="G680" s="3">
        <f>D680/30.48</f>
        <v/>
      </c>
      <c r="H680" s="615" t="n"/>
      <c r="I680" s="49" t="inlineStr">
        <is>
          <t>OLD</t>
        </is>
      </c>
      <c r="J680" s="48" t="inlineStr">
        <is>
          <t>TRS</t>
        </is>
      </c>
      <c r="K680" s="51" t="inlineStr">
        <is>
          <t>PAC</t>
        </is>
      </c>
      <c r="L680" s="105" t="inlineStr">
        <is>
          <t>VR</t>
        </is>
      </c>
      <c r="M680" s="210" t="inlineStr">
        <is>
          <t>RK</t>
        </is>
      </c>
      <c r="N680" s="211" t="n"/>
      <c r="O680" s="340" t="inlineStr">
        <is>
          <t>SBL</t>
        </is>
      </c>
      <c r="Q680" s="271" t="n"/>
      <c r="R680" s="282" t="n"/>
    </row>
    <row r="681" ht="18" customHeight="1" s="305">
      <c r="A681" s="8" t="inlineStr">
        <is>
          <t>A 39</t>
        </is>
      </c>
      <c r="B681" s="5" t="n">
        <v>168</v>
      </c>
      <c r="C681" s="6" t="inlineStr">
        <is>
          <t>X</t>
        </is>
      </c>
      <c r="D681" s="5" t="n">
        <v>314</v>
      </c>
      <c r="E681" s="2">
        <f>B681*D681/10000</f>
        <v/>
      </c>
      <c r="F681" s="3">
        <f>B681/30.48</f>
        <v/>
      </c>
      <c r="G681" s="3">
        <f>D681/30.48</f>
        <v/>
      </c>
      <c r="H681" s="615" t="n"/>
      <c r="I681" s="49" t="inlineStr">
        <is>
          <t>OLD</t>
        </is>
      </c>
      <c r="J681" s="48" t="inlineStr">
        <is>
          <t>TRS</t>
        </is>
      </c>
      <c r="K681" s="51" t="inlineStr">
        <is>
          <t>PAC</t>
        </is>
      </c>
      <c r="L681" s="105" t="inlineStr">
        <is>
          <t>VR</t>
        </is>
      </c>
      <c r="M681" s="210" t="n"/>
      <c r="N681" s="211" t="n"/>
      <c r="O681" s="340" t="inlineStr">
        <is>
          <t>SBL</t>
        </is>
      </c>
      <c r="Q681" s="271" t="n"/>
      <c r="R681" s="282" t="n"/>
    </row>
    <row r="682" ht="18" customHeight="1" s="305">
      <c r="A682" s="8" t="inlineStr">
        <is>
          <t>C 784</t>
        </is>
      </c>
      <c r="B682" s="5" t="n">
        <v>79</v>
      </c>
      <c r="C682" s="6" t="inlineStr">
        <is>
          <t>X</t>
        </is>
      </c>
      <c r="D682" s="5" t="n">
        <v>184</v>
      </c>
      <c r="E682" s="2">
        <f>B682*D682/10000</f>
        <v/>
      </c>
      <c r="F682" s="3">
        <f>B682/30.48</f>
        <v/>
      </c>
      <c r="G682" s="3">
        <f>D682/30.48</f>
        <v/>
      </c>
      <c r="H682" s="615" t="n"/>
      <c r="I682" s="49" t="inlineStr">
        <is>
          <t>OLD</t>
        </is>
      </c>
      <c r="J682" s="48" t="inlineStr">
        <is>
          <t>TRS</t>
        </is>
      </c>
      <c r="K682" s="51" t="inlineStr">
        <is>
          <t>PAC</t>
        </is>
      </c>
      <c r="L682" s="105" t="inlineStr">
        <is>
          <t>VR</t>
        </is>
      </c>
      <c r="M682" s="210" t="inlineStr">
        <is>
          <t>RK</t>
        </is>
      </c>
      <c r="N682" s="211" t="n"/>
      <c r="O682" s="340" t="inlineStr">
        <is>
          <t>SBL</t>
        </is>
      </c>
      <c r="Q682" s="271" t="n"/>
      <c r="R682" s="282" t="n"/>
    </row>
    <row r="683" ht="18" customHeight="1" s="305">
      <c r="A683" s="8" t="inlineStr">
        <is>
          <t>H 208</t>
        </is>
      </c>
      <c r="B683" s="5" t="n">
        <v>90</v>
      </c>
      <c r="C683" s="6" t="inlineStr">
        <is>
          <t>X</t>
        </is>
      </c>
      <c r="D683" s="5" t="n">
        <v>404</v>
      </c>
      <c r="E683" s="2">
        <f>B683*D683/10000</f>
        <v/>
      </c>
      <c r="F683" s="3">
        <f>B683/30.48</f>
        <v/>
      </c>
      <c r="G683" s="3">
        <f>D683/30.48</f>
        <v/>
      </c>
      <c r="H683" s="615" t="n"/>
      <c r="I683" s="49" t="inlineStr">
        <is>
          <t>OLD</t>
        </is>
      </c>
      <c r="J683" s="48" t="inlineStr">
        <is>
          <t>TRS</t>
        </is>
      </c>
      <c r="L683" s="105" t="inlineStr">
        <is>
          <t>VR</t>
        </is>
      </c>
      <c r="M683" s="210" t="n"/>
      <c r="N683" s="211" t="n"/>
      <c r="O683" s="263" t="n"/>
      <c r="Q683" s="271" t="n"/>
      <c r="R683" s="282" t="n"/>
    </row>
    <row r="684" ht="18" customHeight="1" s="305">
      <c r="A684" s="8" t="inlineStr">
        <is>
          <t>H 210</t>
        </is>
      </c>
      <c r="B684" s="5" t="n">
        <v>83</v>
      </c>
      <c r="C684" s="6" t="inlineStr">
        <is>
          <t>X</t>
        </is>
      </c>
      <c r="D684" s="5" t="n">
        <v>380</v>
      </c>
      <c r="E684" s="2">
        <f>B684*D684/10000</f>
        <v/>
      </c>
      <c r="F684" s="3">
        <f>B684/30.48</f>
        <v/>
      </c>
      <c r="G684" s="3">
        <f>D684/30.48</f>
        <v/>
      </c>
      <c r="H684" s="615" t="n"/>
      <c r="I684" s="49" t="inlineStr">
        <is>
          <t>OLD</t>
        </is>
      </c>
      <c r="J684" s="48" t="inlineStr">
        <is>
          <t>TRS</t>
        </is>
      </c>
      <c r="L684" s="105" t="inlineStr">
        <is>
          <t>VR</t>
        </is>
      </c>
      <c r="M684" s="210" t="n"/>
      <c r="N684" s="211" t="n"/>
      <c r="O684" s="263" t="n"/>
      <c r="Q684" s="271" t="n"/>
      <c r="R684" s="282" t="n"/>
    </row>
    <row r="685" ht="18" customHeight="1" s="305">
      <c r="A685" s="8" t="inlineStr">
        <is>
          <t>H 211</t>
        </is>
      </c>
      <c r="B685" s="5" t="n">
        <v>96</v>
      </c>
      <c r="C685" s="6" t="inlineStr">
        <is>
          <t>X</t>
        </is>
      </c>
      <c r="D685" s="5" t="n">
        <v>322</v>
      </c>
      <c r="E685" s="2">
        <f>B685*D685/10000</f>
        <v/>
      </c>
      <c r="F685" s="3">
        <f>B685/30.48</f>
        <v/>
      </c>
      <c r="G685" s="3">
        <f>D685/30.48</f>
        <v/>
      </c>
      <c r="H685" s="615" t="n"/>
      <c r="K685" s="51" t="inlineStr">
        <is>
          <t>PAC</t>
        </is>
      </c>
      <c r="L685" s="105" t="inlineStr">
        <is>
          <t>VR</t>
        </is>
      </c>
      <c r="M685" s="210" t="n"/>
      <c r="N685" s="211" t="n"/>
      <c r="O685" s="263" t="n"/>
      <c r="Q685" s="271" t="n"/>
      <c r="R685" s="282" t="n"/>
    </row>
    <row r="686" ht="18" customHeight="1" s="305">
      <c r="A686" s="8" t="inlineStr">
        <is>
          <t>H 214</t>
        </is>
      </c>
      <c r="B686" s="5" t="n">
        <v>84</v>
      </c>
      <c r="C686" s="6" t="inlineStr">
        <is>
          <t>X</t>
        </is>
      </c>
      <c r="D686" s="5" t="n">
        <v>368</v>
      </c>
      <c r="E686" s="2">
        <f>B686*D686/10000</f>
        <v/>
      </c>
      <c r="F686" s="3">
        <f>B686/30.48</f>
        <v/>
      </c>
      <c r="G686" s="3">
        <f>D686/30.48</f>
        <v/>
      </c>
      <c r="H686" s="615" t="n"/>
      <c r="I686" s="49" t="inlineStr">
        <is>
          <t>OLD</t>
        </is>
      </c>
      <c r="J686" s="48" t="inlineStr">
        <is>
          <t>TRS</t>
        </is>
      </c>
      <c r="K686" s="51" t="inlineStr">
        <is>
          <t>PAC</t>
        </is>
      </c>
      <c r="L686" s="105" t="inlineStr">
        <is>
          <t>VR</t>
        </is>
      </c>
      <c r="M686" s="210" t="n"/>
      <c r="N686" s="211" t="n"/>
      <c r="O686" s="263" t="n"/>
      <c r="Q686" s="271" t="n"/>
      <c r="R686" s="282" t="n"/>
    </row>
    <row r="687" ht="18" customHeight="1" s="305">
      <c r="A687" s="8" t="inlineStr">
        <is>
          <t>H 215</t>
        </is>
      </c>
      <c r="B687" s="5" t="n">
        <v>94</v>
      </c>
      <c r="C687" s="6" t="inlineStr">
        <is>
          <t>X</t>
        </is>
      </c>
      <c r="D687" s="5" t="n">
        <v>376</v>
      </c>
      <c r="E687" s="2">
        <f>B687*D687/10000</f>
        <v/>
      </c>
      <c r="F687" s="3">
        <f>B687/30.48</f>
        <v/>
      </c>
      <c r="G687" s="3">
        <f>D687/30.48</f>
        <v/>
      </c>
      <c r="H687" s="615" t="n"/>
      <c r="I687" s="49" t="inlineStr">
        <is>
          <t>OLD</t>
        </is>
      </c>
      <c r="K687" s="51" t="inlineStr">
        <is>
          <t>PAC</t>
        </is>
      </c>
      <c r="L687" s="105" t="inlineStr">
        <is>
          <t>VR</t>
        </is>
      </c>
      <c r="M687" s="210" t="n"/>
      <c r="N687" s="211" t="n"/>
      <c r="O687" s="263" t="n"/>
      <c r="Q687" s="271" t="n"/>
      <c r="R687" s="282" t="n"/>
    </row>
    <row r="688" ht="18" customHeight="1" s="305">
      <c r="A688" s="8" t="inlineStr">
        <is>
          <t>H 216</t>
        </is>
      </c>
      <c r="B688" s="5" t="n">
        <v>90</v>
      </c>
      <c r="C688" s="6" t="inlineStr">
        <is>
          <t>X</t>
        </is>
      </c>
      <c r="D688" s="5" t="n">
        <v>374</v>
      </c>
      <c r="E688" s="2">
        <f>B688*D688/10000</f>
        <v/>
      </c>
      <c r="F688" s="3">
        <f>B688/30.48</f>
        <v/>
      </c>
      <c r="G688" s="3">
        <f>D688/30.48</f>
        <v/>
      </c>
      <c r="H688" s="615" t="n"/>
      <c r="I688" s="49" t="inlineStr">
        <is>
          <t>OLD</t>
        </is>
      </c>
      <c r="K688" s="51" t="inlineStr">
        <is>
          <t>PAC</t>
        </is>
      </c>
      <c r="L688" s="105" t="inlineStr">
        <is>
          <t>VR</t>
        </is>
      </c>
      <c r="M688" s="210" t="n"/>
      <c r="N688" s="211" t="n"/>
      <c r="O688" s="263" t="n"/>
      <c r="Q688" s="271" t="n"/>
      <c r="R688" s="282" t="n"/>
    </row>
    <row r="689" ht="18" customHeight="1" s="305">
      <c r="A689" s="8" t="inlineStr">
        <is>
          <t>H 218</t>
        </is>
      </c>
      <c r="B689" s="5" t="n">
        <v>96</v>
      </c>
      <c r="C689" s="6" t="inlineStr">
        <is>
          <t>X</t>
        </is>
      </c>
      <c r="D689" s="5" t="n">
        <v>331</v>
      </c>
      <c r="E689" s="2">
        <f>B689*D689/10000</f>
        <v/>
      </c>
      <c r="F689" s="3">
        <f>B689/30.48</f>
        <v/>
      </c>
      <c r="G689" s="3">
        <f>D689/30.48</f>
        <v/>
      </c>
      <c r="H689" s="615" t="n"/>
      <c r="I689" s="49" t="inlineStr">
        <is>
          <t>OLD</t>
        </is>
      </c>
      <c r="J689" s="48" t="inlineStr">
        <is>
          <t>TRS</t>
        </is>
      </c>
      <c r="K689" s="51" t="inlineStr">
        <is>
          <t>PAC</t>
        </is>
      </c>
      <c r="L689" s="105" t="inlineStr">
        <is>
          <t>VR</t>
        </is>
      </c>
      <c r="M689" s="210" t="n"/>
      <c r="N689" s="211" t="n"/>
      <c r="O689" s="263" t="n"/>
      <c r="Q689" s="271" t="n"/>
      <c r="R689" s="282" t="n"/>
    </row>
    <row r="690" ht="18" customHeight="1" s="305">
      <c r="A690" s="8" t="inlineStr">
        <is>
          <t>H 220</t>
        </is>
      </c>
      <c r="B690" s="5" t="n">
        <v>103</v>
      </c>
      <c r="C690" s="6" t="inlineStr">
        <is>
          <t>X</t>
        </is>
      </c>
      <c r="D690" s="5" t="n">
        <v>344</v>
      </c>
      <c r="E690" s="2">
        <f>B690*D690/10000</f>
        <v/>
      </c>
      <c r="F690" s="3">
        <f>B690/30.48</f>
        <v/>
      </c>
      <c r="G690" s="3">
        <f>D690/30.48</f>
        <v/>
      </c>
      <c r="H690" s="615" t="n"/>
      <c r="I690" s="49" t="inlineStr">
        <is>
          <t>OLD</t>
        </is>
      </c>
      <c r="J690" s="48" t="inlineStr">
        <is>
          <t>TRS</t>
        </is>
      </c>
      <c r="K690" s="51" t="inlineStr">
        <is>
          <t>PAC</t>
        </is>
      </c>
      <c r="L690" s="105" t="inlineStr">
        <is>
          <t>VR</t>
        </is>
      </c>
      <c r="M690" s="210" t="n"/>
      <c r="N690" s="211" t="n"/>
      <c r="O690" s="263" t="n"/>
      <c r="Q690" s="271" t="n"/>
      <c r="R690" s="282" t="n"/>
    </row>
    <row r="691" ht="18" customHeight="1" s="305">
      <c r="A691" s="8" t="inlineStr">
        <is>
          <t>H 221</t>
        </is>
      </c>
      <c r="B691" s="5" t="n">
        <v>104</v>
      </c>
      <c r="C691" s="6" t="inlineStr">
        <is>
          <t>X</t>
        </is>
      </c>
      <c r="D691" s="5" t="n">
        <v>320</v>
      </c>
      <c r="E691" s="2">
        <f>B691*D691/10000</f>
        <v/>
      </c>
      <c r="F691" s="3">
        <f>B691/30.48</f>
        <v/>
      </c>
      <c r="G691" s="3">
        <f>D691/30.48</f>
        <v/>
      </c>
      <c r="H691" s="615" t="n"/>
      <c r="I691" s="49" t="inlineStr">
        <is>
          <t>OLD</t>
        </is>
      </c>
      <c r="J691" s="48" t="inlineStr">
        <is>
          <t>TRS</t>
        </is>
      </c>
      <c r="K691" s="51" t="inlineStr">
        <is>
          <t>PAC</t>
        </is>
      </c>
      <c r="L691" s="105" t="inlineStr">
        <is>
          <t>VR</t>
        </is>
      </c>
      <c r="M691" s="210" t="n"/>
      <c r="N691" s="211" t="n"/>
      <c r="O691" s="263" t="n"/>
      <c r="Q691" s="271" t="n"/>
      <c r="R691" s="282" t="n"/>
    </row>
    <row r="692" ht="18" customHeight="1" s="305">
      <c r="A692" s="8" t="inlineStr">
        <is>
          <t>H 222</t>
        </is>
      </c>
      <c r="B692" s="5" t="n">
        <v>81</v>
      </c>
      <c r="C692" s="6" t="inlineStr">
        <is>
          <t>X</t>
        </is>
      </c>
      <c r="D692" s="5" t="n">
        <v>368</v>
      </c>
      <c r="E692" s="2">
        <f>B692*D692/10000</f>
        <v/>
      </c>
      <c r="F692" s="3">
        <f>B692/30.48</f>
        <v/>
      </c>
      <c r="G692" s="3">
        <f>D692/30.48</f>
        <v/>
      </c>
      <c r="H692" s="615" t="n"/>
      <c r="I692" s="49" t="inlineStr">
        <is>
          <t>OLD</t>
        </is>
      </c>
      <c r="J692" s="48" t="inlineStr">
        <is>
          <t>TRS</t>
        </is>
      </c>
      <c r="K692" s="51" t="inlineStr">
        <is>
          <t>PAC</t>
        </is>
      </c>
      <c r="L692" s="105" t="inlineStr">
        <is>
          <t>VR</t>
        </is>
      </c>
      <c r="M692" s="210" t="n"/>
      <c r="N692" s="211" t="n"/>
      <c r="O692" s="263" t="n"/>
      <c r="Q692" s="271" t="n"/>
      <c r="R692" s="282" t="n"/>
    </row>
    <row r="693" ht="18" customHeight="1" s="305">
      <c r="A693" s="8" t="inlineStr">
        <is>
          <t>H 225</t>
        </is>
      </c>
      <c r="B693" s="5" t="n">
        <v>80</v>
      </c>
      <c r="C693" s="6" t="inlineStr">
        <is>
          <t>X</t>
        </is>
      </c>
      <c r="D693" s="5" t="n">
        <v>362</v>
      </c>
      <c r="E693" s="2">
        <f>B693*D693/10000</f>
        <v/>
      </c>
      <c r="F693" s="3">
        <f>B693/30.48</f>
        <v/>
      </c>
      <c r="G693" s="3">
        <f>D693/30.48</f>
        <v/>
      </c>
      <c r="H693" s="615" t="n"/>
      <c r="I693" s="49" t="inlineStr">
        <is>
          <t>OLD</t>
        </is>
      </c>
      <c r="J693" s="48" t="inlineStr">
        <is>
          <t>TRS</t>
        </is>
      </c>
      <c r="K693" s="51" t="inlineStr">
        <is>
          <t>PAC</t>
        </is>
      </c>
      <c r="L693" s="105" t="inlineStr">
        <is>
          <t>VR</t>
        </is>
      </c>
      <c r="M693" s="210" t="n"/>
      <c r="N693" s="211" t="n"/>
      <c r="O693" s="263" t="n"/>
      <c r="Q693" s="271" t="n"/>
      <c r="R693" s="282" t="n"/>
    </row>
    <row r="694" ht="18" customHeight="1" s="305">
      <c r="A694" s="8" t="inlineStr">
        <is>
          <t>H 227</t>
        </is>
      </c>
      <c r="B694" s="5" t="n">
        <v>81</v>
      </c>
      <c r="C694" s="6" t="inlineStr">
        <is>
          <t>X</t>
        </is>
      </c>
      <c r="D694" s="5" t="n">
        <v>392</v>
      </c>
      <c r="E694" s="2">
        <f>B694*D694/10000</f>
        <v/>
      </c>
      <c r="F694" s="3">
        <f>B694/30.48</f>
        <v/>
      </c>
      <c r="G694" s="3">
        <f>D694/30.48</f>
        <v/>
      </c>
      <c r="H694" s="615" t="n"/>
      <c r="I694" s="49" t="inlineStr">
        <is>
          <t>OLD</t>
        </is>
      </c>
      <c r="J694" s="48" t="inlineStr">
        <is>
          <t>TRS</t>
        </is>
      </c>
      <c r="K694" s="51" t="inlineStr">
        <is>
          <t>PAC</t>
        </is>
      </c>
      <c r="L694" s="105" t="inlineStr">
        <is>
          <t>VR</t>
        </is>
      </c>
      <c r="M694" s="210" t="n"/>
      <c r="N694" s="211" t="n"/>
      <c r="O694" s="263" t="n"/>
      <c r="Q694" s="271" t="n"/>
      <c r="R694" s="282" t="n"/>
    </row>
    <row r="695" ht="18" customHeight="1" s="305">
      <c r="A695" s="8" t="inlineStr">
        <is>
          <t>H 228</t>
        </is>
      </c>
      <c r="B695" s="5" t="n">
        <v>88</v>
      </c>
      <c r="C695" s="6" t="inlineStr">
        <is>
          <t>X</t>
        </is>
      </c>
      <c r="D695" s="5" t="n">
        <v>396</v>
      </c>
      <c r="E695" s="2">
        <f>B695*D695/10000</f>
        <v/>
      </c>
      <c r="F695" s="3">
        <f>B695/30.48</f>
        <v/>
      </c>
      <c r="G695" s="3">
        <f>D695/30.48</f>
        <v/>
      </c>
      <c r="H695" s="615" t="n"/>
      <c r="I695" s="49" t="inlineStr">
        <is>
          <t>OLD</t>
        </is>
      </c>
      <c r="J695" s="48" t="inlineStr">
        <is>
          <t>TRS</t>
        </is>
      </c>
      <c r="K695" s="51" t="inlineStr">
        <is>
          <t>PAC</t>
        </is>
      </c>
      <c r="L695" s="105" t="inlineStr">
        <is>
          <t>VR</t>
        </is>
      </c>
      <c r="M695" s="210" t="n"/>
      <c r="N695" s="211" t="n"/>
      <c r="O695" s="263" t="n"/>
      <c r="Q695" s="271" t="n"/>
      <c r="R695" s="282" t="n"/>
    </row>
    <row r="696" ht="18" customHeight="1" s="305">
      <c r="A696" s="8" t="inlineStr">
        <is>
          <t>H 229</t>
        </is>
      </c>
      <c r="B696" s="5" t="n">
        <v>87</v>
      </c>
      <c r="C696" s="6" t="inlineStr">
        <is>
          <t>X</t>
        </is>
      </c>
      <c r="D696" s="5" t="n">
        <v>295</v>
      </c>
      <c r="E696" s="2">
        <f>B696*D696/10000</f>
        <v/>
      </c>
      <c r="F696" s="3">
        <f>B696/30.48</f>
        <v/>
      </c>
      <c r="G696" s="3">
        <f>D696/30.48</f>
        <v/>
      </c>
      <c r="H696" s="615" t="n"/>
      <c r="I696" s="49" t="inlineStr">
        <is>
          <t>OLD</t>
        </is>
      </c>
      <c r="K696" s="51" t="inlineStr">
        <is>
          <t>PAC</t>
        </is>
      </c>
      <c r="M696" s="210" t="n"/>
      <c r="N696" s="211" t="n"/>
      <c r="O696" s="263" t="n"/>
      <c r="Q696" s="271" t="n"/>
      <c r="R696" s="282" t="n"/>
    </row>
    <row r="697" ht="18" customHeight="1" s="305">
      <c r="A697" s="8" t="inlineStr">
        <is>
          <t>H 230</t>
        </is>
      </c>
      <c r="B697" s="5" t="n">
        <v>92</v>
      </c>
      <c r="C697" s="6" t="inlineStr">
        <is>
          <t>X</t>
        </is>
      </c>
      <c r="D697" s="5" t="n">
        <v>324</v>
      </c>
      <c r="E697" s="2">
        <f>B697*D697/10000</f>
        <v/>
      </c>
      <c r="F697" s="3">
        <f>B697/30.48</f>
        <v/>
      </c>
      <c r="G697" s="3">
        <f>D697/30.48</f>
        <v/>
      </c>
      <c r="H697" s="615" t="n"/>
      <c r="I697" s="49" t="inlineStr">
        <is>
          <t>OLD</t>
        </is>
      </c>
      <c r="J697" s="48" t="inlineStr">
        <is>
          <t>TRS</t>
        </is>
      </c>
      <c r="K697" s="51" t="inlineStr">
        <is>
          <t>PAC</t>
        </is>
      </c>
      <c r="L697" s="105" t="inlineStr">
        <is>
          <t>VR</t>
        </is>
      </c>
      <c r="M697" s="210" t="n"/>
      <c r="N697" s="211" t="n"/>
      <c r="O697" s="263" t="n"/>
      <c r="Q697" s="271" t="n"/>
      <c r="R697" s="282" t="n"/>
    </row>
    <row r="698" ht="18" customHeight="1" s="305">
      <c r="A698" s="8" t="inlineStr">
        <is>
          <t>C 582</t>
        </is>
      </c>
      <c r="B698" s="5" t="n">
        <v>194</v>
      </c>
      <c r="C698" s="6" t="inlineStr">
        <is>
          <t>X</t>
        </is>
      </c>
      <c r="D698" s="5" t="n">
        <v>275</v>
      </c>
      <c r="E698" s="2">
        <f>B698*D698/10000</f>
        <v/>
      </c>
      <c r="F698" s="3">
        <f>B698/30.48</f>
        <v/>
      </c>
      <c r="G698" s="3">
        <f>D698/30.48</f>
        <v/>
      </c>
      <c r="H698" s="615" t="n"/>
      <c r="I698" s="49" t="inlineStr">
        <is>
          <t>OLD</t>
        </is>
      </c>
      <c r="J698" s="48" t="inlineStr">
        <is>
          <t>TRS</t>
        </is>
      </c>
      <c r="K698" s="51" t="inlineStr">
        <is>
          <t>PAC</t>
        </is>
      </c>
      <c r="M698" s="210" t="n"/>
      <c r="N698" s="211" t="n"/>
      <c r="O698" s="340" t="inlineStr">
        <is>
          <t>SBL</t>
        </is>
      </c>
      <c r="Q698" s="271" t="n"/>
      <c r="R698" s="282" t="n"/>
    </row>
    <row r="699" ht="18" customHeight="1" s="305">
      <c r="A699" s="8" t="inlineStr">
        <is>
          <t>C 583</t>
        </is>
      </c>
      <c r="B699" s="5" t="n">
        <v>127</v>
      </c>
      <c r="C699" s="6" t="inlineStr">
        <is>
          <t>X</t>
        </is>
      </c>
      <c r="D699" s="5" t="n">
        <v>193</v>
      </c>
      <c r="E699" s="2">
        <f>B699*D699/10000</f>
        <v/>
      </c>
      <c r="F699" s="3">
        <f>B699/30.48</f>
        <v/>
      </c>
      <c r="G699" s="3">
        <f>D699/30.48</f>
        <v/>
      </c>
      <c r="H699" s="615" t="n"/>
      <c r="I699" s="49" t="inlineStr">
        <is>
          <t>OLD</t>
        </is>
      </c>
      <c r="J699" s="48" t="inlineStr">
        <is>
          <t>TRS</t>
        </is>
      </c>
      <c r="K699" s="51" t="inlineStr">
        <is>
          <t>PAC</t>
        </is>
      </c>
      <c r="L699" s="105" t="inlineStr">
        <is>
          <t>VR</t>
        </is>
      </c>
      <c r="M699" s="210" t="inlineStr">
        <is>
          <t>RK</t>
        </is>
      </c>
      <c r="N699" s="211" t="n"/>
      <c r="O699" s="340" t="inlineStr">
        <is>
          <t>SBL</t>
        </is>
      </c>
      <c r="Q699" s="271" t="n"/>
      <c r="R699" s="282" t="n"/>
    </row>
    <row r="700" ht="18" customHeight="1" s="305">
      <c r="A700" s="8" t="inlineStr">
        <is>
          <t>C 585</t>
        </is>
      </c>
      <c r="B700" s="5" t="n">
        <v>181</v>
      </c>
      <c r="C700" s="6" t="inlineStr">
        <is>
          <t>X</t>
        </is>
      </c>
      <c r="D700" s="5" t="n">
        <v>292</v>
      </c>
      <c r="E700" s="2">
        <f>B700*D700/10000</f>
        <v/>
      </c>
      <c r="F700" s="3">
        <f>B700/30.48</f>
        <v/>
      </c>
      <c r="G700" s="3">
        <f>D700/30.48</f>
        <v/>
      </c>
      <c r="H700" s="615" t="n"/>
      <c r="I700" s="49" t="inlineStr">
        <is>
          <t>OLD</t>
        </is>
      </c>
      <c r="J700" s="48" t="inlineStr">
        <is>
          <t>TRS</t>
        </is>
      </c>
      <c r="K700" s="51" t="inlineStr">
        <is>
          <t>PAC</t>
        </is>
      </c>
      <c r="M700" s="210" t="n"/>
      <c r="N700" s="211" t="n"/>
      <c r="O700" s="340" t="inlineStr">
        <is>
          <t>SBL</t>
        </is>
      </c>
      <c r="Q700" s="271" t="n"/>
      <c r="R700" s="282" t="n"/>
    </row>
    <row r="701" ht="18" customHeight="1" s="305">
      <c r="A701" s="8" t="inlineStr">
        <is>
          <t>C 589</t>
        </is>
      </c>
      <c r="B701" s="5" t="n">
        <v>178</v>
      </c>
      <c r="C701" s="6" t="inlineStr">
        <is>
          <t>X</t>
        </is>
      </c>
      <c r="D701" s="5" t="n">
        <v>253</v>
      </c>
      <c r="E701" s="2">
        <f>B701*D701/10000</f>
        <v/>
      </c>
      <c r="F701" s="3">
        <f>B701/30.48</f>
        <v/>
      </c>
      <c r="G701" s="3">
        <f>D701/30.48</f>
        <v/>
      </c>
      <c r="H701" s="615" t="n"/>
      <c r="I701" s="49" t="inlineStr">
        <is>
          <t>OLD</t>
        </is>
      </c>
      <c r="J701" s="48" t="inlineStr">
        <is>
          <t>TRS</t>
        </is>
      </c>
      <c r="K701" s="51" t="inlineStr">
        <is>
          <t>PAC</t>
        </is>
      </c>
      <c r="L701" s="105" t="inlineStr">
        <is>
          <t>VR</t>
        </is>
      </c>
      <c r="M701" s="210" t="inlineStr">
        <is>
          <t>RK</t>
        </is>
      </c>
      <c r="N701" s="211" t="n"/>
      <c r="O701" s="340" t="inlineStr">
        <is>
          <t>SBL</t>
        </is>
      </c>
      <c r="Q701" s="271" t="n"/>
      <c r="R701" s="282" t="n"/>
    </row>
    <row r="702" ht="18" customHeight="1" s="305">
      <c r="A702" s="8" t="inlineStr">
        <is>
          <t>C 592</t>
        </is>
      </c>
      <c r="B702" s="5" t="n">
        <v>187</v>
      </c>
      <c r="C702" s="6" t="inlineStr">
        <is>
          <t>X</t>
        </is>
      </c>
      <c r="D702" s="5" t="n">
        <v>298</v>
      </c>
      <c r="E702" s="2">
        <f>B702*D702/10000</f>
        <v/>
      </c>
      <c r="F702" s="3">
        <f>B702/30.48</f>
        <v/>
      </c>
      <c r="G702" s="3">
        <f>D702/30.48</f>
        <v/>
      </c>
      <c r="H702" s="615" t="n"/>
      <c r="I702" s="49" t="inlineStr">
        <is>
          <t>OLD</t>
        </is>
      </c>
      <c r="J702" s="48" t="inlineStr">
        <is>
          <t>TRS</t>
        </is>
      </c>
      <c r="K702" s="51" t="inlineStr">
        <is>
          <t>PAC</t>
        </is>
      </c>
      <c r="L702" s="105" t="inlineStr">
        <is>
          <t>VR</t>
        </is>
      </c>
      <c r="M702" s="210" t="n"/>
      <c r="N702" s="211" t="n"/>
      <c r="O702" s="263" t="n"/>
      <c r="Q702" s="271" t="n"/>
      <c r="R702" s="282" t="n"/>
    </row>
    <row r="703" ht="18" customHeight="1" s="305">
      <c r="A703" s="8" t="inlineStr">
        <is>
          <t>C 593</t>
        </is>
      </c>
      <c r="B703" s="5" t="n">
        <v>110</v>
      </c>
      <c r="C703" s="6" t="inlineStr">
        <is>
          <t>X</t>
        </is>
      </c>
      <c r="D703" s="5" t="n">
        <v>207</v>
      </c>
      <c r="E703" s="2">
        <f>B703*D703/10000</f>
        <v/>
      </c>
      <c r="F703" s="3">
        <f>B703/30.48</f>
        <v/>
      </c>
      <c r="G703" s="3">
        <f>D703/30.48</f>
        <v/>
      </c>
      <c r="H703" s="615" t="n"/>
      <c r="I703" s="49" t="inlineStr">
        <is>
          <t>OLD</t>
        </is>
      </c>
      <c r="J703" s="48" t="inlineStr">
        <is>
          <t>TRS</t>
        </is>
      </c>
      <c r="K703" s="51" t="inlineStr">
        <is>
          <t>PAC</t>
        </is>
      </c>
      <c r="L703" s="105" t="inlineStr">
        <is>
          <t>VR</t>
        </is>
      </c>
      <c r="M703" s="210" t="inlineStr">
        <is>
          <t>RK</t>
        </is>
      </c>
      <c r="N703" s="211" t="n"/>
      <c r="O703" s="340" t="inlineStr">
        <is>
          <t>SBL</t>
        </is>
      </c>
      <c r="Q703" s="271" t="n"/>
      <c r="R703" s="282" t="n"/>
    </row>
    <row r="704" ht="18" customHeight="1" s="305">
      <c r="A704" s="8" t="inlineStr">
        <is>
          <t>C 596</t>
        </is>
      </c>
      <c r="B704" s="5" t="n">
        <v>200</v>
      </c>
      <c r="C704" s="6" t="inlineStr">
        <is>
          <t>X</t>
        </is>
      </c>
      <c r="D704" s="5" t="n">
        <v>300</v>
      </c>
      <c r="E704" s="2">
        <f>B704*D704/10000</f>
        <v/>
      </c>
      <c r="F704" s="3">
        <f>B704/30.48</f>
        <v/>
      </c>
      <c r="G704" s="3">
        <f>D704/30.48</f>
        <v/>
      </c>
      <c r="H704" s="615" t="n"/>
      <c r="I704" s="49" t="inlineStr">
        <is>
          <t>OLD</t>
        </is>
      </c>
      <c r="J704" s="48" t="inlineStr">
        <is>
          <t>TRS</t>
        </is>
      </c>
      <c r="K704" s="51" t="inlineStr">
        <is>
          <t>PAC</t>
        </is>
      </c>
      <c r="M704" s="210" t="n"/>
      <c r="N704" s="211" t="n"/>
      <c r="O704" s="340" t="inlineStr">
        <is>
          <t>SBL</t>
        </is>
      </c>
      <c r="Q704" s="271" t="n"/>
      <c r="R704" s="282" t="n"/>
    </row>
    <row r="705" ht="18" customHeight="1" s="305">
      <c r="A705" s="8" t="inlineStr">
        <is>
          <t>C 598</t>
        </is>
      </c>
      <c r="B705" s="5" t="n">
        <v>70</v>
      </c>
      <c r="C705" s="6" t="inlineStr">
        <is>
          <t>X</t>
        </is>
      </c>
      <c r="D705" s="5" t="n">
        <v>335</v>
      </c>
      <c r="E705" s="2">
        <f>B705*D705/10000</f>
        <v/>
      </c>
      <c r="F705" s="3">
        <f>B705/30.48</f>
        <v/>
      </c>
      <c r="G705" s="3">
        <f>D705/30.48</f>
        <v/>
      </c>
      <c r="H705" s="615" t="n"/>
      <c r="I705" s="49" t="inlineStr">
        <is>
          <t>OLD</t>
        </is>
      </c>
      <c r="J705" s="48" t="inlineStr">
        <is>
          <t>TRS</t>
        </is>
      </c>
      <c r="K705" s="51" t="inlineStr">
        <is>
          <t>PAC</t>
        </is>
      </c>
      <c r="L705" s="105" t="inlineStr">
        <is>
          <t>VR</t>
        </is>
      </c>
      <c r="M705" s="210" t="inlineStr">
        <is>
          <t>RK</t>
        </is>
      </c>
      <c r="N705" s="211" t="n"/>
      <c r="O705" s="340" t="inlineStr">
        <is>
          <t>SBL</t>
        </is>
      </c>
      <c r="Q705" s="271" t="n"/>
      <c r="R705" s="282" t="n"/>
    </row>
    <row r="706" ht="18" customHeight="1" s="305">
      <c r="A706" s="8" t="inlineStr">
        <is>
          <t>C 599</t>
        </is>
      </c>
      <c r="B706" s="5" t="n">
        <v>112</v>
      </c>
      <c r="C706" s="6" t="inlineStr">
        <is>
          <t>X</t>
        </is>
      </c>
      <c r="D706" s="5" t="n">
        <v>180</v>
      </c>
      <c r="E706" s="2">
        <f>B706*D706/10000</f>
        <v/>
      </c>
      <c r="F706" s="3">
        <f>B706/30.48</f>
        <v/>
      </c>
      <c r="G706" s="3">
        <f>D706/30.48</f>
        <v/>
      </c>
      <c r="H706" s="615" t="n"/>
      <c r="I706" s="49" t="inlineStr">
        <is>
          <t>OLD</t>
        </is>
      </c>
      <c r="J706" s="48" t="inlineStr">
        <is>
          <t>TRS</t>
        </is>
      </c>
      <c r="K706" s="51" t="inlineStr">
        <is>
          <t>PAC</t>
        </is>
      </c>
      <c r="L706" s="105" t="inlineStr">
        <is>
          <t>VR</t>
        </is>
      </c>
      <c r="M706" s="210" t="inlineStr">
        <is>
          <t>RK</t>
        </is>
      </c>
      <c r="N706" s="211" t="n"/>
      <c r="O706" s="340" t="inlineStr">
        <is>
          <t>SBL</t>
        </is>
      </c>
      <c r="P706" s="261" t="inlineStr">
        <is>
          <t xml:space="preserve"> </t>
        </is>
      </c>
      <c r="Q706" s="271" t="n"/>
      <c r="R706" s="282" t="inlineStr">
        <is>
          <t xml:space="preserve"> </t>
        </is>
      </c>
    </row>
    <row r="707" ht="18" customHeight="1" s="305">
      <c r="A707" s="8" t="inlineStr">
        <is>
          <t>C 600</t>
        </is>
      </c>
      <c r="B707" s="5" t="n">
        <v>160</v>
      </c>
      <c r="C707" s="6" t="inlineStr">
        <is>
          <t>X</t>
        </is>
      </c>
      <c r="D707" s="5" t="n">
        <v>260</v>
      </c>
      <c r="E707" s="2">
        <f>B707*D707/10000</f>
        <v/>
      </c>
      <c r="F707" s="3">
        <f>B707/30.48</f>
        <v/>
      </c>
      <c r="G707" s="3">
        <f>D707/30.48</f>
        <v/>
      </c>
      <c r="H707" s="615" t="n"/>
      <c r="I707" s="49" t="inlineStr">
        <is>
          <t>OLD</t>
        </is>
      </c>
      <c r="J707" s="48" t="inlineStr">
        <is>
          <t>TRS</t>
        </is>
      </c>
      <c r="K707" s="51" t="inlineStr">
        <is>
          <t>PAC</t>
        </is>
      </c>
      <c r="L707" s="105" t="inlineStr">
        <is>
          <t>VR</t>
        </is>
      </c>
      <c r="M707" s="210" t="n"/>
      <c r="N707" s="211" t="n"/>
      <c r="O707" s="340" t="inlineStr">
        <is>
          <t>SBL</t>
        </is>
      </c>
      <c r="Q707" s="271" t="n"/>
      <c r="R707" s="282" t="n"/>
    </row>
    <row r="708" ht="18" customHeight="1" s="305">
      <c r="A708" s="8" t="inlineStr">
        <is>
          <t>C 603</t>
        </is>
      </c>
      <c r="B708" s="5" t="n">
        <v>158</v>
      </c>
      <c r="C708" s="6" t="inlineStr">
        <is>
          <t>X</t>
        </is>
      </c>
      <c r="D708" s="5" t="n">
        <v>260</v>
      </c>
      <c r="E708" s="2">
        <f>B708*D708/10000</f>
        <v/>
      </c>
      <c r="F708" s="3">
        <f>B708/30.48</f>
        <v/>
      </c>
      <c r="G708" s="3">
        <f>D708/30.48</f>
        <v/>
      </c>
      <c r="H708" s="615" t="n"/>
      <c r="I708" s="49" t="inlineStr">
        <is>
          <t>OLD</t>
        </is>
      </c>
      <c r="J708" s="48" t="inlineStr">
        <is>
          <t>TRS</t>
        </is>
      </c>
      <c r="K708" s="51" t="inlineStr">
        <is>
          <t>PAC</t>
        </is>
      </c>
      <c r="L708" s="105" t="inlineStr">
        <is>
          <t>VR</t>
        </is>
      </c>
      <c r="M708" s="210" t="n"/>
      <c r="N708" s="211" t="n"/>
      <c r="O708" s="263" t="n"/>
      <c r="Q708" s="271" t="n"/>
      <c r="R708" s="282" t="n"/>
    </row>
    <row r="709" ht="18" customHeight="1" s="305">
      <c r="A709" s="8" t="inlineStr">
        <is>
          <t>C 607</t>
        </is>
      </c>
      <c r="B709" s="5" t="n">
        <v>198</v>
      </c>
      <c r="C709" s="6" t="inlineStr">
        <is>
          <t>X</t>
        </is>
      </c>
      <c r="D709" s="5" t="n">
        <v>304</v>
      </c>
      <c r="E709" s="2">
        <f>B709*D709/10000</f>
        <v/>
      </c>
      <c r="F709" s="3">
        <f>B709/30.48</f>
        <v/>
      </c>
      <c r="G709" s="3">
        <f>D709/30.48</f>
        <v/>
      </c>
      <c r="H709" s="615" t="n"/>
      <c r="I709" s="49" t="inlineStr">
        <is>
          <t>OLD</t>
        </is>
      </c>
      <c r="J709" s="48" t="inlineStr">
        <is>
          <t>TRS</t>
        </is>
      </c>
      <c r="K709" s="51" t="inlineStr">
        <is>
          <t>PAC</t>
        </is>
      </c>
      <c r="M709" s="210" t="n"/>
      <c r="N709" s="211" t="n"/>
      <c r="O709" s="340" t="inlineStr">
        <is>
          <t>SBL</t>
        </is>
      </c>
      <c r="Q709" s="271" t="n"/>
      <c r="R709" s="282" t="n"/>
    </row>
    <row r="710" ht="18" customHeight="1" s="305">
      <c r="A710" s="8" t="inlineStr">
        <is>
          <t>C 608</t>
        </is>
      </c>
      <c r="B710" s="5" t="n">
        <v>171</v>
      </c>
      <c r="C710" s="6" t="inlineStr">
        <is>
          <t>X</t>
        </is>
      </c>
      <c r="D710" s="5" t="n">
        <v>277</v>
      </c>
      <c r="E710" s="2">
        <f>B710*D710/10000</f>
        <v/>
      </c>
      <c r="F710" s="3">
        <f>B710/30.48</f>
        <v/>
      </c>
      <c r="G710" s="3">
        <f>D710/30.48</f>
        <v/>
      </c>
      <c r="H710" s="615" t="n"/>
      <c r="I710" s="49" t="inlineStr">
        <is>
          <t>OLD</t>
        </is>
      </c>
      <c r="J710" s="48" t="inlineStr">
        <is>
          <t>TRS</t>
        </is>
      </c>
      <c r="K710" s="51" t="inlineStr">
        <is>
          <t>PAC</t>
        </is>
      </c>
      <c r="M710" s="210" t="n"/>
      <c r="N710" s="211" t="n"/>
      <c r="O710" s="263" t="n"/>
      <c r="Q710" s="271" t="n"/>
      <c r="R710" s="282" t="n"/>
    </row>
    <row r="711" ht="18" customHeight="1" s="305">
      <c r="A711" s="8" t="inlineStr">
        <is>
          <t>C 609</t>
        </is>
      </c>
      <c r="B711" s="5" t="n">
        <v>175</v>
      </c>
      <c r="C711" s="6" t="inlineStr">
        <is>
          <t>X</t>
        </is>
      </c>
      <c r="D711" s="5" t="n">
        <v>285</v>
      </c>
      <c r="E711" s="2">
        <f>B711*D711/10000</f>
        <v/>
      </c>
      <c r="F711" s="3">
        <f>B711/30.48</f>
        <v/>
      </c>
      <c r="G711" s="3">
        <f>D711/30.48</f>
        <v/>
      </c>
      <c r="H711" s="615" t="n"/>
      <c r="I711" s="49" t="inlineStr">
        <is>
          <t>OLD</t>
        </is>
      </c>
      <c r="J711" s="48" t="inlineStr">
        <is>
          <t>TRS</t>
        </is>
      </c>
      <c r="K711" s="51" t="inlineStr">
        <is>
          <t>PAC</t>
        </is>
      </c>
      <c r="L711" s="105" t="inlineStr">
        <is>
          <t>VR</t>
        </is>
      </c>
      <c r="M711" s="210" t="n"/>
      <c r="N711" s="211" t="n"/>
      <c r="O711" s="340" t="inlineStr">
        <is>
          <t>SBL</t>
        </is>
      </c>
      <c r="Q711" s="271" t="n"/>
      <c r="R711" s="282" t="n"/>
    </row>
    <row r="712" ht="18" customHeight="1" s="305">
      <c r="A712" s="8" t="inlineStr">
        <is>
          <t>C 612</t>
        </is>
      </c>
      <c r="B712" s="5" t="n">
        <v>198</v>
      </c>
      <c r="C712" s="6" t="inlineStr">
        <is>
          <t>X</t>
        </is>
      </c>
      <c r="D712" s="5" t="n">
        <v>281</v>
      </c>
      <c r="E712" s="2">
        <f>B712*D712/10000</f>
        <v/>
      </c>
      <c r="F712" s="3">
        <f>B712/30.48</f>
        <v/>
      </c>
      <c r="G712" s="3">
        <f>D712/30.48</f>
        <v/>
      </c>
      <c r="H712" s="615" t="n"/>
      <c r="I712" s="49" t="inlineStr">
        <is>
          <t>OLD</t>
        </is>
      </c>
      <c r="J712" s="48" t="inlineStr">
        <is>
          <t>TRS</t>
        </is>
      </c>
      <c r="K712" s="51" t="inlineStr">
        <is>
          <t>PAC</t>
        </is>
      </c>
      <c r="L712" s="105" t="inlineStr">
        <is>
          <t>VR</t>
        </is>
      </c>
      <c r="M712" s="210" t="n"/>
      <c r="N712" s="211" t="n"/>
      <c r="O712" s="340" t="inlineStr">
        <is>
          <t>SBL</t>
        </is>
      </c>
      <c r="Q712" s="271" t="n"/>
      <c r="R712" s="282" t="n"/>
    </row>
    <row r="713" ht="18" customHeight="1" s="305">
      <c r="A713" s="8" t="inlineStr">
        <is>
          <t>C 613</t>
        </is>
      </c>
      <c r="B713" s="5" t="n">
        <v>186</v>
      </c>
      <c r="C713" s="6" t="inlineStr">
        <is>
          <t>X</t>
        </is>
      </c>
      <c r="D713" s="5" t="n">
        <v>287</v>
      </c>
      <c r="E713" s="2">
        <f>B713*D713/10000</f>
        <v/>
      </c>
      <c r="F713" s="3">
        <f>B713/30.48</f>
        <v/>
      </c>
      <c r="G713" s="3">
        <f>D713/30.48</f>
        <v/>
      </c>
      <c r="H713" s="615" t="n"/>
      <c r="I713" s="49" t="inlineStr">
        <is>
          <t>OLD</t>
        </is>
      </c>
      <c r="J713" s="48" t="inlineStr">
        <is>
          <t>TRS</t>
        </is>
      </c>
      <c r="K713" s="51" t="inlineStr">
        <is>
          <t>PAC</t>
        </is>
      </c>
      <c r="M713" s="210" t="n"/>
      <c r="N713" s="211" t="n"/>
      <c r="O713" s="340" t="inlineStr">
        <is>
          <t>SBL</t>
        </is>
      </c>
      <c r="Q713" s="271" t="n"/>
      <c r="R713" s="282" t="n"/>
    </row>
    <row r="714" ht="18" customHeight="1" s="305">
      <c r="A714" s="8" t="inlineStr">
        <is>
          <t>C 614</t>
        </is>
      </c>
      <c r="B714" s="5" t="n">
        <v>150</v>
      </c>
      <c r="C714" s="6" t="inlineStr">
        <is>
          <t>X</t>
        </is>
      </c>
      <c r="D714" s="5" t="n">
        <v>256</v>
      </c>
      <c r="E714" s="2">
        <f>B714*D714/10000</f>
        <v/>
      </c>
      <c r="F714" s="3">
        <f>B714/30.48</f>
        <v/>
      </c>
      <c r="G714" s="3">
        <f>D714/30.48</f>
        <v/>
      </c>
      <c r="H714" s="615" t="n"/>
      <c r="I714" s="49" t="inlineStr">
        <is>
          <t>OLD</t>
        </is>
      </c>
      <c r="J714" s="48" t="inlineStr">
        <is>
          <t>TRS</t>
        </is>
      </c>
      <c r="K714" s="51" t="inlineStr">
        <is>
          <t>PAC</t>
        </is>
      </c>
      <c r="L714" s="105" t="inlineStr">
        <is>
          <t>VR</t>
        </is>
      </c>
      <c r="M714" s="210" t="n"/>
      <c r="N714" s="211" t="n"/>
      <c r="O714" s="340" t="inlineStr">
        <is>
          <t>SBL</t>
        </is>
      </c>
      <c r="Q714" s="271" t="n"/>
      <c r="R714" s="282" t="n"/>
    </row>
    <row r="715" ht="18" customHeight="1" s="305">
      <c r="A715" s="8" t="inlineStr">
        <is>
          <t>C 615</t>
        </is>
      </c>
      <c r="B715" s="5" t="n">
        <v>119</v>
      </c>
      <c r="C715" s="6" t="inlineStr">
        <is>
          <t>X</t>
        </is>
      </c>
      <c r="D715" s="5" t="n">
        <v>198</v>
      </c>
      <c r="E715" s="2">
        <f>B715*D715/10000</f>
        <v/>
      </c>
      <c r="F715" s="3">
        <f>B715/30.48</f>
        <v/>
      </c>
      <c r="G715" s="3">
        <f>D715/30.48</f>
        <v/>
      </c>
      <c r="H715" s="615" t="n"/>
      <c r="I715" s="49" t="inlineStr">
        <is>
          <t>OLD</t>
        </is>
      </c>
      <c r="J715" s="48" t="inlineStr">
        <is>
          <t>TRS</t>
        </is>
      </c>
      <c r="K715" s="51" t="inlineStr">
        <is>
          <t>PAC</t>
        </is>
      </c>
      <c r="M715" s="210" t="inlineStr">
        <is>
          <t>RK</t>
        </is>
      </c>
      <c r="N715" s="211" t="n"/>
      <c r="O715" s="340" t="inlineStr">
        <is>
          <t>SBL</t>
        </is>
      </c>
      <c r="Q715" s="271" t="n"/>
      <c r="R715" s="282" t="n"/>
    </row>
    <row r="716" ht="18" customHeight="1" s="305">
      <c r="A716" s="8" t="inlineStr">
        <is>
          <t>C 617</t>
        </is>
      </c>
      <c r="B716" s="5" t="n">
        <v>223</v>
      </c>
      <c r="C716" s="6" t="inlineStr">
        <is>
          <t>X</t>
        </is>
      </c>
      <c r="D716" s="5" t="n">
        <v>315</v>
      </c>
      <c r="E716" s="2">
        <f>B716*D716/10000</f>
        <v/>
      </c>
      <c r="F716" s="3">
        <f>B716/30.48</f>
        <v/>
      </c>
      <c r="G716" s="3">
        <f>D716/30.48</f>
        <v/>
      </c>
      <c r="H716" s="615" t="n"/>
      <c r="I716" s="49" t="inlineStr">
        <is>
          <t>OLD</t>
        </is>
      </c>
      <c r="J716" s="48" t="inlineStr">
        <is>
          <t>TRS</t>
        </is>
      </c>
      <c r="K716" s="51" t="inlineStr">
        <is>
          <t>PAC</t>
        </is>
      </c>
      <c r="M716" s="210" t="n"/>
      <c r="N716" s="211" t="n"/>
      <c r="O716" s="340" t="inlineStr">
        <is>
          <t>SBL</t>
        </is>
      </c>
      <c r="Q716" s="271" t="n"/>
      <c r="R716" s="282" t="n"/>
    </row>
    <row r="717" ht="18" customHeight="1" s="305">
      <c r="A717" s="8" t="inlineStr">
        <is>
          <t>C 618</t>
        </is>
      </c>
      <c r="B717" s="5" t="n">
        <v>185</v>
      </c>
      <c r="C717" s="6" t="inlineStr">
        <is>
          <t>X</t>
        </is>
      </c>
      <c r="D717" s="5" t="n">
        <v>270</v>
      </c>
      <c r="E717" s="2">
        <f>B717*D717/10000</f>
        <v/>
      </c>
      <c r="F717" s="3">
        <f>B717/30.48</f>
        <v/>
      </c>
      <c r="G717" s="3">
        <f>D717/30.48</f>
        <v/>
      </c>
      <c r="H717" s="615" t="n"/>
      <c r="I717" s="49" t="inlineStr">
        <is>
          <t>OLD</t>
        </is>
      </c>
      <c r="J717" s="48" t="inlineStr">
        <is>
          <t>TRS</t>
        </is>
      </c>
      <c r="K717" s="51" t="inlineStr">
        <is>
          <t>PAC</t>
        </is>
      </c>
      <c r="M717" s="210" t="n"/>
      <c r="N717" s="211" t="n"/>
      <c r="O717" s="340" t="inlineStr">
        <is>
          <t>SBL</t>
        </is>
      </c>
      <c r="Q717" s="271" t="n"/>
      <c r="R717" s="282" t="n"/>
    </row>
    <row r="718" ht="18" customHeight="1" s="305">
      <c r="A718" s="8" t="inlineStr">
        <is>
          <t>C 619</t>
        </is>
      </c>
      <c r="B718" s="5" t="n">
        <v>123</v>
      </c>
      <c r="C718" s="6" t="inlineStr">
        <is>
          <t>X</t>
        </is>
      </c>
      <c r="D718" s="5" t="n">
        <v>197</v>
      </c>
      <c r="E718" s="2">
        <f>B718*D718/10000</f>
        <v/>
      </c>
      <c r="F718" s="3">
        <f>B718/30.48</f>
        <v/>
      </c>
      <c r="G718" s="3">
        <f>D718/30.48</f>
        <v/>
      </c>
      <c r="H718" s="615" t="n"/>
      <c r="I718" s="49" t="inlineStr">
        <is>
          <t>OLD</t>
        </is>
      </c>
      <c r="J718" s="48" t="inlineStr">
        <is>
          <t>TRS</t>
        </is>
      </c>
      <c r="K718" s="51" t="inlineStr">
        <is>
          <t>PAC</t>
        </is>
      </c>
      <c r="L718" s="105" t="inlineStr">
        <is>
          <t>VR</t>
        </is>
      </c>
      <c r="M718" s="210" t="n"/>
      <c r="N718" s="211" t="n"/>
      <c r="O718" s="340" t="inlineStr">
        <is>
          <t>SBL</t>
        </is>
      </c>
      <c r="Q718" s="271" t="n"/>
      <c r="R718" s="282" t="n"/>
    </row>
    <row r="719" ht="18" customHeight="1" s="305">
      <c r="A719" s="8" t="inlineStr">
        <is>
          <t>C 623</t>
        </is>
      </c>
      <c r="B719" s="5" t="n">
        <v>158</v>
      </c>
      <c r="C719" s="6" t="inlineStr">
        <is>
          <t>X</t>
        </is>
      </c>
      <c r="D719" s="5" t="n">
        <v>271</v>
      </c>
      <c r="E719" s="2">
        <f>B719*D719/10000</f>
        <v/>
      </c>
      <c r="F719" s="3">
        <f>B719/30.48</f>
        <v/>
      </c>
      <c r="G719" s="3">
        <f>D719/30.48</f>
        <v/>
      </c>
      <c r="H719" s="615" t="n"/>
      <c r="I719" s="49" t="inlineStr">
        <is>
          <t>OLD</t>
        </is>
      </c>
      <c r="J719" s="48" t="inlineStr">
        <is>
          <t>TRS</t>
        </is>
      </c>
      <c r="K719" s="51" t="inlineStr">
        <is>
          <t>PAC</t>
        </is>
      </c>
      <c r="L719" s="105" t="inlineStr">
        <is>
          <t>VR</t>
        </is>
      </c>
      <c r="M719" s="210" t="n"/>
      <c r="N719" s="211" t="n"/>
      <c r="O719" s="340" t="inlineStr">
        <is>
          <t>SBL</t>
        </is>
      </c>
      <c r="Q719" s="271" t="n"/>
      <c r="R719" s="282" t="n"/>
    </row>
    <row r="720" ht="18" customHeight="1" s="305">
      <c r="A720" s="8" t="inlineStr">
        <is>
          <t>C 629</t>
        </is>
      </c>
      <c r="B720" s="5" t="n">
        <v>100</v>
      </c>
      <c r="C720" s="6" t="inlineStr">
        <is>
          <t>X</t>
        </is>
      </c>
      <c r="D720" s="5" t="n">
        <v>268</v>
      </c>
      <c r="E720" s="2">
        <f>B720*D720/10000</f>
        <v/>
      </c>
      <c r="F720" s="3">
        <f>B720/30.48</f>
        <v/>
      </c>
      <c r="G720" s="3">
        <f>D720/30.48</f>
        <v/>
      </c>
      <c r="H720" s="615" t="n"/>
      <c r="I720" s="49" t="inlineStr">
        <is>
          <t>OLD</t>
        </is>
      </c>
      <c r="J720" s="48" t="inlineStr">
        <is>
          <t>TRS</t>
        </is>
      </c>
      <c r="K720" s="51" t="inlineStr">
        <is>
          <t>PAC</t>
        </is>
      </c>
      <c r="L720" s="105" t="inlineStr">
        <is>
          <t>VR</t>
        </is>
      </c>
      <c r="M720" s="210" t="inlineStr">
        <is>
          <t>RK</t>
        </is>
      </c>
      <c r="N720" s="211" t="n"/>
      <c r="O720" s="340" t="inlineStr">
        <is>
          <t>SBL</t>
        </is>
      </c>
      <c r="Q720" s="271" t="n"/>
      <c r="R720" s="282" t="n"/>
    </row>
    <row r="721" ht="18" customHeight="1" s="305">
      <c r="A721" s="8" t="inlineStr">
        <is>
          <t>C 631</t>
        </is>
      </c>
      <c r="B721" s="5" t="n">
        <v>129</v>
      </c>
      <c r="C721" s="6" t="inlineStr">
        <is>
          <t>X</t>
        </is>
      </c>
      <c r="D721" s="5" t="n">
        <v>259</v>
      </c>
      <c r="E721" s="2">
        <f>B721*D721/10000</f>
        <v/>
      </c>
      <c r="F721" s="3">
        <f>B721/30.48</f>
        <v/>
      </c>
      <c r="G721" s="3">
        <f>D721/30.48</f>
        <v/>
      </c>
      <c r="H721" s="615" t="n"/>
      <c r="I721" s="49" t="inlineStr">
        <is>
          <t>OLD</t>
        </is>
      </c>
      <c r="J721" s="48" t="inlineStr">
        <is>
          <t>TRS</t>
        </is>
      </c>
      <c r="K721" s="51" t="inlineStr">
        <is>
          <t>PAC</t>
        </is>
      </c>
      <c r="L721" s="105" t="inlineStr">
        <is>
          <t>VR</t>
        </is>
      </c>
      <c r="M721" s="210" t="n"/>
      <c r="N721" s="211" t="n"/>
      <c r="O721" s="340" t="inlineStr">
        <is>
          <t>SBL</t>
        </is>
      </c>
      <c r="Q721" s="271" t="n"/>
      <c r="R721" s="282" t="n"/>
    </row>
    <row r="722" ht="18" customHeight="1" s="305">
      <c r="A722" s="8" t="inlineStr">
        <is>
          <t>C 647</t>
        </is>
      </c>
      <c r="B722" s="5" t="n">
        <v>179</v>
      </c>
      <c r="C722" s="6" t="inlineStr">
        <is>
          <t>X</t>
        </is>
      </c>
      <c r="D722" s="5" t="n">
        <v>277</v>
      </c>
      <c r="E722" s="2">
        <f>B722*D722/10000</f>
        <v/>
      </c>
      <c r="F722" s="3">
        <f>B722/30.48</f>
        <v/>
      </c>
      <c r="G722" s="3">
        <f>D722/30.48</f>
        <v/>
      </c>
      <c r="H722" s="615" t="inlineStr">
        <is>
          <t>tamir</t>
        </is>
      </c>
      <c r="K722" s="51" t="inlineStr">
        <is>
          <t>PAC</t>
        </is>
      </c>
      <c r="M722" s="210" t="n"/>
      <c r="N722" s="211" t="n"/>
      <c r="O722" s="340" t="inlineStr">
        <is>
          <t>SBL</t>
        </is>
      </c>
      <c r="Q722" s="271" t="n"/>
      <c r="R722" s="282" t="n"/>
    </row>
    <row r="723" ht="18" customHeight="1" s="305">
      <c r="A723" s="8" t="inlineStr">
        <is>
          <t>C 805</t>
        </is>
      </c>
      <c r="B723" s="5" t="n">
        <v>110</v>
      </c>
      <c r="C723" s="6" t="inlineStr">
        <is>
          <t>X</t>
        </is>
      </c>
      <c r="D723" s="5" t="n">
        <v>210</v>
      </c>
      <c r="E723" s="2">
        <f>B723*D723/10000</f>
        <v/>
      </c>
      <c r="F723" s="3">
        <f>B723/30.48</f>
        <v/>
      </c>
      <c r="G723" s="3">
        <f>D723/30.48</f>
        <v/>
      </c>
      <c r="H723" s="615" t="n"/>
      <c r="I723" s="49" t="inlineStr">
        <is>
          <t>OLD</t>
        </is>
      </c>
      <c r="J723" s="48" t="inlineStr">
        <is>
          <t>TRS</t>
        </is>
      </c>
      <c r="K723" s="51" t="inlineStr">
        <is>
          <t>PAC</t>
        </is>
      </c>
      <c r="L723" s="105" t="inlineStr">
        <is>
          <t>VR</t>
        </is>
      </c>
      <c r="M723" s="210" t="n"/>
      <c r="N723" s="211" t="n"/>
      <c r="O723" s="340" t="inlineStr">
        <is>
          <t>SBL</t>
        </is>
      </c>
      <c r="Q723" s="271" t="n"/>
      <c r="R723" s="282" t="n"/>
    </row>
    <row r="724" ht="18" customHeight="1" s="305">
      <c r="A724" s="8" t="inlineStr">
        <is>
          <t>C 806</t>
        </is>
      </c>
      <c r="B724" s="5" t="n">
        <v>112</v>
      </c>
      <c r="C724" s="6" t="inlineStr">
        <is>
          <t>X</t>
        </is>
      </c>
      <c r="D724" s="5" t="n">
        <v>197</v>
      </c>
      <c r="E724" s="2">
        <f>B724*D724/10000</f>
        <v/>
      </c>
      <c r="F724" s="3">
        <f>B724/30.48</f>
        <v/>
      </c>
      <c r="G724" s="3">
        <f>D724/30.48</f>
        <v/>
      </c>
      <c r="H724" s="615" t="n"/>
      <c r="I724" s="49" t="inlineStr">
        <is>
          <t>OLD</t>
        </is>
      </c>
      <c r="K724" s="51" t="inlineStr">
        <is>
          <t>PAC</t>
        </is>
      </c>
      <c r="L724" s="105" t="inlineStr">
        <is>
          <t>VR</t>
        </is>
      </c>
      <c r="M724" s="210" t="inlineStr">
        <is>
          <t>RK</t>
        </is>
      </c>
      <c r="N724" s="211" t="n"/>
      <c r="O724" s="340" t="inlineStr">
        <is>
          <t>SBL</t>
        </is>
      </c>
      <c r="Q724" s="271" t="n"/>
      <c r="R724" s="282" t="n"/>
    </row>
    <row r="725" ht="18" customHeight="1" s="305">
      <c r="A725" s="8" t="inlineStr">
        <is>
          <t>C 807</t>
        </is>
      </c>
      <c r="B725" s="5" t="n">
        <v>110</v>
      </c>
      <c r="C725" s="6" t="inlineStr">
        <is>
          <t>X</t>
        </is>
      </c>
      <c r="D725" s="5" t="n">
        <v>211</v>
      </c>
      <c r="E725" s="2">
        <f>B725*D725/10000</f>
        <v/>
      </c>
      <c r="F725" s="3">
        <f>B725/30.48</f>
        <v/>
      </c>
      <c r="G725" s="3">
        <f>D725/30.48</f>
        <v/>
      </c>
      <c r="H725" s="615" t="n"/>
      <c r="I725" s="49" t="inlineStr">
        <is>
          <t>OLD</t>
        </is>
      </c>
      <c r="J725" s="48" t="inlineStr">
        <is>
          <t>TRS</t>
        </is>
      </c>
      <c r="K725" s="51" t="inlineStr">
        <is>
          <t>PAC</t>
        </is>
      </c>
      <c r="L725" s="105" t="inlineStr">
        <is>
          <t>VR</t>
        </is>
      </c>
      <c r="M725" s="210" t="n"/>
      <c r="N725" s="211" t="inlineStr">
        <is>
          <t xml:space="preserve"> </t>
        </is>
      </c>
      <c r="O725" s="340" t="inlineStr">
        <is>
          <t>SBL</t>
        </is>
      </c>
      <c r="Q725" s="271" t="n"/>
      <c r="R725" s="282" t="n"/>
    </row>
    <row r="726" ht="18" customHeight="1" s="305">
      <c r="A726" s="8" t="inlineStr">
        <is>
          <t>C 808</t>
        </is>
      </c>
      <c r="B726" s="5" t="n">
        <v>198</v>
      </c>
      <c r="C726" s="6" t="inlineStr">
        <is>
          <t>X</t>
        </is>
      </c>
      <c r="D726" s="5" t="n">
        <v>273</v>
      </c>
      <c r="E726" s="2">
        <f>B726*D726/10000</f>
        <v/>
      </c>
      <c r="F726" s="3">
        <f>B726/30.48</f>
        <v/>
      </c>
      <c r="G726" s="3">
        <f>D726/30.48</f>
        <v/>
      </c>
      <c r="H726" s="615" t="n"/>
      <c r="I726" s="49" t="inlineStr">
        <is>
          <t>OLD</t>
        </is>
      </c>
      <c r="K726" s="51" t="inlineStr">
        <is>
          <t>PAC</t>
        </is>
      </c>
      <c r="L726" s="105" t="inlineStr">
        <is>
          <t>VR</t>
        </is>
      </c>
      <c r="M726" s="210" t="n"/>
      <c r="N726" s="211" t="n"/>
      <c r="O726" s="340" t="inlineStr">
        <is>
          <t>SBL</t>
        </is>
      </c>
      <c r="Q726" s="271" t="n"/>
      <c r="R726" s="282" t="n"/>
    </row>
    <row r="727" ht="18" customHeight="1" s="305">
      <c r="A727" s="8" t="inlineStr">
        <is>
          <t>C 809</t>
        </is>
      </c>
      <c r="B727" s="5" t="n">
        <v>210</v>
      </c>
      <c r="C727" s="6" t="inlineStr">
        <is>
          <t>X</t>
        </is>
      </c>
      <c r="D727" s="5" t="n">
        <v>280</v>
      </c>
      <c r="E727" s="2">
        <f>B727*D727/10000</f>
        <v/>
      </c>
      <c r="F727" s="3">
        <f>B727/30.48</f>
        <v/>
      </c>
      <c r="G727" s="3">
        <f>D727/30.48</f>
        <v/>
      </c>
      <c r="H727" s="615" t="n"/>
      <c r="I727" s="49" t="inlineStr">
        <is>
          <t>OLD</t>
        </is>
      </c>
      <c r="J727" s="48" t="inlineStr">
        <is>
          <t>TRS</t>
        </is>
      </c>
      <c r="K727" s="51" t="inlineStr">
        <is>
          <t>PAC</t>
        </is>
      </c>
      <c r="M727" s="210" t="n"/>
      <c r="N727" s="211" t="n"/>
      <c r="O727" s="263" t="n"/>
      <c r="Q727" s="271" t="n"/>
      <c r="R727" s="282" t="n"/>
    </row>
    <row r="728" ht="18" customHeight="1" s="305">
      <c r="A728" s="8" t="inlineStr">
        <is>
          <t>C 945</t>
        </is>
      </c>
      <c r="B728" s="5" t="n">
        <v>88</v>
      </c>
      <c r="C728" s="6" t="inlineStr">
        <is>
          <t>X</t>
        </is>
      </c>
      <c r="D728" s="5" t="n">
        <v>388</v>
      </c>
      <c r="E728" s="2">
        <f>B728*D728/10000</f>
        <v/>
      </c>
      <c r="F728" s="3">
        <f>B728/30.48</f>
        <v/>
      </c>
      <c r="G728" s="3">
        <f>D728/30.48</f>
        <v/>
      </c>
      <c r="H728" s="615" t="n"/>
      <c r="I728" s="49" t="inlineStr">
        <is>
          <t>OLD</t>
        </is>
      </c>
      <c r="J728" s="48" t="inlineStr">
        <is>
          <t>TRS</t>
        </is>
      </c>
      <c r="K728" s="51" t="inlineStr">
        <is>
          <t>PAC</t>
        </is>
      </c>
      <c r="M728" s="210" t="n"/>
      <c r="N728" s="211" t="n"/>
      <c r="O728" s="340" t="inlineStr">
        <is>
          <t>SBL</t>
        </is>
      </c>
      <c r="Q728" s="271" t="n"/>
      <c r="R728" s="282" t="n"/>
    </row>
    <row r="729" ht="18" customHeight="1" s="305">
      <c r="A729" s="8" t="inlineStr">
        <is>
          <t>C 551</t>
        </is>
      </c>
      <c r="B729" s="5" t="n">
        <v>172</v>
      </c>
      <c r="C729" s="6" t="inlineStr">
        <is>
          <t>X</t>
        </is>
      </c>
      <c r="D729" s="5" t="n">
        <v>276</v>
      </c>
      <c r="E729" s="2">
        <f>B729*D729/10000</f>
        <v/>
      </c>
      <c r="F729" s="3">
        <f>B729/30.48</f>
        <v/>
      </c>
      <c r="G729" s="3">
        <f>D729/30.48</f>
        <v/>
      </c>
      <c r="H729" s="615" t="n"/>
      <c r="I729" s="49" t="inlineStr">
        <is>
          <t>OLD</t>
        </is>
      </c>
      <c r="J729" s="48" t="inlineStr">
        <is>
          <t>TRS</t>
        </is>
      </c>
      <c r="K729" s="51" t="inlineStr">
        <is>
          <t>PAC</t>
        </is>
      </c>
      <c r="L729" s="105" t="inlineStr">
        <is>
          <t>VR</t>
        </is>
      </c>
      <c r="M729" s="210" t="n"/>
      <c r="N729" s="211" t="n"/>
      <c r="O729" s="340" t="inlineStr">
        <is>
          <t>SBL</t>
        </is>
      </c>
      <c r="Q729" s="271" t="n"/>
      <c r="R729" s="282" t="n"/>
    </row>
    <row r="730" ht="18.75" customHeight="1" s="305">
      <c r="A730" s="8" t="inlineStr">
        <is>
          <t>C 553</t>
        </is>
      </c>
      <c r="B730" s="5" t="n">
        <v>124</v>
      </c>
      <c r="C730" s="6" t="inlineStr">
        <is>
          <t>X</t>
        </is>
      </c>
      <c r="D730" s="5" t="n">
        <v>311</v>
      </c>
      <c r="E730" s="2">
        <f>B730*D730/10000</f>
        <v/>
      </c>
      <c r="F730" s="3">
        <f>B730/30.48</f>
        <v/>
      </c>
      <c r="G730" s="3">
        <f>D730/30.48</f>
        <v/>
      </c>
      <c r="H730" s="615" t="n"/>
      <c r="I730" s="49" t="inlineStr">
        <is>
          <t>OLD</t>
        </is>
      </c>
      <c r="J730" s="48" t="inlineStr">
        <is>
          <t>TRS</t>
        </is>
      </c>
      <c r="K730" s="51" t="inlineStr">
        <is>
          <t>PAC</t>
        </is>
      </c>
      <c r="L730" s="105" t="inlineStr">
        <is>
          <t>VR</t>
        </is>
      </c>
      <c r="M730" s="210" t="n"/>
      <c r="N730" s="211" t="n"/>
      <c r="O730" s="340" t="inlineStr">
        <is>
          <t>SBL</t>
        </is>
      </c>
      <c r="Q730" s="271" t="n"/>
      <c r="R730" s="282" t="n"/>
    </row>
    <row r="731" ht="18" customHeight="1" s="305">
      <c r="A731" s="8" t="inlineStr">
        <is>
          <t>C 561</t>
        </is>
      </c>
      <c r="B731" s="5" t="n">
        <v>111</v>
      </c>
      <c r="C731" s="6" t="inlineStr">
        <is>
          <t>X</t>
        </is>
      </c>
      <c r="D731" s="5" t="n">
        <v>398</v>
      </c>
      <c r="E731" s="2">
        <f>B731*D731/10000</f>
        <v/>
      </c>
      <c r="F731" s="3">
        <f>B731/30.48</f>
        <v/>
      </c>
      <c r="G731" s="3">
        <f>D731/30.48</f>
        <v/>
      </c>
      <c r="H731" s="615" t="n"/>
      <c r="I731" s="49" t="inlineStr">
        <is>
          <t>OLD</t>
        </is>
      </c>
      <c r="J731" s="48" t="inlineStr">
        <is>
          <t>TRS</t>
        </is>
      </c>
      <c r="K731" s="51" t="inlineStr">
        <is>
          <t>PAC</t>
        </is>
      </c>
      <c r="L731" s="105" t="inlineStr">
        <is>
          <t>VR</t>
        </is>
      </c>
      <c r="M731" s="210" t="inlineStr">
        <is>
          <t>RK</t>
        </is>
      </c>
      <c r="N731" s="211" t="n"/>
      <c r="O731" s="340" t="inlineStr">
        <is>
          <t>SBL</t>
        </is>
      </c>
      <c r="Q731" s="271" t="n"/>
      <c r="R731" s="282" t="n"/>
    </row>
    <row r="732" ht="18" customHeight="1" s="305">
      <c r="A732" s="8" t="inlineStr">
        <is>
          <t>C 567</t>
        </is>
      </c>
      <c r="B732" s="5" t="n">
        <v>220</v>
      </c>
      <c r="C732" s="6" t="inlineStr">
        <is>
          <t>X</t>
        </is>
      </c>
      <c r="D732" s="5" t="n">
        <v>314</v>
      </c>
      <c r="E732" s="2">
        <f>B732*D732/10000</f>
        <v/>
      </c>
      <c r="F732" s="3">
        <f>B732/30.48</f>
        <v/>
      </c>
      <c r="G732" s="3">
        <f>D732/30.48</f>
        <v/>
      </c>
      <c r="H732" s="615" t="n"/>
      <c r="I732" s="49" t="inlineStr">
        <is>
          <t>OLD</t>
        </is>
      </c>
      <c r="J732" s="48" t="inlineStr">
        <is>
          <t>TRS</t>
        </is>
      </c>
      <c r="K732" s="51" t="inlineStr">
        <is>
          <t>PAC</t>
        </is>
      </c>
      <c r="M732" s="210" t="n"/>
      <c r="N732" s="211" t="n"/>
      <c r="O732" s="340" t="inlineStr">
        <is>
          <t>SBL</t>
        </is>
      </c>
      <c r="Q732" s="271" t="n"/>
      <c r="R732" s="282" t="n"/>
    </row>
    <row r="733" ht="18" customHeight="1" s="305">
      <c r="A733" s="8" t="inlineStr">
        <is>
          <t>C 637</t>
        </is>
      </c>
      <c r="B733" s="5" t="n">
        <v>86</v>
      </c>
      <c r="C733" s="6" t="inlineStr">
        <is>
          <t>X</t>
        </is>
      </c>
      <c r="D733" s="5" t="n">
        <v>387</v>
      </c>
      <c r="E733" s="2">
        <f>B733*D733/10000</f>
        <v/>
      </c>
      <c r="F733" s="3">
        <f>B733/30.48</f>
        <v/>
      </c>
      <c r="G733" s="3">
        <f>D733/30.48</f>
        <v/>
      </c>
      <c r="H733" s="615" t="n"/>
      <c r="I733" s="49" t="inlineStr">
        <is>
          <t>OLD</t>
        </is>
      </c>
      <c r="J733" s="48" t="inlineStr">
        <is>
          <t>TRS</t>
        </is>
      </c>
      <c r="K733" s="51" t="inlineStr">
        <is>
          <t>PAC</t>
        </is>
      </c>
      <c r="M733" s="210" t="inlineStr">
        <is>
          <t>RK</t>
        </is>
      </c>
      <c r="N733" s="211" t="n"/>
      <c r="O733" s="340" t="inlineStr">
        <is>
          <t>SBL</t>
        </is>
      </c>
      <c r="Q733" s="271" t="n"/>
      <c r="R733" s="282" t="n"/>
    </row>
    <row r="734" ht="18" customHeight="1" s="305">
      <c r="A734" s="8" t="inlineStr">
        <is>
          <t>C 710</t>
        </is>
      </c>
      <c r="B734" s="5" t="n">
        <v>73</v>
      </c>
      <c r="C734" s="6" t="inlineStr">
        <is>
          <t>X</t>
        </is>
      </c>
      <c r="D734" s="5" t="n">
        <v>340</v>
      </c>
      <c r="E734" s="2">
        <f>B734*D734/10000</f>
        <v/>
      </c>
      <c r="F734" s="3">
        <f>B734/30.48</f>
        <v/>
      </c>
      <c r="G734" s="3">
        <f>D734/30.48</f>
        <v/>
      </c>
      <c r="H734" s="615" t="n"/>
      <c r="I734" s="49" t="inlineStr">
        <is>
          <t>OLD</t>
        </is>
      </c>
      <c r="J734" s="48" t="inlineStr">
        <is>
          <t>TRS</t>
        </is>
      </c>
      <c r="L734" s="105" t="inlineStr">
        <is>
          <t>VR</t>
        </is>
      </c>
      <c r="M734" s="210" t="inlineStr">
        <is>
          <t>RK</t>
        </is>
      </c>
      <c r="N734" s="211" t="n"/>
      <c r="O734" s="340" t="inlineStr">
        <is>
          <t>SBL</t>
        </is>
      </c>
      <c r="Q734" s="271" t="n"/>
      <c r="R734" s="282" t="n"/>
    </row>
    <row r="735" ht="18" customHeight="1" s="305">
      <c r="A735" s="8" t="inlineStr">
        <is>
          <t>C 712</t>
        </is>
      </c>
      <c r="B735" s="5" t="n">
        <v>125</v>
      </c>
      <c r="C735" s="6" t="inlineStr">
        <is>
          <t>X</t>
        </is>
      </c>
      <c r="D735" s="5" t="n">
        <v>303</v>
      </c>
      <c r="E735" s="2">
        <f>B735*D735/10000</f>
        <v/>
      </c>
      <c r="F735" s="3">
        <f>B735/30.48</f>
        <v/>
      </c>
      <c r="G735" s="3">
        <f>D735/30.48</f>
        <v/>
      </c>
      <c r="H735" s="615" t="n"/>
      <c r="I735" s="49" t="inlineStr">
        <is>
          <t>OLD</t>
        </is>
      </c>
      <c r="J735" s="48" t="inlineStr">
        <is>
          <t>TRS</t>
        </is>
      </c>
      <c r="K735" s="51" t="inlineStr">
        <is>
          <t>PAC</t>
        </is>
      </c>
      <c r="L735" s="105" t="inlineStr">
        <is>
          <t>VR</t>
        </is>
      </c>
      <c r="M735" s="210" t="inlineStr">
        <is>
          <t>RK</t>
        </is>
      </c>
      <c r="N735" s="211" t="n"/>
      <c r="O735" s="340" t="inlineStr">
        <is>
          <t>SBL</t>
        </is>
      </c>
      <c r="Q735" s="271" t="n"/>
      <c r="R735" s="282" t="n"/>
    </row>
    <row r="736" ht="18" customHeight="1" s="305">
      <c r="A736" s="8" t="inlineStr">
        <is>
          <t>C 715</t>
        </is>
      </c>
      <c r="B736" s="5" t="n">
        <v>196</v>
      </c>
      <c r="C736" s="6" t="inlineStr">
        <is>
          <t>X</t>
        </is>
      </c>
      <c r="D736" s="5" t="n">
        <v>292</v>
      </c>
      <c r="E736" s="2">
        <f>B736*D736/10000</f>
        <v/>
      </c>
      <c r="F736" s="3">
        <f>B736/30.48</f>
        <v/>
      </c>
      <c r="G736" s="3">
        <f>D736/30.48</f>
        <v/>
      </c>
      <c r="H736" s="615" t="n"/>
      <c r="I736" s="49" t="inlineStr">
        <is>
          <t>OLD</t>
        </is>
      </c>
      <c r="J736" s="48" t="inlineStr">
        <is>
          <t>TRS</t>
        </is>
      </c>
      <c r="K736" s="51" t="inlineStr">
        <is>
          <t>PAC</t>
        </is>
      </c>
      <c r="L736" s="105" t="inlineStr">
        <is>
          <t>VR</t>
        </is>
      </c>
      <c r="M736" s="210" t="n"/>
      <c r="N736" s="211" t="n"/>
      <c r="O736" s="340" t="inlineStr">
        <is>
          <t>SBL</t>
        </is>
      </c>
      <c r="Q736" s="271" t="n"/>
      <c r="R736" s="282" t="n"/>
    </row>
    <row r="737" ht="18" customHeight="1" s="305">
      <c r="A737" s="8" t="inlineStr">
        <is>
          <t>C 718</t>
        </is>
      </c>
      <c r="B737" s="5" t="n">
        <v>213</v>
      </c>
      <c r="C737" s="6" t="inlineStr">
        <is>
          <t>X</t>
        </is>
      </c>
      <c r="D737" s="5" t="n">
        <v>284</v>
      </c>
      <c r="E737" s="2">
        <f>B737*D737/10000</f>
        <v/>
      </c>
      <c r="F737" s="3">
        <f>B737/30.48</f>
        <v/>
      </c>
      <c r="G737" s="3">
        <f>D737/30.48</f>
        <v/>
      </c>
      <c r="H737" s="615" t="n"/>
      <c r="I737" s="49" t="inlineStr">
        <is>
          <t>OLD</t>
        </is>
      </c>
      <c r="J737" s="48" t="inlineStr">
        <is>
          <t>TRS</t>
        </is>
      </c>
      <c r="K737" s="51" t="inlineStr">
        <is>
          <t>PAC</t>
        </is>
      </c>
      <c r="M737" s="210" t="n"/>
      <c r="N737" s="211" t="n"/>
      <c r="O737" s="263" t="n"/>
      <c r="Q737" s="271" t="n"/>
      <c r="R737" s="282" t="n"/>
    </row>
    <row r="738" ht="18" customHeight="1" s="305">
      <c r="A738" s="8" t="inlineStr">
        <is>
          <t>C 810</t>
        </is>
      </c>
      <c r="B738" s="5" t="n">
        <v>155</v>
      </c>
      <c r="C738" s="6" t="inlineStr">
        <is>
          <t>X</t>
        </is>
      </c>
      <c r="D738" s="5" t="n">
        <v>260</v>
      </c>
      <c r="E738" s="2">
        <f>B738*D738/10000</f>
        <v/>
      </c>
      <c r="F738" s="3">
        <f>B738/30.48</f>
        <v/>
      </c>
      <c r="G738" s="3">
        <f>D738/30.48</f>
        <v/>
      </c>
      <c r="H738" s="615" t="n"/>
      <c r="I738" s="49" t="inlineStr">
        <is>
          <t>OLD</t>
        </is>
      </c>
      <c r="J738" s="48" t="inlineStr">
        <is>
          <t>TRS</t>
        </is>
      </c>
      <c r="K738" s="51" t="inlineStr">
        <is>
          <t>PAC</t>
        </is>
      </c>
      <c r="L738" s="105" t="inlineStr">
        <is>
          <t>VR</t>
        </is>
      </c>
      <c r="M738" s="210" t="n"/>
      <c r="N738" s="211" t="n"/>
      <c r="O738" s="340" t="inlineStr">
        <is>
          <t>SBL</t>
        </is>
      </c>
      <c r="Q738" s="271" t="n"/>
      <c r="R738" s="282" t="n"/>
    </row>
    <row r="739" ht="18" customHeight="1" s="305">
      <c r="A739" s="8" t="inlineStr">
        <is>
          <t>C 811</t>
        </is>
      </c>
      <c r="B739" s="5" t="n">
        <v>210</v>
      </c>
      <c r="C739" s="6" t="inlineStr">
        <is>
          <t>X</t>
        </is>
      </c>
      <c r="D739" s="5" t="n">
        <v>302</v>
      </c>
      <c r="E739" s="2">
        <f>B739*D739/10000</f>
        <v/>
      </c>
      <c r="F739" s="3">
        <f>B739/30.48</f>
        <v/>
      </c>
      <c r="G739" s="3">
        <f>D739/30.48</f>
        <v/>
      </c>
      <c r="H739" s="615" t="n"/>
      <c r="I739" s="49" t="inlineStr">
        <is>
          <t>OLD</t>
        </is>
      </c>
      <c r="J739" s="48" t="inlineStr">
        <is>
          <t>TRS</t>
        </is>
      </c>
      <c r="K739" s="51" t="inlineStr">
        <is>
          <t>PAC</t>
        </is>
      </c>
      <c r="M739" s="210" t="n"/>
      <c r="N739" s="211" t="n"/>
      <c r="O739" s="340" t="inlineStr">
        <is>
          <t>SBL</t>
        </is>
      </c>
      <c r="Q739" s="271" t="n"/>
      <c r="R739" s="282" t="n"/>
    </row>
    <row r="740" ht="18" customHeight="1" s="305">
      <c r="A740" s="8" t="inlineStr">
        <is>
          <t>C 814</t>
        </is>
      </c>
      <c r="B740" s="5" t="n">
        <v>174</v>
      </c>
      <c r="C740" s="6" t="inlineStr">
        <is>
          <t>X</t>
        </is>
      </c>
      <c r="D740" s="5" t="n">
        <v>287</v>
      </c>
      <c r="E740" s="2">
        <f>B740*D740/10000</f>
        <v/>
      </c>
      <c r="F740" s="3">
        <f>B740/30.48</f>
        <v/>
      </c>
      <c r="G740" s="3">
        <f>D740/30.48</f>
        <v/>
      </c>
      <c r="H740" s="615" t="n"/>
      <c r="I740" s="49" t="inlineStr">
        <is>
          <t>OLD</t>
        </is>
      </c>
      <c r="J740" s="48" t="inlineStr">
        <is>
          <t>TRS</t>
        </is>
      </c>
      <c r="L740" s="105" t="inlineStr">
        <is>
          <t>VR</t>
        </is>
      </c>
      <c r="M740" s="210" t="inlineStr">
        <is>
          <t>RK</t>
        </is>
      </c>
      <c r="N740" s="211" t="n"/>
      <c r="O740" s="340" t="inlineStr">
        <is>
          <t>SBL</t>
        </is>
      </c>
      <c r="Q740" s="271" t="n"/>
      <c r="R740" s="282" t="n"/>
    </row>
    <row r="741" ht="18" customHeight="1" s="305">
      <c r="A741" s="8" t="inlineStr">
        <is>
          <t>C 816</t>
        </is>
      </c>
      <c r="B741" s="5" t="n">
        <v>218</v>
      </c>
      <c r="C741" s="6" t="inlineStr">
        <is>
          <t>X</t>
        </is>
      </c>
      <c r="D741" s="5" t="n">
        <v>308</v>
      </c>
      <c r="E741" s="2">
        <f>B741*D741/10000</f>
        <v/>
      </c>
      <c r="F741" s="3">
        <f>B741/30.48</f>
        <v/>
      </c>
      <c r="G741" s="3">
        <f>D741/30.48</f>
        <v/>
      </c>
      <c r="H741" s="615" t="n"/>
      <c r="I741" s="49" t="inlineStr">
        <is>
          <t>OLD</t>
        </is>
      </c>
      <c r="J741" s="48" t="inlineStr">
        <is>
          <t>TRS</t>
        </is>
      </c>
      <c r="K741" s="51" t="inlineStr">
        <is>
          <t>PAC</t>
        </is>
      </c>
      <c r="M741" s="210" t="n"/>
      <c r="N741" s="211" t="n"/>
      <c r="O741" s="340" t="inlineStr">
        <is>
          <t>SBL</t>
        </is>
      </c>
      <c r="Q741" s="271" t="n"/>
      <c r="R741" s="282" t="n"/>
    </row>
    <row r="742" ht="18" customHeight="1" s="305">
      <c r="A742" s="8" t="inlineStr">
        <is>
          <t>C 818</t>
        </is>
      </c>
      <c r="B742" s="5" t="n">
        <v>152</v>
      </c>
      <c r="C742" s="6" t="inlineStr">
        <is>
          <t>X</t>
        </is>
      </c>
      <c r="D742" s="5" t="n">
        <v>234</v>
      </c>
      <c r="E742" s="2">
        <f>B742*D742/10000</f>
        <v/>
      </c>
      <c r="F742" s="3">
        <f>B742/30.48</f>
        <v/>
      </c>
      <c r="G742" s="3">
        <f>D742/30.48</f>
        <v/>
      </c>
      <c r="H742" s="615" t="n"/>
      <c r="I742" s="49" t="inlineStr">
        <is>
          <t>OLD</t>
        </is>
      </c>
      <c r="J742" s="48" t="inlineStr">
        <is>
          <t>TRS</t>
        </is>
      </c>
      <c r="K742" s="51" t="inlineStr">
        <is>
          <t>PAC</t>
        </is>
      </c>
      <c r="L742" s="105" t="inlineStr">
        <is>
          <t>VR</t>
        </is>
      </c>
      <c r="M742" s="210" t="inlineStr">
        <is>
          <t>RK</t>
        </is>
      </c>
      <c r="N742" s="211" t="n"/>
      <c r="O742" s="340" t="inlineStr">
        <is>
          <t>SBL</t>
        </is>
      </c>
      <c r="Q742" s="271" t="n"/>
      <c r="R742" s="282" t="n"/>
    </row>
    <row r="743" ht="18" customHeight="1" s="305">
      <c r="A743" s="8" t="inlineStr">
        <is>
          <t>C 860</t>
        </is>
      </c>
      <c r="B743" s="5" t="n">
        <v>120</v>
      </c>
      <c r="C743" s="6" t="inlineStr">
        <is>
          <t>X</t>
        </is>
      </c>
      <c r="D743" s="5" t="n">
        <v>206</v>
      </c>
      <c r="E743" s="2">
        <f>B743*D743/10000</f>
        <v/>
      </c>
      <c r="F743" s="3">
        <f>B743/30.48</f>
        <v/>
      </c>
      <c r="G743" s="3">
        <f>D743/30.48</f>
        <v/>
      </c>
      <c r="H743" s="615" t="n"/>
      <c r="I743" s="49" t="inlineStr">
        <is>
          <t>OLD</t>
        </is>
      </c>
      <c r="J743" s="48" t="inlineStr">
        <is>
          <t>TRS</t>
        </is>
      </c>
      <c r="K743" s="51" t="inlineStr">
        <is>
          <t>PAC</t>
        </is>
      </c>
      <c r="L743" s="105" t="inlineStr">
        <is>
          <t>VR</t>
        </is>
      </c>
      <c r="M743" s="210" t="n"/>
      <c r="N743" s="211" t="n"/>
      <c r="O743" s="340" t="inlineStr">
        <is>
          <t>SBL</t>
        </is>
      </c>
      <c r="Q743" s="271" t="n"/>
      <c r="R743" s="282" t="n"/>
    </row>
    <row r="744" ht="18" customHeight="1" s="305">
      <c r="A744" s="8" t="inlineStr">
        <is>
          <t>C 964</t>
        </is>
      </c>
      <c r="B744" s="5" t="n">
        <v>71</v>
      </c>
      <c r="C744" s="6" t="inlineStr">
        <is>
          <t>X</t>
        </is>
      </c>
      <c r="D744" s="5" t="n">
        <v>228</v>
      </c>
      <c r="E744" s="2">
        <f>B744*D744/10000</f>
        <v/>
      </c>
      <c r="F744" s="3">
        <f>B744/30.48</f>
        <v/>
      </c>
      <c r="G744" s="3">
        <f>D744/30.48</f>
        <v/>
      </c>
      <c r="H744" s="615" t="n"/>
      <c r="I744" s="49" t="inlineStr">
        <is>
          <t>OLD</t>
        </is>
      </c>
      <c r="J744" s="48" t="inlineStr">
        <is>
          <t>TRS</t>
        </is>
      </c>
      <c r="K744" s="51" t="inlineStr">
        <is>
          <t>PAC</t>
        </is>
      </c>
      <c r="L744" s="105" t="inlineStr">
        <is>
          <t>VR</t>
        </is>
      </c>
      <c r="M744" s="210" t="n"/>
      <c r="N744" s="211" t="n"/>
      <c r="O744" s="340" t="inlineStr">
        <is>
          <t>SBL</t>
        </is>
      </c>
      <c r="Q744" s="271" t="n"/>
      <c r="R744" s="282" t="n"/>
    </row>
    <row r="745" ht="18" customHeight="1" s="305">
      <c r="A745" s="8" t="inlineStr">
        <is>
          <t>C 967</t>
        </is>
      </c>
      <c r="B745" s="5" t="n">
        <v>63</v>
      </c>
      <c r="C745" s="6" t="inlineStr">
        <is>
          <t>X</t>
        </is>
      </c>
      <c r="D745" s="5" t="n">
        <v>122</v>
      </c>
      <c r="E745" s="2">
        <f>B745*D745/10000</f>
        <v/>
      </c>
      <c r="F745" s="3">
        <f>B745/30.48</f>
        <v/>
      </c>
      <c r="G745" s="3">
        <f>D745/30.48</f>
        <v/>
      </c>
      <c r="H745" s="615" t="n"/>
      <c r="I745" s="49" t="inlineStr">
        <is>
          <t>OLD</t>
        </is>
      </c>
      <c r="J745" s="48" t="inlineStr">
        <is>
          <t>TRS</t>
        </is>
      </c>
      <c r="K745" s="51" t="inlineStr">
        <is>
          <t>PAC</t>
        </is>
      </c>
      <c r="L745" s="105" t="inlineStr">
        <is>
          <t>VR</t>
        </is>
      </c>
      <c r="M745" s="210" t="n"/>
      <c r="N745" s="211" t="n"/>
      <c r="O745" s="340" t="inlineStr">
        <is>
          <t>SBL</t>
        </is>
      </c>
      <c r="Q745" s="271" t="n"/>
      <c r="R745" s="282" t="n"/>
    </row>
    <row r="746" ht="18" customHeight="1" s="305">
      <c r="A746" s="8" t="inlineStr">
        <is>
          <t>C 716</t>
        </is>
      </c>
      <c r="B746" s="5" t="n">
        <v>194</v>
      </c>
      <c r="C746" s="6" t="inlineStr">
        <is>
          <t>X</t>
        </is>
      </c>
      <c r="D746" s="5" t="n">
        <v>270</v>
      </c>
      <c r="E746" s="2">
        <f>B746*D746/10000</f>
        <v/>
      </c>
      <c r="F746" s="3">
        <f>B746/30.48</f>
        <v/>
      </c>
      <c r="G746" s="3">
        <f>D746/30.48</f>
        <v/>
      </c>
      <c r="H746" s="615" t="n"/>
      <c r="I746" s="49" t="inlineStr">
        <is>
          <t>OLD</t>
        </is>
      </c>
      <c r="J746" s="48" t="inlineStr">
        <is>
          <t>TRS</t>
        </is>
      </c>
      <c r="K746" s="51" t="inlineStr">
        <is>
          <t>PAC</t>
        </is>
      </c>
      <c r="M746" s="210" t="inlineStr">
        <is>
          <t>RK</t>
        </is>
      </c>
      <c r="N746" s="211" t="n"/>
      <c r="O746" s="340" t="inlineStr">
        <is>
          <t>SBL</t>
        </is>
      </c>
      <c r="Q746" s="271" t="n"/>
      <c r="R746" s="282" t="n"/>
    </row>
    <row r="747" ht="18" customHeight="1" s="305">
      <c r="A747" s="8" t="inlineStr">
        <is>
          <t>C 812</t>
        </is>
      </c>
      <c r="B747" s="5" t="n">
        <v>169</v>
      </c>
      <c r="C747" s="6" t="inlineStr">
        <is>
          <t>X</t>
        </is>
      </c>
      <c r="D747" s="5" t="n">
        <v>262</v>
      </c>
      <c r="E747" s="2">
        <f>B747*D747/10000</f>
        <v/>
      </c>
      <c r="F747" s="3">
        <f>B747/30.48</f>
        <v/>
      </c>
      <c r="G747" s="3">
        <f>D747/30.48</f>
        <v/>
      </c>
      <c r="H747" s="615" t="n"/>
      <c r="I747" s="49" t="inlineStr">
        <is>
          <t>OLD</t>
        </is>
      </c>
      <c r="J747" s="48" t="inlineStr">
        <is>
          <t>TRS</t>
        </is>
      </c>
      <c r="K747" s="51" t="inlineStr">
        <is>
          <t>PAC</t>
        </is>
      </c>
      <c r="L747" s="105" t="inlineStr">
        <is>
          <t>VR</t>
        </is>
      </c>
      <c r="M747" s="210" t="n"/>
      <c r="N747" s="211" t="n"/>
      <c r="O747" s="340" t="inlineStr">
        <is>
          <t>SBL</t>
        </is>
      </c>
      <c r="Q747" s="271" t="n"/>
      <c r="R747" s="282" t="n"/>
    </row>
    <row r="748" ht="18" customHeight="1" s="305">
      <c r="A748" s="8" t="inlineStr">
        <is>
          <t>C 878</t>
        </is>
      </c>
      <c r="B748" s="5" t="n">
        <v>192</v>
      </c>
      <c r="C748" s="6" t="inlineStr">
        <is>
          <t>X</t>
        </is>
      </c>
      <c r="D748" s="5" t="n">
        <v>298</v>
      </c>
      <c r="E748" s="2">
        <f>B748*D748/10000</f>
        <v/>
      </c>
      <c r="F748" s="3">
        <f>B748/30.48</f>
        <v/>
      </c>
      <c r="G748" s="3">
        <f>D748/30.48</f>
        <v/>
      </c>
      <c r="H748" s="615" t="n"/>
      <c r="I748" s="49" t="inlineStr">
        <is>
          <t>OLD</t>
        </is>
      </c>
      <c r="J748" s="48" t="inlineStr">
        <is>
          <t>TRS</t>
        </is>
      </c>
      <c r="K748" s="51" t="inlineStr">
        <is>
          <t>PAC</t>
        </is>
      </c>
      <c r="L748" s="105" t="inlineStr">
        <is>
          <t>VR</t>
        </is>
      </c>
      <c r="M748" s="210" t="n"/>
      <c r="N748" s="211" t="n"/>
      <c r="O748" s="263" t="n"/>
      <c r="Q748" s="271" t="n"/>
      <c r="R748" s="282" t="n"/>
    </row>
    <row r="749" ht="18" customHeight="1" s="305">
      <c r="A749" s="8" t="inlineStr">
        <is>
          <t>C 880</t>
        </is>
      </c>
      <c r="B749" s="5" t="n">
        <v>187</v>
      </c>
      <c r="C749" s="6" t="inlineStr">
        <is>
          <t>X</t>
        </is>
      </c>
      <c r="D749" s="5" t="n">
        <v>301</v>
      </c>
      <c r="E749" s="2">
        <f>B749*D749/10000</f>
        <v/>
      </c>
      <c r="F749" s="3">
        <f>B749/30.48</f>
        <v/>
      </c>
      <c r="G749" s="3">
        <f>D749/30.48</f>
        <v/>
      </c>
      <c r="H749" s="615" t="n"/>
      <c r="I749" s="49" t="inlineStr">
        <is>
          <t>OLD</t>
        </is>
      </c>
      <c r="J749" s="48" t="inlineStr">
        <is>
          <t>TRS</t>
        </is>
      </c>
      <c r="K749" s="51" t="inlineStr">
        <is>
          <t>PAC</t>
        </is>
      </c>
      <c r="L749" s="105" t="inlineStr">
        <is>
          <t>VR</t>
        </is>
      </c>
      <c r="M749" s="210" t="n"/>
      <c r="N749" s="211" t="n"/>
      <c r="O749" s="340" t="inlineStr">
        <is>
          <t>SBL</t>
        </is>
      </c>
      <c r="Q749" s="271" t="n"/>
      <c r="R749" s="282" t="n"/>
    </row>
    <row r="750" ht="18" customHeight="1" s="305">
      <c r="A750" s="8" t="inlineStr">
        <is>
          <t>C 927</t>
        </is>
      </c>
      <c r="B750" s="5" t="n">
        <v>110</v>
      </c>
      <c r="C750" s="6" t="inlineStr">
        <is>
          <t>X</t>
        </is>
      </c>
      <c r="D750" s="5" t="n">
        <v>204</v>
      </c>
      <c r="E750" s="2">
        <f>B750*D750/10000</f>
        <v/>
      </c>
      <c r="F750" s="3">
        <f>B750/30.48</f>
        <v/>
      </c>
      <c r="G750" s="3">
        <f>D750/30.48</f>
        <v/>
      </c>
      <c r="H750" s="615" t="n"/>
      <c r="I750" s="49" t="inlineStr">
        <is>
          <t>OLD</t>
        </is>
      </c>
      <c r="J750" s="48" t="inlineStr">
        <is>
          <t>TRS</t>
        </is>
      </c>
      <c r="K750" s="51" t="inlineStr">
        <is>
          <t>PAC</t>
        </is>
      </c>
      <c r="L750" s="105" t="inlineStr">
        <is>
          <t>VR</t>
        </is>
      </c>
      <c r="M750" s="210" t="n"/>
      <c r="N750" s="211" t="n"/>
      <c r="O750" s="340" t="inlineStr">
        <is>
          <t>SBL</t>
        </is>
      </c>
      <c r="Q750" s="271" t="n"/>
      <c r="R750" s="282" t="n"/>
    </row>
    <row r="751" ht="18" customHeight="1" s="305">
      <c r="A751" s="8" t="inlineStr">
        <is>
          <t>C 929</t>
        </is>
      </c>
      <c r="B751" s="5" t="n">
        <v>196</v>
      </c>
      <c r="C751" s="6" t="inlineStr">
        <is>
          <t>X</t>
        </is>
      </c>
      <c r="D751" s="5" t="n">
        <v>304</v>
      </c>
      <c r="E751" s="2">
        <f>B751*D751/10000</f>
        <v/>
      </c>
      <c r="F751" s="3">
        <f>B751/30.48</f>
        <v/>
      </c>
      <c r="G751" s="3">
        <f>D751/30.48</f>
        <v/>
      </c>
      <c r="H751" s="615" t="n"/>
      <c r="I751" s="49" t="inlineStr">
        <is>
          <t>OLD</t>
        </is>
      </c>
      <c r="J751" s="48" t="inlineStr">
        <is>
          <t>TRS</t>
        </is>
      </c>
      <c r="K751" s="51" t="inlineStr">
        <is>
          <t>PAC</t>
        </is>
      </c>
      <c r="L751" s="105" t="inlineStr">
        <is>
          <t>VR</t>
        </is>
      </c>
      <c r="M751" s="210" t="n"/>
      <c r="N751" s="211" t="n"/>
      <c r="O751" s="340" t="inlineStr">
        <is>
          <t>SBL</t>
        </is>
      </c>
      <c r="Q751" s="271" t="n"/>
      <c r="R751" s="282" t="n"/>
    </row>
    <row r="752" ht="18" customHeight="1" s="305">
      <c r="A752" s="8" t="inlineStr">
        <is>
          <t>C 937</t>
        </is>
      </c>
      <c r="B752" s="5" t="n">
        <v>75</v>
      </c>
      <c r="C752" s="6" t="inlineStr">
        <is>
          <t>X</t>
        </is>
      </c>
      <c r="D752" s="5" t="n">
        <v>366</v>
      </c>
      <c r="E752" s="2">
        <f>B752*D752/10000</f>
        <v/>
      </c>
      <c r="F752" s="3">
        <f>B752/30.48</f>
        <v/>
      </c>
      <c r="G752" s="3">
        <f>D752/30.48</f>
        <v/>
      </c>
      <c r="H752" s="615" t="inlineStr">
        <is>
          <t xml:space="preserve">tamir </t>
        </is>
      </c>
      <c r="I752" s="49" t="inlineStr">
        <is>
          <t>OLD</t>
        </is>
      </c>
      <c r="K752" s="51" t="inlineStr">
        <is>
          <t>PAC</t>
        </is>
      </c>
      <c r="M752" s="210" t="n"/>
      <c r="N752" s="211" t="n"/>
      <c r="O752" s="263" t="n"/>
      <c r="Q752" s="271" t="n"/>
      <c r="R752" s="282" t="n"/>
    </row>
    <row r="753" ht="18" customHeight="1" s="305">
      <c r="A753" s="8" t="inlineStr">
        <is>
          <t>C 949</t>
        </is>
      </c>
      <c r="B753" s="5" t="n">
        <v>142</v>
      </c>
      <c r="C753" s="6" t="inlineStr">
        <is>
          <t>X</t>
        </is>
      </c>
      <c r="D753" s="5" t="n">
        <v>244</v>
      </c>
      <c r="E753" s="2">
        <f>B753*D753/10000</f>
        <v/>
      </c>
      <c r="F753" s="3">
        <f>B753/30.48</f>
        <v/>
      </c>
      <c r="G753" s="3">
        <f>D753/30.48</f>
        <v/>
      </c>
      <c r="H753" s="615" t="n"/>
      <c r="I753" s="49" t="inlineStr">
        <is>
          <t>OLD</t>
        </is>
      </c>
      <c r="J753" s="48" t="inlineStr">
        <is>
          <t>TRS</t>
        </is>
      </c>
      <c r="K753" s="51" t="inlineStr">
        <is>
          <t>PAC</t>
        </is>
      </c>
      <c r="L753" s="105" t="inlineStr">
        <is>
          <t>VR</t>
        </is>
      </c>
      <c r="M753" s="210" t="inlineStr">
        <is>
          <t>RK</t>
        </is>
      </c>
      <c r="N753" s="211" t="n"/>
      <c r="O753" s="340" t="inlineStr">
        <is>
          <t>SBL</t>
        </is>
      </c>
      <c r="Q753" s="271" t="n"/>
      <c r="R753" s="282" t="n"/>
    </row>
    <row r="754" ht="18" customHeight="1" s="305">
      <c r="A754" s="8" t="inlineStr">
        <is>
          <t>C 546</t>
        </is>
      </c>
      <c r="B754" s="5" t="n">
        <v>150</v>
      </c>
      <c r="C754" s="6" t="inlineStr">
        <is>
          <t>X</t>
        </is>
      </c>
      <c r="D754" s="5" t="n">
        <v>251</v>
      </c>
      <c r="E754" s="2">
        <f>B754*D754/10000</f>
        <v/>
      </c>
      <c r="F754" s="3">
        <f>B754/30.48</f>
        <v/>
      </c>
      <c r="G754" s="3">
        <f>D754/30.48</f>
        <v/>
      </c>
      <c r="H754" s="615" t="n"/>
      <c r="I754" s="49" t="inlineStr">
        <is>
          <t>OLD</t>
        </is>
      </c>
      <c r="J754" s="48" t="inlineStr">
        <is>
          <t>TRS</t>
        </is>
      </c>
      <c r="K754" s="51" t="inlineStr">
        <is>
          <t>PAC</t>
        </is>
      </c>
      <c r="L754" s="105" t="inlineStr">
        <is>
          <t>VR</t>
        </is>
      </c>
      <c r="M754" s="210" t="n"/>
      <c r="N754" s="211" t="n"/>
      <c r="O754" s="340" t="inlineStr">
        <is>
          <t>SBL</t>
        </is>
      </c>
      <c r="Q754" s="271" t="n"/>
      <c r="R754" s="282" t="n"/>
    </row>
    <row r="755" ht="18" customHeight="1" s="305">
      <c r="A755" s="8" t="inlineStr">
        <is>
          <t>C 548</t>
        </is>
      </c>
      <c r="B755" s="5" t="n">
        <v>165</v>
      </c>
      <c r="C755" s="6" t="inlineStr">
        <is>
          <t>X</t>
        </is>
      </c>
      <c r="D755" s="5" t="n">
        <v>247</v>
      </c>
      <c r="E755" s="2">
        <f>B755*D755/10000</f>
        <v/>
      </c>
      <c r="F755" s="3">
        <f>B755/30.48</f>
        <v/>
      </c>
      <c r="G755" s="3">
        <f>D755/30.48</f>
        <v/>
      </c>
      <c r="H755" s="615" t="n"/>
      <c r="I755" s="49" t="inlineStr">
        <is>
          <t>OLD</t>
        </is>
      </c>
      <c r="J755" s="48" t="inlineStr">
        <is>
          <t>TRS</t>
        </is>
      </c>
      <c r="K755" s="51" t="inlineStr">
        <is>
          <t>PAC</t>
        </is>
      </c>
      <c r="L755" s="105" t="inlineStr">
        <is>
          <t>VR</t>
        </is>
      </c>
      <c r="M755" s="210" t="n"/>
      <c r="N755" s="211" t="n"/>
      <c r="O755" s="340" t="inlineStr">
        <is>
          <t>SBL</t>
        </is>
      </c>
      <c r="Q755" s="271" t="n"/>
      <c r="R755" s="282" t="n"/>
    </row>
    <row r="756" ht="18" customHeight="1" s="305">
      <c r="A756" s="8" t="inlineStr">
        <is>
          <t>C 679</t>
        </is>
      </c>
      <c r="B756" s="5" t="n">
        <v>170</v>
      </c>
      <c r="C756" s="6" t="inlineStr">
        <is>
          <t>X</t>
        </is>
      </c>
      <c r="D756" s="5" t="n">
        <v>270</v>
      </c>
      <c r="E756" s="2">
        <f>B756*D756/10000</f>
        <v/>
      </c>
      <c r="F756" s="3">
        <f>B756/30.48</f>
        <v/>
      </c>
      <c r="G756" s="3">
        <f>D756/30.48</f>
        <v/>
      </c>
      <c r="H756" s="615" t="n"/>
      <c r="I756" s="49" t="inlineStr">
        <is>
          <t>OLD</t>
        </is>
      </c>
      <c r="J756" s="48" t="inlineStr">
        <is>
          <t>TRS</t>
        </is>
      </c>
      <c r="K756" s="51" t="inlineStr">
        <is>
          <t>PAC</t>
        </is>
      </c>
      <c r="L756" s="105" t="inlineStr">
        <is>
          <t>VR</t>
        </is>
      </c>
      <c r="M756" s="210" t="n"/>
      <c r="N756" s="211" t="n"/>
      <c r="O756" s="340" t="inlineStr">
        <is>
          <t>SBL</t>
        </is>
      </c>
      <c r="Q756" s="271" t="n"/>
      <c r="R756" s="282" t="n"/>
    </row>
    <row r="757" ht="18" customHeight="1" s="305">
      <c r="A757" s="8" t="inlineStr">
        <is>
          <t>C 717</t>
        </is>
      </c>
      <c r="B757" s="5" t="n">
        <v>181</v>
      </c>
      <c r="C757" s="6" t="inlineStr">
        <is>
          <t>X</t>
        </is>
      </c>
      <c r="D757" s="5" t="n">
        <v>290</v>
      </c>
      <c r="E757" s="2">
        <f>B757*D757/10000</f>
        <v/>
      </c>
      <c r="F757" s="3">
        <f>B757/30.48</f>
        <v/>
      </c>
      <c r="G757" s="3">
        <f>D757/30.48</f>
        <v/>
      </c>
      <c r="H757" s="615" t="n"/>
      <c r="I757" s="49" t="inlineStr">
        <is>
          <t>OLD</t>
        </is>
      </c>
      <c r="K757" s="51" t="inlineStr">
        <is>
          <t>PAC</t>
        </is>
      </c>
      <c r="L757" s="105" t="inlineStr">
        <is>
          <t>VR</t>
        </is>
      </c>
      <c r="M757" s="210" t="n"/>
      <c r="N757" s="211" t="n"/>
      <c r="O757" s="340" t="inlineStr">
        <is>
          <t>SBL</t>
        </is>
      </c>
      <c r="Q757" s="271" t="n"/>
      <c r="R757" s="282" t="n"/>
    </row>
    <row r="758" ht="18" customHeight="1" s="305">
      <c r="A758" s="8" t="inlineStr">
        <is>
          <t>C 722</t>
        </is>
      </c>
      <c r="B758" s="5" t="n">
        <v>170</v>
      </c>
      <c r="C758" s="6" t="inlineStr">
        <is>
          <t>X</t>
        </is>
      </c>
      <c r="D758" s="5" t="n">
        <v>267</v>
      </c>
      <c r="E758" s="2">
        <f>B758*D758/10000</f>
        <v/>
      </c>
      <c r="F758" s="3">
        <f>B758/30.48</f>
        <v/>
      </c>
      <c r="G758" s="3">
        <f>D758/30.48</f>
        <v/>
      </c>
      <c r="H758" s="615" t="n"/>
      <c r="I758" s="49" t="inlineStr">
        <is>
          <t>OLD</t>
        </is>
      </c>
      <c r="J758" s="48" t="inlineStr">
        <is>
          <t>TRS</t>
        </is>
      </c>
      <c r="K758" s="51" t="inlineStr">
        <is>
          <t>PAC</t>
        </is>
      </c>
      <c r="L758" s="105" t="inlineStr">
        <is>
          <t>VR</t>
        </is>
      </c>
      <c r="M758" s="210" t="n"/>
      <c r="N758" s="211" t="n"/>
      <c r="O758" s="263" t="n"/>
      <c r="Q758" s="271" t="n"/>
      <c r="R758" s="282" t="n"/>
    </row>
    <row r="759" ht="18" customHeight="1" s="305">
      <c r="A759" s="8" t="inlineStr">
        <is>
          <t>C 724</t>
        </is>
      </c>
      <c r="B759" s="5" t="n">
        <v>180</v>
      </c>
      <c r="C759" s="6" t="inlineStr">
        <is>
          <t>X</t>
        </is>
      </c>
      <c r="D759" s="5" t="n">
        <v>302</v>
      </c>
      <c r="E759" s="2">
        <f>B759*D759/10000</f>
        <v/>
      </c>
      <c r="F759" s="3">
        <f>B759/30.48</f>
        <v/>
      </c>
      <c r="G759" s="3">
        <f>D759/30.48</f>
        <v/>
      </c>
      <c r="H759" s="615" t="n"/>
      <c r="I759" s="49" t="inlineStr">
        <is>
          <t>OLD</t>
        </is>
      </c>
      <c r="J759" s="48" t="inlineStr">
        <is>
          <t>TRS</t>
        </is>
      </c>
      <c r="K759" s="51" t="inlineStr">
        <is>
          <t>PAC</t>
        </is>
      </c>
      <c r="L759" s="105" t="inlineStr">
        <is>
          <t>VR</t>
        </is>
      </c>
      <c r="M759" s="210" t="n"/>
      <c r="N759" s="211" t="n"/>
      <c r="O759" s="263" t="n"/>
      <c r="Q759" s="271" t="n"/>
      <c r="R759" s="282" t="n"/>
    </row>
    <row r="760" ht="18" customHeight="1" s="305">
      <c r="A760" s="8" t="inlineStr">
        <is>
          <t>C 727</t>
        </is>
      </c>
      <c r="B760" s="5" t="n">
        <v>175</v>
      </c>
      <c r="C760" s="6" t="inlineStr">
        <is>
          <t>X</t>
        </is>
      </c>
      <c r="D760" s="5" t="n">
        <v>288</v>
      </c>
      <c r="E760" s="2">
        <f>B760*D760/10000</f>
        <v/>
      </c>
      <c r="F760" s="3">
        <f>B760/30.48</f>
        <v/>
      </c>
      <c r="G760" s="3">
        <f>D760/30.48</f>
        <v/>
      </c>
      <c r="H760" s="615" t="n"/>
      <c r="I760" s="49" t="inlineStr">
        <is>
          <t>OLD</t>
        </is>
      </c>
      <c r="J760" s="48" t="inlineStr">
        <is>
          <t>TRS</t>
        </is>
      </c>
      <c r="K760" s="51" t="inlineStr">
        <is>
          <t>PAC</t>
        </is>
      </c>
      <c r="L760" s="105" t="inlineStr">
        <is>
          <t>VR</t>
        </is>
      </c>
      <c r="M760" s="210" t="n"/>
      <c r="N760" s="211" t="n"/>
      <c r="O760" s="340" t="inlineStr">
        <is>
          <t>SBL</t>
        </is>
      </c>
      <c r="Q760" s="271" t="n"/>
      <c r="R760" s="282" t="n"/>
    </row>
    <row r="761" ht="18" customHeight="1" s="305">
      <c r="A761" s="8" t="inlineStr">
        <is>
          <t>C 728</t>
        </is>
      </c>
      <c r="B761" s="5" t="n">
        <v>180</v>
      </c>
      <c r="C761" s="6" t="inlineStr">
        <is>
          <t>X</t>
        </is>
      </c>
      <c r="D761" s="5" t="n">
        <v>264</v>
      </c>
      <c r="E761" s="2">
        <f>B761*D761/10000</f>
        <v/>
      </c>
      <c r="F761" s="3">
        <f>B761/30.48</f>
        <v/>
      </c>
      <c r="G761" s="3">
        <f>D761/30.48</f>
        <v/>
      </c>
      <c r="H761" s="615" t="n"/>
      <c r="I761" s="49" t="inlineStr">
        <is>
          <t>OLD</t>
        </is>
      </c>
      <c r="J761" s="48" t="inlineStr">
        <is>
          <t>TRS</t>
        </is>
      </c>
      <c r="K761" s="51" t="inlineStr">
        <is>
          <t>PAC</t>
        </is>
      </c>
      <c r="L761" s="105" t="inlineStr">
        <is>
          <t>VR</t>
        </is>
      </c>
      <c r="M761" s="210" t="n"/>
      <c r="N761" s="211" t="n"/>
      <c r="O761" s="263" t="n"/>
      <c r="Q761" s="271" t="n"/>
      <c r="R761" s="282" t="n"/>
    </row>
    <row r="762" ht="18" customHeight="1" s="305">
      <c r="A762" s="8" t="inlineStr">
        <is>
          <t>C 729</t>
        </is>
      </c>
      <c r="B762" s="5" t="n">
        <v>190</v>
      </c>
      <c r="C762" s="6" t="inlineStr">
        <is>
          <t>X</t>
        </is>
      </c>
      <c r="D762" s="5" t="n">
        <v>288</v>
      </c>
      <c r="E762" s="2">
        <f>B762*D762/10000</f>
        <v/>
      </c>
      <c r="F762" s="3">
        <f>B762/30.48</f>
        <v/>
      </c>
      <c r="G762" s="3">
        <f>D762/30.48</f>
        <v/>
      </c>
      <c r="H762" s="615" t="n"/>
      <c r="I762" s="49" t="inlineStr">
        <is>
          <t>OLD</t>
        </is>
      </c>
      <c r="J762" s="48" t="inlineStr">
        <is>
          <t>TRS</t>
        </is>
      </c>
      <c r="K762" s="51" t="inlineStr">
        <is>
          <t>PAC</t>
        </is>
      </c>
      <c r="M762" s="210" t="n"/>
      <c r="N762" s="211" t="n"/>
      <c r="O762" s="340" t="inlineStr">
        <is>
          <t>SBL</t>
        </is>
      </c>
      <c r="Q762" s="271" t="n"/>
      <c r="R762" s="282" t="n"/>
    </row>
    <row r="763" ht="18" customHeight="1" s="305">
      <c r="A763" s="8" t="inlineStr">
        <is>
          <t>C 731</t>
        </is>
      </c>
      <c r="B763" s="5" t="n">
        <v>150</v>
      </c>
      <c r="C763" s="6" t="inlineStr">
        <is>
          <t>X</t>
        </is>
      </c>
      <c r="D763" s="5" t="n">
        <v>249</v>
      </c>
      <c r="E763" s="2">
        <f>B763*D763/10000</f>
        <v/>
      </c>
      <c r="F763" s="3">
        <f>B763/30.48</f>
        <v/>
      </c>
      <c r="G763" s="3">
        <f>D763/30.48</f>
        <v/>
      </c>
      <c r="H763" s="615" t="n"/>
      <c r="I763" s="49" t="inlineStr">
        <is>
          <t>OLD</t>
        </is>
      </c>
      <c r="J763" s="48" t="inlineStr">
        <is>
          <t>TRS</t>
        </is>
      </c>
      <c r="K763" s="51" t="inlineStr">
        <is>
          <t>PAC</t>
        </is>
      </c>
      <c r="L763" s="105" t="inlineStr">
        <is>
          <t>VR</t>
        </is>
      </c>
      <c r="M763" s="210" t="inlineStr">
        <is>
          <t>RK</t>
        </is>
      </c>
      <c r="N763" s="211" t="n"/>
      <c r="O763" s="340" t="inlineStr">
        <is>
          <t>SBL</t>
        </is>
      </c>
      <c r="Q763" s="271" t="n"/>
      <c r="R763" s="282" t="n"/>
    </row>
    <row r="764" ht="18" customHeight="1" s="305">
      <c r="A764" s="8" t="inlineStr">
        <is>
          <t>C 740</t>
        </is>
      </c>
      <c r="B764" s="5" t="n">
        <v>149</v>
      </c>
      <c r="C764" s="6" t="inlineStr">
        <is>
          <t>X</t>
        </is>
      </c>
      <c r="D764" s="5" t="n">
        <v>240</v>
      </c>
      <c r="E764" s="2">
        <f>B764*D764/10000</f>
        <v/>
      </c>
      <c r="F764" s="3">
        <f>B764/30.48</f>
        <v/>
      </c>
      <c r="G764" s="3">
        <f>D764/30.48</f>
        <v/>
      </c>
      <c r="H764" s="615" t="n"/>
      <c r="I764" s="49" t="inlineStr">
        <is>
          <t>OLD</t>
        </is>
      </c>
      <c r="J764" s="48" t="inlineStr">
        <is>
          <t>TRS</t>
        </is>
      </c>
      <c r="K764" s="51" t="inlineStr">
        <is>
          <t>PAC</t>
        </is>
      </c>
      <c r="L764" s="105" t="inlineStr">
        <is>
          <t>VR</t>
        </is>
      </c>
      <c r="M764" s="210" t="n"/>
      <c r="N764" s="211" t="n"/>
      <c r="O764" s="340" t="inlineStr">
        <is>
          <t>SBL</t>
        </is>
      </c>
      <c r="Q764" s="271" t="n"/>
      <c r="R764" s="282" t="n"/>
    </row>
    <row r="765" ht="18" customHeight="1" s="305">
      <c r="A765" s="8" t="inlineStr">
        <is>
          <t>C 743</t>
        </is>
      </c>
      <c r="B765" s="5" t="n">
        <v>155</v>
      </c>
      <c r="C765" s="6" t="inlineStr">
        <is>
          <t>X</t>
        </is>
      </c>
      <c r="D765" s="5" t="n">
        <v>268</v>
      </c>
      <c r="E765" s="2">
        <f>B765*D765/10000</f>
        <v/>
      </c>
      <c r="F765" s="3">
        <f>B765/30.48</f>
        <v/>
      </c>
      <c r="G765" s="3">
        <f>D765/30.48</f>
        <v/>
      </c>
      <c r="H765" s="615" t="n"/>
      <c r="I765" s="49" t="inlineStr">
        <is>
          <t>OLD</t>
        </is>
      </c>
      <c r="J765" s="48" t="inlineStr">
        <is>
          <t>TRS</t>
        </is>
      </c>
      <c r="K765" s="51" t="inlineStr">
        <is>
          <t>PAC</t>
        </is>
      </c>
      <c r="L765" s="105" t="inlineStr">
        <is>
          <t>VR</t>
        </is>
      </c>
      <c r="M765" s="210" t="n"/>
      <c r="N765" s="211" t="n"/>
      <c r="O765" s="340" t="inlineStr">
        <is>
          <t>SBL</t>
        </is>
      </c>
      <c r="Q765" s="271" t="n"/>
      <c r="R765" s="282" t="n"/>
    </row>
    <row r="766" ht="18" customHeight="1" s="305">
      <c r="A766" s="8" t="inlineStr">
        <is>
          <t>C 750</t>
        </is>
      </c>
      <c r="B766" s="5" t="n">
        <v>155</v>
      </c>
      <c r="C766" s="6" t="inlineStr">
        <is>
          <t>X</t>
        </is>
      </c>
      <c r="D766" s="5" t="n">
        <v>238</v>
      </c>
      <c r="E766" s="2">
        <f>B766*D766/10000</f>
        <v/>
      </c>
      <c r="F766" s="3">
        <f>B766/30.48</f>
        <v/>
      </c>
      <c r="G766" s="3">
        <f>D766/30.48</f>
        <v/>
      </c>
      <c r="H766" s="615" t="n"/>
      <c r="I766" s="49" t="inlineStr">
        <is>
          <t>OLD</t>
        </is>
      </c>
      <c r="J766" s="48" t="inlineStr">
        <is>
          <t>TRS</t>
        </is>
      </c>
      <c r="K766" s="51" t="inlineStr">
        <is>
          <t>PAC</t>
        </is>
      </c>
      <c r="L766" s="105" t="inlineStr">
        <is>
          <t>VR</t>
        </is>
      </c>
      <c r="M766" s="210" t="n"/>
      <c r="N766" s="211" t="n"/>
      <c r="O766" s="340" t="inlineStr">
        <is>
          <t>SBL</t>
        </is>
      </c>
      <c r="Q766" s="271" t="n"/>
      <c r="R766" s="282" t="n"/>
    </row>
    <row r="767" ht="18" customHeight="1" s="305">
      <c r="A767" s="8" t="inlineStr">
        <is>
          <t>C 894</t>
        </is>
      </c>
      <c r="B767" s="5" t="n">
        <v>191</v>
      </c>
      <c r="C767" s="6" t="inlineStr">
        <is>
          <t>X</t>
        </is>
      </c>
      <c r="D767" s="5" t="n">
        <v>304</v>
      </c>
      <c r="E767" s="2">
        <f>B767*D767/10000</f>
        <v/>
      </c>
      <c r="F767" s="3">
        <f>B767/30.48</f>
        <v/>
      </c>
      <c r="G767" s="3">
        <f>D767/30.48</f>
        <v/>
      </c>
      <c r="H767" s="615" t="n"/>
      <c r="I767" s="49" t="inlineStr">
        <is>
          <t>OLD</t>
        </is>
      </c>
      <c r="J767" s="48" t="inlineStr">
        <is>
          <t>TRS</t>
        </is>
      </c>
      <c r="K767" s="51" t="inlineStr">
        <is>
          <t>PAC</t>
        </is>
      </c>
      <c r="L767" s="105" t="inlineStr">
        <is>
          <t>VR</t>
        </is>
      </c>
      <c r="M767" s="210" t="n"/>
      <c r="N767" s="211" t="n"/>
      <c r="O767" s="263" t="n"/>
      <c r="Q767" s="271" t="n"/>
      <c r="R767" s="282" t="n"/>
    </row>
    <row r="768" ht="18" customHeight="1" s="305">
      <c r="A768" s="8" t="inlineStr">
        <is>
          <t>C 520</t>
        </is>
      </c>
      <c r="B768" s="5" t="n">
        <v>95</v>
      </c>
      <c r="C768" s="6" t="inlineStr">
        <is>
          <t>X</t>
        </is>
      </c>
      <c r="D768" s="5" t="n">
        <v>290</v>
      </c>
      <c r="E768" s="2">
        <f>B768*D768/10000</f>
        <v/>
      </c>
      <c r="F768" s="3">
        <f>B768/30.48</f>
        <v/>
      </c>
      <c r="G768" s="3">
        <f>D768/30.48</f>
        <v/>
      </c>
      <c r="H768" s="615" t="n"/>
      <c r="I768" s="49" t="inlineStr">
        <is>
          <t>OLD</t>
        </is>
      </c>
      <c r="K768" s="51" t="inlineStr">
        <is>
          <t>PAC</t>
        </is>
      </c>
      <c r="L768" s="105" t="inlineStr">
        <is>
          <t>VR</t>
        </is>
      </c>
      <c r="M768" s="210" t="inlineStr">
        <is>
          <t>RK</t>
        </is>
      </c>
      <c r="N768" s="211" t="n"/>
      <c r="O768" s="340" t="inlineStr">
        <is>
          <t>SBL</t>
        </is>
      </c>
      <c r="Q768" s="271" t="n"/>
      <c r="R768" s="282" t="n"/>
    </row>
    <row r="769" ht="18" customHeight="1" s="305">
      <c r="A769" s="8" t="inlineStr">
        <is>
          <t>C 524</t>
        </is>
      </c>
      <c r="B769" s="5" t="n">
        <v>85</v>
      </c>
      <c r="C769" s="6" t="inlineStr">
        <is>
          <t>X</t>
        </is>
      </c>
      <c r="D769" s="5" t="n">
        <v>341</v>
      </c>
      <c r="E769" s="2">
        <f>B769*D769/10000</f>
        <v/>
      </c>
      <c r="F769" s="3">
        <f>B769/30.48</f>
        <v/>
      </c>
      <c r="G769" s="3">
        <f>D769/30.48</f>
        <v/>
      </c>
      <c r="H769" s="615" t="n"/>
      <c r="I769" s="49" t="inlineStr">
        <is>
          <t>OLD</t>
        </is>
      </c>
      <c r="K769" s="51" t="inlineStr">
        <is>
          <t>PAC</t>
        </is>
      </c>
      <c r="L769" s="105" t="inlineStr">
        <is>
          <t>VR</t>
        </is>
      </c>
      <c r="M769" s="210" t="inlineStr">
        <is>
          <t>RK</t>
        </is>
      </c>
      <c r="N769" s="211" t="n"/>
      <c r="O769" s="340" t="inlineStr">
        <is>
          <t>SBL</t>
        </is>
      </c>
      <c r="Q769" s="271" t="n"/>
      <c r="R769" s="282" t="n"/>
    </row>
    <row r="770" ht="18" customHeight="1" s="305">
      <c r="A770" s="8" t="inlineStr">
        <is>
          <t>C 527</t>
        </is>
      </c>
      <c r="B770" s="5" t="n">
        <v>188</v>
      </c>
      <c r="C770" s="6" t="inlineStr">
        <is>
          <t>X</t>
        </is>
      </c>
      <c r="D770" s="5" t="n">
        <v>300</v>
      </c>
      <c r="E770" s="2">
        <f>B770*D770/10000</f>
        <v/>
      </c>
      <c r="F770" s="3">
        <f>B770/30.48</f>
        <v/>
      </c>
      <c r="G770" s="3">
        <f>D770/30.48</f>
        <v/>
      </c>
      <c r="H770" s="615" t="n"/>
      <c r="I770" s="49" t="inlineStr">
        <is>
          <t>OLD</t>
        </is>
      </c>
      <c r="J770" s="48" t="inlineStr">
        <is>
          <t>TRS</t>
        </is>
      </c>
      <c r="K770" s="51" t="inlineStr">
        <is>
          <t>PAC</t>
        </is>
      </c>
      <c r="L770" s="105" t="inlineStr">
        <is>
          <t>VR</t>
        </is>
      </c>
      <c r="M770" s="210" t="n"/>
      <c r="N770" s="211" t="n"/>
      <c r="O770" s="263" t="inlineStr">
        <is>
          <t xml:space="preserve"> </t>
        </is>
      </c>
      <c r="Q770" s="271" t="n"/>
      <c r="R770" s="282" t="n"/>
    </row>
    <row r="771" ht="18" customHeight="1" s="305">
      <c r="A771" s="8" t="inlineStr">
        <is>
          <t>C 529</t>
        </is>
      </c>
      <c r="B771" s="5" t="n">
        <v>76</v>
      </c>
      <c r="C771" s="6" t="inlineStr">
        <is>
          <t>X</t>
        </is>
      </c>
      <c r="D771" s="5" t="n">
        <v>190</v>
      </c>
      <c r="E771" s="2">
        <f>B771*D771/10000</f>
        <v/>
      </c>
      <c r="F771" s="3">
        <f>B771/30.48</f>
        <v/>
      </c>
      <c r="G771" s="3">
        <f>D771/30.48</f>
        <v/>
      </c>
      <c r="H771" s="615" t="n"/>
      <c r="I771" s="49" t="inlineStr">
        <is>
          <t>OLD</t>
        </is>
      </c>
      <c r="J771" s="48" t="inlineStr">
        <is>
          <t>TRS</t>
        </is>
      </c>
      <c r="K771" s="51" t="inlineStr">
        <is>
          <t>PAC</t>
        </is>
      </c>
      <c r="L771" s="105" t="inlineStr">
        <is>
          <t>VR</t>
        </is>
      </c>
      <c r="M771" s="210" t="n"/>
      <c r="N771" s="211" t="n"/>
      <c r="O771" s="340" t="inlineStr">
        <is>
          <t>SBL</t>
        </is>
      </c>
      <c r="Q771" s="271" t="n"/>
      <c r="R771" s="282" t="n"/>
    </row>
    <row r="772" ht="18" customHeight="1" s="305">
      <c r="A772" s="8" t="inlineStr">
        <is>
          <t>C 536</t>
        </is>
      </c>
      <c r="B772" s="5" t="n">
        <v>100</v>
      </c>
      <c r="C772" s="6" t="inlineStr">
        <is>
          <t>X</t>
        </is>
      </c>
      <c r="D772" s="5" t="n">
        <v>270</v>
      </c>
      <c r="E772" s="2">
        <f>B772*D772/10000</f>
        <v/>
      </c>
      <c r="F772" s="3">
        <f>B772/30.48</f>
        <v/>
      </c>
      <c r="G772" s="3">
        <f>D772/30.48</f>
        <v/>
      </c>
      <c r="H772" s="615" t="n"/>
      <c r="I772" s="49" t="inlineStr">
        <is>
          <t>OLD</t>
        </is>
      </c>
      <c r="J772" s="48" t="inlineStr">
        <is>
          <t>TRS</t>
        </is>
      </c>
      <c r="K772" s="51" t="inlineStr">
        <is>
          <t>PAC</t>
        </is>
      </c>
      <c r="L772" s="105" t="inlineStr">
        <is>
          <t>VR</t>
        </is>
      </c>
      <c r="M772" s="210" t="inlineStr">
        <is>
          <t>RK</t>
        </is>
      </c>
      <c r="N772" s="211" t="n"/>
      <c r="O772" s="340" t="inlineStr">
        <is>
          <t>SBL</t>
        </is>
      </c>
      <c r="Q772" s="271" t="n"/>
      <c r="R772" s="282" t="n"/>
    </row>
    <row r="773" ht="18" customHeight="1" s="305">
      <c r="A773" s="8" t="inlineStr">
        <is>
          <t>C 545</t>
        </is>
      </c>
      <c r="B773" s="5" t="n">
        <v>181</v>
      </c>
      <c r="C773" s="6" t="inlineStr">
        <is>
          <t>X</t>
        </is>
      </c>
      <c r="D773" s="5" t="n">
        <v>259</v>
      </c>
      <c r="E773" s="2">
        <f>B773*D773/10000</f>
        <v/>
      </c>
      <c r="F773" s="3">
        <f>B773/30.48</f>
        <v/>
      </c>
      <c r="G773" s="3">
        <f>D773/30.48</f>
        <v/>
      </c>
      <c r="H773" s="615" t="n"/>
      <c r="I773" s="49" t="inlineStr">
        <is>
          <t>OLD</t>
        </is>
      </c>
      <c r="J773" s="48" t="inlineStr">
        <is>
          <t>TRS</t>
        </is>
      </c>
      <c r="K773" s="51" t="inlineStr">
        <is>
          <t>PAC</t>
        </is>
      </c>
      <c r="L773" s="105" t="inlineStr">
        <is>
          <t>VR</t>
        </is>
      </c>
      <c r="M773" s="210" t="n"/>
      <c r="N773" s="211" t="n"/>
      <c r="O773" s="340" t="inlineStr">
        <is>
          <t>SBL</t>
        </is>
      </c>
      <c r="Q773" s="271" t="n"/>
      <c r="R773" s="282" t="n"/>
    </row>
    <row r="774" ht="18" customHeight="1" s="305">
      <c r="A774" s="8" t="inlineStr">
        <is>
          <t>C 745</t>
        </is>
      </c>
      <c r="B774" s="5" t="n">
        <v>171</v>
      </c>
      <c r="C774" s="6" t="inlineStr">
        <is>
          <t>X</t>
        </is>
      </c>
      <c r="D774" s="5" t="n">
        <v>268</v>
      </c>
      <c r="E774" s="2">
        <f>B774*D774/10000</f>
        <v/>
      </c>
      <c r="F774" s="3">
        <f>B774/30.48</f>
        <v/>
      </c>
      <c r="G774" s="3">
        <f>D774/30.48</f>
        <v/>
      </c>
      <c r="H774" s="615" t="n"/>
      <c r="I774" s="49" t="inlineStr">
        <is>
          <t>OLD</t>
        </is>
      </c>
      <c r="J774" s="48" t="inlineStr">
        <is>
          <t>TRS</t>
        </is>
      </c>
      <c r="K774" s="51" t="inlineStr">
        <is>
          <t>PAC</t>
        </is>
      </c>
      <c r="L774" s="105" t="inlineStr">
        <is>
          <t>VR</t>
        </is>
      </c>
      <c r="M774" s="210" t="n"/>
      <c r="N774" s="211" t="n"/>
      <c r="O774" s="340" t="inlineStr">
        <is>
          <t>SBL</t>
        </is>
      </c>
      <c r="Q774" s="271" t="n"/>
      <c r="R774" s="282" t="n"/>
    </row>
    <row r="775" ht="18" customHeight="1" s="305">
      <c r="A775" s="8" t="inlineStr">
        <is>
          <t>C 752</t>
        </is>
      </c>
      <c r="B775" s="5" t="n">
        <v>197</v>
      </c>
      <c r="C775" s="6" t="inlineStr">
        <is>
          <t>X</t>
        </is>
      </c>
      <c r="D775" s="5" t="n">
        <v>285</v>
      </c>
      <c r="E775" s="2">
        <f>B775*D775/10000</f>
        <v/>
      </c>
      <c r="F775" s="3">
        <f>B775/30.48</f>
        <v/>
      </c>
      <c r="G775" s="3">
        <f>D775/30.48</f>
        <v/>
      </c>
      <c r="H775" s="615" t="n"/>
      <c r="I775" s="49" t="inlineStr">
        <is>
          <t>OLD</t>
        </is>
      </c>
      <c r="J775" s="48" t="inlineStr">
        <is>
          <t>TRS</t>
        </is>
      </c>
      <c r="K775" s="51" t="inlineStr">
        <is>
          <t>PAC</t>
        </is>
      </c>
      <c r="L775" s="105" t="inlineStr">
        <is>
          <t>VR</t>
        </is>
      </c>
      <c r="M775" s="210" t="n"/>
      <c r="N775" s="211" t="n"/>
      <c r="O775" s="263" t="n"/>
      <c r="Q775" s="271" t="n"/>
      <c r="R775" s="282" t="n"/>
    </row>
    <row r="776" ht="18" customHeight="1" s="305">
      <c r="A776" s="8" t="inlineStr">
        <is>
          <t>C 821</t>
        </is>
      </c>
      <c r="B776" s="5" t="n">
        <v>135</v>
      </c>
      <c r="C776" s="6" t="inlineStr">
        <is>
          <t>X</t>
        </is>
      </c>
      <c r="D776" s="5" t="n">
        <v>188</v>
      </c>
      <c r="E776" s="2">
        <f>B776*D776/10000</f>
        <v/>
      </c>
      <c r="F776" s="3">
        <f>B776/30.48</f>
        <v/>
      </c>
      <c r="G776" s="3">
        <f>D776/30.48</f>
        <v/>
      </c>
      <c r="H776" s="615" t="n"/>
      <c r="I776" s="49" t="inlineStr">
        <is>
          <t>OLD</t>
        </is>
      </c>
      <c r="J776" s="48" t="inlineStr">
        <is>
          <t>TRS</t>
        </is>
      </c>
      <c r="K776" s="51" t="inlineStr">
        <is>
          <t>PAC</t>
        </is>
      </c>
      <c r="M776" s="210" t="n"/>
      <c r="N776" s="211" t="n"/>
      <c r="O776" s="340" t="inlineStr">
        <is>
          <t>SBL</t>
        </is>
      </c>
      <c r="Q776" s="271" t="n"/>
      <c r="R776" s="282" t="n"/>
    </row>
    <row r="777" ht="18" customHeight="1" s="305">
      <c r="A777" s="8" t="inlineStr">
        <is>
          <t>C 877</t>
        </is>
      </c>
      <c r="B777" s="5" t="n">
        <v>83</v>
      </c>
      <c r="C777" s="6" t="inlineStr">
        <is>
          <t>X</t>
        </is>
      </c>
      <c r="D777" s="5" t="n">
        <v>375</v>
      </c>
      <c r="E777" s="2">
        <f>B777*D777/10000</f>
        <v/>
      </c>
      <c r="F777" s="3">
        <f>B777/30.48</f>
        <v/>
      </c>
      <c r="G777" s="3">
        <f>D777/30.48</f>
        <v/>
      </c>
      <c r="H777" s="615" t="n"/>
      <c r="I777" s="49" t="inlineStr">
        <is>
          <t>OLD</t>
        </is>
      </c>
      <c r="J777" s="48" t="inlineStr">
        <is>
          <t>TRS</t>
        </is>
      </c>
      <c r="K777" s="51" t="inlineStr">
        <is>
          <t>PAC</t>
        </is>
      </c>
      <c r="M777" s="210" t="n"/>
      <c r="N777" s="211" t="n"/>
      <c r="O777" s="340" t="inlineStr">
        <is>
          <t>SBL</t>
        </is>
      </c>
      <c r="Q777" s="271" t="n"/>
      <c r="R777" s="282" t="n"/>
    </row>
    <row r="778" ht="18" customHeight="1" s="305">
      <c r="A778" s="8" t="inlineStr">
        <is>
          <t>C 512</t>
        </is>
      </c>
      <c r="B778" s="5" t="n">
        <v>210</v>
      </c>
      <c r="C778" s="6" t="inlineStr">
        <is>
          <t>X</t>
        </is>
      </c>
      <c r="D778" s="5" t="n">
        <v>305</v>
      </c>
      <c r="E778" s="2">
        <f>B778*D778/10000</f>
        <v/>
      </c>
      <c r="F778" s="3">
        <f>B778/30.48</f>
        <v/>
      </c>
      <c r="G778" s="3">
        <f>D778/30.48</f>
        <v/>
      </c>
      <c r="H778" s="615" t="n"/>
      <c r="I778" s="49" t="inlineStr">
        <is>
          <t>OLD</t>
        </is>
      </c>
      <c r="J778" s="48" t="inlineStr">
        <is>
          <t>TRS</t>
        </is>
      </c>
      <c r="K778" s="51" t="inlineStr">
        <is>
          <t>PAC</t>
        </is>
      </c>
      <c r="M778" s="210" t="n"/>
      <c r="N778" s="211" t="n"/>
      <c r="O778" s="263" t="n"/>
      <c r="Q778" s="271" t="n"/>
      <c r="R778" s="282" t="n"/>
    </row>
    <row r="779" ht="18" customHeight="1" s="305">
      <c r="A779" s="8" t="inlineStr">
        <is>
          <t>C 513</t>
        </is>
      </c>
      <c r="B779" s="5" t="n">
        <v>214</v>
      </c>
      <c r="C779" s="6" t="inlineStr">
        <is>
          <t>X</t>
        </is>
      </c>
      <c r="D779" s="5" t="n">
        <v>319</v>
      </c>
      <c r="E779" s="2">
        <f>B779*D779/10000</f>
        <v/>
      </c>
      <c r="F779" s="3">
        <f>B779/30.48</f>
        <v/>
      </c>
      <c r="G779" s="3">
        <f>D779/30.48</f>
        <v/>
      </c>
      <c r="H779" s="615" t="n"/>
      <c r="I779" s="49" t="inlineStr">
        <is>
          <t>OLD</t>
        </is>
      </c>
      <c r="J779" s="48" t="inlineStr">
        <is>
          <t>TRS</t>
        </is>
      </c>
      <c r="K779" s="51" t="inlineStr">
        <is>
          <t>PAC</t>
        </is>
      </c>
      <c r="M779" s="210" t="n"/>
      <c r="N779" s="211" t="n"/>
      <c r="O779" s="340" t="inlineStr">
        <is>
          <t>SBL</t>
        </is>
      </c>
      <c r="Q779" s="271" t="n"/>
      <c r="R779" s="282" t="n"/>
    </row>
    <row r="780" ht="18" customHeight="1" s="305">
      <c r="A780" s="8" t="inlineStr">
        <is>
          <t>C 634</t>
        </is>
      </c>
      <c r="B780" s="5" t="n">
        <v>111</v>
      </c>
      <c r="C780" s="6" t="inlineStr">
        <is>
          <t>X</t>
        </is>
      </c>
      <c r="D780" s="5" t="n">
        <v>280</v>
      </c>
      <c r="E780" s="2">
        <f>B780*D780/10000</f>
        <v/>
      </c>
      <c r="F780" s="3">
        <f>B780/30.48</f>
        <v/>
      </c>
      <c r="G780" s="3">
        <f>D780/30.48</f>
        <v/>
      </c>
      <c r="H780" s="615" t="n"/>
      <c r="I780" s="49" t="inlineStr">
        <is>
          <t>OLD</t>
        </is>
      </c>
      <c r="J780" s="48" t="inlineStr">
        <is>
          <t>TRS</t>
        </is>
      </c>
      <c r="K780" s="51" t="inlineStr">
        <is>
          <t>PAC</t>
        </is>
      </c>
      <c r="L780" s="105" t="inlineStr">
        <is>
          <t>VR</t>
        </is>
      </c>
      <c r="M780" s="210" t="inlineStr">
        <is>
          <t>RK</t>
        </is>
      </c>
      <c r="N780" s="211" t="n"/>
      <c r="O780" s="340" t="inlineStr">
        <is>
          <t>SBL</t>
        </is>
      </c>
      <c r="Q780" s="271" t="n"/>
      <c r="R780" s="282" t="n"/>
    </row>
    <row r="781" ht="18" customHeight="1" s="305">
      <c r="A781" s="8" t="inlineStr">
        <is>
          <t>C 682</t>
        </is>
      </c>
      <c r="B781" s="5" t="n">
        <v>199</v>
      </c>
      <c r="C781" s="6" t="inlineStr">
        <is>
          <t>X</t>
        </is>
      </c>
      <c r="D781" s="5" t="n">
        <v>281</v>
      </c>
      <c r="E781" s="2">
        <f>B781*D781/10000</f>
        <v/>
      </c>
      <c r="F781" s="3">
        <f>B781/30.48</f>
        <v/>
      </c>
      <c r="G781" s="3">
        <f>D781/30.48</f>
        <v/>
      </c>
      <c r="H781" s="615" t="n"/>
      <c r="I781" s="49" t="inlineStr">
        <is>
          <t>OLD</t>
        </is>
      </c>
      <c r="J781" s="48" t="inlineStr">
        <is>
          <t>TRS</t>
        </is>
      </c>
      <c r="K781" s="51" t="inlineStr">
        <is>
          <t>PAC</t>
        </is>
      </c>
      <c r="L781" s="105" t="inlineStr">
        <is>
          <t>VR</t>
        </is>
      </c>
      <c r="M781" s="210" t="n"/>
      <c r="N781" s="211" t="n"/>
      <c r="O781" s="340" t="inlineStr">
        <is>
          <t>SBL</t>
        </is>
      </c>
      <c r="Q781" s="271" t="n"/>
      <c r="R781" s="282" t="n"/>
    </row>
    <row r="782" ht="18" customHeight="1" s="305">
      <c r="A782" s="8" t="inlineStr">
        <is>
          <t>C 721</t>
        </is>
      </c>
      <c r="B782" s="5" t="n">
        <v>131</v>
      </c>
      <c r="C782" s="6" t="inlineStr">
        <is>
          <t>X</t>
        </is>
      </c>
      <c r="D782" s="5" t="n">
        <v>180</v>
      </c>
      <c r="E782" s="2">
        <f>B782*D782/10000</f>
        <v/>
      </c>
      <c r="F782" s="3">
        <f>B782/30.48</f>
        <v/>
      </c>
      <c r="G782" s="3">
        <f>D782/30.48</f>
        <v/>
      </c>
      <c r="H782" s="615" t="n"/>
      <c r="I782" s="49" t="inlineStr">
        <is>
          <t>OLD</t>
        </is>
      </c>
      <c r="J782" s="48" t="inlineStr">
        <is>
          <t>TRS</t>
        </is>
      </c>
      <c r="K782" s="51" t="inlineStr">
        <is>
          <t>PAC</t>
        </is>
      </c>
      <c r="L782" s="105" t="inlineStr">
        <is>
          <t>VR</t>
        </is>
      </c>
      <c r="M782" s="210" t="inlineStr">
        <is>
          <t>RK</t>
        </is>
      </c>
      <c r="N782" s="211" t="n"/>
      <c r="O782" s="340" t="inlineStr">
        <is>
          <t>SBL</t>
        </is>
      </c>
      <c r="Q782" s="271" t="n"/>
      <c r="R782" s="282" t="n"/>
    </row>
    <row r="783" ht="18" customHeight="1" s="305">
      <c r="A783" s="8" t="inlineStr">
        <is>
          <t>C 723</t>
        </is>
      </c>
      <c r="B783" s="5" t="n">
        <v>162</v>
      </c>
      <c r="C783" s="6" t="inlineStr">
        <is>
          <t>X</t>
        </is>
      </c>
      <c r="D783" s="5" t="n">
        <v>272</v>
      </c>
      <c r="E783" s="2">
        <f>B783*D783/10000</f>
        <v/>
      </c>
      <c r="F783" s="3">
        <f>B783/30.48</f>
        <v/>
      </c>
      <c r="G783" s="3">
        <f>D783/30.48</f>
        <v/>
      </c>
      <c r="H783" s="615" t="n"/>
      <c r="I783" s="49" t="inlineStr">
        <is>
          <t>OLD</t>
        </is>
      </c>
      <c r="J783" s="48" t="inlineStr">
        <is>
          <t>TRS</t>
        </is>
      </c>
      <c r="K783" s="51" t="inlineStr">
        <is>
          <t>PAC</t>
        </is>
      </c>
      <c r="M783" s="210" t="n"/>
      <c r="N783" s="211" t="n"/>
      <c r="O783" s="263" t="n"/>
      <c r="Q783" s="271" t="n"/>
      <c r="R783" s="282" t="n"/>
    </row>
    <row r="784" ht="18" customHeight="1" s="305">
      <c r="A784" s="8" t="inlineStr">
        <is>
          <t>C 741</t>
        </is>
      </c>
      <c r="B784" s="5" t="n">
        <v>202</v>
      </c>
      <c r="C784" s="6" t="inlineStr">
        <is>
          <t>X</t>
        </is>
      </c>
      <c r="D784" s="5" t="n">
        <v>305</v>
      </c>
      <c r="E784" s="2">
        <f>B784*D784/10000</f>
        <v/>
      </c>
      <c r="F784" s="3">
        <f>B784/30.48</f>
        <v/>
      </c>
      <c r="G784" s="3">
        <f>D784/30.48</f>
        <v/>
      </c>
      <c r="H784" s="615" t="n"/>
      <c r="I784" s="49" t="inlineStr">
        <is>
          <t>OLD</t>
        </is>
      </c>
      <c r="J784" s="48" t="inlineStr">
        <is>
          <t>TRS</t>
        </is>
      </c>
      <c r="K784" s="51" t="inlineStr">
        <is>
          <t>PAC</t>
        </is>
      </c>
      <c r="M784" s="210" t="n"/>
      <c r="N784" s="211" t="n"/>
      <c r="O784" s="340" t="inlineStr">
        <is>
          <t>SBL</t>
        </is>
      </c>
      <c r="Q784" s="271" t="n"/>
      <c r="R784" s="282" t="n"/>
    </row>
    <row r="785" ht="18" customHeight="1" s="305">
      <c r="A785" s="8" t="inlineStr">
        <is>
          <t>C 840</t>
        </is>
      </c>
      <c r="B785" s="5" t="n">
        <v>91</v>
      </c>
      <c r="C785" s="6" t="inlineStr">
        <is>
          <t>X</t>
        </is>
      </c>
      <c r="D785" s="5" t="n">
        <v>322</v>
      </c>
      <c r="E785" s="2">
        <f>B785*D785/10000</f>
        <v/>
      </c>
      <c r="F785" s="3">
        <f>B785/30.48</f>
        <v/>
      </c>
      <c r="G785" s="3">
        <f>D785/30.48</f>
        <v/>
      </c>
      <c r="H785" s="615" t="n"/>
      <c r="I785" s="49" t="inlineStr">
        <is>
          <t>OLD</t>
        </is>
      </c>
      <c r="J785" s="48" t="inlineStr">
        <is>
          <t>TRS</t>
        </is>
      </c>
      <c r="K785" s="51" t="inlineStr">
        <is>
          <t>PAC</t>
        </is>
      </c>
      <c r="L785" s="105" t="inlineStr">
        <is>
          <t>VR</t>
        </is>
      </c>
      <c r="M785" s="210" t="inlineStr">
        <is>
          <t>RK</t>
        </is>
      </c>
      <c r="N785" s="211" t="n"/>
      <c r="O785" s="340" t="inlineStr">
        <is>
          <t>SBL</t>
        </is>
      </c>
      <c r="Q785" s="271" t="n"/>
      <c r="R785" s="282" t="n"/>
    </row>
    <row r="786" ht="18" customHeight="1" s="305">
      <c r="A786" s="8" t="inlineStr">
        <is>
          <t>C 847</t>
        </is>
      </c>
      <c r="B786" s="5" t="n">
        <v>115</v>
      </c>
      <c r="C786" s="6" t="inlineStr">
        <is>
          <t>X</t>
        </is>
      </c>
      <c r="D786" s="5" t="n">
        <v>204</v>
      </c>
      <c r="E786" s="2">
        <f>B786*D786/10000</f>
        <v/>
      </c>
      <c r="F786" s="3">
        <f>B786/30.48</f>
        <v/>
      </c>
      <c r="G786" s="3">
        <f>D786/30.48</f>
        <v/>
      </c>
      <c r="H786" s="615" t="n"/>
      <c r="I786" s="49" t="inlineStr">
        <is>
          <t>OLD</t>
        </is>
      </c>
      <c r="J786" s="48" t="inlineStr">
        <is>
          <t>TRS</t>
        </is>
      </c>
      <c r="K786" s="51" t="inlineStr">
        <is>
          <t>PAC</t>
        </is>
      </c>
      <c r="M786" s="210" t="n"/>
      <c r="N786" s="211" t="n"/>
      <c r="O786" s="340" t="inlineStr">
        <is>
          <t>SBL</t>
        </is>
      </c>
      <c r="Q786" s="271" t="n"/>
      <c r="R786" s="282" t="n"/>
    </row>
    <row r="787" ht="18" customHeight="1" s="305">
      <c r="A787" s="8" t="inlineStr">
        <is>
          <t>C 859</t>
        </is>
      </c>
      <c r="B787" s="5" t="n">
        <v>168</v>
      </c>
      <c r="C787" s="6" t="inlineStr">
        <is>
          <t>X</t>
        </is>
      </c>
      <c r="D787" s="5" t="n">
        <v>289</v>
      </c>
      <c r="E787" s="2">
        <f>B787*D787/10000</f>
        <v/>
      </c>
      <c r="F787" s="3">
        <f>B787/30.48</f>
        <v/>
      </c>
      <c r="G787" s="3">
        <f>D787/30.48</f>
        <v/>
      </c>
      <c r="H787" s="615" t="n"/>
      <c r="I787" s="49" t="inlineStr">
        <is>
          <t>OLD</t>
        </is>
      </c>
      <c r="J787" s="48" t="inlineStr">
        <is>
          <t>TRS</t>
        </is>
      </c>
      <c r="K787" s="51" t="inlineStr">
        <is>
          <t>PAC</t>
        </is>
      </c>
      <c r="M787" s="210" t="n"/>
      <c r="N787" s="211" t="n"/>
      <c r="O787" s="340" t="inlineStr">
        <is>
          <t>SBL</t>
        </is>
      </c>
      <c r="Q787" s="271" t="n"/>
      <c r="R787" s="282" t="n"/>
    </row>
    <row r="788" ht="18" customHeight="1" s="305">
      <c r="A788" s="8" t="inlineStr">
        <is>
          <t>C 506</t>
        </is>
      </c>
      <c r="B788" s="5" t="n">
        <v>206</v>
      </c>
      <c r="C788" s="6" t="inlineStr">
        <is>
          <t>X</t>
        </is>
      </c>
      <c r="D788" s="5" t="n">
        <v>342</v>
      </c>
      <c r="E788" s="2">
        <f>B788*D788/10000</f>
        <v/>
      </c>
      <c r="F788" s="3">
        <f>B788/30.48</f>
        <v/>
      </c>
      <c r="G788" s="3">
        <f>D788/30.48</f>
        <v/>
      </c>
      <c r="H788" s="615" t="n"/>
      <c r="I788" s="49" t="inlineStr">
        <is>
          <t>OLD</t>
        </is>
      </c>
      <c r="J788" s="48" t="inlineStr">
        <is>
          <t>TRS</t>
        </is>
      </c>
      <c r="K788" s="51" t="inlineStr">
        <is>
          <t>PAC</t>
        </is>
      </c>
      <c r="L788" s="105" t="inlineStr">
        <is>
          <t>VR</t>
        </is>
      </c>
      <c r="M788" s="210" t="inlineStr">
        <is>
          <t>RK</t>
        </is>
      </c>
      <c r="N788" s="211" t="n"/>
      <c r="O788" s="340" t="inlineStr">
        <is>
          <t>SBL</t>
        </is>
      </c>
      <c r="Q788" s="271" t="n"/>
      <c r="R788" s="282" t="n"/>
    </row>
    <row r="789" ht="18" customHeight="1" s="305">
      <c r="A789" s="8" t="inlineStr">
        <is>
          <t>C 509</t>
        </is>
      </c>
      <c r="B789" s="5" t="n">
        <v>184</v>
      </c>
      <c r="C789" s="6" t="inlineStr">
        <is>
          <t>X</t>
        </is>
      </c>
      <c r="D789" s="5" t="n">
        <v>270</v>
      </c>
      <c r="E789" s="2">
        <f>B789*D789/10000</f>
        <v/>
      </c>
      <c r="F789" s="3">
        <f>B789/30.48</f>
        <v/>
      </c>
      <c r="G789" s="3">
        <f>D789/30.48</f>
        <v/>
      </c>
      <c r="H789" s="615" t="n"/>
      <c r="I789" s="49" t="inlineStr">
        <is>
          <t>OLD</t>
        </is>
      </c>
      <c r="J789" s="48" t="inlineStr">
        <is>
          <t>TRS</t>
        </is>
      </c>
      <c r="K789" s="51" t="inlineStr">
        <is>
          <t>PAC</t>
        </is>
      </c>
      <c r="L789" s="105" t="inlineStr">
        <is>
          <t>VR</t>
        </is>
      </c>
      <c r="M789" s="210" t="n"/>
      <c r="N789" s="211" t="n"/>
      <c r="O789" s="340" t="inlineStr">
        <is>
          <t>SBL</t>
        </is>
      </c>
      <c r="Q789" s="271" t="n"/>
      <c r="R789" s="282" t="n"/>
    </row>
    <row r="790" ht="18" customHeight="1" s="305">
      <c r="A790" s="8" t="inlineStr">
        <is>
          <t>C 549</t>
        </is>
      </c>
      <c r="B790" s="5" t="n">
        <v>217</v>
      </c>
      <c r="C790" s="6" t="inlineStr">
        <is>
          <t>X</t>
        </is>
      </c>
      <c r="D790" s="5" t="n">
        <v>300</v>
      </c>
      <c r="E790" s="2">
        <f>B790*D790/10000</f>
        <v/>
      </c>
      <c r="F790" s="3">
        <f>B790/30.48</f>
        <v/>
      </c>
      <c r="G790" s="3">
        <f>D790/30.48</f>
        <v/>
      </c>
      <c r="H790" s="615" t="n"/>
      <c r="I790" s="49" t="inlineStr">
        <is>
          <t>OLD</t>
        </is>
      </c>
      <c r="J790" s="48" t="inlineStr">
        <is>
          <t>TRS</t>
        </is>
      </c>
      <c r="K790" s="51" t="inlineStr">
        <is>
          <t>PAC</t>
        </is>
      </c>
      <c r="L790" s="105" t="inlineStr">
        <is>
          <t>VR</t>
        </is>
      </c>
      <c r="M790" s="210" t="n"/>
      <c r="N790" s="211" t="n"/>
      <c r="O790" s="340" t="inlineStr">
        <is>
          <t>SBL</t>
        </is>
      </c>
      <c r="Q790" s="271" t="n"/>
      <c r="R790" s="282" t="n"/>
    </row>
    <row r="791" ht="18" customHeight="1" s="305">
      <c r="A791" s="8" t="inlineStr">
        <is>
          <t>C 641</t>
        </is>
      </c>
      <c r="B791" s="5" t="n">
        <v>120</v>
      </c>
      <c r="C791" s="6" t="inlineStr">
        <is>
          <t>X</t>
        </is>
      </c>
      <c r="D791" s="5" t="n">
        <v>170</v>
      </c>
      <c r="E791" s="2">
        <f>B791*D791/10000</f>
        <v/>
      </c>
      <c r="F791" s="3">
        <f>B791/30.48</f>
        <v/>
      </c>
      <c r="G791" s="3">
        <f>D791/30.48</f>
        <v/>
      </c>
      <c r="H791" s="615" t="n"/>
      <c r="I791" s="49" t="inlineStr">
        <is>
          <t>OLD</t>
        </is>
      </c>
      <c r="J791" s="48" t="inlineStr">
        <is>
          <t>TRS</t>
        </is>
      </c>
      <c r="K791" s="51" t="inlineStr">
        <is>
          <t>PAC</t>
        </is>
      </c>
      <c r="L791" s="105" t="inlineStr">
        <is>
          <t>VR</t>
        </is>
      </c>
      <c r="M791" s="210" t="inlineStr">
        <is>
          <t>RK</t>
        </is>
      </c>
      <c r="N791" s="211" t="n"/>
      <c r="O791" s="340" t="inlineStr">
        <is>
          <t>SBL</t>
        </is>
      </c>
      <c r="Q791" s="271" t="n"/>
      <c r="R791" s="282" t="n"/>
    </row>
    <row r="792" ht="18" customHeight="1" s="305">
      <c r="A792" s="8" t="inlineStr">
        <is>
          <t>C 642</t>
        </is>
      </c>
      <c r="B792" s="5" t="n">
        <v>237</v>
      </c>
      <c r="C792" s="6" t="inlineStr">
        <is>
          <t>X</t>
        </is>
      </c>
      <c r="D792" s="5" t="n">
        <v>320</v>
      </c>
      <c r="E792" s="2">
        <f>B792*D792/10000</f>
        <v/>
      </c>
      <c r="F792" s="3">
        <f>B792/30.48</f>
        <v/>
      </c>
      <c r="G792" s="3">
        <f>D792/30.48</f>
        <v/>
      </c>
      <c r="H792" s="615" t="n"/>
      <c r="I792" s="49" t="inlineStr">
        <is>
          <t>OLD</t>
        </is>
      </c>
      <c r="J792" s="48" t="inlineStr">
        <is>
          <t>TRS</t>
        </is>
      </c>
      <c r="K792" s="51" t="inlineStr">
        <is>
          <t>PAC</t>
        </is>
      </c>
      <c r="L792" s="105" t="inlineStr">
        <is>
          <t>VR</t>
        </is>
      </c>
      <c r="M792" s="210" t="n"/>
      <c r="N792" s="211" t="n"/>
      <c r="O792" s="340" t="inlineStr">
        <is>
          <t>SBL</t>
        </is>
      </c>
      <c r="Q792" s="271" t="n"/>
      <c r="R792" s="282" t="n"/>
    </row>
    <row r="793" ht="18" customHeight="1" s="305">
      <c r="A793" s="8" t="inlineStr">
        <is>
          <t>C 645</t>
        </is>
      </c>
      <c r="B793" s="5" t="n">
        <v>134</v>
      </c>
      <c r="C793" s="6" t="inlineStr">
        <is>
          <t>X</t>
        </is>
      </c>
      <c r="D793" s="5" t="n">
        <v>216</v>
      </c>
      <c r="E793" s="2">
        <f>B793*D793/10000</f>
        <v/>
      </c>
      <c r="F793" s="3">
        <f>B793/30.48</f>
        <v/>
      </c>
      <c r="G793" s="3">
        <f>D793/30.48</f>
        <v/>
      </c>
      <c r="H793" s="615" t="n"/>
      <c r="I793" s="49" t="inlineStr">
        <is>
          <t>OLD</t>
        </is>
      </c>
      <c r="J793" s="48" t="inlineStr">
        <is>
          <t>TRS</t>
        </is>
      </c>
      <c r="K793" s="51" t="inlineStr">
        <is>
          <t>PAC</t>
        </is>
      </c>
      <c r="L793" s="105" t="inlineStr">
        <is>
          <t>VR</t>
        </is>
      </c>
      <c r="M793" s="210" t="inlineStr">
        <is>
          <t>RK</t>
        </is>
      </c>
      <c r="N793" s="211" t="n"/>
      <c r="O793" s="340" t="inlineStr">
        <is>
          <t>SBL</t>
        </is>
      </c>
      <c r="Q793" s="271" t="n"/>
      <c r="R793" s="282" t="n"/>
    </row>
    <row r="794" ht="18" customHeight="1" s="305">
      <c r="A794" s="8" t="inlineStr">
        <is>
          <t>C 656</t>
        </is>
      </c>
      <c r="B794" s="5" t="n">
        <v>147</v>
      </c>
      <c r="C794" s="6" t="inlineStr">
        <is>
          <t>X</t>
        </is>
      </c>
      <c r="D794" s="5" t="n">
        <v>227</v>
      </c>
      <c r="E794" s="2">
        <f>B794*D794/10000</f>
        <v/>
      </c>
      <c r="F794" s="3">
        <f>B794/30.48</f>
        <v/>
      </c>
      <c r="G794" s="3">
        <f>D794/30.48</f>
        <v/>
      </c>
      <c r="H794" s="615" t="n"/>
      <c r="I794" s="49" t="inlineStr">
        <is>
          <t>OLD</t>
        </is>
      </c>
      <c r="J794" s="48" t="inlineStr">
        <is>
          <t>TRS</t>
        </is>
      </c>
      <c r="K794" s="51" t="inlineStr">
        <is>
          <t>PAC</t>
        </is>
      </c>
      <c r="L794" s="105" t="inlineStr">
        <is>
          <t>VR</t>
        </is>
      </c>
      <c r="M794" s="210" t="n"/>
      <c r="N794" s="211" t="n"/>
      <c r="O794" s="340" t="inlineStr">
        <is>
          <t>SBL</t>
        </is>
      </c>
      <c r="Q794" s="271" t="n"/>
      <c r="R794" s="282" t="n"/>
    </row>
    <row r="795" ht="18" customHeight="1" s="305">
      <c r="A795" s="8" t="inlineStr">
        <is>
          <t>C 874</t>
        </is>
      </c>
      <c r="B795" s="5" t="n">
        <v>88</v>
      </c>
      <c r="C795" s="6" t="inlineStr">
        <is>
          <t>X</t>
        </is>
      </c>
      <c r="D795" s="5" t="n">
        <v>147</v>
      </c>
      <c r="E795" s="2">
        <f>B795*D795/10000</f>
        <v/>
      </c>
      <c r="F795" s="3">
        <f>B795/30.48</f>
        <v/>
      </c>
      <c r="G795" s="3">
        <f>D795/30.48</f>
        <v/>
      </c>
      <c r="H795" s="615" t="n"/>
      <c r="I795" s="49" t="inlineStr">
        <is>
          <t>OLD</t>
        </is>
      </c>
      <c r="J795" s="48" t="inlineStr">
        <is>
          <t>TRS</t>
        </is>
      </c>
      <c r="K795" s="51" t="inlineStr">
        <is>
          <t>PAC</t>
        </is>
      </c>
      <c r="L795" s="105" t="inlineStr">
        <is>
          <t>VR</t>
        </is>
      </c>
      <c r="M795" s="210" t="n"/>
      <c r="N795" s="211" t="n"/>
      <c r="O795" s="340" t="inlineStr">
        <is>
          <t>SBL</t>
        </is>
      </c>
      <c r="Q795" s="271" t="n"/>
      <c r="R795" s="282" t="n"/>
    </row>
    <row r="796" ht="18" customHeight="1" s="305">
      <c r="A796" s="8" t="inlineStr">
        <is>
          <t>C 954</t>
        </is>
      </c>
      <c r="B796" s="5" t="n">
        <v>75</v>
      </c>
      <c r="C796" s="6" t="inlineStr">
        <is>
          <t>X</t>
        </is>
      </c>
      <c r="D796" s="5" t="n">
        <v>226</v>
      </c>
      <c r="E796" s="2">
        <f>B796*D796/10000</f>
        <v/>
      </c>
      <c r="F796" s="3">
        <f>B796/30.48</f>
        <v/>
      </c>
      <c r="G796" s="3">
        <f>D796/30.48</f>
        <v/>
      </c>
      <c r="H796" s="615" t="n"/>
      <c r="I796" s="49" t="inlineStr">
        <is>
          <t>OLD</t>
        </is>
      </c>
      <c r="J796" s="48" t="inlineStr">
        <is>
          <t>TRS</t>
        </is>
      </c>
      <c r="K796" s="51" t="inlineStr">
        <is>
          <t>PAC</t>
        </is>
      </c>
      <c r="L796" s="105" t="inlineStr">
        <is>
          <t>VR</t>
        </is>
      </c>
      <c r="M796" s="210" t="inlineStr">
        <is>
          <t>RK</t>
        </is>
      </c>
      <c r="N796" s="211" t="n"/>
      <c r="O796" s="340" t="inlineStr">
        <is>
          <t>SBL</t>
        </is>
      </c>
      <c r="Q796" s="271" t="n"/>
      <c r="R796" s="282" t="n"/>
    </row>
    <row r="797" ht="18" customHeight="1" s="305">
      <c r="A797" s="8" t="inlineStr">
        <is>
          <t>C 956</t>
        </is>
      </c>
      <c r="B797" s="5" t="n">
        <v>61</v>
      </c>
      <c r="C797" s="6" t="inlineStr">
        <is>
          <t>X</t>
        </is>
      </c>
      <c r="D797" s="5" t="n">
        <v>116</v>
      </c>
      <c r="E797" s="2">
        <f>B797*D797/10000</f>
        <v/>
      </c>
      <c r="F797" s="3">
        <f>B797/30.48</f>
        <v/>
      </c>
      <c r="G797" s="3">
        <f>D797/30.48</f>
        <v/>
      </c>
      <c r="H797" s="615" t="n"/>
      <c r="I797" s="49" t="inlineStr">
        <is>
          <t>OLD</t>
        </is>
      </c>
      <c r="J797" s="48" t="inlineStr">
        <is>
          <t>TRS</t>
        </is>
      </c>
      <c r="K797" s="51" t="inlineStr">
        <is>
          <t>PAC</t>
        </is>
      </c>
      <c r="L797" s="105" t="inlineStr">
        <is>
          <t>VR</t>
        </is>
      </c>
      <c r="M797" s="210" t="n"/>
      <c r="N797" s="211" t="n"/>
      <c r="O797" s="340" t="inlineStr">
        <is>
          <t>SBL</t>
        </is>
      </c>
      <c r="Q797" s="271" t="n"/>
      <c r="R797" s="282" t="n"/>
    </row>
    <row r="798" ht="18" customHeight="1" s="305">
      <c r="A798" s="8" t="inlineStr">
        <is>
          <t>C 957</t>
        </is>
      </c>
      <c r="B798" s="5" t="n">
        <v>63</v>
      </c>
      <c r="C798" s="6" t="inlineStr">
        <is>
          <t>X</t>
        </is>
      </c>
      <c r="D798" s="5" t="n">
        <v>140</v>
      </c>
      <c r="E798" s="2">
        <f>B798*D798/10000</f>
        <v/>
      </c>
      <c r="F798" s="3">
        <f>B798/30.48</f>
        <v/>
      </c>
      <c r="G798" s="3">
        <f>D798/30.48</f>
        <v/>
      </c>
      <c r="H798" s="615" t="n"/>
      <c r="I798" s="49" t="n">
        <v>30</v>
      </c>
      <c r="J798" s="48" t="inlineStr">
        <is>
          <t>TRS</t>
        </is>
      </c>
      <c r="K798" s="51" t="inlineStr">
        <is>
          <t>PAC</t>
        </is>
      </c>
      <c r="L798" s="105" t="inlineStr">
        <is>
          <t>VR</t>
        </is>
      </c>
      <c r="M798" s="210" t="n"/>
      <c r="N798" s="211" t="n"/>
      <c r="O798" s="340" t="inlineStr">
        <is>
          <t>SBL</t>
        </is>
      </c>
      <c r="Q798" s="271" t="n"/>
      <c r="R798" s="282" t="n"/>
    </row>
    <row r="799" ht="18" customHeight="1" s="305">
      <c r="A799" s="8" t="inlineStr">
        <is>
          <t>B 175</t>
        </is>
      </c>
      <c r="B799" s="5" t="n">
        <v>185</v>
      </c>
      <c r="C799" s="6" t="inlineStr">
        <is>
          <t>X</t>
        </is>
      </c>
      <c r="D799" s="5" t="n">
        <v>269</v>
      </c>
      <c r="E799" s="2">
        <f>B799*D799/10000</f>
        <v/>
      </c>
      <c r="F799" s="3">
        <f>B799/30.48</f>
        <v/>
      </c>
      <c r="G799" s="3">
        <f>D799/30.48</f>
        <v/>
      </c>
      <c r="H799" s="615" t="n"/>
      <c r="I799" s="49" t="inlineStr">
        <is>
          <t>OLD</t>
        </is>
      </c>
      <c r="L799" s="105" t="inlineStr">
        <is>
          <t>VR</t>
        </is>
      </c>
      <c r="M799" s="210" t="n"/>
      <c r="N799" s="211" t="n"/>
      <c r="O799" s="263" t="n"/>
      <c r="Q799" s="271" t="n"/>
      <c r="R799" s="282" t="n"/>
    </row>
    <row r="800" ht="18" customHeight="1" s="305">
      <c r="A800" s="8" t="inlineStr">
        <is>
          <t>C 495</t>
        </is>
      </c>
      <c r="B800" s="5" t="n">
        <v>100</v>
      </c>
      <c r="C800" s="6" t="inlineStr">
        <is>
          <t>X</t>
        </is>
      </c>
      <c r="D800" s="5" t="n">
        <v>323</v>
      </c>
      <c r="E800" s="2">
        <f>B800*D800/10000</f>
        <v/>
      </c>
      <c r="F800" s="3">
        <f>B800/30.48</f>
        <v/>
      </c>
      <c r="G800" s="3">
        <f>D800/30.48</f>
        <v/>
      </c>
      <c r="H800" s="615" t="n"/>
      <c r="I800" s="49" t="inlineStr">
        <is>
          <t>OLD</t>
        </is>
      </c>
      <c r="J800" s="48" t="inlineStr">
        <is>
          <t>TRS</t>
        </is>
      </c>
      <c r="K800" s="51" t="inlineStr">
        <is>
          <t>PAC</t>
        </is>
      </c>
      <c r="L800" s="105" t="inlineStr">
        <is>
          <t>VR</t>
        </is>
      </c>
      <c r="M800" s="210" t="inlineStr">
        <is>
          <t>RK</t>
        </is>
      </c>
      <c r="N800" s="211" t="n"/>
      <c r="O800" s="340" t="inlineStr">
        <is>
          <t>SBL</t>
        </is>
      </c>
      <c r="Q800" s="271" t="n"/>
      <c r="R800" s="282" t="n"/>
    </row>
    <row r="801" ht="18" customHeight="1" s="305">
      <c r="A801" s="8" t="inlineStr">
        <is>
          <t>C 533</t>
        </is>
      </c>
      <c r="B801" s="5" t="n">
        <v>260</v>
      </c>
      <c r="C801" s="6" t="inlineStr">
        <is>
          <t>X</t>
        </is>
      </c>
      <c r="D801" s="5" t="n">
        <v>330</v>
      </c>
      <c r="E801" s="2">
        <f>B801*D801/10000</f>
        <v/>
      </c>
      <c r="F801" s="3">
        <f>B801/30.48</f>
        <v/>
      </c>
      <c r="G801" s="3">
        <f>D801/30.48</f>
        <v/>
      </c>
      <c r="H801" s="615" t="n"/>
      <c r="I801" s="49" t="inlineStr">
        <is>
          <t>OLD</t>
        </is>
      </c>
      <c r="J801" s="48" t="inlineStr">
        <is>
          <t>TRS</t>
        </is>
      </c>
      <c r="K801" s="51" t="inlineStr">
        <is>
          <t>PAC</t>
        </is>
      </c>
      <c r="L801" s="105" t="inlineStr">
        <is>
          <t>VR</t>
        </is>
      </c>
      <c r="M801" s="210" t="n"/>
      <c r="N801" s="211" t="n"/>
      <c r="O801" s="340" t="inlineStr">
        <is>
          <t>SBL</t>
        </is>
      </c>
      <c r="Q801" s="271" t="n"/>
      <c r="R801" s="282" t="n"/>
    </row>
    <row r="802" ht="18" customHeight="1" s="305">
      <c r="A802" s="8" t="inlineStr">
        <is>
          <t>C 537</t>
        </is>
      </c>
      <c r="B802" s="5" t="n">
        <v>87</v>
      </c>
      <c r="C802" s="6" t="inlineStr">
        <is>
          <t>X</t>
        </is>
      </c>
      <c r="D802" s="5" t="n">
        <v>175</v>
      </c>
      <c r="E802" s="2">
        <f>B802*D802/10000</f>
        <v/>
      </c>
      <c r="F802" s="3">
        <f>B802/30.48</f>
        <v/>
      </c>
      <c r="G802" s="3">
        <f>D802/30.48</f>
        <v/>
      </c>
      <c r="H802" s="615" t="n"/>
      <c r="I802" s="49" t="inlineStr">
        <is>
          <t>OLD</t>
        </is>
      </c>
      <c r="J802" s="48" t="inlineStr">
        <is>
          <t>TRS</t>
        </is>
      </c>
      <c r="K802" s="51" t="inlineStr">
        <is>
          <t>PAC</t>
        </is>
      </c>
      <c r="L802" s="105" t="inlineStr">
        <is>
          <t>VR</t>
        </is>
      </c>
      <c r="M802" s="210" t="n"/>
      <c r="N802" s="211" t="n"/>
      <c r="O802" s="340" t="inlineStr">
        <is>
          <t>SBL</t>
        </is>
      </c>
      <c r="Q802" s="271" t="n"/>
      <c r="R802" s="282" t="n"/>
    </row>
    <row r="803" ht="18" customHeight="1" s="305">
      <c r="A803" s="8" t="inlineStr">
        <is>
          <t>C 538</t>
        </is>
      </c>
      <c r="B803" s="5" t="n">
        <v>116</v>
      </c>
      <c r="C803" s="6" t="inlineStr">
        <is>
          <t>X</t>
        </is>
      </c>
      <c r="D803" s="5" t="n">
        <v>207</v>
      </c>
      <c r="E803" s="2">
        <f>B803*D803/10000</f>
        <v/>
      </c>
      <c r="F803" s="3">
        <f>B803/30.48</f>
        <v/>
      </c>
      <c r="G803" s="3">
        <f>D803/30.48</f>
        <v/>
      </c>
      <c r="H803" s="615" t="n"/>
      <c r="I803" s="49" t="inlineStr">
        <is>
          <t>OLD</t>
        </is>
      </c>
      <c r="J803" s="48" t="inlineStr">
        <is>
          <t>TRS</t>
        </is>
      </c>
      <c r="K803" s="51" t="inlineStr">
        <is>
          <t>PAC</t>
        </is>
      </c>
      <c r="L803" s="105" t="inlineStr">
        <is>
          <t>VR</t>
        </is>
      </c>
      <c r="M803" s="210" t="inlineStr">
        <is>
          <t>RK</t>
        </is>
      </c>
      <c r="N803" s="211" t="n"/>
      <c r="O803" s="340" t="inlineStr">
        <is>
          <t>SBL</t>
        </is>
      </c>
      <c r="Q803" s="271" t="n"/>
      <c r="R803" s="282" t="n"/>
    </row>
    <row r="804" ht="18" customHeight="1" s="305">
      <c r="A804" s="8" t="inlineStr">
        <is>
          <t>C 570</t>
        </is>
      </c>
      <c r="B804" s="5" t="n">
        <v>180</v>
      </c>
      <c r="C804" s="6" t="inlineStr">
        <is>
          <t>X</t>
        </is>
      </c>
      <c r="D804" s="5" t="n">
        <v>293</v>
      </c>
      <c r="E804" s="2">
        <f>B804*D804/10000</f>
        <v/>
      </c>
      <c r="F804" s="3">
        <f>B804/30.48</f>
        <v/>
      </c>
      <c r="G804" s="3">
        <f>D804/30.48</f>
        <v/>
      </c>
      <c r="H804" s="615" t="n"/>
      <c r="I804" s="49" t="inlineStr">
        <is>
          <t>OLD</t>
        </is>
      </c>
      <c r="J804" s="48" t="inlineStr">
        <is>
          <t>TRS</t>
        </is>
      </c>
      <c r="K804" s="51" t="inlineStr">
        <is>
          <t>PAC</t>
        </is>
      </c>
      <c r="L804" s="105" t="inlineStr">
        <is>
          <t>VR</t>
        </is>
      </c>
      <c r="M804" s="210" t="n"/>
      <c r="N804" s="211" t="n"/>
      <c r="O804" s="263" t="n"/>
      <c r="Q804" s="271" t="n"/>
      <c r="R804" s="282" t="n"/>
    </row>
    <row r="805" ht="18" customHeight="1" s="305">
      <c r="A805" s="8" t="inlineStr">
        <is>
          <t>C 666</t>
        </is>
      </c>
      <c r="B805" s="5" t="n">
        <v>70</v>
      </c>
      <c r="C805" s="6" t="inlineStr">
        <is>
          <t>X</t>
        </is>
      </c>
      <c r="D805" s="5" t="n">
        <v>96</v>
      </c>
      <c r="E805" s="2">
        <f>B805*D805/10000</f>
        <v/>
      </c>
      <c r="F805" s="3">
        <f>B805/30.48</f>
        <v/>
      </c>
      <c r="G805" s="3">
        <f>D805/30.48</f>
        <v/>
      </c>
      <c r="H805" s="615" t="n"/>
      <c r="I805" s="49" t="inlineStr">
        <is>
          <t>OLD</t>
        </is>
      </c>
      <c r="J805" s="48" t="inlineStr">
        <is>
          <t>TRS</t>
        </is>
      </c>
      <c r="K805" s="51" t="inlineStr">
        <is>
          <t>PAC</t>
        </is>
      </c>
      <c r="L805" s="105" t="inlineStr">
        <is>
          <t>VR</t>
        </is>
      </c>
      <c r="M805" s="210" t="n"/>
      <c r="N805" s="211" t="n"/>
      <c r="O805" s="340" t="inlineStr">
        <is>
          <t>SBL</t>
        </is>
      </c>
      <c r="Q805" s="271" t="n"/>
      <c r="R805" s="282" t="n"/>
    </row>
    <row r="806" ht="18" customHeight="1" s="305">
      <c r="A806" s="8" t="inlineStr">
        <is>
          <t>C 673</t>
        </is>
      </c>
      <c r="B806" s="5" t="n">
        <v>170</v>
      </c>
      <c r="C806" s="6" t="inlineStr">
        <is>
          <t>X</t>
        </is>
      </c>
      <c r="D806" s="5" t="n">
        <v>271</v>
      </c>
      <c r="E806" s="2">
        <f>B806*D806/10000</f>
        <v/>
      </c>
      <c r="F806" s="3">
        <f>B806/30.48</f>
        <v/>
      </c>
      <c r="G806" s="3">
        <f>D806/30.48</f>
        <v/>
      </c>
      <c r="H806" s="615" t="n"/>
      <c r="I806" s="49" t="inlineStr">
        <is>
          <t>OLD</t>
        </is>
      </c>
      <c r="J806" s="48" t="inlineStr">
        <is>
          <t>TRS</t>
        </is>
      </c>
      <c r="K806" s="51" t="inlineStr">
        <is>
          <t>PAC</t>
        </is>
      </c>
      <c r="M806" s="210" t="n"/>
      <c r="N806" s="211" t="n"/>
      <c r="O806" s="340" t="inlineStr">
        <is>
          <t>SBL</t>
        </is>
      </c>
      <c r="Q806" s="271" t="n"/>
      <c r="R806" s="282" t="n"/>
    </row>
    <row r="807" ht="18" customHeight="1" s="305">
      <c r="A807" s="8" t="inlineStr">
        <is>
          <t>C 696</t>
        </is>
      </c>
      <c r="B807" s="5" t="n">
        <v>85</v>
      </c>
      <c r="C807" s="6" t="inlineStr">
        <is>
          <t>X</t>
        </is>
      </c>
      <c r="D807" s="5" t="n">
        <v>389</v>
      </c>
      <c r="E807" s="2">
        <f>B807*D807/10000</f>
        <v/>
      </c>
      <c r="F807" s="3">
        <f>B807/30.48</f>
        <v/>
      </c>
      <c r="G807" s="3">
        <f>D807/30.48</f>
        <v/>
      </c>
      <c r="H807" s="615" t="n"/>
      <c r="I807" s="49" t="inlineStr">
        <is>
          <t>OLD</t>
        </is>
      </c>
      <c r="J807" s="48" t="inlineStr">
        <is>
          <t>TRS</t>
        </is>
      </c>
      <c r="K807" s="51" t="inlineStr">
        <is>
          <t>PAC</t>
        </is>
      </c>
      <c r="L807" s="105" t="inlineStr">
        <is>
          <t>VR</t>
        </is>
      </c>
      <c r="M807" s="210" t="n"/>
      <c r="N807" s="211" t="n"/>
      <c r="O807" s="340" t="inlineStr">
        <is>
          <t>SBL</t>
        </is>
      </c>
      <c r="Q807" s="271" t="n"/>
      <c r="R807" s="282" t="n"/>
    </row>
    <row r="808" ht="18" customHeight="1" s="305">
      <c r="A808" s="8" t="inlineStr">
        <is>
          <t>C 746</t>
        </is>
      </c>
      <c r="B808" s="5" t="n">
        <v>113</v>
      </c>
      <c r="C808" s="6" t="inlineStr">
        <is>
          <t>X</t>
        </is>
      </c>
      <c r="D808" s="5" t="n">
        <v>203</v>
      </c>
      <c r="E808" s="2">
        <f>B808*D808/10000</f>
        <v/>
      </c>
      <c r="F808" s="3">
        <f>B808/30.48</f>
        <v/>
      </c>
      <c r="G808" s="3">
        <f>D808/30.48</f>
        <v/>
      </c>
      <c r="H808" s="615" t="n"/>
      <c r="I808" s="49" t="inlineStr">
        <is>
          <t>OLD</t>
        </is>
      </c>
      <c r="J808" s="48" t="inlineStr">
        <is>
          <t>TRS</t>
        </is>
      </c>
      <c r="K808" s="51" t="inlineStr">
        <is>
          <t>PAC</t>
        </is>
      </c>
      <c r="L808" s="105" t="inlineStr">
        <is>
          <t>VR</t>
        </is>
      </c>
      <c r="M808" s="210" t="n"/>
      <c r="N808" s="211" t="n"/>
      <c r="O808" s="340" t="inlineStr">
        <is>
          <t>SBL</t>
        </is>
      </c>
      <c r="Q808" s="271" t="n"/>
      <c r="R808" s="282" t="n"/>
    </row>
    <row r="809" ht="18" customHeight="1" s="305">
      <c r="A809" s="8" t="inlineStr">
        <is>
          <t>C 797</t>
        </is>
      </c>
      <c r="B809" s="5" t="n">
        <v>84</v>
      </c>
      <c r="C809" s="6" t="inlineStr">
        <is>
          <t>X</t>
        </is>
      </c>
      <c r="D809" s="5" t="n">
        <v>303</v>
      </c>
      <c r="E809" s="2">
        <f>B809*D809/10000</f>
        <v/>
      </c>
      <c r="F809" s="3">
        <f>B809/30.48</f>
        <v/>
      </c>
      <c r="G809" s="3">
        <f>D809/30.48</f>
        <v/>
      </c>
      <c r="H809" s="615" t="n"/>
      <c r="I809" s="49" t="inlineStr">
        <is>
          <t>OLD</t>
        </is>
      </c>
      <c r="J809" s="48" t="inlineStr">
        <is>
          <t>TRS</t>
        </is>
      </c>
      <c r="K809" s="51" t="inlineStr">
        <is>
          <t>PAC</t>
        </is>
      </c>
      <c r="L809" s="105" t="inlineStr">
        <is>
          <t>VR</t>
        </is>
      </c>
      <c r="M809" s="210" t="n"/>
      <c r="N809" s="211" t="n"/>
      <c r="O809" s="340" t="inlineStr">
        <is>
          <t>SBL</t>
        </is>
      </c>
      <c r="Q809" s="271" t="n"/>
      <c r="R809" s="282" t="n"/>
    </row>
    <row r="810" ht="18" customHeight="1" s="305">
      <c r="A810" s="8" t="inlineStr">
        <is>
          <t>C 837</t>
        </is>
      </c>
      <c r="B810" s="5" t="n">
        <v>159</v>
      </c>
      <c r="C810" s="6" t="inlineStr">
        <is>
          <t>X</t>
        </is>
      </c>
      <c r="D810" s="5" t="n">
        <v>240</v>
      </c>
      <c r="E810" s="2">
        <f>B810*D810/10000</f>
        <v/>
      </c>
      <c r="F810" s="3">
        <f>B810/30.48</f>
        <v/>
      </c>
      <c r="G810" s="3">
        <f>D810/30.48</f>
        <v/>
      </c>
      <c r="H810" s="615" t="n"/>
      <c r="I810" s="49" t="inlineStr">
        <is>
          <t>OLD</t>
        </is>
      </c>
      <c r="J810" s="48" t="inlineStr">
        <is>
          <t>TRS</t>
        </is>
      </c>
      <c r="K810" s="51" t="inlineStr">
        <is>
          <t>PAC</t>
        </is>
      </c>
      <c r="L810" s="105" t="inlineStr">
        <is>
          <t>VR</t>
        </is>
      </c>
      <c r="M810" s="210" t="n"/>
      <c r="N810" s="211" t="n"/>
      <c r="O810" s="340" t="inlineStr">
        <is>
          <t>SBL</t>
        </is>
      </c>
      <c r="Q810" s="271" t="n"/>
      <c r="R810" s="282" t="n"/>
    </row>
    <row r="811" ht="18" customHeight="1" s="305">
      <c r="A811" s="8" t="inlineStr">
        <is>
          <t>C 912</t>
        </is>
      </c>
      <c r="B811" s="5" t="n">
        <v>117</v>
      </c>
      <c r="C811" s="6" t="inlineStr">
        <is>
          <t>X</t>
        </is>
      </c>
      <c r="D811" s="5" t="n">
        <v>193</v>
      </c>
      <c r="E811" s="2">
        <f>B811*D811/10000</f>
        <v/>
      </c>
      <c r="F811" s="3">
        <f>B811/30.48</f>
        <v/>
      </c>
      <c r="G811" s="3">
        <f>D811/30.48</f>
        <v/>
      </c>
      <c r="H811" s="615" t="n"/>
      <c r="I811" s="49" t="inlineStr">
        <is>
          <t>OLD</t>
        </is>
      </c>
      <c r="J811" s="48" t="inlineStr">
        <is>
          <t>TRS</t>
        </is>
      </c>
      <c r="K811" s="51" t="inlineStr">
        <is>
          <t>PAC</t>
        </is>
      </c>
      <c r="L811" s="105" t="inlineStr">
        <is>
          <t>VR</t>
        </is>
      </c>
      <c r="M811" s="210" t="inlineStr">
        <is>
          <t>RK</t>
        </is>
      </c>
      <c r="N811" s="211" t="n"/>
      <c r="O811" s="340" t="inlineStr">
        <is>
          <t>SBL</t>
        </is>
      </c>
      <c r="Q811" s="271" t="n"/>
      <c r="R811" s="282" t="n"/>
    </row>
    <row r="812" ht="18" customHeight="1" s="305">
      <c r="A812" s="8" t="inlineStr">
        <is>
          <t>C 497</t>
        </is>
      </c>
      <c r="B812" s="5" t="n">
        <v>130</v>
      </c>
      <c r="C812" s="6" t="inlineStr">
        <is>
          <t>X</t>
        </is>
      </c>
      <c r="D812" s="5" t="n">
        <v>206</v>
      </c>
      <c r="E812" s="2">
        <f>B812*D812/10000</f>
        <v/>
      </c>
      <c r="F812" s="3">
        <f>B812/30.48</f>
        <v/>
      </c>
      <c r="G812" s="3">
        <f>D812/30.48</f>
        <v/>
      </c>
      <c r="H812" s="615" t="n"/>
      <c r="I812" s="49" t="inlineStr">
        <is>
          <t>OLD</t>
        </is>
      </c>
      <c r="J812" s="48" t="inlineStr">
        <is>
          <t>TRS</t>
        </is>
      </c>
      <c r="K812" s="51" t="inlineStr">
        <is>
          <t>PAC</t>
        </is>
      </c>
      <c r="L812" s="105" t="inlineStr">
        <is>
          <t>VR</t>
        </is>
      </c>
      <c r="M812" s="210" t="inlineStr">
        <is>
          <t>RK</t>
        </is>
      </c>
      <c r="N812" s="211" t="n"/>
      <c r="O812" s="340" t="inlineStr">
        <is>
          <t>SBL</t>
        </is>
      </c>
      <c r="Q812" s="271" t="n"/>
      <c r="R812" s="282" t="n"/>
    </row>
    <row r="813" ht="18" customHeight="1" s="305">
      <c r="A813" s="8" t="inlineStr">
        <is>
          <t>C 580</t>
        </is>
      </c>
      <c r="B813" s="5" t="n">
        <v>112</v>
      </c>
      <c r="C813" s="6" t="inlineStr">
        <is>
          <t>X</t>
        </is>
      </c>
      <c r="D813" s="5" t="n">
        <v>188</v>
      </c>
      <c r="E813" s="2">
        <f>B813*D813/10000</f>
        <v/>
      </c>
      <c r="F813" s="3">
        <f>B813/30.48</f>
        <v/>
      </c>
      <c r="G813" s="3">
        <f>D813/30.48</f>
        <v/>
      </c>
      <c r="H813" s="615" t="n"/>
      <c r="I813" s="49" t="inlineStr">
        <is>
          <t>OLD</t>
        </is>
      </c>
      <c r="J813" s="48" t="inlineStr">
        <is>
          <t>TRS</t>
        </is>
      </c>
      <c r="K813" s="51" t="inlineStr">
        <is>
          <t>PAC</t>
        </is>
      </c>
      <c r="L813" s="105" t="inlineStr">
        <is>
          <t>VR</t>
        </is>
      </c>
      <c r="M813" s="210" t="n"/>
      <c r="N813" s="211" t="n"/>
      <c r="O813" s="340" t="inlineStr">
        <is>
          <t>SBL</t>
        </is>
      </c>
      <c r="Q813" s="271" t="n"/>
      <c r="R813" s="282" t="n"/>
    </row>
    <row r="814" ht="18" customHeight="1" s="305">
      <c r="A814" s="8" t="inlineStr">
        <is>
          <t>C 635</t>
        </is>
      </c>
      <c r="B814" s="5" t="n">
        <v>160</v>
      </c>
      <c r="C814" s="6" t="inlineStr">
        <is>
          <t>X</t>
        </is>
      </c>
      <c r="D814" s="5" t="n">
        <v>267</v>
      </c>
      <c r="E814" s="2">
        <f>B814*D814/10000</f>
        <v/>
      </c>
      <c r="F814" s="3">
        <f>B814/30.48</f>
        <v/>
      </c>
      <c r="G814" s="3">
        <f>D814/30.48</f>
        <v/>
      </c>
      <c r="H814" s="615" t="n"/>
      <c r="I814" s="49" t="inlineStr">
        <is>
          <t>OLD</t>
        </is>
      </c>
      <c r="J814" s="48" t="inlineStr">
        <is>
          <t>TRS</t>
        </is>
      </c>
      <c r="K814" s="51" t="inlineStr">
        <is>
          <t>PAC</t>
        </is>
      </c>
      <c r="L814" s="105" t="inlineStr">
        <is>
          <t>VR</t>
        </is>
      </c>
      <c r="M814" s="210" t="n"/>
      <c r="N814" s="211" t="n"/>
      <c r="O814" s="340" t="inlineStr">
        <is>
          <t>SBL</t>
        </is>
      </c>
      <c r="Q814" s="271" t="n"/>
      <c r="R814" s="282" t="n"/>
    </row>
    <row r="815" ht="18" customHeight="1" s="305">
      <c r="A815" s="8" t="inlineStr">
        <is>
          <t>C 657</t>
        </is>
      </c>
      <c r="B815" s="5" t="n">
        <v>80</v>
      </c>
      <c r="C815" s="6" t="inlineStr">
        <is>
          <t>X</t>
        </is>
      </c>
      <c r="D815" s="5" t="n">
        <v>276</v>
      </c>
      <c r="E815" s="2">
        <f>B815*D815/10000</f>
        <v/>
      </c>
      <c r="F815" s="3">
        <f>B815/30.48</f>
        <v/>
      </c>
      <c r="G815" s="3">
        <f>D815/30.48</f>
        <v/>
      </c>
      <c r="H815" s="615" t="n"/>
      <c r="I815" s="49" t="inlineStr">
        <is>
          <t>OLD</t>
        </is>
      </c>
      <c r="J815" s="48" t="inlineStr">
        <is>
          <t>TRS</t>
        </is>
      </c>
      <c r="K815" s="51" t="inlineStr">
        <is>
          <t>PAC</t>
        </is>
      </c>
      <c r="L815" s="105" t="inlineStr">
        <is>
          <t>VR</t>
        </is>
      </c>
      <c r="M815" s="210" t="n"/>
      <c r="N815" s="211" t="n"/>
      <c r="O815" s="340" t="inlineStr">
        <is>
          <t>SBL</t>
        </is>
      </c>
      <c r="Q815" s="271" t="n"/>
      <c r="R815" s="282" t="n"/>
    </row>
    <row r="816" ht="18" customHeight="1" s="305">
      <c r="A816" s="8" t="inlineStr">
        <is>
          <t>C 678</t>
        </is>
      </c>
      <c r="B816" s="5" t="n">
        <v>191</v>
      </c>
      <c r="C816" s="6" t="inlineStr">
        <is>
          <t>X</t>
        </is>
      </c>
      <c r="D816" s="5" t="n">
        <v>326</v>
      </c>
      <c r="E816" s="2">
        <f>B816*D816/10000</f>
        <v/>
      </c>
      <c r="F816" s="3">
        <f>B816/30.48</f>
        <v/>
      </c>
      <c r="G816" s="3">
        <f>D816/30.48</f>
        <v/>
      </c>
      <c r="H816" s="615" t="n"/>
      <c r="I816" s="49" t="inlineStr">
        <is>
          <t>OLD</t>
        </is>
      </c>
      <c r="J816" s="48" t="inlineStr">
        <is>
          <t>TRS</t>
        </is>
      </c>
      <c r="K816" s="51" t="inlineStr">
        <is>
          <t>PAC</t>
        </is>
      </c>
      <c r="L816" s="105" t="inlineStr">
        <is>
          <t>VR</t>
        </is>
      </c>
      <c r="M816" s="210" t="n"/>
      <c r="N816" s="211" t="n"/>
      <c r="O816" s="340" t="inlineStr">
        <is>
          <t>SBL</t>
        </is>
      </c>
      <c r="Q816" s="271" t="n"/>
      <c r="R816" s="282" t="n"/>
    </row>
    <row r="817" ht="18" customHeight="1" s="305">
      <c r="A817" s="8" t="inlineStr">
        <is>
          <t>C 680</t>
        </is>
      </c>
      <c r="B817" s="5" t="n">
        <v>190</v>
      </c>
      <c r="C817" s="6" t="inlineStr">
        <is>
          <t>X</t>
        </is>
      </c>
      <c r="D817" s="5" t="n">
        <v>270</v>
      </c>
      <c r="E817" s="2">
        <f>B817*D817/10000</f>
        <v/>
      </c>
      <c r="F817" s="3">
        <f>B817/30.48</f>
        <v/>
      </c>
      <c r="G817" s="3">
        <f>D817/30.48</f>
        <v/>
      </c>
      <c r="H817" s="615" t="n"/>
      <c r="I817" s="49" t="inlineStr">
        <is>
          <t>OLD</t>
        </is>
      </c>
      <c r="J817" s="48" t="inlineStr">
        <is>
          <t>TRS</t>
        </is>
      </c>
      <c r="K817" s="51" t="inlineStr">
        <is>
          <t>PAC</t>
        </is>
      </c>
      <c r="L817" s="105" t="inlineStr">
        <is>
          <t>VR</t>
        </is>
      </c>
      <c r="M817" s="210" t="n"/>
      <c r="N817" s="211" t="n"/>
      <c r="O817" s="340" t="inlineStr">
        <is>
          <t>SBL</t>
        </is>
      </c>
      <c r="Q817" s="271" t="n"/>
      <c r="R817" s="282" t="n"/>
    </row>
    <row r="818" ht="18" customHeight="1" s="305">
      <c r="A818" s="8" t="inlineStr">
        <is>
          <t>C 695</t>
        </is>
      </c>
      <c r="B818" s="5" t="n">
        <v>150</v>
      </c>
      <c r="C818" s="6" t="inlineStr">
        <is>
          <t>X</t>
        </is>
      </c>
      <c r="D818" s="5" t="n">
        <v>270</v>
      </c>
      <c r="E818" s="2">
        <f>B818*D818/10000</f>
        <v/>
      </c>
      <c r="F818" s="3">
        <f>B818/30.48</f>
        <v/>
      </c>
      <c r="G818" s="3">
        <f>D818/30.48</f>
        <v/>
      </c>
      <c r="H818" s="615" t="n"/>
      <c r="I818" s="49" t="inlineStr">
        <is>
          <t>OLD</t>
        </is>
      </c>
      <c r="J818" s="48" t="inlineStr">
        <is>
          <t>TRS</t>
        </is>
      </c>
      <c r="K818" s="51" t="inlineStr">
        <is>
          <t>PAC</t>
        </is>
      </c>
      <c r="L818" s="105" t="inlineStr">
        <is>
          <t>VR</t>
        </is>
      </c>
      <c r="M818" s="210" t="inlineStr">
        <is>
          <t>RK</t>
        </is>
      </c>
      <c r="N818" s="211" t="n"/>
      <c r="O818" s="340" t="inlineStr">
        <is>
          <t>SBL</t>
        </is>
      </c>
      <c r="Q818" s="271" t="n"/>
      <c r="R818" s="282" t="n"/>
    </row>
    <row r="819" ht="18" customHeight="1" s="305">
      <c r="A819" s="8" t="inlineStr">
        <is>
          <t>C 699</t>
        </is>
      </c>
      <c r="B819" s="5" t="n">
        <v>135</v>
      </c>
      <c r="C819" s="6" t="inlineStr">
        <is>
          <t>X</t>
        </is>
      </c>
      <c r="D819" s="5" t="n">
        <v>223</v>
      </c>
      <c r="E819" s="2">
        <f>B819*D819/10000</f>
        <v/>
      </c>
      <c r="F819" s="3">
        <f>B819/30.48</f>
        <v/>
      </c>
      <c r="G819" s="3">
        <f>D819/30.48</f>
        <v/>
      </c>
      <c r="H819" s="615" t="n"/>
      <c r="I819" s="49" t="inlineStr">
        <is>
          <t>OLD</t>
        </is>
      </c>
      <c r="J819" s="48" t="inlineStr">
        <is>
          <t>TRS</t>
        </is>
      </c>
      <c r="K819" s="51" t="inlineStr">
        <is>
          <t>PAC</t>
        </is>
      </c>
      <c r="L819" s="105" t="inlineStr">
        <is>
          <t>VR</t>
        </is>
      </c>
      <c r="M819" s="210" t="n"/>
      <c r="N819" s="211" t="n"/>
      <c r="O819" s="340" t="inlineStr">
        <is>
          <t>SBL</t>
        </is>
      </c>
      <c r="Q819" s="271" t="n"/>
      <c r="R819" s="282" t="n"/>
    </row>
    <row r="820" ht="18" customHeight="1" s="305">
      <c r="A820" s="8" t="inlineStr">
        <is>
          <t>C 702</t>
        </is>
      </c>
      <c r="B820" s="5" t="n">
        <v>76</v>
      </c>
      <c r="C820" s="6" t="inlineStr">
        <is>
          <t>X</t>
        </is>
      </c>
      <c r="D820" s="5" t="n">
        <v>101</v>
      </c>
      <c r="E820" s="2">
        <f>B820*D820/10000</f>
        <v/>
      </c>
      <c r="F820" s="3">
        <f>B820/30.48</f>
        <v/>
      </c>
      <c r="G820" s="3">
        <f>D820/30.48</f>
        <v/>
      </c>
      <c r="H820" s="615" t="n"/>
      <c r="I820" s="49" t="inlineStr">
        <is>
          <t>OLD</t>
        </is>
      </c>
      <c r="J820" s="48" t="inlineStr">
        <is>
          <t>TRS</t>
        </is>
      </c>
      <c r="K820" s="51" t="inlineStr">
        <is>
          <t>PAC</t>
        </is>
      </c>
      <c r="L820" s="105" t="inlineStr">
        <is>
          <t>VR</t>
        </is>
      </c>
      <c r="M820" s="210" t="inlineStr">
        <is>
          <t>RK</t>
        </is>
      </c>
      <c r="N820" s="211" t="n"/>
      <c r="O820" s="340" t="inlineStr">
        <is>
          <t>SBL</t>
        </is>
      </c>
      <c r="Q820" s="271" t="n"/>
      <c r="R820" s="282" t="n"/>
    </row>
    <row r="821" ht="18" customHeight="1" s="305">
      <c r="A821" s="8" t="inlineStr">
        <is>
          <t>C 705</t>
        </is>
      </c>
      <c r="B821" s="5" t="n">
        <v>133</v>
      </c>
      <c r="C821" s="6" t="inlineStr">
        <is>
          <t>X</t>
        </is>
      </c>
      <c r="D821" s="5" t="n">
        <v>210</v>
      </c>
      <c r="E821" s="2">
        <f>B821*D821/10000</f>
        <v/>
      </c>
      <c r="F821" s="3">
        <f>B821/30.48</f>
        <v/>
      </c>
      <c r="G821" s="3">
        <f>D821/30.48</f>
        <v/>
      </c>
      <c r="H821" s="615" t="n"/>
      <c r="I821" s="49" t="inlineStr">
        <is>
          <t>OLD</t>
        </is>
      </c>
      <c r="J821" s="48" t="inlineStr">
        <is>
          <t>TRS</t>
        </is>
      </c>
      <c r="K821" s="51" t="inlineStr">
        <is>
          <t>PAC</t>
        </is>
      </c>
      <c r="L821" s="105" t="inlineStr">
        <is>
          <t>VR</t>
        </is>
      </c>
      <c r="M821" s="210" t="n"/>
      <c r="N821" s="211" t="n"/>
      <c r="O821" s="340" t="inlineStr">
        <is>
          <t>SBL</t>
        </is>
      </c>
      <c r="Q821" s="271" t="n"/>
      <c r="R821" s="282" t="n"/>
    </row>
    <row r="822" ht="18" customHeight="1" s="305">
      <c r="A822" s="8" t="inlineStr">
        <is>
          <t>C 732</t>
        </is>
      </c>
      <c r="B822" s="5" t="n">
        <v>202</v>
      </c>
      <c r="C822" s="6" t="inlineStr">
        <is>
          <t>X</t>
        </is>
      </c>
      <c r="D822" s="5" t="n">
        <v>295</v>
      </c>
      <c r="E822" s="2">
        <f>B822*D822/10000</f>
        <v/>
      </c>
      <c r="F822" s="3">
        <f>B822/30.48</f>
        <v/>
      </c>
      <c r="G822" s="3">
        <f>D822/30.48</f>
        <v/>
      </c>
      <c r="H822" s="615" t="n"/>
      <c r="I822" s="49" t="inlineStr">
        <is>
          <t>OLD</t>
        </is>
      </c>
      <c r="J822" s="48" t="inlineStr">
        <is>
          <t>TRS</t>
        </is>
      </c>
      <c r="K822" s="51" t="inlineStr">
        <is>
          <t>PAC</t>
        </is>
      </c>
      <c r="L822" s="105" t="inlineStr">
        <is>
          <t>VR</t>
        </is>
      </c>
      <c r="M822" s="210" t="n"/>
      <c r="N822" s="211" t="n"/>
      <c r="O822" s="263" t="n"/>
      <c r="Q822" s="271" t="n"/>
      <c r="R822" s="282" t="n"/>
    </row>
    <row r="823" ht="18" customHeight="1" s="305">
      <c r="A823" s="8" t="inlineStr">
        <is>
          <t>C 733</t>
        </is>
      </c>
      <c r="B823" s="5" t="n">
        <v>112</v>
      </c>
      <c r="C823" s="6" t="inlineStr">
        <is>
          <t>X</t>
        </is>
      </c>
      <c r="D823" s="5" t="n">
        <v>210</v>
      </c>
      <c r="E823" s="2">
        <f>B823*D823/10000</f>
        <v/>
      </c>
      <c r="F823" s="3">
        <f>B823/30.48</f>
        <v/>
      </c>
      <c r="G823" s="3">
        <f>D823/30.48</f>
        <v/>
      </c>
      <c r="H823" s="615" t="n"/>
      <c r="I823" s="49" t="inlineStr">
        <is>
          <t>OLD</t>
        </is>
      </c>
      <c r="J823" s="48" t="inlineStr">
        <is>
          <t>TRS</t>
        </is>
      </c>
      <c r="K823" s="51" t="inlineStr">
        <is>
          <t>PAC</t>
        </is>
      </c>
      <c r="L823" s="105" t="inlineStr">
        <is>
          <t>VR</t>
        </is>
      </c>
      <c r="M823" s="210" t="n"/>
      <c r="N823" s="211" t="n"/>
      <c r="O823" s="340" t="inlineStr">
        <is>
          <t>SBL</t>
        </is>
      </c>
      <c r="Q823" s="271" t="n"/>
      <c r="R823" s="282" t="n"/>
    </row>
    <row r="824" ht="18" customHeight="1" s="305">
      <c r="A824" s="8" t="inlineStr">
        <is>
          <t>C 736</t>
        </is>
      </c>
      <c r="B824" s="5" t="n">
        <v>159</v>
      </c>
      <c r="C824" s="6" t="inlineStr">
        <is>
          <t>X</t>
        </is>
      </c>
      <c r="D824" s="5" t="n">
        <v>242</v>
      </c>
      <c r="E824" s="2">
        <f>B824*D824/10000</f>
        <v/>
      </c>
      <c r="F824" s="3">
        <f>B824/30.48</f>
        <v/>
      </c>
      <c r="G824" s="3">
        <f>D824/30.48</f>
        <v/>
      </c>
      <c r="H824" s="615" t="n"/>
      <c r="I824" s="49" t="inlineStr">
        <is>
          <t>OLD</t>
        </is>
      </c>
      <c r="J824" s="48" t="inlineStr">
        <is>
          <t>TRS</t>
        </is>
      </c>
      <c r="K824" s="51" t="inlineStr">
        <is>
          <t>PAC</t>
        </is>
      </c>
      <c r="L824" s="105" t="inlineStr">
        <is>
          <t>VR</t>
        </is>
      </c>
      <c r="M824" s="210" t="n"/>
      <c r="N824" s="211" t="n"/>
      <c r="O824" s="340" t="inlineStr">
        <is>
          <t>SBL</t>
        </is>
      </c>
      <c r="Q824" s="271" t="n"/>
      <c r="R824" s="282" t="n"/>
    </row>
    <row r="825" ht="18" customHeight="1" s="305">
      <c r="A825" s="8" t="inlineStr">
        <is>
          <t>C 742</t>
        </is>
      </c>
      <c r="B825" s="5" t="n">
        <v>111</v>
      </c>
      <c r="C825" s="6" t="inlineStr">
        <is>
          <t>X</t>
        </is>
      </c>
      <c r="D825" s="5" t="n">
        <v>202</v>
      </c>
      <c r="E825" s="2">
        <f>B825*D825/10000</f>
        <v/>
      </c>
      <c r="F825" s="3">
        <f>B825/30.48</f>
        <v/>
      </c>
      <c r="G825" s="3">
        <f>D825/30.48</f>
        <v/>
      </c>
      <c r="H825" s="615" t="n"/>
      <c r="I825" s="49" t="inlineStr">
        <is>
          <t>OLD</t>
        </is>
      </c>
      <c r="J825" s="48" t="inlineStr">
        <is>
          <t>TRS</t>
        </is>
      </c>
      <c r="K825" s="51" t="inlineStr">
        <is>
          <t>PAC</t>
        </is>
      </c>
      <c r="L825" s="105" t="inlineStr">
        <is>
          <t>VR</t>
        </is>
      </c>
      <c r="M825" s="210" t="inlineStr">
        <is>
          <t>RK</t>
        </is>
      </c>
      <c r="N825" s="211" t="n"/>
      <c r="O825" s="340" t="inlineStr">
        <is>
          <t>SBL</t>
        </is>
      </c>
      <c r="Q825" s="271" t="n"/>
      <c r="R825" s="282" t="n"/>
    </row>
    <row r="826" ht="18" customHeight="1" s="305">
      <c r="A826" s="8" t="inlineStr">
        <is>
          <t>C 504</t>
        </is>
      </c>
      <c r="B826" s="5" t="n">
        <v>194</v>
      </c>
      <c r="C826" s="6" t="inlineStr">
        <is>
          <t>X</t>
        </is>
      </c>
      <c r="D826" s="5" t="n">
        <v>304</v>
      </c>
      <c r="E826" s="2">
        <f>B826*D826/10000</f>
        <v/>
      </c>
      <c r="F826" s="3">
        <f>B826/30.48</f>
        <v/>
      </c>
      <c r="G826" s="3">
        <f>D826/30.48</f>
        <v/>
      </c>
      <c r="H826" s="615" t="n"/>
      <c r="I826" s="49" t="inlineStr">
        <is>
          <t>OLD</t>
        </is>
      </c>
      <c r="K826" s="51" t="inlineStr">
        <is>
          <t>PAC</t>
        </is>
      </c>
      <c r="L826" s="105" t="inlineStr">
        <is>
          <t>VR</t>
        </is>
      </c>
      <c r="M826" s="210" t="n"/>
      <c r="N826" s="211" t="n"/>
      <c r="O826" s="340" t="inlineStr">
        <is>
          <t>SBL</t>
        </is>
      </c>
      <c r="Q826" s="271" t="n"/>
      <c r="R826" s="282" t="n"/>
    </row>
    <row r="827" ht="18" customHeight="1" s="305">
      <c r="A827" s="8" t="inlineStr">
        <is>
          <t>C 543</t>
        </is>
      </c>
      <c r="B827" s="5" t="n">
        <v>198</v>
      </c>
      <c r="C827" s="6" t="inlineStr">
        <is>
          <t>X</t>
        </is>
      </c>
      <c r="D827" s="5" t="n">
        <v>314</v>
      </c>
      <c r="E827" s="2">
        <f>B827*D827/10000</f>
        <v/>
      </c>
      <c r="F827" s="3">
        <f>B827/30.48</f>
        <v/>
      </c>
      <c r="G827" s="3">
        <f>D827/30.48</f>
        <v/>
      </c>
      <c r="H827" s="615" t="n"/>
      <c r="I827" s="49" t="inlineStr">
        <is>
          <t>OLD</t>
        </is>
      </c>
      <c r="J827" s="48" t="inlineStr">
        <is>
          <t>TRS</t>
        </is>
      </c>
      <c r="K827" s="51" t="inlineStr">
        <is>
          <t>PAC</t>
        </is>
      </c>
      <c r="M827" s="210" t="n"/>
      <c r="N827" s="211" t="n"/>
      <c r="O827" s="340" t="inlineStr">
        <is>
          <t>SBL</t>
        </is>
      </c>
      <c r="Q827" s="271" t="n"/>
      <c r="R827" s="282" t="n"/>
    </row>
    <row r="828" ht="18" customHeight="1" s="305">
      <c r="A828" s="8" t="inlineStr">
        <is>
          <t>C 575</t>
        </is>
      </c>
      <c r="B828" s="5" t="n">
        <v>133</v>
      </c>
      <c r="C828" s="6" t="inlineStr">
        <is>
          <t>X</t>
        </is>
      </c>
      <c r="D828" s="5" t="n">
        <v>211</v>
      </c>
      <c r="E828" s="2">
        <f>B828*D828/10000</f>
        <v/>
      </c>
      <c r="F828" s="3">
        <f>B828/30.48</f>
        <v/>
      </c>
      <c r="G828" s="3">
        <f>D828/30.48</f>
        <v/>
      </c>
      <c r="H828" s="615" t="n"/>
      <c r="I828" s="49" t="inlineStr">
        <is>
          <t>OLD</t>
        </is>
      </c>
      <c r="J828" s="48" t="inlineStr">
        <is>
          <t>TRS</t>
        </is>
      </c>
      <c r="K828" s="51" t="inlineStr">
        <is>
          <t>PAC</t>
        </is>
      </c>
      <c r="L828" s="105" t="inlineStr">
        <is>
          <t>VR</t>
        </is>
      </c>
      <c r="M828" s="210" t="n"/>
      <c r="N828" s="211" t="n"/>
      <c r="O828" s="340" t="inlineStr">
        <is>
          <t>SBL</t>
        </is>
      </c>
      <c r="Q828" s="271" t="n"/>
      <c r="R828" s="282" t="n"/>
    </row>
    <row r="829" ht="18" customHeight="1" s="305">
      <c r="A829" s="8" t="inlineStr">
        <is>
          <t>C 643</t>
        </is>
      </c>
      <c r="B829" s="5" t="n">
        <v>191</v>
      </c>
      <c r="C829" s="6" t="inlineStr">
        <is>
          <t>X</t>
        </is>
      </c>
      <c r="D829" s="5" t="n">
        <v>301</v>
      </c>
      <c r="E829" s="2">
        <f>B829*D829/10000</f>
        <v/>
      </c>
      <c r="F829" s="3">
        <f>B829/30.48</f>
        <v/>
      </c>
      <c r="G829" s="3">
        <f>D829/30.48</f>
        <v/>
      </c>
      <c r="H829" s="615" t="n"/>
      <c r="I829" s="49" t="inlineStr">
        <is>
          <t>OLD</t>
        </is>
      </c>
      <c r="J829" s="48" t="inlineStr">
        <is>
          <t>TRS</t>
        </is>
      </c>
      <c r="K829" s="51" t="inlineStr">
        <is>
          <t>PAC</t>
        </is>
      </c>
      <c r="L829" s="105" t="inlineStr">
        <is>
          <t>VR</t>
        </is>
      </c>
      <c r="M829" s="210" t="n"/>
      <c r="N829" s="211" t="n"/>
      <c r="O829" s="263" t="n"/>
      <c r="Q829" s="271" t="n"/>
      <c r="R829" s="282" t="n"/>
    </row>
    <row r="830" ht="18" customHeight="1" s="305">
      <c r="A830" s="8" t="inlineStr">
        <is>
          <t>C 648</t>
        </is>
      </c>
      <c r="B830" s="5" t="n">
        <v>93</v>
      </c>
      <c r="C830" s="6" t="inlineStr">
        <is>
          <t>X</t>
        </is>
      </c>
      <c r="D830" s="5" t="n">
        <v>373</v>
      </c>
      <c r="E830" s="2">
        <f>B830*D830/10000</f>
        <v/>
      </c>
      <c r="F830" s="3">
        <f>B830/30.48</f>
        <v/>
      </c>
      <c r="G830" s="3">
        <f>D830/30.48</f>
        <v/>
      </c>
      <c r="H830" s="615" t="n"/>
      <c r="I830" s="49" t="inlineStr">
        <is>
          <t>OLD</t>
        </is>
      </c>
      <c r="J830" s="48" t="inlineStr">
        <is>
          <t>TRS</t>
        </is>
      </c>
      <c r="K830" s="51" t="inlineStr">
        <is>
          <t>PAC</t>
        </is>
      </c>
      <c r="L830" s="105" t="inlineStr">
        <is>
          <t>VR</t>
        </is>
      </c>
      <c r="M830" s="210" t="inlineStr">
        <is>
          <t>RK</t>
        </is>
      </c>
      <c r="N830" s="211" t="n"/>
      <c r="O830" s="340" t="inlineStr">
        <is>
          <t>SBL</t>
        </is>
      </c>
      <c r="Q830" s="271" t="n"/>
      <c r="R830" s="282" t="n"/>
    </row>
    <row r="831" ht="18" customHeight="1" s="305">
      <c r="A831" s="8" t="inlineStr">
        <is>
          <t>C 649</t>
        </is>
      </c>
      <c r="B831" s="5" t="n">
        <v>89</v>
      </c>
      <c r="C831" s="6" t="inlineStr">
        <is>
          <t>X</t>
        </is>
      </c>
      <c r="D831" s="5" t="n">
        <v>370</v>
      </c>
      <c r="E831" s="2">
        <f>B831*D831/10000</f>
        <v/>
      </c>
      <c r="F831" s="3">
        <f>B831/30.48</f>
        <v/>
      </c>
      <c r="G831" s="3">
        <f>D831/30.48</f>
        <v/>
      </c>
      <c r="H831" s="615" t="n"/>
      <c r="I831" s="49" t="inlineStr">
        <is>
          <t>OLD</t>
        </is>
      </c>
      <c r="J831" s="48" t="inlineStr">
        <is>
          <t>TRS</t>
        </is>
      </c>
      <c r="K831" s="51" t="inlineStr">
        <is>
          <t>PAC</t>
        </is>
      </c>
      <c r="L831" s="105" t="inlineStr">
        <is>
          <t>VR</t>
        </is>
      </c>
      <c r="M831" s="210" t="n"/>
      <c r="N831" s="211" t="n"/>
      <c r="O831" s="340" t="inlineStr">
        <is>
          <t>SBL</t>
        </is>
      </c>
      <c r="Q831" s="271" t="n"/>
      <c r="R831" s="282" t="n"/>
    </row>
    <row r="832" ht="18" customHeight="1" s="305">
      <c r="A832" s="8" t="inlineStr">
        <is>
          <t>C 652</t>
        </is>
      </c>
      <c r="B832" s="5" t="n">
        <v>125</v>
      </c>
      <c r="C832" s="6" t="inlineStr">
        <is>
          <t>X</t>
        </is>
      </c>
      <c r="D832" s="5" t="n">
        <v>196</v>
      </c>
      <c r="E832" s="2">
        <f>B832*D832/10000</f>
        <v/>
      </c>
      <c r="F832" s="3">
        <f>B832/30.48</f>
        <v/>
      </c>
      <c r="G832" s="3">
        <f>D832/30.48</f>
        <v/>
      </c>
      <c r="H832" s="615" t="n"/>
      <c r="I832" s="49" t="inlineStr">
        <is>
          <t>OLD</t>
        </is>
      </c>
      <c r="J832" s="48" t="inlineStr">
        <is>
          <t>TRS</t>
        </is>
      </c>
      <c r="K832" s="51" t="inlineStr">
        <is>
          <t>PAC</t>
        </is>
      </c>
      <c r="L832" s="105" t="inlineStr">
        <is>
          <t>VR</t>
        </is>
      </c>
      <c r="M832" s="210" t="n"/>
      <c r="N832" s="211" t="n"/>
      <c r="O832" s="340" t="inlineStr">
        <is>
          <t>SBL</t>
        </is>
      </c>
      <c r="Q832" s="271" t="n"/>
      <c r="R832" s="282" t="n"/>
    </row>
    <row r="833" ht="18" customHeight="1" s="305">
      <c r="A833" s="8" t="inlineStr">
        <is>
          <t>C 694</t>
        </is>
      </c>
      <c r="B833" s="5" t="n">
        <v>62</v>
      </c>
      <c r="C833" s="6" t="inlineStr">
        <is>
          <t>X</t>
        </is>
      </c>
      <c r="D833" s="5" t="n">
        <v>163</v>
      </c>
      <c r="E833" s="2">
        <f>B833*D833/10000</f>
        <v/>
      </c>
      <c r="F833" s="3">
        <f>B833/30.48</f>
        <v/>
      </c>
      <c r="G833" s="3">
        <f>D833/30.48</f>
        <v/>
      </c>
      <c r="H833" s="615" t="n"/>
      <c r="I833" s="49" t="inlineStr">
        <is>
          <t>OLD</t>
        </is>
      </c>
      <c r="J833" s="48" t="inlineStr">
        <is>
          <t>TRS</t>
        </is>
      </c>
      <c r="K833" s="51" t="inlineStr">
        <is>
          <t>PAC</t>
        </is>
      </c>
      <c r="M833" s="210" t="n"/>
      <c r="N833" s="211" t="n"/>
      <c r="O833" s="340" t="inlineStr">
        <is>
          <t>SBL</t>
        </is>
      </c>
      <c r="Q833" s="271" t="n"/>
      <c r="R833" s="282" t="n"/>
    </row>
    <row r="834" ht="18" customHeight="1" s="305">
      <c r="A834" s="8" t="inlineStr">
        <is>
          <t>C 853</t>
        </is>
      </c>
      <c r="B834" s="5" t="n">
        <v>145</v>
      </c>
      <c r="C834" s="6" t="inlineStr">
        <is>
          <t>X</t>
        </is>
      </c>
      <c r="D834" s="5" t="n">
        <v>245</v>
      </c>
      <c r="E834" s="2">
        <f>B834*D834/10000</f>
        <v/>
      </c>
      <c r="F834" s="3">
        <f>B834/30.48</f>
        <v/>
      </c>
      <c r="G834" s="3">
        <f>D834/30.48</f>
        <v/>
      </c>
      <c r="H834" s="615" t="n"/>
      <c r="I834" s="49" t="inlineStr">
        <is>
          <t>OLD</t>
        </is>
      </c>
      <c r="J834" s="48" t="inlineStr">
        <is>
          <t>TRS</t>
        </is>
      </c>
      <c r="K834" s="51" t="inlineStr">
        <is>
          <t>PAC</t>
        </is>
      </c>
      <c r="L834" s="105" t="inlineStr">
        <is>
          <t>VR</t>
        </is>
      </c>
      <c r="M834" s="210" t="n"/>
      <c r="N834" s="211" t="n"/>
      <c r="O834" s="340" t="inlineStr">
        <is>
          <t>SBL</t>
        </is>
      </c>
      <c r="Q834" s="271" t="n"/>
      <c r="R834" s="282" t="n"/>
    </row>
    <row r="835" ht="18" customHeight="1" s="305">
      <c r="A835" s="8" t="inlineStr">
        <is>
          <t>C 864</t>
        </is>
      </c>
      <c r="B835" s="5" t="n">
        <v>97</v>
      </c>
      <c r="C835" s="6" t="inlineStr">
        <is>
          <t>X</t>
        </is>
      </c>
      <c r="D835" s="5" t="n">
        <v>181</v>
      </c>
      <c r="E835" s="2">
        <f>B835*D835/10000</f>
        <v/>
      </c>
      <c r="F835" s="3">
        <f>B835/30.48</f>
        <v/>
      </c>
      <c r="G835" s="3">
        <f>D835/30.48</f>
        <v/>
      </c>
      <c r="H835" s="615" t="n"/>
      <c r="I835" s="49" t="inlineStr">
        <is>
          <t>OLD</t>
        </is>
      </c>
      <c r="J835" s="48" t="inlineStr">
        <is>
          <t>TRS</t>
        </is>
      </c>
      <c r="K835" s="51" t="inlineStr">
        <is>
          <t>PAC</t>
        </is>
      </c>
      <c r="L835" s="105" t="inlineStr">
        <is>
          <t>VR</t>
        </is>
      </c>
      <c r="M835" s="210" t="n"/>
      <c r="N835" s="211" t="n"/>
      <c r="O835" s="263" t="n"/>
      <c r="Q835" s="271" t="n"/>
      <c r="R835" s="282" t="n"/>
    </row>
    <row r="836" ht="18" customHeight="1" s="305">
      <c r="A836" s="8" t="inlineStr">
        <is>
          <t>C 491</t>
        </is>
      </c>
      <c r="B836" s="5" t="n">
        <v>83</v>
      </c>
      <c r="C836" s="6" t="inlineStr">
        <is>
          <t>X</t>
        </is>
      </c>
      <c r="D836" s="5" t="n">
        <v>323</v>
      </c>
      <c r="E836" s="2">
        <f>B836*D836/10000</f>
        <v/>
      </c>
      <c r="F836" s="3">
        <f>B836/30.48</f>
        <v/>
      </c>
      <c r="G836" s="3">
        <f>D836/30.48</f>
        <v/>
      </c>
      <c r="H836" s="615" t="n"/>
      <c r="I836" s="49" t="inlineStr">
        <is>
          <t>OLD</t>
        </is>
      </c>
      <c r="J836" s="48" t="inlineStr">
        <is>
          <t>TRS</t>
        </is>
      </c>
      <c r="K836" s="51" t="inlineStr">
        <is>
          <t>PAC</t>
        </is>
      </c>
      <c r="L836" s="105" t="inlineStr">
        <is>
          <t>VR</t>
        </is>
      </c>
      <c r="M836" s="210" t="n"/>
      <c r="N836" s="211" t="n"/>
      <c r="O836" s="340" t="inlineStr">
        <is>
          <t>SBL</t>
        </is>
      </c>
      <c r="Q836" s="271" t="n"/>
      <c r="R836" s="282" t="n"/>
    </row>
    <row r="837" ht="18" customHeight="1" s="305">
      <c r="A837" s="8" t="inlineStr">
        <is>
          <t>C 541</t>
        </is>
      </c>
      <c r="B837" s="5" t="n">
        <v>148</v>
      </c>
      <c r="C837" s="6" t="inlineStr">
        <is>
          <t>X</t>
        </is>
      </c>
      <c r="D837" s="5" t="n">
        <v>262</v>
      </c>
      <c r="E837" s="2">
        <f>B837*D837/10000</f>
        <v/>
      </c>
      <c r="F837" s="3">
        <f>B837/30.48</f>
        <v/>
      </c>
      <c r="G837" s="3">
        <f>D837/30.48</f>
        <v/>
      </c>
      <c r="H837" s="615" t="n"/>
      <c r="I837" s="49" t="inlineStr">
        <is>
          <t>OLD</t>
        </is>
      </c>
      <c r="J837" s="48" t="inlineStr">
        <is>
          <t>TRS</t>
        </is>
      </c>
      <c r="K837" s="51" t="inlineStr">
        <is>
          <t>PAC</t>
        </is>
      </c>
      <c r="L837" s="105" t="inlineStr">
        <is>
          <t>VR</t>
        </is>
      </c>
      <c r="M837" s="210" t="n"/>
      <c r="N837" s="211" t="n"/>
      <c r="O837" s="340" t="inlineStr">
        <is>
          <t>SBL</t>
        </is>
      </c>
      <c r="Q837" s="271" t="n"/>
      <c r="R837" s="282" t="n"/>
    </row>
    <row r="838" ht="18" customHeight="1" s="305">
      <c r="A838" s="8" t="inlineStr">
        <is>
          <t>C 703</t>
        </is>
      </c>
      <c r="B838" s="5" t="n">
        <v>89</v>
      </c>
      <c r="C838" s="6" t="inlineStr">
        <is>
          <t>X</t>
        </is>
      </c>
      <c r="D838" s="5" t="n">
        <v>255</v>
      </c>
      <c r="E838" s="2">
        <f>B838*D838/10000</f>
        <v/>
      </c>
      <c r="F838" s="3">
        <f>B838/30.48</f>
        <v/>
      </c>
      <c r="G838" s="3">
        <f>D838/30.48</f>
        <v/>
      </c>
      <c r="H838" s="615" t="n"/>
      <c r="I838" s="49" t="inlineStr">
        <is>
          <t>OLD</t>
        </is>
      </c>
      <c r="J838" s="48" t="inlineStr">
        <is>
          <t>TRS</t>
        </is>
      </c>
      <c r="K838" s="51" t="inlineStr">
        <is>
          <t>PAC</t>
        </is>
      </c>
      <c r="L838" s="105" t="inlineStr">
        <is>
          <t>VR</t>
        </is>
      </c>
      <c r="M838" s="210" t="n"/>
      <c r="N838" s="211" t="n"/>
      <c r="O838" s="340" t="inlineStr">
        <is>
          <t>SBL</t>
        </is>
      </c>
      <c r="Q838" s="271" t="n"/>
      <c r="R838" s="282" t="n"/>
    </row>
    <row r="839" ht="18" customHeight="1" s="305">
      <c r="A839" s="8" t="inlineStr">
        <is>
          <t>C 928</t>
        </is>
      </c>
      <c r="B839" s="5" t="n">
        <v>204</v>
      </c>
      <c r="C839" s="6" t="inlineStr">
        <is>
          <t>X</t>
        </is>
      </c>
      <c r="D839" s="5" t="n">
        <v>290</v>
      </c>
      <c r="E839" s="2">
        <f>B839*D839/10000</f>
        <v/>
      </c>
      <c r="F839" s="3">
        <f>B839/30.48</f>
        <v/>
      </c>
      <c r="G839" s="3">
        <f>D839/30.48</f>
        <v/>
      </c>
      <c r="H839" s="615" t="inlineStr">
        <is>
          <t xml:space="preserve">tamir </t>
        </is>
      </c>
      <c r="I839" s="49" t="inlineStr">
        <is>
          <t>OLD</t>
        </is>
      </c>
      <c r="M839" s="210" t="n"/>
      <c r="N839" s="211" t="n"/>
      <c r="O839" s="340" t="inlineStr">
        <is>
          <t>SBL</t>
        </is>
      </c>
      <c r="Q839" s="271" t="n"/>
      <c r="R839" s="282" t="n"/>
    </row>
    <row r="840" ht="18" customHeight="1" s="305">
      <c r="A840" s="8" t="inlineStr">
        <is>
          <t>A 160</t>
        </is>
      </c>
      <c r="B840" s="5" t="n">
        <v>298</v>
      </c>
      <c r="C840" s="6" t="inlineStr">
        <is>
          <t>X</t>
        </is>
      </c>
      <c r="D840" s="5" t="n">
        <v>429</v>
      </c>
      <c r="E840" s="2">
        <f>B840*D840/10000</f>
        <v/>
      </c>
      <c r="F840" s="3">
        <f>B840/30.48</f>
        <v/>
      </c>
      <c r="G840" s="3">
        <f>D840/30.48</f>
        <v/>
      </c>
      <c r="H840" s="615" t="inlineStr">
        <is>
          <t>germe tamir</t>
        </is>
      </c>
      <c r="J840" s="48" t="inlineStr">
        <is>
          <t>TRS</t>
        </is>
      </c>
      <c r="K840" s="51" t="inlineStr">
        <is>
          <t>PAC</t>
        </is>
      </c>
      <c r="M840" s="210" t="inlineStr">
        <is>
          <t>RK</t>
        </is>
      </c>
      <c r="N840" s="211" t="n"/>
      <c r="O840" s="263" t="n"/>
      <c r="Q840" s="271" t="n"/>
      <c r="R840" s="282" t="n"/>
    </row>
    <row r="841" ht="18" customHeight="1" s="305">
      <c r="A841" s="8" t="inlineStr">
        <is>
          <t>Y 763</t>
        </is>
      </c>
      <c r="B841" s="5" t="n">
        <v>290</v>
      </c>
      <c r="C841" s="6" t="inlineStr">
        <is>
          <t>X</t>
        </is>
      </c>
      <c r="D841" s="5" t="n">
        <v>368</v>
      </c>
      <c r="E841" s="2">
        <f>B841*D841/10000</f>
        <v/>
      </c>
      <c r="F841" s="3">
        <f>B841/30.48</f>
        <v/>
      </c>
      <c r="G841" s="3">
        <f>D841/30.48</f>
        <v/>
      </c>
      <c r="H841" s="615" t="n"/>
      <c r="J841" s="48" t="inlineStr">
        <is>
          <t>TRS</t>
        </is>
      </c>
      <c r="K841" s="51" t="inlineStr">
        <is>
          <t>PAC</t>
        </is>
      </c>
      <c r="M841" s="210" t="n"/>
      <c r="N841" s="211" t="n"/>
      <c r="O841" s="263" t="n"/>
      <c r="P841" s="261" t="inlineStr">
        <is>
          <t>wvn</t>
        </is>
      </c>
      <c r="Q841" s="271" t="n"/>
      <c r="R841" s="282" t="inlineStr">
        <is>
          <t>wvn</t>
        </is>
      </c>
    </row>
    <row r="842" ht="18" customHeight="1" s="305">
      <c r="A842" s="8" t="n">
        <v>31</v>
      </c>
      <c r="B842" s="5" t="n">
        <v>164</v>
      </c>
      <c r="C842" s="6" t="inlineStr">
        <is>
          <t>X</t>
        </is>
      </c>
      <c r="D842" s="5" t="n">
        <v>286</v>
      </c>
      <c r="E842" s="2">
        <f>B842*D842/10000</f>
        <v/>
      </c>
      <c r="F842" s="3">
        <f>B842/30.48</f>
        <v/>
      </c>
      <c r="G842" s="3">
        <f>D842/30.48</f>
        <v/>
      </c>
      <c r="H842" s="615" t="n"/>
      <c r="L842" s="105" t="inlineStr">
        <is>
          <t>VR</t>
        </is>
      </c>
      <c r="M842" s="210" t="inlineStr">
        <is>
          <t>RK</t>
        </is>
      </c>
      <c r="N842" s="211" t="n"/>
      <c r="O842" s="263" t="n"/>
      <c r="Q842" s="271" t="n"/>
      <c r="R842" s="282" t="n"/>
    </row>
    <row r="843" ht="18" customHeight="1" s="305">
      <c r="A843" s="8" t="n">
        <v>9</v>
      </c>
      <c r="B843" s="5" t="n">
        <v>194</v>
      </c>
      <c r="C843" s="6" t="inlineStr">
        <is>
          <t>X</t>
        </is>
      </c>
      <c r="D843" s="5" t="n">
        <v>274</v>
      </c>
      <c r="E843" s="2">
        <f>B843*D843/10000</f>
        <v/>
      </c>
      <c r="F843" s="3">
        <f>B843/30.48</f>
        <v/>
      </c>
      <c r="G843" s="3">
        <f>D843/30.48</f>
        <v/>
      </c>
      <c r="H843" s="615" t="n"/>
      <c r="M843" s="210" t="n"/>
      <c r="N843" s="211" t="n"/>
      <c r="O843" s="263" t="n"/>
      <c r="Q843" s="271" t="n"/>
      <c r="R843" s="282" t="n"/>
    </row>
    <row r="844" ht="18" customHeight="1" s="305">
      <c r="A844" s="8" t="inlineStr">
        <is>
          <t>B 43</t>
        </is>
      </c>
      <c r="B844" s="5" t="n">
        <v>146</v>
      </c>
      <c r="C844" s="6" t="inlineStr">
        <is>
          <t>X</t>
        </is>
      </c>
      <c r="D844" s="5" t="n">
        <v>243</v>
      </c>
      <c r="E844" s="2">
        <f>B844*D844/10000</f>
        <v/>
      </c>
      <c r="F844" s="3">
        <f>B844/30.48</f>
        <v/>
      </c>
      <c r="G844" s="3">
        <f>D844/30.48</f>
        <v/>
      </c>
      <c r="H844" s="615" t="n"/>
      <c r="K844" s="51" t="inlineStr">
        <is>
          <t>PAC</t>
        </is>
      </c>
      <c r="M844" s="210" t="n"/>
      <c r="N844" s="211" t="n"/>
      <c r="O844" s="263" t="n"/>
      <c r="Q844" s="271" t="n"/>
      <c r="R844" s="282" t="n"/>
    </row>
    <row r="845" ht="18" customHeight="1" s="305">
      <c r="A845" s="8" t="inlineStr">
        <is>
          <t>B 48</t>
        </is>
      </c>
      <c r="B845" s="5" t="n">
        <v>187</v>
      </c>
      <c r="C845" s="6" t="inlineStr">
        <is>
          <t>X</t>
        </is>
      </c>
      <c r="D845" s="5" t="n">
        <v>276</v>
      </c>
      <c r="E845" s="2">
        <f>B845*D845/10000</f>
        <v/>
      </c>
      <c r="F845" s="3">
        <f>B845/30.48</f>
        <v/>
      </c>
      <c r="G845" s="3">
        <f>D845/30.48</f>
        <v/>
      </c>
      <c r="H845" s="615" t="n"/>
      <c r="K845" s="51" t="inlineStr">
        <is>
          <t>PAC</t>
        </is>
      </c>
      <c r="M845" s="210" t="n"/>
      <c r="N845" s="211" t="n"/>
      <c r="O845" s="263" t="n"/>
      <c r="Q845" s="271" t="n"/>
      <c r="R845" s="282" t="n"/>
    </row>
    <row r="846" ht="18" customHeight="1" s="305">
      <c r="A846" s="8" t="inlineStr">
        <is>
          <t>B 62</t>
        </is>
      </c>
      <c r="B846" s="5" t="n">
        <v>149</v>
      </c>
      <c r="C846" s="6" t="inlineStr">
        <is>
          <t>X</t>
        </is>
      </c>
      <c r="D846" s="5" t="n">
        <v>261</v>
      </c>
      <c r="E846" s="2">
        <f>B846*D846/10000</f>
        <v/>
      </c>
      <c r="F846" s="3">
        <f>B846/30.48</f>
        <v/>
      </c>
      <c r="G846" s="3">
        <f>D846/30.48</f>
        <v/>
      </c>
      <c r="H846" s="615" t="n"/>
      <c r="K846" s="51" t="inlineStr">
        <is>
          <t>PAC</t>
        </is>
      </c>
      <c r="M846" s="210" t="n"/>
      <c r="N846" s="211" t="n"/>
      <c r="O846" s="263" t="n"/>
      <c r="Q846" s="271" t="n"/>
      <c r="R846" s="282" t="n"/>
    </row>
    <row r="847" ht="18" customHeight="1" s="305">
      <c r="A847" s="8" t="inlineStr">
        <is>
          <t>B 68</t>
        </is>
      </c>
      <c r="B847" s="5" t="n">
        <v>162</v>
      </c>
      <c r="C847" s="6" t="inlineStr">
        <is>
          <t>X</t>
        </is>
      </c>
      <c r="D847" s="5" t="n">
        <v>280</v>
      </c>
      <c r="E847" s="2">
        <f>B847*D847/10000</f>
        <v/>
      </c>
      <c r="F847" s="3">
        <f>B847/30.48</f>
        <v/>
      </c>
      <c r="G847" s="3">
        <f>D847/30.48</f>
        <v/>
      </c>
      <c r="H847" s="615" t="n"/>
      <c r="K847" s="51" t="inlineStr">
        <is>
          <t>PAC</t>
        </is>
      </c>
      <c r="M847" s="210" t="n"/>
      <c r="N847" s="211" t="n"/>
      <c r="O847" s="263" t="n"/>
      <c r="Q847" s="271" t="n"/>
      <c r="R847" s="282" t="n"/>
    </row>
    <row r="848" ht="18" customHeight="1" s="305">
      <c r="A848" s="8" t="inlineStr">
        <is>
          <t>B 72</t>
        </is>
      </c>
      <c r="B848" s="5" t="n">
        <v>159</v>
      </c>
      <c r="C848" s="6" t="inlineStr">
        <is>
          <t>X</t>
        </is>
      </c>
      <c r="D848" s="5" t="n">
        <v>268</v>
      </c>
      <c r="E848" s="2">
        <f>B848*D848/10000</f>
        <v/>
      </c>
      <c r="F848" s="3">
        <f>B848/30.48</f>
        <v/>
      </c>
      <c r="G848" s="3">
        <f>D848/30.48</f>
        <v/>
      </c>
      <c r="H848" s="615" t="n"/>
      <c r="K848" s="51" t="inlineStr">
        <is>
          <t>PAC</t>
        </is>
      </c>
      <c r="M848" s="210" t="n"/>
      <c r="N848" s="211" t="n"/>
      <c r="O848" s="263" t="n"/>
      <c r="Q848" s="271" t="n"/>
      <c r="R848" s="282" t="n"/>
    </row>
    <row r="849" ht="18" customHeight="1" s="305">
      <c r="A849" s="8" t="inlineStr">
        <is>
          <t>B 73</t>
        </is>
      </c>
      <c r="B849" s="5" t="n">
        <v>178</v>
      </c>
      <c r="C849" s="6" t="inlineStr">
        <is>
          <t>X</t>
        </is>
      </c>
      <c r="D849" s="5" t="n">
        <v>272</v>
      </c>
      <c r="E849" s="2">
        <f>B849*D849/10000</f>
        <v/>
      </c>
      <c r="F849" s="3">
        <f>B849/30.48</f>
        <v/>
      </c>
      <c r="G849" s="3">
        <f>D849/30.48</f>
        <v/>
      </c>
      <c r="H849" s="615" t="n"/>
      <c r="K849" s="51" t="inlineStr">
        <is>
          <t>PAC</t>
        </is>
      </c>
      <c r="M849" s="210" t="n"/>
      <c r="N849" s="211" t="n"/>
      <c r="O849" s="263" t="n"/>
      <c r="Q849" s="271" t="n"/>
      <c r="R849" s="282" t="n"/>
    </row>
    <row r="850" ht="18" customHeight="1" s="305">
      <c r="A850" s="8" t="inlineStr">
        <is>
          <t>B 75</t>
        </is>
      </c>
      <c r="B850" s="5" t="n">
        <v>179</v>
      </c>
      <c r="C850" s="6" t="inlineStr">
        <is>
          <t>X</t>
        </is>
      </c>
      <c r="D850" s="5" t="n">
        <v>247</v>
      </c>
      <c r="E850" s="2">
        <f>B850*D850/10000</f>
        <v/>
      </c>
      <c r="F850" s="3">
        <f>B850/30.48</f>
        <v/>
      </c>
      <c r="G850" s="3">
        <f>D850/30.48</f>
        <v/>
      </c>
      <c r="H850" s="615" t="n"/>
      <c r="K850" s="51" t="inlineStr">
        <is>
          <t>PAC</t>
        </is>
      </c>
      <c r="M850" s="210" t="n"/>
      <c r="N850" s="211" t="n"/>
      <c r="O850" s="263" t="n"/>
      <c r="Q850" s="271" t="n"/>
      <c r="R850" s="282" t="n"/>
    </row>
    <row r="851" ht="18" customHeight="1" s="305">
      <c r="A851" s="8" t="inlineStr">
        <is>
          <t>B 78</t>
        </is>
      </c>
      <c r="B851" s="5" t="n">
        <v>152</v>
      </c>
      <c r="C851" s="6" t="inlineStr">
        <is>
          <t>X</t>
        </is>
      </c>
      <c r="D851" s="5" t="n">
        <v>291</v>
      </c>
      <c r="E851" s="2">
        <f>B851*D851/10000</f>
        <v/>
      </c>
      <c r="F851" s="3">
        <f>B851/30.48</f>
        <v/>
      </c>
      <c r="G851" s="3">
        <f>D851/30.48</f>
        <v/>
      </c>
      <c r="H851" s="615" t="n"/>
      <c r="K851" s="51" t="inlineStr">
        <is>
          <t>PAC</t>
        </is>
      </c>
      <c r="M851" s="210" t="n"/>
      <c r="N851" s="211" t="n"/>
      <c r="O851" s="263" t="n"/>
      <c r="Q851" s="271" t="n"/>
      <c r="R851" s="282" t="n"/>
    </row>
    <row r="852" ht="18" customHeight="1" s="305">
      <c r="A852" s="8" t="inlineStr">
        <is>
          <t>B 86</t>
        </is>
      </c>
      <c r="B852" s="5" t="n">
        <v>158</v>
      </c>
      <c r="C852" s="6" t="inlineStr">
        <is>
          <t>X</t>
        </is>
      </c>
      <c r="D852" s="5" t="n">
        <v>262</v>
      </c>
      <c r="E852" s="2">
        <f>B852*D852/10000</f>
        <v/>
      </c>
      <c r="F852" s="3">
        <f>B852/30.48</f>
        <v/>
      </c>
      <c r="G852" s="3">
        <f>D852/30.48</f>
        <v/>
      </c>
      <c r="H852" s="615" t="n"/>
      <c r="K852" s="51" t="inlineStr">
        <is>
          <t>PAC</t>
        </is>
      </c>
      <c r="M852" s="210" t="n"/>
      <c r="N852" s="211" t="n"/>
      <c r="O852" s="263" t="n"/>
      <c r="Q852" s="271" t="n"/>
      <c r="R852" s="282" t="n"/>
    </row>
    <row r="853" ht="18" customHeight="1" s="305">
      <c r="A853" s="8" t="inlineStr">
        <is>
          <t>B 87</t>
        </is>
      </c>
      <c r="B853" s="5" t="n">
        <v>172</v>
      </c>
      <c r="C853" s="6" t="inlineStr">
        <is>
          <t>X</t>
        </is>
      </c>
      <c r="D853" s="5" t="n">
        <v>275</v>
      </c>
      <c r="E853" s="2">
        <f>B853*D853/10000</f>
        <v/>
      </c>
      <c r="F853" s="3">
        <f>B853/30.48</f>
        <v/>
      </c>
      <c r="G853" s="3">
        <f>D853/30.48</f>
        <v/>
      </c>
      <c r="H853" s="615" t="n"/>
      <c r="K853" s="51" t="inlineStr">
        <is>
          <t>PAC</t>
        </is>
      </c>
      <c r="M853" s="210" t="n"/>
      <c r="N853" s="211" t="n"/>
      <c r="O853" s="263" t="n"/>
      <c r="Q853" s="271" t="n"/>
      <c r="R853" s="282" t="n"/>
    </row>
    <row r="854" ht="18" customHeight="1" s="305">
      <c r="A854" s="8" t="inlineStr">
        <is>
          <t>B 88</t>
        </is>
      </c>
      <c r="B854" s="5" t="n">
        <v>157</v>
      </c>
      <c r="C854" s="6" t="inlineStr">
        <is>
          <t>X</t>
        </is>
      </c>
      <c r="D854" s="5" t="n">
        <v>272</v>
      </c>
      <c r="E854" s="2">
        <f>B854*D854/10000</f>
        <v/>
      </c>
      <c r="F854" s="3">
        <f>B854/30.48</f>
        <v/>
      </c>
      <c r="G854" s="3">
        <f>D854/30.48</f>
        <v/>
      </c>
      <c r="H854" s="615" t="n"/>
      <c r="K854" s="51" t="inlineStr">
        <is>
          <t>PAC</t>
        </is>
      </c>
      <c r="M854" s="210" t="n"/>
      <c r="N854" s="211" t="n"/>
      <c r="O854" s="263" t="n"/>
      <c r="Q854" s="271" t="n"/>
      <c r="R854" s="282" t="n"/>
    </row>
    <row r="855" ht="18" customHeight="1" s="305">
      <c r="A855" s="8" t="inlineStr">
        <is>
          <t>B 90</t>
        </is>
      </c>
      <c r="B855" s="5" t="n">
        <v>160</v>
      </c>
      <c r="C855" s="6" t="inlineStr">
        <is>
          <t>X</t>
        </is>
      </c>
      <c r="D855" s="5" t="n">
        <v>255</v>
      </c>
      <c r="E855" s="2">
        <f>B855*D855/10000</f>
        <v/>
      </c>
      <c r="F855" s="3">
        <f>B855/30.48</f>
        <v/>
      </c>
      <c r="G855" s="3">
        <f>D855/30.48</f>
        <v/>
      </c>
      <c r="H855" s="615" t="n"/>
      <c r="K855" s="51" t="inlineStr">
        <is>
          <t>PAC</t>
        </is>
      </c>
      <c r="M855" s="210" t="n"/>
      <c r="N855" s="211" t="n"/>
      <c r="O855" s="263" t="n"/>
      <c r="Q855" s="271" t="n"/>
      <c r="R855" s="282" t="n"/>
    </row>
    <row r="856" ht="18" customHeight="1" s="305">
      <c r="A856" s="8" t="inlineStr">
        <is>
          <t>B 92</t>
        </is>
      </c>
      <c r="B856" s="5" t="n">
        <v>171</v>
      </c>
      <c r="C856" s="6" t="inlineStr">
        <is>
          <t>X</t>
        </is>
      </c>
      <c r="D856" s="5" t="n">
        <v>276</v>
      </c>
      <c r="E856" s="2">
        <f>B856*D856/10000</f>
        <v/>
      </c>
      <c r="F856" s="3">
        <f>B856/30.48</f>
        <v/>
      </c>
      <c r="G856" s="3">
        <f>D856/30.48</f>
        <v/>
      </c>
      <c r="H856" s="615" t="n"/>
      <c r="K856" s="51" t="inlineStr">
        <is>
          <t>PAC</t>
        </is>
      </c>
      <c r="M856" s="210" t="n"/>
      <c r="N856" s="211" t="n"/>
      <c r="O856" s="263" t="n"/>
      <c r="Q856" s="271" t="n"/>
      <c r="R856" s="282" t="n"/>
    </row>
    <row r="857" ht="18" customHeight="1" s="305">
      <c r="A857" s="8" t="inlineStr">
        <is>
          <t>B 134</t>
        </is>
      </c>
      <c r="B857" s="5" t="n">
        <v>175</v>
      </c>
      <c r="C857" s="6" t="inlineStr">
        <is>
          <t>X</t>
        </is>
      </c>
      <c r="D857" s="5" t="n">
        <v>295</v>
      </c>
      <c r="E857" s="2">
        <f>B857*D857/10000</f>
        <v/>
      </c>
      <c r="F857" s="3">
        <f>B857/30.48</f>
        <v/>
      </c>
      <c r="G857" s="3">
        <f>D857/30.48</f>
        <v/>
      </c>
      <c r="H857" s="615" t="n"/>
      <c r="K857" s="51" t="inlineStr">
        <is>
          <t>PAC</t>
        </is>
      </c>
      <c r="M857" s="210" t="n"/>
      <c r="N857" s="211" t="n"/>
      <c r="O857" s="263" t="n"/>
      <c r="Q857" s="271" t="n"/>
      <c r="R857" s="282" t="n"/>
    </row>
    <row r="858" ht="18" customHeight="1" s="305">
      <c r="A858" s="8" t="inlineStr">
        <is>
          <t>B 143</t>
        </is>
      </c>
      <c r="B858" s="5" t="n">
        <v>145</v>
      </c>
      <c r="C858" s="6" t="inlineStr">
        <is>
          <t>X</t>
        </is>
      </c>
      <c r="D858" s="5" t="n">
        <v>257</v>
      </c>
      <c r="E858" s="2">
        <f>B858*D858/10000</f>
        <v/>
      </c>
      <c r="F858" s="3">
        <f>B858/30.48</f>
        <v/>
      </c>
      <c r="G858" s="3">
        <f>D858/30.48</f>
        <v/>
      </c>
      <c r="H858" s="615" t="n"/>
      <c r="K858" s="51" t="inlineStr">
        <is>
          <t>PAC</t>
        </is>
      </c>
      <c r="M858" s="210" t="n"/>
      <c r="N858" s="211" t="n"/>
      <c r="O858" s="263" t="n"/>
      <c r="Q858" s="271" t="n"/>
      <c r="R858" s="282" t="n"/>
    </row>
    <row r="859" ht="18" customHeight="1" s="305">
      <c r="A859" s="8" t="inlineStr">
        <is>
          <t>B 145</t>
        </is>
      </c>
      <c r="B859" s="5" t="n">
        <v>158</v>
      </c>
      <c r="C859" s="6" t="inlineStr">
        <is>
          <t>X</t>
        </is>
      </c>
      <c r="D859" s="5" t="n">
        <v>260</v>
      </c>
      <c r="E859" s="2">
        <f>B859*D859/10000</f>
        <v/>
      </c>
      <c r="F859" s="3">
        <f>B859/30.48</f>
        <v/>
      </c>
      <c r="G859" s="3">
        <f>D859/30.48</f>
        <v/>
      </c>
      <c r="H859" s="615" t="n"/>
      <c r="M859" s="210" t="n"/>
      <c r="N859" s="211" t="n"/>
      <c r="O859" s="263" t="n"/>
      <c r="Q859" s="271" t="n"/>
      <c r="R859" s="282" t="n"/>
    </row>
    <row r="860" ht="18" customHeight="1" s="305">
      <c r="A860" s="8" t="inlineStr">
        <is>
          <t>B 167</t>
        </is>
      </c>
      <c r="B860" s="5" t="n">
        <v>146</v>
      </c>
      <c r="C860" s="6" t="inlineStr">
        <is>
          <t>X</t>
        </is>
      </c>
      <c r="D860" s="5" t="n">
        <v>258</v>
      </c>
      <c r="E860" s="2">
        <f>B860*D860/10000</f>
        <v/>
      </c>
      <c r="F860" s="3">
        <f>B860/30.48</f>
        <v/>
      </c>
      <c r="G860" s="3">
        <f>D860/30.48</f>
        <v/>
      </c>
      <c r="H860" s="615" t="n"/>
      <c r="K860" s="51" t="inlineStr">
        <is>
          <t>PAC</t>
        </is>
      </c>
      <c r="M860" s="210" t="n"/>
      <c r="N860" s="211" t="n"/>
      <c r="O860" s="263" t="n"/>
      <c r="Q860" s="271" t="n"/>
      <c r="R860" s="282" t="n"/>
    </row>
    <row r="861" ht="18" customHeight="1" s="305">
      <c r="A861" s="8" t="n">
        <v>21</v>
      </c>
      <c r="B861" s="5" t="n">
        <v>160</v>
      </c>
      <c r="C861" s="6" t="inlineStr">
        <is>
          <t>X</t>
        </is>
      </c>
      <c r="D861" s="5" t="n">
        <v>256</v>
      </c>
      <c r="E861" s="2">
        <f>B861*D861/10000</f>
        <v/>
      </c>
      <c r="F861" s="3">
        <f>B861/30.48</f>
        <v/>
      </c>
      <c r="G861" s="3">
        <f>D861/30.48</f>
        <v/>
      </c>
      <c r="H861" s="615" t="n"/>
      <c r="J861" s="48" t="inlineStr">
        <is>
          <t>TRS</t>
        </is>
      </c>
      <c r="K861" s="51" t="inlineStr">
        <is>
          <t>PAC</t>
        </is>
      </c>
      <c r="L861" s="105" t="inlineStr">
        <is>
          <t>VR</t>
        </is>
      </c>
      <c r="M861" s="210" t="n"/>
      <c r="N861" s="211" t="n"/>
      <c r="O861" s="263" t="n"/>
      <c r="Q861" s="271" t="n"/>
      <c r="R861" s="282" t="n"/>
    </row>
    <row r="862" ht="18" customHeight="1" s="305">
      <c r="A862" s="8" t="n">
        <v>23</v>
      </c>
      <c r="B862" s="5" t="n">
        <v>164</v>
      </c>
      <c r="C862" s="6" t="inlineStr">
        <is>
          <t>X</t>
        </is>
      </c>
      <c r="D862" s="5" t="n">
        <v>268</v>
      </c>
      <c r="E862" s="2">
        <f>B862*D862/10000</f>
        <v/>
      </c>
      <c r="F862" s="3">
        <f>B862/30.48</f>
        <v/>
      </c>
      <c r="G862" s="3">
        <f>D862/30.48</f>
        <v/>
      </c>
      <c r="H862" s="615" t="n"/>
      <c r="I862" s="49" t="inlineStr">
        <is>
          <t>OLD</t>
        </is>
      </c>
      <c r="J862" s="48" t="inlineStr">
        <is>
          <t>TRS</t>
        </is>
      </c>
      <c r="K862" s="51" t="inlineStr">
        <is>
          <t>PAC</t>
        </is>
      </c>
      <c r="L862" s="105" t="inlineStr">
        <is>
          <t>VR</t>
        </is>
      </c>
      <c r="M862" s="210" t="inlineStr">
        <is>
          <t>RK</t>
        </is>
      </c>
      <c r="N862" s="211" t="n"/>
      <c r="O862" s="263" t="n"/>
      <c r="Q862" s="271" t="n"/>
      <c r="R862" s="282" t="n"/>
    </row>
    <row r="863" ht="18" customHeight="1" s="305">
      <c r="A863" s="8" t="n">
        <v>178</v>
      </c>
      <c r="B863" s="5" t="n">
        <v>184</v>
      </c>
      <c r="C863" s="6" t="inlineStr">
        <is>
          <t>X</t>
        </is>
      </c>
      <c r="D863" s="5" t="n">
        <v>278</v>
      </c>
      <c r="E863" s="2">
        <f>B863*D863/10000</f>
        <v/>
      </c>
      <c r="F863" s="3">
        <f>B863/30.48</f>
        <v/>
      </c>
      <c r="G863" s="3">
        <f>D863/30.48</f>
        <v/>
      </c>
      <c r="H863" s="615" t="n"/>
      <c r="J863" s="48" t="inlineStr">
        <is>
          <t>TRS</t>
        </is>
      </c>
      <c r="K863" s="51" t="inlineStr">
        <is>
          <t>PAC</t>
        </is>
      </c>
      <c r="L863" s="105" t="inlineStr">
        <is>
          <t>VR</t>
        </is>
      </c>
      <c r="M863" s="210" t="inlineStr">
        <is>
          <t>RK</t>
        </is>
      </c>
      <c r="N863" s="211" t="n"/>
      <c r="O863" s="263" t="n"/>
      <c r="Q863" s="271" t="n"/>
      <c r="R863" s="282" t="n"/>
    </row>
    <row r="864" ht="18" customHeight="1" s="305">
      <c r="A864" s="8" t="n">
        <v>186</v>
      </c>
      <c r="B864" s="5" t="n">
        <v>151</v>
      </c>
      <c r="C864" s="6" t="inlineStr">
        <is>
          <t>X</t>
        </is>
      </c>
      <c r="D864" s="5" t="n">
        <v>263</v>
      </c>
      <c r="E864" s="2">
        <f>B864*D864/10000</f>
        <v/>
      </c>
      <c r="F864" s="3">
        <f>B864/30.48</f>
        <v/>
      </c>
      <c r="G864" s="3">
        <f>D864/30.48</f>
        <v/>
      </c>
      <c r="H864" s="615" t="n"/>
      <c r="J864" s="48" t="inlineStr">
        <is>
          <t>TRS</t>
        </is>
      </c>
      <c r="K864" s="51" t="inlineStr">
        <is>
          <t>PAC</t>
        </is>
      </c>
      <c r="L864" s="105" t="inlineStr">
        <is>
          <t>VR</t>
        </is>
      </c>
      <c r="M864" s="210" t="inlineStr">
        <is>
          <t>RK</t>
        </is>
      </c>
      <c r="N864" s="211" t="n"/>
      <c r="O864" s="263" t="n"/>
      <c r="Q864" s="271" t="n"/>
      <c r="R864" s="282" t="n"/>
    </row>
    <row r="865" ht="18" customHeight="1" s="305">
      <c r="A865" s="8" t="inlineStr">
        <is>
          <t>B 3</t>
        </is>
      </c>
      <c r="B865" s="5" t="n">
        <v>160</v>
      </c>
      <c r="C865" s="6" t="inlineStr">
        <is>
          <t>X</t>
        </is>
      </c>
      <c r="D865" s="5" t="n">
        <v>260</v>
      </c>
      <c r="E865" s="2">
        <f>B865*D865/10000</f>
        <v/>
      </c>
      <c r="F865" s="3">
        <f>B865/30.48</f>
        <v/>
      </c>
      <c r="G865" s="3">
        <f>D865/30.48</f>
        <v/>
      </c>
      <c r="H865" s="615" t="n"/>
      <c r="I865" s="49" t="inlineStr">
        <is>
          <t>OLD</t>
        </is>
      </c>
      <c r="J865" s="48" t="inlineStr">
        <is>
          <t>TRS</t>
        </is>
      </c>
      <c r="K865" s="51" t="inlineStr">
        <is>
          <t>PAC</t>
        </is>
      </c>
      <c r="L865" s="105" t="inlineStr">
        <is>
          <t>VR</t>
        </is>
      </c>
      <c r="M865" s="210" t="inlineStr">
        <is>
          <t>RK</t>
        </is>
      </c>
      <c r="N865" s="211" t="n"/>
      <c r="O865" s="263" t="n"/>
      <c r="Q865" s="271" t="n"/>
      <c r="R865" s="282" t="n"/>
    </row>
    <row r="866" ht="18" customHeight="1" s="305">
      <c r="A866" s="8" t="inlineStr">
        <is>
          <t>B 16</t>
        </is>
      </c>
      <c r="B866" s="5" t="n">
        <v>170</v>
      </c>
      <c r="C866" s="6" t="inlineStr">
        <is>
          <t>X</t>
        </is>
      </c>
      <c r="D866" s="5" t="n">
        <v>261</v>
      </c>
      <c r="E866" s="2">
        <f>B866*D866/10000</f>
        <v/>
      </c>
      <c r="F866" s="3">
        <f>B866/30.48</f>
        <v/>
      </c>
      <c r="G866" s="3">
        <f>D866/30.48</f>
        <v/>
      </c>
      <c r="H866" s="615" t="n"/>
      <c r="I866" s="49" t="inlineStr">
        <is>
          <t>OLD</t>
        </is>
      </c>
      <c r="J866" s="48" t="inlineStr">
        <is>
          <t>TRS</t>
        </is>
      </c>
      <c r="K866" s="51" t="inlineStr">
        <is>
          <t>PAC</t>
        </is>
      </c>
      <c r="L866" s="105" t="inlineStr">
        <is>
          <t>VR</t>
        </is>
      </c>
      <c r="M866" s="210" t="inlineStr">
        <is>
          <t>RK</t>
        </is>
      </c>
      <c r="N866" s="211" t="n"/>
      <c r="O866" s="263" t="n"/>
      <c r="Q866" s="271" t="n"/>
      <c r="R866" s="282" t="n"/>
    </row>
    <row r="867" ht="18" customHeight="1" s="305">
      <c r="A867" s="8" t="inlineStr">
        <is>
          <t>B 25</t>
        </is>
      </c>
      <c r="B867" s="5" t="n">
        <v>167</v>
      </c>
      <c r="C867" s="6" t="inlineStr">
        <is>
          <t>X</t>
        </is>
      </c>
      <c r="D867" s="5" t="n">
        <v>275</v>
      </c>
      <c r="E867" s="2">
        <f>B867*D867/10000</f>
        <v/>
      </c>
      <c r="F867" s="3">
        <f>B867/30.48</f>
        <v/>
      </c>
      <c r="G867" s="3">
        <f>D867/30.48</f>
        <v/>
      </c>
      <c r="H867" s="615" t="n"/>
      <c r="I867" s="49" t="inlineStr">
        <is>
          <t>OLD</t>
        </is>
      </c>
      <c r="J867" s="48" t="inlineStr">
        <is>
          <t>TRS</t>
        </is>
      </c>
      <c r="K867" s="51" t="inlineStr">
        <is>
          <t>PAC</t>
        </is>
      </c>
      <c r="M867" s="210" t="inlineStr">
        <is>
          <t>RK</t>
        </is>
      </c>
      <c r="N867" s="211" t="n"/>
      <c r="O867" s="263" t="n"/>
      <c r="Q867" s="271" t="n"/>
      <c r="R867" s="282" t="n"/>
    </row>
    <row r="868" ht="18" customHeight="1" s="305">
      <c r="A868" s="8" t="inlineStr">
        <is>
          <t>B 31</t>
        </is>
      </c>
      <c r="B868" s="5" t="n">
        <v>207</v>
      </c>
      <c r="C868" s="6" t="inlineStr">
        <is>
          <t>X</t>
        </is>
      </c>
      <c r="D868" s="5" t="n">
        <v>323</v>
      </c>
      <c r="E868" s="2">
        <f>B868*D868/10000</f>
        <v/>
      </c>
      <c r="F868" s="3">
        <f>B868/30.48</f>
        <v/>
      </c>
      <c r="G868" s="3">
        <f>D868/30.48</f>
        <v/>
      </c>
      <c r="H868" s="615" t="n"/>
      <c r="I868" s="49" t="inlineStr">
        <is>
          <t>OLD</t>
        </is>
      </c>
      <c r="J868" s="48" t="inlineStr">
        <is>
          <t>TRS</t>
        </is>
      </c>
      <c r="K868" s="51" t="inlineStr">
        <is>
          <t>PAC</t>
        </is>
      </c>
      <c r="M868" s="210" t="inlineStr">
        <is>
          <t>RK</t>
        </is>
      </c>
      <c r="N868" s="211" t="n"/>
      <c r="O868" s="263" t="n"/>
      <c r="Q868" s="271" t="n"/>
      <c r="R868" s="282" t="n"/>
    </row>
    <row r="869" ht="18" customHeight="1" s="305">
      <c r="A869" s="8" t="inlineStr">
        <is>
          <t>B 34</t>
        </is>
      </c>
      <c r="B869" s="5" t="n">
        <v>212</v>
      </c>
      <c r="C869" s="6" t="inlineStr">
        <is>
          <t>X</t>
        </is>
      </c>
      <c r="D869" s="5" t="n">
        <v>308</v>
      </c>
      <c r="E869" s="2">
        <f>B869*D869/10000</f>
        <v/>
      </c>
      <c r="F869" s="3">
        <f>B869/30.48</f>
        <v/>
      </c>
      <c r="G869" s="3">
        <f>D869/30.48</f>
        <v/>
      </c>
      <c r="H869" s="615" t="n"/>
      <c r="I869" s="49" t="inlineStr">
        <is>
          <t>OLD</t>
        </is>
      </c>
      <c r="J869" s="48" t="inlineStr">
        <is>
          <t>TRS</t>
        </is>
      </c>
      <c r="K869" s="51" t="inlineStr">
        <is>
          <t>PAC</t>
        </is>
      </c>
      <c r="M869" s="210" t="inlineStr">
        <is>
          <t>RK</t>
        </is>
      </c>
      <c r="N869" s="211" t="n"/>
      <c r="O869" s="263" t="n"/>
      <c r="Q869" s="271" t="n"/>
      <c r="R869" s="282" t="n"/>
    </row>
    <row r="870" ht="18" customHeight="1" s="305">
      <c r="A870" s="8" t="inlineStr">
        <is>
          <t>B 60</t>
        </is>
      </c>
      <c r="B870" s="5" t="n">
        <v>152</v>
      </c>
      <c r="C870" s="6" t="inlineStr">
        <is>
          <t>X</t>
        </is>
      </c>
      <c r="D870" s="5" t="n">
        <v>287</v>
      </c>
      <c r="E870" s="2">
        <f>B870*D870/10000</f>
        <v/>
      </c>
      <c r="F870" s="3">
        <f>B870/30.48</f>
        <v/>
      </c>
      <c r="G870" s="3">
        <f>D870/30.48</f>
        <v/>
      </c>
      <c r="H870" s="615" t="n"/>
      <c r="I870" s="49" t="inlineStr">
        <is>
          <t>OLD</t>
        </is>
      </c>
      <c r="J870" s="48" t="inlineStr">
        <is>
          <t>TRS</t>
        </is>
      </c>
      <c r="K870" s="51" t="inlineStr">
        <is>
          <t>PAC</t>
        </is>
      </c>
      <c r="M870" s="210" t="n"/>
      <c r="N870" s="211" t="n"/>
      <c r="O870" s="263" t="n"/>
      <c r="Q870" s="271" t="n"/>
      <c r="R870" s="282" t="n"/>
    </row>
    <row r="871" ht="18" customHeight="1" s="305">
      <c r="A871" s="8" t="inlineStr">
        <is>
          <t>B 82</t>
        </is>
      </c>
      <c r="B871" s="5" t="n">
        <v>171</v>
      </c>
      <c r="C871" s="6" t="inlineStr">
        <is>
          <t>X</t>
        </is>
      </c>
      <c r="D871" s="5" t="n">
        <v>254</v>
      </c>
      <c r="E871" s="2">
        <f>B871*D871/10000</f>
        <v/>
      </c>
      <c r="F871" s="3">
        <f>B871/30.48</f>
        <v/>
      </c>
      <c r="G871" s="3">
        <f>D871/30.48</f>
        <v/>
      </c>
      <c r="H871" s="615" t="n"/>
      <c r="I871" s="49" t="inlineStr">
        <is>
          <t>OLD</t>
        </is>
      </c>
      <c r="J871" s="48" t="inlineStr">
        <is>
          <t>TRS</t>
        </is>
      </c>
      <c r="K871" s="51" t="inlineStr">
        <is>
          <t>PAC</t>
        </is>
      </c>
      <c r="M871" s="210" t="n"/>
      <c r="N871" s="211" t="n"/>
      <c r="O871" s="263" t="n"/>
      <c r="Q871" s="271" t="n"/>
      <c r="R871" s="282" t="n"/>
    </row>
    <row r="872" ht="18" customHeight="1" s="305">
      <c r="A872" s="8" t="inlineStr">
        <is>
          <t>B 93</t>
        </is>
      </c>
      <c r="B872" s="5" t="n">
        <v>150</v>
      </c>
      <c r="C872" s="6" t="inlineStr">
        <is>
          <t>X</t>
        </is>
      </c>
      <c r="D872" s="5" t="n">
        <v>263</v>
      </c>
      <c r="E872" s="2">
        <f>B872*D872/10000</f>
        <v/>
      </c>
      <c r="F872" s="3">
        <f>B872/30.48</f>
        <v/>
      </c>
      <c r="G872" s="3">
        <f>D872/30.48</f>
        <v/>
      </c>
      <c r="H872" s="615" t="n"/>
      <c r="I872" s="49" t="inlineStr">
        <is>
          <t>OLD</t>
        </is>
      </c>
      <c r="J872" s="48" t="inlineStr">
        <is>
          <t>TRS</t>
        </is>
      </c>
      <c r="K872" s="51" t="inlineStr">
        <is>
          <t>PAC</t>
        </is>
      </c>
      <c r="M872" s="210" t="n"/>
      <c r="N872" s="211" t="n"/>
      <c r="O872" s="263" t="n"/>
      <c r="Q872" s="271" t="n"/>
      <c r="R872" s="282" t="n"/>
    </row>
    <row r="873" ht="18" customHeight="1" s="305">
      <c r="A873" s="8" t="inlineStr">
        <is>
          <t>B 141</t>
        </is>
      </c>
      <c r="B873" s="5" t="n">
        <v>152</v>
      </c>
      <c r="C873" s="6" t="inlineStr">
        <is>
          <t>X</t>
        </is>
      </c>
      <c r="D873" s="5" t="n">
        <v>232</v>
      </c>
      <c r="E873" s="2">
        <f>B873*D873/10000</f>
        <v/>
      </c>
      <c r="F873" s="3">
        <f>B873/30.48</f>
        <v/>
      </c>
      <c r="G873" s="3">
        <f>D873/30.48</f>
        <v/>
      </c>
      <c r="H873" s="615" t="n"/>
      <c r="I873" s="49" t="inlineStr">
        <is>
          <t>OLD</t>
        </is>
      </c>
      <c r="J873" s="48" t="inlineStr">
        <is>
          <t>TRS</t>
        </is>
      </c>
      <c r="K873" s="51" t="inlineStr">
        <is>
          <t>PAC</t>
        </is>
      </c>
      <c r="M873" s="210" t="n"/>
      <c r="N873" s="211" t="n"/>
      <c r="O873" s="263" t="n"/>
      <c r="Q873" s="271" t="n"/>
      <c r="R873" s="282" t="n"/>
    </row>
    <row r="874" ht="18" customHeight="1" s="305">
      <c r="A874" s="8" t="inlineStr">
        <is>
          <t>B 148</t>
        </is>
      </c>
      <c r="B874" s="5" t="n">
        <v>174</v>
      </c>
      <c r="C874" s="6" t="inlineStr">
        <is>
          <t>X</t>
        </is>
      </c>
      <c r="D874" s="5" t="n">
        <v>268</v>
      </c>
      <c r="E874" s="2">
        <f>B874*D874/10000</f>
        <v/>
      </c>
      <c r="F874" s="3">
        <f>B874/30.48</f>
        <v/>
      </c>
      <c r="G874" s="3">
        <f>D874/30.48</f>
        <v/>
      </c>
      <c r="H874" s="615" t="n"/>
      <c r="I874" s="49" t="inlineStr">
        <is>
          <t>OLD</t>
        </is>
      </c>
      <c r="J874" s="48" t="inlineStr">
        <is>
          <t>TRS</t>
        </is>
      </c>
      <c r="K874" s="51" t="inlineStr">
        <is>
          <t>PAC</t>
        </is>
      </c>
      <c r="M874" s="210" t="n"/>
      <c r="N874" s="211" t="n"/>
      <c r="O874" s="263" t="n"/>
      <c r="Q874" s="271" t="n"/>
      <c r="R874" s="282" t="n"/>
    </row>
    <row r="875" ht="18" customHeight="1" s="305">
      <c r="A875" s="8" t="inlineStr">
        <is>
          <t>B 152</t>
        </is>
      </c>
      <c r="B875" s="5" t="n">
        <v>152</v>
      </c>
      <c r="C875" s="6" t="inlineStr">
        <is>
          <t>X</t>
        </is>
      </c>
      <c r="D875" s="5" t="n">
        <v>261</v>
      </c>
      <c r="E875" s="2">
        <f>B875*D875/10000</f>
        <v/>
      </c>
      <c r="F875" s="3">
        <f>B875/30.48</f>
        <v/>
      </c>
      <c r="G875" s="3">
        <f>D875/30.48</f>
        <v/>
      </c>
      <c r="H875" s="615" t="n"/>
      <c r="I875" s="49" t="inlineStr">
        <is>
          <t>OLD</t>
        </is>
      </c>
      <c r="J875" s="48" t="inlineStr">
        <is>
          <t>TRS</t>
        </is>
      </c>
      <c r="K875" s="51" t="inlineStr">
        <is>
          <t>PAC</t>
        </is>
      </c>
      <c r="M875" s="210" t="n"/>
      <c r="N875" s="211" t="n"/>
      <c r="O875" s="263" t="n"/>
      <c r="Q875" s="271" t="n"/>
      <c r="R875" s="282" t="n"/>
    </row>
    <row r="876" ht="18" customHeight="1" s="305">
      <c r="A876" s="8" t="inlineStr">
        <is>
          <t>B 153</t>
        </is>
      </c>
      <c r="B876" s="5" t="n">
        <v>160</v>
      </c>
      <c r="C876" s="6" t="inlineStr">
        <is>
          <t>X</t>
        </is>
      </c>
      <c r="D876" s="5" t="n">
        <v>276</v>
      </c>
      <c r="E876" s="2">
        <f>B876*D876/10000</f>
        <v/>
      </c>
      <c r="F876" s="3">
        <f>B876/30.48</f>
        <v/>
      </c>
      <c r="G876" s="3">
        <f>D876/30.48</f>
        <v/>
      </c>
      <c r="H876" s="615" t="n"/>
      <c r="I876" s="49" t="inlineStr">
        <is>
          <t>OLD</t>
        </is>
      </c>
      <c r="J876" s="48" t="inlineStr">
        <is>
          <t>TRS</t>
        </is>
      </c>
      <c r="M876" s="210" t="n"/>
      <c r="N876" s="211" t="n"/>
      <c r="O876" s="263" t="n"/>
      <c r="Q876" s="271" t="n"/>
      <c r="R876" s="282" t="n"/>
    </row>
    <row r="877" ht="18" customHeight="1" s="305">
      <c r="A877" s="8" t="inlineStr">
        <is>
          <t>B 155</t>
        </is>
      </c>
      <c r="B877" s="5" t="n">
        <v>176</v>
      </c>
      <c r="C877" s="6" t="inlineStr">
        <is>
          <t>X</t>
        </is>
      </c>
      <c r="D877" s="5" t="n">
        <v>286</v>
      </c>
      <c r="E877" s="2">
        <f>B877*D877/10000</f>
        <v/>
      </c>
      <c r="F877" s="3">
        <f>B877/30.48</f>
        <v/>
      </c>
      <c r="G877" s="3">
        <f>D877/30.48</f>
        <v/>
      </c>
      <c r="H877" s="615" t="n"/>
      <c r="I877" s="49" t="inlineStr">
        <is>
          <t>OLD</t>
        </is>
      </c>
      <c r="J877" s="48" t="inlineStr">
        <is>
          <t>TRS</t>
        </is>
      </c>
      <c r="M877" s="210" t="n"/>
      <c r="N877" s="211" t="n"/>
      <c r="O877" s="263" t="n"/>
      <c r="Q877" s="271" t="n"/>
      <c r="R877" s="282" t="n"/>
    </row>
    <row r="878" ht="18" customHeight="1" s="305">
      <c r="A878" s="8" t="inlineStr">
        <is>
          <t>B 156</t>
        </is>
      </c>
      <c r="B878" s="5" t="n">
        <v>172</v>
      </c>
      <c r="C878" s="6" t="inlineStr">
        <is>
          <t>X</t>
        </is>
      </c>
      <c r="D878" s="5" t="n">
        <v>266</v>
      </c>
      <c r="E878" s="2">
        <f>B878*D878/10000</f>
        <v/>
      </c>
      <c r="F878" s="3">
        <f>B878/30.48</f>
        <v/>
      </c>
      <c r="G878" s="3">
        <f>D878/30.48</f>
        <v/>
      </c>
      <c r="H878" s="615" t="n"/>
      <c r="I878" s="49" t="inlineStr">
        <is>
          <t>OLD</t>
        </is>
      </c>
      <c r="J878" s="48" t="inlineStr">
        <is>
          <t>TRS</t>
        </is>
      </c>
      <c r="M878" s="210" t="n"/>
      <c r="N878" s="211" t="n"/>
      <c r="O878" s="263" t="n"/>
      <c r="Q878" s="271" t="n"/>
      <c r="R878" s="282" t="n"/>
    </row>
    <row r="879" ht="18" customHeight="1" s="305">
      <c r="A879" s="8" t="inlineStr">
        <is>
          <t>B 161</t>
        </is>
      </c>
      <c r="B879" s="5" t="n">
        <v>144</v>
      </c>
      <c r="C879" s="6" t="inlineStr">
        <is>
          <t>X</t>
        </is>
      </c>
      <c r="D879" s="5" t="n">
        <v>268</v>
      </c>
      <c r="E879" s="2">
        <f>B879*D879/10000</f>
        <v/>
      </c>
      <c r="F879" s="3">
        <f>B879/30.48</f>
        <v/>
      </c>
      <c r="G879" s="3">
        <f>D879/30.48</f>
        <v/>
      </c>
      <c r="H879" s="615" t="n"/>
      <c r="I879" s="49" t="inlineStr">
        <is>
          <t>OLD</t>
        </is>
      </c>
      <c r="J879" s="48" t="inlineStr">
        <is>
          <t>TRS</t>
        </is>
      </c>
      <c r="K879" s="51" t="inlineStr">
        <is>
          <t>PAC</t>
        </is>
      </c>
      <c r="M879" s="210" t="n"/>
      <c r="N879" s="211" t="n"/>
      <c r="O879" s="263" t="n"/>
      <c r="Q879" s="271" t="n"/>
      <c r="R879" s="282" t="n"/>
    </row>
    <row r="880" ht="18" customHeight="1" s="305">
      <c r="A880" s="8" t="inlineStr">
        <is>
          <t>B 166</t>
        </is>
      </c>
      <c r="B880" s="5" t="n">
        <v>201</v>
      </c>
      <c r="C880" s="6" t="inlineStr">
        <is>
          <t>X</t>
        </is>
      </c>
      <c r="D880" s="5" t="n">
        <v>316</v>
      </c>
      <c r="E880" s="2">
        <f>B880*D880/10000</f>
        <v/>
      </c>
      <c r="F880" s="3">
        <f>B880/30.48</f>
        <v/>
      </c>
      <c r="G880" s="3">
        <f>D880/30.48</f>
        <v/>
      </c>
      <c r="H880" s="615" t="n"/>
      <c r="I880" s="49" t="inlineStr">
        <is>
          <t>OLD</t>
        </is>
      </c>
      <c r="J880" s="48" t="inlineStr">
        <is>
          <t>TRS</t>
        </is>
      </c>
      <c r="M880" s="210" t="n"/>
      <c r="N880" s="211" t="n"/>
      <c r="O880" s="263" t="n"/>
      <c r="Q880" s="271" t="n"/>
      <c r="R880" s="282" t="n"/>
    </row>
    <row r="881" ht="18" customHeight="1" s="305">
      <c r="A881" s="8" t="inlineStr">
        <is>
          <t>B 168</t>
        </is>
      </c>
      <c r="B881" s="5" t="n">
        <v>142</v>
      </c>
      <c r="C881" s="6" t="inlineStr">
        <is>
          <t>X</t>
        </is>
      </c>
      <c r="D881" s="5" t="n">
        <v>256</v>
      </c>
      <c r="E881" s="2">
        <f>B881*D881/10000</f>
        <v/>
      </c>
      <c r="F881" s="3">
        <f>B881/30.48</f>
        <v/>
      </c>
      <c r="G881" s="3">
        <f>D881/30.48</f>
        <v/>
      </c>
      <c r="H881" s="615" t="n"/>
      <c r="I881" s="49" t="inlineStr">
        <is>
          <t>OLD</t>
        </is>
      </c>
      <c r="J881" s="48" t="inlineStr">
        <is>
          <t>TRS</t>
        </is>
      </c>
      <c r="M881" s="210" t="n"/>
      <c r="N881" s="211" t="n"/>
      <c r="O881" s="263" t="n"/>
      <c r="Q881" s="271" t="n"/>
      <c r="R881" s="282" t="n"/>
    </row>
    <row r="882" ht="18" customHeight="1" s="305">
      <c r="A882" s="8" t="n">
        <v>216</v>
      </c>
      <c r="B882" s="5" t="n">
        <v>184</v>
      </c>
      <c r="C882" s="6" t="inlineStr">
        <is>
          <t>X</t>
        </is>
      </c>
      <c r="D882" s="5" t="n">
        <v>281</v>
      </c>
      <c r="E882" s="2">
        <f>B882*D882/10000</f>
        <v/>
      </c>
      <c r="F882" s="3">
        <f>B882/30.48</f>
        <v/>
      </c>
      <c r="G882" s="3">
        <f>D882/30.48</f>
        <v/>
      </c>
      <c r="H882" s="615" t="n"/>
      <c r="J882" s="48" t="inlineStr">
        <is>
          <t>TRS</t>
        </is>
      </c>
      <c r="K882" s="51" t="inlineStr">
        <is>
          <t>PAC</t>
        </is>
      </c>
      <c r="L882" s="105" t="inlineStr">
        <is>
          <t>VR</t>
        </is>
      </c>
      <c r="M882" s="210" t="n"/>
      <c r="N882" s="211" t="n"/>
      <c r="O882" s="263" t="n"/>
      <c r="Q882" s="271" t="n"/>
      <c r="R882" s="282" t="n"/>
    </row>
    <row r="883" ht="18" customHeight="1" s="305">
      <c r="A883" s="8" t="n">
        <v>676</v>
      </c>
      <c r="B883" s="5" t="n">
        <v>186</v>
      </c>
      <c r="C883" s="6" t="inlineStr">
        <is>
          <t>X</t>
        </is>
      </c>
      <c r="D883" s="5" t="n">
        <v>275</v>
      </c>
      <c r="E883" s="2">
        <f>B883*D883/10000</f>
        <v/>
      </c>
      <c r="F883" s="3">
        <f>B883/30.48</f>
        <v/>
      </c>
      <c r="G883" s="3">
        <f>D883/30.48</f>
        <v/>
      </c>
      <c r="H883" s="615" t="n"/>
      <c r="J883" s="48" t="inlineStr">
        <is>
          <t>TRS</t>
        </is>
      </c>
      <c r="K883" s="51" t="inlineStr">
        <is>
          <t>PAC</t>
        </is>
      </c>
      <c r="L883" s="105" t="inlineStr">
        <is>
          <t>VR</t>
        </is>
      </c>
      <c r="M883" s="210" t="n"/>
      <c r="N883" s="211" t="n"/>
      <c r="O883" s="263" t="n"/>
      <c r="Q883" s="271" t="n"/>
      <c r="R883" s="282" t="n"/>
    </row>
    <row r="884" ht="18" customHeight="1" s="305">
      <c r="A884" s="8" t="inlineStr">
        <is>
          <t>B 4</t>
        </is>
      </c>
      <c r="B884" s="5" t="n">
        <v>186</v>
      </c>
      <c r="C884" s="6" t="inlineStr">
        <is>
          <t>X</t>
        </is>
      </c>
      <c r="D884" s="5" t="n">
        <v>273</v>
      </c>
      <c r="E884" s="2">
        <f>B884*D884/10000</f>
        <v/>
      </c>
      <c r="F884" s="3">
        <f>B884/30.48</f>
        <v/>
      </c>
      <c r="G884" s="3">
        <f>D884/30.48</f>
        <v/>
      </c>
      <c r="H884" s="615" t="n"/>
      <c r="I884" s="49" t="inlineStr">
        <is>
          <t>OLD</t>
        </is>
      </c>
      <c r="J884" s="48" t="inlineStr">
        <is>
          <t>TRS</t>
        </is>
      </c>
      <c r="K884" s="51" t="inlineStr">
        <is>
          <t>PAC</t>
        </is>
      </c>
      <c r="L884" s="105" t="inlineStr">
        <is>
          <t>VR</t>
        </is>
      </c>
      <c r="M884" s="210" t="inlineStr">
        <is>
          <t>RK</t>
        </is>
      </c>
      <c r="N884" s="211" t="n"/>
      <c r="O884" s="263" t="n"/>
      <c r="Q884" s="271" t="n"/>
      <c r="R884" s="282" t="n"/>
    </row>
    <row r="885" ht="18" customHeight="1" s="305">
      <c r="A885" s="8" t="inlineStr">
        <is>
          <t>B 10</t>
        </is>
      </c>
      <c r="B885" s="5" t="n">
        <v>192</v>
      </c>
      <c r="C885" s="6" t="inlineStr">
        <is>
          <t>X</t>
        </is>
      </c>
      <c r="D885" s="5" t="n">
        <v>291</v>
      </c>
      <c r="E885" s="2">
        <f>B885*D885/10000</f>
        <v/>
      </c>
      <c r="F885" s="3">
        <f>B885/30.48</f>
        <v/>
      </c>
      <c r="G885" s="3">
        <f>D885/30.48</f>
        <v/>
      </c>
      <c r="H885" s="615" t="n"/>
      <c r="I885" s="49" t="inlineStr">
        <is>
          <t>OLD</t>
        </is>
      </c>
      <c r="J885" s="48" t="inlineStr">
        <is>
          <t>TRS</t>
        </is>
      </c>
      <c r="K885" s="51" t="inlineStr">
        <is>
          <t>PAC</t>
        </is>
      </c>
      <c r="L885" s="105" t="inlineStr">
        <is>
          <t>VR</t>
        </is>
      </c>
      <c r="M885" s="210" t="inlineStr">
        <is>
          <t>RK</t>
        </is>
      </c>
      <c r="N885" s="211" t="n"/>
      <c r="O885" s="263" t="n"/>
      <c r="Q885" s="271" t="n"/>
      <c r="R885" s="282" t="n"/>
    </row>
    <row r="886" ht="18" customHeight="1" s="305">
      <c r="A886" s="8" t="inlineStr">
        <is>
          <t>B 13</t>
        </is>
      </c>
      <c r="B886" s="5" t="n">
        <v>159</v>
      </c>
      <c r="C886" s="6" t="inlineStr">
        <is>
          <t>X</t>
        </is>
      </c>
      <c r="D886" s="5" t="n">
        <v>275</v>
      </c>
      <c r="E886" s="2">
        <f>B886*D886/10000</f>
        <v/>
      </c>
      <c r="F886" s="3">
        <f>B886/30.48</f>
        <v/>
      </c>
      <c r="G886" s="3">
        <f>D886/30.48</f>
        <v/>
      </c>
      <c r="H886" s="615" t="n"/>
      <c r="I886" s="49" t="inlineStr">
        <is>
          <t>OLD</t>
        </is>
      </c>
      <c r="J886" s="48" t="inlineStr">
        <is>
          <t>TRS</t>
        </is>
      </c>
      <c r="K886" s="51" t="inlineStr">
        <is>
          <t>PAC</t>
        </is>
      </c>
      <c r="L886" s="105" t="inlineStr">
        <is>
          <t>VR</t>
        </is>
      </c>
      <c r="M886" s="210" t="inlineStr">
        <is>
          <t>RK</t>
        </is>
      </c>
      <c r="N886" s="211" t="n"/>
      <c r="O886" s="263" t="n"/>
      <c r="Q886" s="271" t="n"/>
      <c r="R886" s="282" t="n"/>
    </row>
    <row r="887" ht="18" customHeight="1" s="305">
      <c r="A887" s="8" t="inlineStr">
        <is>
          <t>B 18</t>
        </is>
      </c>
      <c r="B887" s="5" t="n">
        <v>171</v>
      </c>
      <c r="C887" s="6" t="inlineStr">
        <is>
          <t>X</t>
        </is>
      </c>
      <c r="D887" s="5" t="n">
        <v>268</v>
      </c>
      <c r="E887" s="2">
        <f>B887*D887/10000</f>
        <v/>
      </c>
      <c r="F887" s="3">
        <f>B887/30.48</f>
        <v/>
      </c>
      <c r="G887" s="3">
        <f>D887/30.48</f>
        <v/>
      </c>
      <c r="H887" s="615" t="n"/>
      <c r="I887" s="49" t="inlineStr">
        <is>
          <t>OLD</t>
        </is>
      </c>
      <c r="J887" s="48" t="inlineStr">
        <is>
          <t>TRS</t>
        </is>
      </c>
      <c r="K887" s="51" t="inlineStr">
        <is>
          <t>PAC</t>
        </is>
      </c>
      <c r="L887" s="105" t="inlineStr">
        <is>
          <t>VR</t>
        </is>
      </c>
      <c r="M887" s="210" t="inlineStr">
        <is>
          <t>RK</t>
        </is>
      </c>
      <c r="N887" s="211" t="n"/>
      <c r="O887" s="263" t="n"/>
      <c r="Q887" s="271" t="n"/>
      <c r="R887" s="282" t="n"/>
    </row>
    <row r="888" ht="18" customHeight="1" s="305">
      <c r="A888" s="8" t="inlineStr">
        <is>
          <t>B 21</t>
        </is>
      </c>
      <c r="B888" s="5" t="n">
        <v>167</v>
      </c>
      <c r="C888" s="6" t="inlineStr">
        <is>
          <t>X</t>
        </is>
      </c>
      <c r="D888" s="5" t="n">
        <v>262</v>
      </c>
      <c r="E888" s="2">
        <f>B888*D888/10000</f>
        <v/>
      </c>
      <c r="F888" s="3">
        <f>B888/30.48</f>
        <v/>
      </c>
      <c r="G888" s="3">
        <f>D888/30.48</f>
        <v/>
      </c>
      <c r="H888" s="615" t="n"/>
      <c r="I888" s="49" t="inlineStr">
        <is>
          <t>OLD</t>
        </is>
      </c>
      <c r="J888" s="48" t="inlineStr">
        <is>
          <t>TRS</t>
        </is>
      </c>
      <c r="K888" s="51" t="inlineStr">
        <is>
          <t>PAC</t>
        </is>
      </c>
      <c r="L888" s="105" t="inlineStr">
        <is>
          <t>VR</t>
        </is>
      </c>
      <c r="M888" s="210" t="inlineStr">
        <is>
          <t>RK</t>
        </is>
      </c>
      <c r="N888" s="211" t="n"/>
      <c r="O888" s="263" t="n"/>
      <c r="Q888" s="271" t="n"/>
      <c r="R888" s="282" t="n"/>
    </row>
    <row r="889" ht="18" customHeight="1" s="305">
      <c r="A889" s="8" t="inlineStr">
        <is>
          <t>B 23</t>
        </is>
      </c>
      <c r="B889" s="5" t="n">
        <v>176</v>
      </c>
      <c r="C889" s="6" t="inlineStr">
        <is>
          <t>X</t>
        </is>
      </c>
      <c r="D889" s="5" t="n">
        <v>294</v>
      </c>
      <c r="E889" s="2">
        <f>B889*D889/10000</f>
        <v/>
      </c>
      <c r="F889" s="3">
        <f>B889/30.48</f>
        <v/>
      </c>
      <c r="G889" s="3">
        <f>D889/30.48</f>
        <v/>
      </c>
      <c r="H889" s="615" t="n"/>
      <c r="I889" s="49" t="inlineStr">
        <is>
          <t>OLD</t>
        </is>
      </c>
      <c r="J889" s="48" t="inlineStr">
        <is>
          <t>TRS</t>
        </is>
      </c>
      <c r="K889" s="51" t="inlineStr">
        <is>
          <t>PAC</t>
        </is>
      </c>
      <c r="L889" s="105" t="inlineStr">
        <is>
          <t>VR</t>
        </is>
      </c>
      <c r="M889" s="210" t="inlineStr">
        <is>
          <t>RK</t>
        </is>
      </c>
      <c r="N889" s="211" t="n"/>
      <c r="O889" s="263" t="n"/>
      <c r="Q889" s="271" t="n"/>
      <c r="R889" s="282" t="n"/>
    </row>
    <row r="890" ht="18" customHeight="1" s="305">
      <c r="A890" s="8" t="inlineStr">
        <is>
          <t>B 28</t>
        </is>
      </c>
      <c r="B890" s="5" t="n">
        <v>176</v>
      </c>
      <c r="C890" s="6" t="inlineStr">
        <is>
          <t>X</t>
        </is>
      </c>
      <c r="D890" s="5" t="n">
        <v>285</v>
      </c>
      <c r="E890" s="2">
        <f>B890*D890/10000</f>
        <v/>
      </c>
      <c r="F890" s="3">
        <f>B890/30.48</f>
        <v/>
      </c>
      <c r="G890" s="3">
        <f>D890/30.48</f>
        <v/>
      </c>
      <c r="H890" s="615" t="n"/>
      <c r="I890" s="49" t="inlineStr">
        <is>
          <t>OLD</t>
        </is>
      </c>
      <c r="J890" s="48" t="inlineStr">
        <is>
          <t>TRS</t>
        </is>
      </c>
      <c r="K890" s="51" t="inlineStr">
        <is>
          <t>PAC</t>
        </is>
      </c>
      <c r="M890" s="210" t="inlineStr">
        <is>
          <t>RK</t>
        </is>
      </c>
      <c r="N890" s="211" t="n"/>
      <c r="O890" s="263" t="n"/>
      <c r="Q890" s="271" t="n"/>
      <c r="R890" s="282" t="n"/>
    </row>
    <row r="891" ht="18" customHeight="1" s="305">
      <c r="A891" s="8" t="inlineStr">
        <is>
          <t>B 32</t>
        </is>
      </c>
      <c r="B891" s="5" t="n">
        <v>198</v>
      </c>
      <c r="C891" s="6" t="inlineStr">
        <is>
          <t>X</t>
        </is>
      </c>
      <c r="D891" s="5" t="n">
        <v>264</v>
      </c>
      <c r="E891" s="2">
        <f>B891*D891/10000</f>
        <v/>
      </c>
      <c r="F891" s="3">
        <f>B891/30.48</f>
        <v/>
      </c>
      <c r="G891" s="3">
        <f>D891/30.48</f>
        <v/>
      </c>
      <c r="H891" s="615" t="n"/>
      <c r="I891" s="49" t="inlineStr">
        <is>
          <t>OLD</t>
        </is>
      </c>
      <c r="J891" s="48" t="inlineStr">
        <is>
          <t>TRS</t>
        </is>
      </c>
      <c r="K891" s="51" t="inlineStr">
        <is>
          <t>PAC</t>
        </is>
      </c>
      <c r="M891" s="210" t="inlineStr">
        <is>
          <t>RK</t>
        </is>
      </c>
      <c r="N891" s="211" t="n"/>
      <c r="O891" s="263" t="n"/>
      <c r="Q891" s="271" t="n"/>
      <c r="R891" s="282" t="n"/>
    </row>
    <row r="892" ht="18" customHeight="1" s="305">
      <c r="A892" s="8" t="inlineStr">
        <is>
          <t>B 38</t>
        </is>
      </c>
      <c r="B892" s="5" t="n">
        <v>163</v>
      </c>
      <c r="C892" s="6" t="inlineStr">
        <is>
          <t>X</t>
        </is>
      </c>
      <c r="D892" s="5" t="n">
        <v>264</v>
      </c>
      <c r="E892" s="2">
        <f>B892*D892/10000</f>
        <v/>
      </c>
      <c r="F892" s="3">
        <f>B892/30.48</f>
        <v/>
      </c>
      <c r="G892" s="3">
        <f>D892/30.48</f>
        <v/>
      </c>
      <c r="H892" s="615" t="n"/>
      <c r="J892" s="48" t="inlineStr">
        <is>
          <t>TRS</t>
        </is>
      </c>
      <c r="K892" s="51" t="inlineStr">
        <is>
          <t>PAC</t>
        </is>
      </c>
      <c r="M892" s="210" t="n"/>
      <c r="N892" s="211" t="n"/>
      <c r="O892" s="263" t="n"/>
      <c r="Q892" s="271" t="n"/>
      <c r="R892" s="282" t="n"/>
    </row>
    <row r="893" ht="18" customHeight="1" s="305">
      <c r="A893" s="8" t="inlineStr">
        <is>
          <t>B 40</t>
        </is>
      </c>
      <c r="B893" s="5" t="n">
        <v>210</v>
      </c>
      <c r="C893" s="6" t="inlineStr">
        <is>
          <t>X</t>
        </is>
      </c>
      <c r="D893" s="5" t="n">
        <v>306</v>
      </c>
      <c r="E893" s="2">
        <f>B893*D893/10000</f>
        <v/>
      </c>
      <c r="F893" s="3">
        <f>B893/30.48</f>
        <v/>
      </c>
      <c r="G893" s="3">
        <f>D893/30.48</f>
        <v/>
      </c>
      <c r="H893" s="615" t="n"/>
      <c r="J893" s="48" t="inlineStr">
        <is>
          <t>TRS</t>
        </is>
      </c>
      <c r="K893" s="51" t="inlineStr">
        <is>
          <t>PAC</t>
        </is>
      </c>
      <c r="M893" s="210" t="n"/>
      <c r="N893" s="211" t="n"/>
      <c r="O893" s="263" t="n"/>
      <c r="Q893" s="271" t="n"/>
      <c r="R893" s="282" t="n"/>
    </row>
    <row r="894" ht="18" customHeight="1" s="305">
      <c r="A894" s="8" t="inlineStr">
        <is>
          <t>B 42</t>
        </is>
      </c>
      <c r="B894" s="5" t="n">
        <v>184</v>
      </c>
      <c r="C894" s="6" t="inlineStr">
        <is>
          <t>X</t>
        </is>
      </c>
      <c r="D894" s="5" t="n">
        <v>297</v>
      </c>
      <c r="E894" s="2">
        <f>B894*D894/10000</f>
        <v/>
      </c>
      <c r="F894" s="3">
        <f>B894/30.48</f>
        <v/>
      </c>
      <c r="G894" s="3">
        <f>D894/30.48</f>
        <v/>
      </c>
      <c r="H894" s="615" t="n"/>
      <c r="J894" s="48" t="inlineStr">
        <is>
          <t>TRS</t>
        </is>
      </c>
      <c r="K894" s="51" t="inlineStr">
        <is>
          <t>PAC</t>
        </is>
      </c>
      <c r="M894" s="210" t="n"/>
      <c r="N894" s="211" t="n"/>
      <c r="O894" s="263" t="n"/>
      <c r="Q894" s="271" t="n"/>
      <c r="R894" s="282" t="n"/>
    </row>
    <row r="895" ht="18" customHeight="1" s="305">
      <c r="A895" s="8" t="inlineStr">
        <is>
          <t>B 45</t>
        </is>
      </c>
      <c r="B895" s="5" t="n">
        <v>167</v>
      </c>
      <c r="C895" s="6" t="inlineStr">
        <is>
          <t>X</t>
        </is>
      </c>
      <c r="D895" s="5" t="n">
        <v>269</v>
      </c>
      <c r="E895" s="2">
        <f>B895*D895/10000</f>
        <v/>
      </c>
      <c r="F895" s="3">
        <f>B895/30.48</f>
        <v/>
      </c>
      <c r="G895" s="3">
        <f>D895/30.48</f>
        <v/>
      </c>
      <c r="H895" s="615" t="n"/>
      <c r="J895" s="48" t="inlineStr">
        <is>
          <t>TRS</t>
        </is>
      </c>
      <c r="K895" s="51" t="inlineStr">
        <is>
          <t>PAC</t>
        </is>
      </c>
      <c r="M895" s="210" t="n"/>
      <c r="N895" s="211" t="n"/>
      <c r="O895" s="263" t="n"/>
      <c r="Q895" s="271" t="n"/>
      <c r="R895" s="282" t="n"/>
    </row>
    <row r="896" ht="18" customHeight="1" s="305">
      <c r="A896" s="8" t="inlineStr">
        <is>
          <t>B 49</t>
        </is>
      </c>
      <c r="B896" s="5" t="n">
        <v>91</v>
      </c>
      <c r="C896" s="6" t="inlineStr">
        <is>
          <t>X</t>
        </is>
      </c>
      <c r="D896" s="5" t="n">
        <v>255</v>
      </c>
      <c r="E896" s="2">
        <f>B896*D896/10000</f>
        <v/>
      </c>
      <c r="F896" s="3">
        <f>B896/30.48</f>
        <v/>
      </c>
      <c r="G896" s="3">
        <f>D896/30.48</f>
        <v/>
      </c>
      <c r="H896" s="615" t="n"/>
      <c r="K896" s="51" t="inlineStr">
        <is>
          <t>PAC</t>
        </is>
      </c>
      <c r="M896" s="210" t="n"/>
      <c r="N896" s="211" t="n"/>
      <c r="O896" s="263" t="n"/>
      <c r="Q896" s="271" t="n"/>
      <c r="R896" s="282" t="n"/>
    </row>
    <row r="897" ht="18" customHeight="1" s="305">
      <c r="A897" s="8" t="inlineStr">
        <is>
          <t>B 50</t>
        </is>
      </c>
      <c r="B897" s="5" t="n">
        <v>196</v>
      </c>
      <c r="C897" s="6" t="inlineStr">
        <is>
          <t>X</t>
        </is>
      </c>
      <c r="D897" s="5" t="n">
        <v>287</v>
      </c>
      <c r="E897" s="2">
        <f>B897*D897/10000</f>
        <v/>
      </c>
      <c r="F897" s="3">
        <f>B897/30.48</f>
        <v/>
      </c>
      <c r="G897" s="3">
        <f>D897/30.48</f>
        <v/>
      </c>
      <c r="H897" s="615" t="n"/>
      <c r="K897" s="51" t="inlineStr">
        <is>
          <t>PAC</t>
        </is>
      </c>
      <c r="M897" s="210" t="n"/>
      <c r="N897" s="211" t="n"/>
      <c r="O897" s="263" t="n"/>
      <c r="Q897" s="271" t="n"/>
      <c r="R897" s="282" t="n"/>
    </row>
    <row r="898" ht="18" customHeight="1" s="305">
      <c r="A898" s="8" t="inlineStr">
        <is>
          <t>B 51</t>
        </is>
      </c>
      <c r="B898" s="5" t="n">
        <v>160</v>
      </c>
      <c r="C898" s="6" t="inlineStr">
        <is>
          <t>X</t>
        </is>
      </c>
      <c r="D898" s="5" t="n">
        <v>253</v>
      </c>
      <c r="E898" s="2">
        <f>B898*D898/10000</f>
        <v/>
      </c>
      <c r="F898" s="3">
        <f>B898/30.48</f>
        <v/>
      </c>
      <c r="G898" s="3">
        <f>D898/30.48</f>
        <v/>
      </c>
      <c r="H898" s="615" t="n"/>
      <c r="K898" s="51" t="inlineStr">
        <is>
          <t>PAC</t>
        </is>
      </c>
      <c r="M898" s="210" t="n"/>
      <c r="N898" s="211" t="n"/>
      <c r="O898" s="263" t="n"/>
      <c r="Q898" s="271" t="n"/>
      <c r="R898" s="282" t="n"/>
    </row>
    <row r="899" ht="18" customHeight="1" s="305">
      <c r="A899" s="8" t="inlineStr">
        <is>
          <t>B 53</t>
        </is>
      </c>
      <c r="B899" s="5" t="n">
        <v>197</v>
      </c>
      <c r="C899" s="6" t="inlineStr">
        <is>
          <t>X</t>
        </is>
      </c>
      <c r="D899" s="5" t="n">
        <v>274</v>
      </c>
      <c r="E899" s="2">
        <f>B899*D899/10000</f>
        <v/>
      </c>
      <c r="F899" s="3">
        <f>B899/30.48</f>
        <v/>
      </c>
      <c r="G899" s="3">
        <f>D899/30.48</f>
        <v/>
      </c>
      <c r="H899" s="615" t="n"/>
      <c r="K899" s="51" t="inlineStr">
        <is>
          <t>PAC</t>
        </is>
      </c>
      <c r="M899" s="210" t="n"/>
      <c r="N899" s="211" t="n"/>
      <c r="O899" s="263" t="n"/>
      <c r="Q899" s="271" t="n"/>
      <c r="R899" s="282" t="n"/>
    </row>
    <row r="900" ht="18" customHeight="1" s="305">
      <c r="A900" s="8" t="inlineStr">
        <is>
          <t>B 54</t>
        </is>
      </c>
      <c r="B900" s="5" t="n">
        <v>168</v>
      </c>
      <c r="C900" s="6" t="inlineStr">
        <is>
          <t>X</t>
        </is>
      </c>
      <c r="D900" s="5" t="n">
        <v>275</v>
      </c>
      <c r="E900" s="2">
        <f>B900*D900/10000</f>
        <v/>
      </c>
      <c r="F900" s="3">
        <f>B900/30.48</f>
        <v/>
      </c>
      <c r="G900" s="3">
        <f>D900/30.48</f>
        <v/>
      </c>
      <c r="H900" s="615" t="n"/>
      <c r="M900" s="210" t="n"/>
      <c r="N900" s="211" t="n"/>
      <c r="O900" s="263" t="n"/>
      <c r="Q900" s="271" t="n"/>
      <c r="R900" s="282" t="n"/>
    </row>
    <row r="901" ht="18" customHeight="1" s="305">
      <c r="A901" s="8" t="inlineStr">
        <is>
          <t>B 55</t>
        </is>
      </c>
      <c r="B901" s="5" t="n">
        <v>190</v>
      </c>
      <c r="C901" s="6" t="inlineStr">
        <is>
          <t>X</t>
        </is>
      </c>
      <c r="D901" s="5" t="n">
        <v>280</v>
      </c>
      <c r="E901" s="2">
        <f>B901*D901/10000</f>
        <v/>
      </c>
      <c r="F901" s="3">
        <f>B901/30.48</f>
        <v/>
      </c>
      <c r="G901" s="3">
        <f>D901/30.48</f>
        <v/>
      </c>
      <c r="H901" s="615" t="n"/>
      <c r="K901" s="51" t="inlineStr">
        <is>
          <t>PAC</t>
        </is>
      </c>
      <c r="M901" s="210" t="n"/>
      <c r="N901" s="211" t="n"/>
      <c r="O901" s="263" t="n"/>
      <c r="Q901" s="271" t="n"/>
      <c r="R901" s="282" t="n"/>
    </row>
    <row r="902" ht="18" customHeight="1" s="305">
      <c r="A902" s="8" t="inlineStr">
        <is>
          <t>B 56</t>
        </is>
      </c>
      <c r="B902" s="5" t="n">
        <v>163</v>
      </c>
      <c r="C902" s="6" t="inlineStr">
        <is>
          <t>X</t>
        </is>
      </c>
      <c r="D902" s="5" t="n">
        <v>253</v>
      </c>
      <c r="E902" s="2">
        <f>B902*D902/10000</f>
        <v/>
      </c>
      <c r="F902" s="3">
        <f>B902/30.48</f>
        <v/>
      </c>
      <c r="G902" s="3">
        <f>D902/30.48</f>
        <v/>
      </c>
      <c r="H902" s="615" t="n"/>
      <c r="M902" s="210" t="n"/>
      <c r="N902" s="211" t="n"/>
      <c r="O902" s="263" t="n"/>
      <c r="Q902" s="271" t="n"/>
      <c r="R902" s="282" t="n"/>
    </row>
    <row r="903" ht="18" customHeight="1" s="305">
      <c r="A903" s="8" t="inlineStr">
        <is>
          <t>B 57</t>
        </is>
      </c>
      <c r="B903" s="5" t="n">
        <v>178</v>
      </c>
      <c r="C903" s="6" t="inlineStr">
        <is>
          <t>X</t>
        </is>
      </c>
      <c r="D903" s="5" t="n">
        <v>270</v>
      </c>
      <c r="E903" s="2">
        <f>B903*D903/10000</f>
        <v/>
      </c>
      <c r="F903" s="3">
        <f>B903/30.48</f>
        <v/>
      </c>
      <c r="G903" s="3">
        <f>D903/30.48</f>
        <v/>
      </c>
      <c r="H903" s="615" t="n"/>
      <c r="K903" s="51" t="inlineStr">
        <is>
          <t>PAC</t>
        </is>
      </c>
      <c r="M903" s="210" t="n"/>
      <c r="N903" s="211" t="n"/>
      <c r="O903" s="263" t="n"/>
      <c r="Q903" s="271" t="n"/>
      <c r="R903" s="282" t="n"/>
    </row>
    <row r="904" ht="18" customHeight="1" s="305">
      <c r="A904" s="8" t="inlineStr">
        <is>
          <t>B 59</t>
        </is>
      </c>
      <c r="B904" s="5" t="n">
        <v>161</v>
      </c>
      <c r="C904" s="6" t="inlineStr">
        <is>
          <t>X</t>
        </is>
      </c>
      <c r="D904" s="5" t="n">
        <v>270</v>
      </c>
      <c r="E904" s="2">
        <f>B904*D904/10000</f>
        <v/>
      </c>
      <c r="F904" s="3">
        <f>B904/30.48</f>
        <v/>
      </c>
      <c r="G904" s="3">
        <f>D904/30.48</f>
        <v/>
      </c>
      <c r="H904" s="615" t="n"/>
      <c r="K904" s="51" t="inlineStr">
        <is>
          <t>PAC</t>
        </is>
      </c>
      <c r="M904" s="210" t="n"/>
      <c r="N904" s="211" t="n"/>
      <c r="O904" s="263" t="n"/>
      <c r="Q904" s="271" t="n"/>
      <c r="R904" s="282" t="n"/>
    </row>
    <row r="905" ht="18" customHeight="1" s="305">
      <c r="A905" s="8" t="inlineStr">
        <is>
          <t>B 67</t>
        </is>
      </c>
      <c r="B905" s="5" t="n">
        <v>159</v>
      </c>
      <c r="C905" s="6" t="inlineStr">
        <is>
          <t>X</t>
        </is>
      </c>
      <c r="D905" s="5" t="n">
        <v>262</v>
      </c>
      <c r="E905" s="2">
        <f>B905*D905/10000</f>
        <v/>
      </c>
      <c r="F905" s="3">
        <f>B905/30.48</f>
        <v/>
      </c>
      <c r="G905" s="3">
        <f>D905/30.48</f>
        <v/>
      </c>
      <c r="H905" s="615" t="n"/>
      <c r="K905" s="51" t="inlineStr">
        <is>
          <t>PAC</t>
        </is>
      </c>
      <c r="M905" s="210" t="n"/>
      <c r="N905" s="211" t="n"/>
      <c r="O905" s="263" t="n"/>
      <c r="Q905" s="271" t="n"/>
      <c r="R905" s="282" t="n"/>
    </row>
    <row r="906" ht="18" customHeight="1" s="305">
      <c r="A906" s="8" t="inlineStr">
        <is>
          <t>B 69</t>
        </is>
      </c>
      <c r="B906" s="5" t="n">
        <v>172</v>
      </c>
      <c r="C906" s="6" t="inlineStr">
        <is>
          <t>X</t>
        </is>
      </c>
      <c r="D906" s="5" t="n">
        <v>286</v>
      </c>
      <c r="E906" s="2">
        <f>B906*D906/10000</f>
        <v/>
      </c>
      <c r="F906" s="3">
        <f>B906/30.48</f>
        <v/>
      </c>
      <c r="G906" s="3">
        <f>D906/30.48</f>
        <v/>
      </c>
      <c r="H906" s="615" t="n"/>
      <c r="K906" s="51" t="inlineStr">
        <is>
          <t>PAC</t>
        </is>
      </c>
      <c r="M906" s="210" t="n"/>
      <c r="N906" s="211" t="n"/>
      <c r="O906" s="263" t="n"/>
      <c r="Q906" s="271" t="n"/>
      <c r="R906" s="282" t="n"/>
    </row>
    <row r="907" ht="18" customHeight="1" s="305">
      <c r="A907" s="8" t="inlineStr">
        <is>
          <t>B 81</t>
        </is>
      </c>
      <c r="B907" s="5" t="n">
        <v>158</v>
      </c>
      <c r="C907" s="6" t="inlineStr">
        <is>
          <t>X</t>
        </is>
      </c>
      <c r="D907" s="5" t="n">
        <v>252</v>
      </c>
      <c r="E907" s="2">
        <f>B907*D907/10000</f>
        <v/>
      </c>
      <c r="F907" s="3">
        <f>B907/30.48</f>
        <v/>
      </c>
      <c r="G907" s="3">
        <f>D907/30.48</f>
        <v/>
      </c>
      <c r="H907" s="615" t="n"/>
      <c r="K907" s="51" t="inlineStr">
        <is>
          <t>PAC</t>
        </is>
      </c>
      <c r="M907" s="210" t="n"/>
      <c r="N907" s="211" t="n"/>
      <c r="O907" s="263" t="n"/>
      <c r="Q907" s="271" t="n"/>
      <c r="R907" s="282" t="n"/>
    </row>
    <row r="908" ht="18" customHeight="1" s="305">
      <c r="A908" s="8" t="inlineStr">
        <is>
          <t>B 94</t>
        </is>
      </c>
      <c r="B908" s="5" t="n">
        <v>176</v>
      </c>
      <c r="C908" s="6" t="inlineStr">
        <is>
          <t>X</t>
        </is>
      </c>
      <c r="D908" s="5" t="n">
        <v>285</v>
      </c>
      <c r="E908" s="2">
        <f>B908*D908/10000</f>
        <v/>
      </c>
      <c r="F908" s="3">
        <f>B908/30.48</f>
        <v/>
      </c>
      <c r="G908" s="3">
        <f>D908/30.48</f>
        <v/>
      </c>
      <c r="H908" s="615" t="n"/>
      <c r="K908" s="51" t="inlineStr">
        <is>
          <t>PAC</t>
        </is>
      </c>
      <c r="M908" s="210" t="n"/>
      <c r="N908" s="211" t="n"/>
      <c r="O908" s="263" t="n"/>
      <c r="Q908" s="271" t="n"/>
      <c r="R908" s="282" t="n"/>
    </row>
    <row r="909" ht="18" customHeight="1" s="305">
      <c r="A909" s="8" t="inlineStr">
        <is>
          <t>B 146</t>
        </is>
      </c>
      <c r="B909" s="5" t="n">
        <v>176</v>
      </c>
      <c r="C909" s="6" t="inlineStr">
        <is>
          <t>X</t>
        </is>
      </c>
      <c r="D909" s="5" t="n">
        <v>293</v>
      </c>
      <c r="E909" s="2">
        <f>B909*D909/10000</f>
        <v/>
      </c>
      <c r="F909" s="3">
        <f>B909/30.48</f>
        <v/>
      </c>
      <c r="G909" s="3">
        <f>D909/30.48</f>
        <v/>
      </c>
      <c r="H909" s="615" t="n"/>
      <c r="K909" s="51" t="inlineStr">
        <is>
          <t>PAC</t>
        </is>
      </c>
      <c r="M909" s="210" t="n"/>
      <c r="N909" s="211" t="n"/>
      <c r="O909" s="263" t="n"/>
      <c r="Q909" s="271" t="n"/>
      <c r="R909" s="282" t="n"/>
    </row>
    <row r="910" ht="18" customHeight="1" s="305">
      <c r="A910" s="8" t="inlineStr">
        <is>
          <t>M 23</t>
        </is>
      </c>
      <c r="B910" s="5" t="n">
        <v>235</v>
      </c>
      <c r="C910" s="6" t="inlineStr">
        <is>
          <t>X</t>
        </is>
      </c>
      <c r="D910" s="5" t="n">
        <v>178</v>
      </c>
      <c r="E910" s="2">
        <f>B910*D910/10000</f>
        <v/>
      </c>
      <c r="F910" s="3">
        <f>B910/30.48</f>
        <v/>
      </c>
      <c r="G910" s="3">
        <f>D910/30.48</f>
        <v/>
      </c>
      <c r="H910" s="615" t="n"/>
      <c r="L910" s="105" t="inlineStr">
        <is>
          <t>VR</t>
        </is>
      </c>
      <c r="M910" s="210" t="n"/>
      <c r="N910" s="211" t="n"/>
      <c r="O910" s="263" t="n"/>
      <c r="Q910" s="271" t="n"/>
      <c r="R910" s="282" t="n"/>
    </row>
    <row r="911" ht="18" customHeight="1" s="305">
      <c r="A911" s="8" t="n">
        <v>199</v>
      </c>
      <c r="B911" s="5" t="n">
        <v>152</v>
      </c>
      <c r="C911" s="6" t="inlineStr">
        <is>
          <t>X</t>
        </is>
      </c>
      <c r="D911" s="5" t="n">
        <v>260</v>
      </c>
      <c r="E911" s="2">
        <f>B911*D911/10000</f>
        <v/>
      </c>
      <c r="F911" s="3">
        <f>B911/30.48</f>
        <v/>
      </c>
      <c r="G911" s="3">
        <f>D911/30.48</f>
        <v/>
      </c>
      <c r="H911" s="615" t="n"/>
      <c r="J911" s="48" t="inlineStr">
        <is>
          <t>TRS</t>
        </is>
      </c>
      <c r="K911" s="51" t="inlineStr">
        <is>
          <t>PAC</t>
        </is>
      </c>
      <c r="L911" s="105" t="inlineStr">
        <is>
          <t>VR</t>
        </is>
      </c>
      <c r="M911" s="210" t="n"/>
      <c r="N911" s="211" t="n"/>
      <c r="O911" s="263" t="n"/>
      <c r="Q911" s="271" t="n"/>
      <c r="R911" s="282" t="n"/>
    </row>
    <row r="912" ht="18" customHeight="1" s="305">
      <c r="A912" s="8" t="inlineStr">
        <is>
          <t>B 12</t>
        </is>
      </c>
      <c r="B912" s="5" t="n">
        <v>217</v>
      </c>
      <c r="C912" s="6" t="inlineStr">
        <is>
          <t>X</t>
        </is>
      </c>
      <c r="D912" s="5" t="n">
        <v>303</v>
      </c>
      <c r="E912" s="2">
        <f>B912*D912/10000</f>
        <v/>
      </c>
      <c r="F912" s="3">
        <f>B912/30.48</f>
        <v/>
      </c>
      <c r="G912" s="3">
        <f>D912/30.48</f>
        <v/>
      </c>
      <c r="H912" s="615" t="n"/>
      <c r="I912" s="49" t="inlineStr">
        <is>
          <t>OLD</t>
        </is>
      </c>
      <c r="K912" s="51" t="inlineStr">
        <is>
          <t>PAC</t>
        </is>
      </c>
      <c r="L912" s="105" t="inlineStr">
        <is>
          <t>VR</t>
        </is>
      </c>
      <c r="M912" s="210" t="inlineStr">
        <is>
          <t>RK</t>
        </is>
      </c>
      <c r="N912" s="211" t="n"/>
      <c r="O912" s="263" t="n"/>
      <c r="Q912" s="271" t="n"/>
      <c r="R912" s="282" t="n"/>
    </row>
    <row r="913" ht="18" customHeight="1" s="305">
      <c r="A913" s="8" t="inlineStr">
        <is>
          <t>B 24</t>
        </is>
      </c>
      <c r="B913" s="5" t="n">
        <v>176</v>
      </c>
      <c r="C913" s="6" t="inlineStr">
        <is>
          <t>X</t>
        </is>
      </c>
      <c r="D913" s="5" t="n">
        <v>277</v>
      </c>
      <c r="E913" s="2">
        <f>B913*D913/10000</f>
        <v/>
      </c>
      <c r="F913" s="3">
        <f>B913/30.48</f>
        <v/>
      </c>
      <c r="G913" s="3">
        <f>D913/30.48</f>
        <v/>
      </c>
      <c r="H913" s="615" t="n"/>
      <c r="I913" s="49" t="inlineStr">
        <is>
          <t>OLD</t>
        </is>
      </c>
      <c r="K913" s="51" t="inlineStr">
        <is>
          <t>PAC</t>
        </is>
      </c>
      <c r="L913" s="105" t="inlineStr">
        <is>
          <t>VR</t>
        </is>
      </c>
      <c r="M913" s="210" t="inlineStr">
        <is>
          <t>RK</t>
        </is>
      </c>
      <c r="N913" s="211" t="n"/>
      <c r="O913" s="263" t="n"/>
      <c r="Q913" s="271" t="n"/>
      <c r="R913" s="282" t="n"/>
    </row>
    <row r="914" ht="18" customHeight="1" s="305">
      <c r="A914" s="8" t="inlineStr">
        <is>
          <t>B 83</t>
        </is>
      </c>
      <c r="B914" s="5" t="n">
        <v>169</v>
      </c>
      <c r="C914" s="6" t="inlineStr">
        <is>
          <t>X</t>
        </is>
      </c>
      <c r="D914" s="5" t="n">
        <v>280</v>
      </c>
      <c r="E914" s="2">
        <f>B914*D914/10000</f>
        <v/>
      </c>
      <c r="F914" s="3">
        <f>B914/30.48</f>
        <v/>
      </c>
      <c r="G914" s="3">
        <f>D914/30.48</f>
        <v/>
      </c>
      <c r="H914" s="615" t="n"/>
      <c r="K914" s="51" t="inlineStr">
        <is>
          <t>PAC</t>
        </is>
      </c>
      <c r="M914" s="210" t="n"/>
      <c r="N914" s="211" t="n"/>
      <c r="O914" s="263" t="n"/>
      <c r="Q914" s="271" t="n"/>
      <c r="R914" s="282" t="n"/>
    </row>
    <row r="915" ht="18" customHeight="1" s="305">
      <c r="A915" s="8" t="inlineStr">
        <is>
          <t>B 133</t>
        </is>
      </c>
      <c r="B915" s="5" t="n">
        <v>180</v>
      </c>
      <c r="C915" s="6" t="inlineStr">
        <is>
          <t>X</t>
        </is>
      </c>
      <c r="D915" s="5" t="n">
        <v>262</v>
      </c>
      <c r="E915" s="2">
        <f>B915*D915/10000</f>
        <v/>
      </c>
      <c r="F915" s="3">
        <f>B915/30.48</f>
        <v/>
      </c>
      <c r="G915" s="3">
        <f>D915/30.48</f>
        <v/>
      </c>
      <c r="H915" s="615" t="n"/>
      <c r="K915" s="51" t="inlineStr">
        <is>
          <t>PAC</t>
        </is>
      </c>
      <c r="M915" s="210" t="n"/>
      <c r="N915" s="211" t="n"/>
      <c r="O915" s="263" t="n"/>
      <c r="Q915" s="271" t="n"/>
      <c r="R915" s="282" t="n"/>
    </row>
    <row r="916" ht="18" customHeight="1" s="305">
      <c r="A916" s="8" t="inlineStr">
        <is>
          <t>B 150</t>
        </is>
      </c>
      <c r="B916" s="5" t="n">
        <v>226</v>
      </c>
      <c r="C916" s="6" t="inlineStr">
        <is>
          <t>X</t>
        </is>
      </c>
      <c r="D916" s="5" t="n">
        <v>300</v>
      </c>
      <c r="E916" s="2">
        <f>B916*D916/10000</f>
        <v/>
      </c>
      <c r="F916" s="3">
        <f>B916/30.48</f>
        <v/>
      </c>
      <c r="G916" s="3">
        <f>D916/30.48</f>
        <v/>
      </c>
      <c r="H916" s="615" t="n"/>
      <c r="K916" s="51" t="inlineStr">
        <is>
          <t>PAC</t>
        </is>
      </c>
      <c r="M916" s="210" t="n"/>
      <c r="N916" s="211" t="n"/>
      <c r="O916" s="263" t="n"/>
      <c r="Q916" s="271" t="n"/>
      <c r="R916" s="282" t="n"/>
    </row>
    <row r="917" ht="18" customHeight="1" s="305">
      <c r="A917" s="8" t="inlineStr">
        <is>
          <t>B 154</t>
        </is>
      </c>
      <c r="B917" s="5" t="n">
        <v>152</v>
      </c>
      <c r="C917" s="6" t="inlineStr">
        <is>
          <t>X</t>
        </is>
      </c>
      <c r="D917" s="5" t="n">
        <v>263</v>
      </c>
      <c r="E917" s="2">
        <f>B917*D917/10000</f>
        <v/>
      </c>
      <c r="F917" s="3">
        <f>B917/30.48</f>
        <v/>
      </c>
      <c r="G917" s="3">
        <f>D917/30.48</f>
        <v/>
      </c>
      <c r="H917" s="615" t="n"/>
      <c r="K917" s="51" t="inlineStr">
        <is>
          <t>PAC</t>
        </is>
      </c>
      <c r="M917" s="210" t="n"/>
      <c r="N917" s="211" t="n"/>
      <c r="O917" s="263" t="n"/>
      <c r="Q917" s="271" t="n"/>
      <c r="R917" s="282" t="n"/>
    </row>
    <row r="918" ht="18" customHeight="1" s="305">
      <c r="A918" s="8" t="inlineStr">
        <is>
          <t>B 160</t>
        </is>
      </c>
      <c r="B918" s="5" t="n">
        <v>167</v>
      </c>
      <c r="C918" s="6" t="inlineStr">
        <is>
          <t>X</t>
        </is>
      </c>
      <c r="D918" s="5" t="n">
        <v>251</v>
      </c>
      <c r="E918" s="2">
        <f>B918*D918/10000</f>
        <v/>
      </c>
      <c r="F918" s="3">
        <f>B918/30.48</f>
        <v/>
      </c>
      <c r="G918" s="3">
        <f>D918/30.48</f>
        <v/>
      </c>
      <c r="H918" s="615" t="n"/>
      <c r="K918" s="51" t="inlineStr">
        <is>
          <t>PAC</t>
        </is>
      </c>
      <c r="M918" s="210" t="n"/>
      <c r="N918" s="211" t="n"/>
      <c r="O918" s="263" t="n"/>
      <c r="Q918" s="271" t="n"/>
      <c r="R918" s="282" t="n"/>
    </row>
    <row r="919" ht="18" customHeight="1" s="305">
      <c r="A919" s="8" t="inlineStr">
        <is>
          <t>A 178</t>
        </is>
      </c>
      <c r="B919" s="5" t="n">
        <v>258</v>
      </c>
      <c r="C919" s="6" t="inlineStr">
        <is>
          <t>X</t>
        </is>
      </c>
      <c r="D919" s="5" t="n">
        <v>358</v>
      </c>
      <c r="E919" s="2">
        <f>B919*D919/10000</f>
        <v/>
      </c>
      <c r="F919" s="3">
        <f>B919/30.48</f>
        <v/>
      </c>
      <c r="G919" s="3">
        <f>D919/30.48</f>
        <v/>
      </c>
      <c r="H919" s="615" t="n"/>
      <c r="K919" s="51" t="inlineStr">
        <is>
          <t>PAC</t>
        </is>
      </c>
      <c r="M919" s="210" t="inlineStr">
        <is>
          <t>RK</t>
        </is>
      </c>
      <c r="N919" s="211" t="n"/>
      <c r="O919" s="263" t="n"/>
      <c r="Q919" s="271" t="n"/>
      <c r="R919" s="282" t="n"/>
    </row>
    <row r="920" ht="18" customHeight="1" s="305">
      <c r="A920" s="8" t="inlineStr">
        <is>
          <t>A 167</t>
        </is>
      </c>
      <c r="B920" s="5" t="n">
        <v>83</v>
      </c>
      <c r="C920" s="6" t="inlineStr">
        <is>
          <t>X</t>
        </is>
      </c>
      <c r="D920" s="5" t="n">
        <v>403</v>
      </c>
      <c r="E920" s="2">
        <f>B920*D920/10000</f>
        <v/>
      </c>
      <c r="F920" s="3">
        <f>B920/30.48</f>
        <v/>
      </c>
      <c r="G920" s="3">
        <f>D920/30.48</f>
        <v/>
      </c>
      <c r="H920" s="615" t="n"/>
      <c r="I920" s="49" t="inlineStr">
        <is>
          <t>OLD</t>
        </is>
      </c>
      <c r="J920" s="48" t="inlineStr">
        <is>
          <t>TRS</t>
        </is>
      </c>
      <c r="K920" s="51" t="inlineStr">
        <is>
          <t>PAC</t>
        </is>
      </c>
      <c r="M920" s="210" t="n"/>
      <c r="N920" s="211" t="n"/>
      <c r="O920" s="340" t="inlineStr">
        <is>
          <t>SBL</t>
        </is>
      </c>
      <c r="Q920" s="271" t="n"/>
      <c r="R920" s="282" t="n"/>
    </row>
    <row r="921" ht="18" customHeight="1" s="305">
      <c r="A921" s="8" t="inlineStr">
        <is>
          <t>A 170</t>
        </is>
      </c>
      <c r="B921" s="5" t="n">
        <v>216</v>
      </c>
      <c r="C921" s="6" t="inlineStr">
        <is>
          <t>X</t>
        </is>
      </c>
      <c r="D921" s="5" t="n">
        <v>317</v>
      </c>
      <c r="E921" s="2">
        <f>B921*D921/10000</f>
        <v/>
      </c>
      <c r="F921" s="3">
        <f>B921/30.48</f>
        <v/>
      </c>
      <c r="G921" s="3">
        <f>D921/30.48</f>
        <v/>
      </c>
      <c r="H921" s="615" t="n"/>
      <c r="J921" s="48" t="inlineStr">
        <is>
          <t>TRS</t>
        </is>
      </c>
      <c r="K921" s="51" t="inlineStr">
        <is>
          <t>PAC</t>
        </is>
      </c>
      <c r="M921" s="210" t="inlineStr">
        <is>
          <t>RK</t>
        </is>
      </c>
      <c r="N921" s="211" t="n"/>
      <c r="O921" s="263" t="n"/>
      <c r="Q921" s="271" t="n"/>
      <c r="R921" s="282" t="n"/>
    </row>
    <row r="922" ht="18" customHeight="1" s="305">
      <c r="A922" s="8" t="inlineStr">
        <is>
          <t>A 173</t>
        </is>
      </c>
      <c r="B922" s="5" t="n">
        <v>92</v>
      </c>
      <c r="C922" s="6" t="inlineStr">
        <is>
          <t>X</t>
        </is>
      </c>
      <c r="D922" s="5" t="n">
        <v>265</v>
      </c>
      <c r="E922" s="2">
        <f>B922*D922/10000</f>
        <v/>
      </c>
      <c r="F922" s="3">
        <f>B922/30.48</f>
        <v/>
      </c>
      <c r="G922" s="3">
        <f>D922/30.48</f>
        <v/>
      </c>
      <c r="H922" s="615" t="n"/>
      <c r="I922" s="49" t="inlineStr">
        <is>
          <t>OLD</t>
        </is>
      </c>
      <c r="J922" s="48" t="inlineStr">
        <is>
          <t>TRS</t>
        </is>
      </c>
      <c r="K922" s="51" t="inlineStr">
        <is>
          <t>PAC</t>
        </is>
      </c>
      <c r="M922" s="210" t="inlineStr">
        <is>
          <t>RK</t>
        </is>
      </c>
      <c r="N922" s="211" t="n"/>
      <c r="O922" s="340" t="inlineStr">
        <is>
          <t>SBL</t>
        </is>
      </c>
      <c r="Q922" s="271" t="n"/>
      <c r="R922" s="282" t="n"/>
    </row>
    <row r="923" ht="18" customHeight="1" s="305">
      <c r="A923" s="8" t="inlineStr">
        <is>
          <t>A 90</t>
        </is>
      </c>
      <c r="B923" s="5" t="n">
        <v>82</v>
      </c>
      <c r="C923" s="6" t="inlineStr">
        <is>
          <t>X</t>
        </is>
      </c>
      <c r="D923" s="5" t="n">
        <v>376</v>
      </c>
      <c r="E923" s="2">
        <f>B923*D923/10000</f>
        <v/>
      </c>
      <c r="F923" s="3">
        <f>B923/30.48</f>
        <v/>
      </c>
      <c r="G923" s="3">
        <f>D923/30.48</f>
        <v/>
      </c>
      <c r="H923" s="615" t="n"/>
      <c r="I923" s="49" t="inlineStr">
        <is>
          <t>OLD</t>
        </is>
      </c>
      <c r="J923" s="48" t="inlineStr">
        <is>
          <t>TRS</t>
        </is>
      </c>
      <c r="L923" s="105" t="inlineStr">
        <is>
          <t>VR</t>
        </is>
      </c>
      <c r="M923" s="210" t="n"/>
      <c r="N923" s="211" t="n"/>
      <c r="O923" s="340" t="inlineStr">
        <is>
          <t>SBL</t>
        </is>
      </c>
      <c r="Q923" s="271" t="n"/>
      <c r="R923" s="282" t="n"/>
    </row>
    <row r="924" ht="18" customHeight="1" s="305">
      <c r="A924" s="8" t="inlineStr">
        <is>
          <t>A 98</t>
        </is>
      </c>
      <c r="B924" s="5" t="n">
        <v>64</v>
      </c>
      <c r="C924" s="6" t="inlineStr">
        <is>
          <t>X</t>
        </is>
      </c>
      <c r="D924" s="5" t="n">
        <v>281</v>
      </c>
      <c r="E924" s="2">
        <f>B924*D924/10000</f>
        <v/>
      </c>
      <c r="F924" s="3">
        <f>B924/30.48</f>
        <v/>
      </c>
      <c r="G924" s="3">
        <f>D924/30.48</f>
        <v/>
      </c>
      <c r="H924" s="615" t="n"/>
      <c r="I924" s="49" t="inlineStr">
        <is>
          <t>OLD</t>
        </is>
      </c>
      <c r="J924" s="48" t="inlineStr">
        <is>
          <t>TRS</t>
        </is>
      </c>
      <c r="K924" s="51" t="inlineStr">
        <is>
          <t>PAC</t>
        </is>
      </c>
      <c r="L924" s="105" t="inlineStr">
        <is>
          <t>VR</t>
        </is>
      </c>
      <c r="M924" s="210" t="n"/>
      <c r="N924" s="211" t="n"/>
      <c r="O924" s="340" t="inlineStr">
        <is>
          <t>SBL</t>
        </is>
      </c>
      <c r="Q924" s="271" t="n"/>
      <c r="R924" s="282" t="n"/>
    </row>
    <row r="925" ht="18" customHeight="1" s="305">
      <c r="A925" s="8" t="inlineStr">
        <is>
          <t>A 121</t>
        </is>
      </c>
      <c r="B925" s="5" t="n">
        <v>190</v>
      </c>
      <c r="C925" s="6" t="inlineStr">
        <is>
          <t>X</t>
        </is>
      </c>
      <c r="D925" s="5" t="n">
        <v>280</v>
      </c>
      <c r="E925" s="2">
        <f>B925*D925/10000</f>
        <v/>
      </c>
      <c r="F925" s="3">
        <f>B925/30.48</f>
        <v/>
      </c>
      <c r="G925" s="3">
        <f>D925/30.48</f>
        <v/>
      </c>
      <c r="H925" s="615" t="n"/>
      <c r="I925" s="49" t="inlineStr">
        <is>
          <t>OLD</t>
        </is>
      </c>
      <c r="J925" s="48" t="inlineStr">
        <is>
          <t>TRS</t>
        </is>
      </c>
      <c r="M925" s="210" t="n"/>
      <c r="N925" s="211" t="n"/>
      <c r="O925" s="340" t="inlineStr">
        <is>
          <t>SBL</t>
        </is>
      </c>
      <c r="Q925" s="271" t="n"/>
      <c r="R925" s="282" t="n"/>
    </row>
    <row r="926" ht="18" customHeight="1" s="305">
      <c r="A926" s="8" t="inlineStr">
        <is>
          <t>A 125</t>
        </is>
      </c>
      <c r="B926" s="5" t="n">
        <v>173</v>
      </c>
      <c r="C926" s="6" t="inlineStr">
        <is>
          <t>X</t>
        </is>
      </c>
      <c r="D926" s="5" t="n">
        <v>269</v>
      </c>
      <c r="E926" s="2">
        <f>B926*D926/10000</f>
        <v/>
      </c>
      <c r="F926" s="3">
        <f>B926/30.48</f>
        <v/>
      </c>
      <c r="G926" s="3">
        <f>D926/30.48</f>
        <v/>
      </c>
      <c r="H926" s="615" t="n"/>
      <c r="I926" s="49" t="inlineStr">
        <is>
          <t>OLD</t>
        </is>
      </c>
      <c r="J926" s="48" t="inlineStr">
        <is>
          <t>TRS</t>
        </is>
      </c>
      <c r="K926" s="51" t="inlineStr">
        <is>
          <t>PAC</t>
        </is>
      </c>
      <c r="L926" s="105" t="inlineStr">
        <is>
          <t>VR</t>
        </is>
      </c>
      <c r="M926" s="210" t="n"/>
      <c r="N926" s="211" t="n"/>
      <c r="O926" s="340" t="inlineStr">
        <is>
          <t>SBL</t>
        </is>
      </c>
      <c r="Q926" s="271" t="n"/>
      <c r="R926" s="282" t="n"/>
    </row>
    <row r="927" ht="18" customHeight="1" s="305">
      <c r="A927" s="8" t="inlineStr">
        <is>
          <t>A 129</t>
        </is>
      </c>
      <c r="B927" s="5" t="n">
        <v>166</v>
      </c>
      <c r="C927" s="6" t="inlineStr">
        <is>
          <t>X</t>
        </is>
      </c>
      <c r="D927" s="5" t="n">
        <v>270</v>
      </c>
      <c r="E927" s="2">
        <f>B927*D927/10000</f>
        <v/>
      </c>
      <c r="F927" s="3">
        <f>B927/30.48</f>
        <v/>
      </c>
      <c r="G927" s="3">
        <f>D927/30.48</f>
        <v/>
      </c>
      <c r="H927" s="615" t="n"/>
      <c r="I927" s="49" t="inlineStr">
        <is>
          <t>OLD</t>
        </is>
      </c>
      <c r="J927" s="48" t="inlineStr">
        <is>
          <t>TRS</t>
        </is>
      </c>
      <c r="L927" s="105" t="inlineStr">
        <is>
          <t>VR</t>
        </is>
      </c>
      <c r="M927" s="210" t="n"/>
      <c r="N927" s="211" t="n"/>
      <c r="O927" s="340" t="inlineStr">
        <is>
          <t>SBL</t>
        </is>
      </c>
      <c r="Q927" s="271" t="n"/>
      <c r="R927" s="282" t="n"/>
    </row>
    <row r="928" ht="18" customHeight="1" s="305">
      <c r="A928" s="8" t="inlineStr">
        <is>
          <t>A 132</t>
        </is>
      </c>
      <c r="B928" s="5" t="n">
        <v>210</v>
      </c>
      <c r="C928" s="6" t="inlineStr">
        <is>
          <t>X</t>
        </is>
      </c>
      <c r="D928" s="5" t="n">
        <v>318</v>
      </c>
      <c r="E928" s="2">
        <f>B928*D928/10000</f>
        <v/>
      </c>
      <c r="F928" s="3">
        <f>B928/30.48</f>
        <v/>
      </c>
      <c r="G928" s="3">
        <f>D928/30.48</f>
        <v/>
      </c>
      <c r="H928" s="615" t="n"/>
      <c r="I928" s="49" t="inlineStr">
        <is>
          <t>OLD</t>
        </is>
      </c>
      <c r="J928" s="48" t="inlineStr">
        <is>
          <t>TRS</t>
        </is>
      </c>
      <c r="M928" s="210" t="n"/>
      <c r="N928" s="211" t="n"/>
      <c r="O928" s="340" t="inlineStr">
        <is>
          <t>SBL</t>
        </is>
      </c>
      <c r="Q928" s="271" t="n"/>
      <c r="R928" s="282" t="n"/>
    </row>
    <row r="929" ht="18" customHeight="1" s="305">
      <c r="A929" s="8" t="inlineStr">
        <is>
          <t>A 133</t>
        </is>
      </c>
      <c r="B929" s="5" t="n">
        <v>172</v>
      </c>
      <c r="C929" s="6" t="inlineStr">
        <is>
          <t>X</t>
        </is>
      </c>
      <c r="D929" s="5" t="n">
        <v>295</v>
      </c>
      <c r="E929" s="2">
        <f>B929*D929/10000</f>
        <v/>
      </c>
      <c r="F929" s="3">
        <f>B929/30.48</f>
        <v/>
      </c>
      <c r="G929" s="3">
        <f>D929/30.48</f>
        <v/>
      </c>
      <c r="H929" s="615" t="n"/>
      <c r="I929" s="49" t="inlineStr">
        <is>
          <t>OLD</t>
        </is>
      </c>
      <c r="J929" s="48" t="inlineStr">
        <is>
          <t>TRS</t>
        </is>
      </c>
      <c r="L929" s="105" t="inlineStr">
        <is>
          <t>VR</t>
        </is>
      </c>
      <c r="M929" s="210" t="n"/>
      <c r="N929" s="211" t="n"/>
      <c r="O929" s="340" t="inlineStr">
        <is>
          <t>SBL</t>
        </is>
      </c>
      <c r="Q929" s="271" t="n"/>
      <c r="R929" s="282" t="n"/>
    </row>
    <row r="930" ht="18" customHeight="1" s="305">
      <c r="A930" s="8" t="inlineStr">
        <is>
          <t>A 134</t>
        </is>
      </c>
      <c r="B930" s="5" t="n">
        <v>151</v>
      </c>
      <c r="C930" s="6" t="inlineStr">
        <is>
          <t>X</t>
        </is>
      </c>
      <c r="D930" s="5" t="n">
        <v>256</v>
      </c>
      <c r="E930" s="2">
        <f>B930*D930/10000</f>
        <v/>
      </c>
      <c r="F930" s="3">
        <f>B930/30.48</f>
        <v/>
      </c>
      <c r="G930" s="3">
        <f>D930/30.48</f>
        <v/>
      </c>
      <c r="H930" s="615" t="n"/>
      <c r="I930" s="49" t="inlineStr">
        <is>
          <t>OLD</t>
        </is>
      </c>
      <c r="J930" s="48" t="inlineStr">
        <is>
          <t>TRS</t>
        </is>
      </c>
      <c r="L930" s="105" t="inlineStr">
        <is>
          <t>VR</t>
        </is>
      </c>
      <c r="M930" s="210" t="n"/>
      <c r="N930" s="211" t="n"/>
      <c r="O930" s="340" t="inlineStr">
        <is>
          <t>SBL</t>
        </is>
      </c>
      <c r="Q930" s="271" t="n"/>
      <c r="R930" s="282" t="n"/>
    </row>
    <row r="931" ht="18" customHeight="1" s="305">
      <c r="A931" s="8" t="inlineStr">
        <is>
          <t>A 141</t>
        </is>
      </c>
      <c r="B931" s="5" t="n">
        <v>197</v>
      </c>
      <c r="C931" s="6" t="inlineStr">
        <is>
          <t>X</t>
        </is>
      </c>
      <c r="D931" s="5" t="n">
        <v>290</v>
      </c>
      <c r="E931" s="2">
        <f>B931*D931/10000</f>
        <v/>
      </c>
      <c r="F931" s="3">
        <f>B931/30.48</f>
        <v/>
      </c>
      <c r="G931" s="3">
        <f>D931/30.48</f>
        <v/>
      </c>
      <c r="H931" s="615" t="n"/>
      <c r="I931" s="49" t="inlineStr">
        <is>
          <t>OLD</t>
        </is>
      </c>
      <c r="J931" s="48" t="inlineStr">
        <is>
          <t>TRS</t>
        </is>
      </c>
      <c r="K931" s="51" t="inlineStr">
        <is>
          <t>PAC</t>
        </is>
      </c>
      <c r="L931" s="105" t="inlineStr">
        <is>
          <t>VR</t>
        </is>
      </c>
      <c r="M931" s="210" t="n"/>
      <c r="N931" s="211" t="n"/>
      <c r="O931" s="340" t="inlineStr">
        <is>
          <t>SBL</t>
        </is>
      </c>
      <c r="Q931" s="271" t="n"/>
      <c r="R931" s="282" t="n"/>
    </row>
    <row r="932" ht="18" customHeight="1" s="305">
      <c r="A932" s="8" t="inlineStr">
        <is>
          <t>A 12</t>
        </is>
      </c>
      <c r="B932" s="5" t="n">
        <v>87</v>
      </c>
      <c r="C932" s="6" t="inlineStr">
        <is>
          <t>X</t>
        </is>
      </c>
      <c r="D932" s="5" t="n">
        <v>344</v>
      </c>
      <c r="E932" s="2">
        <f>B932*D932/10000</f>
        <v/>
      </c>
      <c r="F932" s="3">
        <f>B932/30.48</f>
        <v/>
      </c>
      <c r="G932" s="3">
        <f>D932/30.48</f>
        <v/>
      </c>
      <c r="H932" s="615" t="n"/>
      <c r="I932" s="49" t="inlineStr">
        <is>
          <t>OLD</t>
        </is>
      </c>
      <c r="J932" s="48" t="inlineStr">
        <is>
          <t>TRS</t>
        </is>
      </c>
      <c r="K932" s="51" t="inlineStr">
        <is>
          <t>PAC</t>
        </is>
      </c>
      <c r="L932" s="105" t="inlineStr">
        <is>
          <t>VR</t>
        </is>
      </c>
      <c r="M932" s="210" t="n"/>
      <c r="N932" s="211" t="n"/>
      <c r="O932" s="340" t="inlineStr">
        <is>
          <t>SBL</t>
        </is>
      </c>
      <c r="Q932" s="271" t="n"/>
      <c r="R932" s="282" t="n"/>
    </row>
    <row r="933" ht="18" customHeight="1" s="305">
      <c r="A933" s="8" t="inlineStr">
        <is>
          <t>A 48</t>
        </is>
      </c>
      <c r="B933" s="5" t="n">
        <v>77</v>
      </c>
      <c r="C933" s="6" t="inlineStr">
        <is>
          <t>X</t>
        </is>
      </c>
      <c r="D933" s="5" t="n">
        <v>372</v>
      </c>
      <c r="E933" s="2">
        <f>B933*D933/10000</f>
        <v/>
      </c>
      <c r="F933" s="3">
        <f>B933/30.48</f>
        <v/>
      </c>
      <c r="G933" s="3">
        <f>D933/30.48</f>
        <v/>
      </c>
      <c r="H933" s="615" t="n"/>
      <c r="I933" s="49" t="inlineStr">
        <is>
          <t>OLD</t>
        </is>
      </c>
      <c r="J933" s="48" t="inlineStr">
        <is>
          <t>TRS</t>
        </is>
      </c>
      <c r="K933" s="51" t="inlineStr">
        <is>
          <t>PAC</t>
        </is>
      </c>
      <c r="L933" s="105" t="inlineStr">
        <is>
          <t>VR</t>
        </is>
      </c>
      <c r="M933" s="210" t="n"/>
      <c r="N933" s="211" t="n"/>
      <c r="O933" s="340" t="inlineStr">
        <is>
          <t>SBL</t>
        </is>
      </c>
      <c r="Q933" s="271" t="n"/>
      <c r="R933" s="282" t="n"/>
    </row>
    <row r="934" ht="18" customHeight="1" s="305">
      <c r="A934" s="8" t="inlineStr">
        <is>
          <t>C 975</t>
        </is>
      </c>
      <c r="B934" s="5" t="n">
        <v>82</v>
      </c>
      <c r="C934" s="6" t="inlineStr">
        <is>
          <t>X</t>
        </is>
      </c>
      <c r="D934" s="5" t="n">
        <v>363</v>
      </c>
      <c r="E934" s="2">
        <f>B934*D934/10000</f>
        <v/>
      </c>
      <c r="F934" s="3">
        <f>B934/30.48</f>
        <v/>
      </c>
      <c r="G934" s="3">
        <f>D934/30.48</f>
        <v/>
      </c>
      <c r="H934" s="615" t="n"/>
      <c r="I934" s="49" t="inlineStr">
        <is>
          <t>OLD</t>
        </is>
      </c>
      <c r="J934" s="48" t="inlineStr">
        <is>
          <t>TRS</t>
        </is>
      </c>
      <c r="K934" s="51" t="inlineStr">
        <is>
          <t>PAC</t>
        </is>
      </c>
      <c r="L934" s="105" t="inlineStr">
        <is>
          <t>VR</t>
        </is>
      </c>
      <c r="M934" s="210" t="inlineStr">
        <is>
          <t>RK</t>
        </is>
      </c>
      <c r="N934" s="211" t="n"/>
      <c r="O934" s="340" t="inlineStr">
        <is>
          <t>SBL</t>
        </is>
      </c>
      <c r="R934" s="282" t="n"/>
    </row>
    <row r="935" ht="18" customHeight="1" s="305">
      <c r="A935" s="8" t="inlineStr">
        <is>
          <t>C 991</t>
        </is>
      </c>
      <c r="B935" s="5" t="n">
        <v>202</v>
      </c>
      <c r="C935" s="6" t="inlineStr">
        <is>
          <t>X</t>
        </is>
      </c>
      <c r="D935" s="5" t="n">
        <v>261</v>
      </c>
      <c r="E935" s="2">
        <f>B935*D935/10000</f>
        <v/>
      </c>
      <c r="F935" s="3">
        <f>B935/30.48</f>
        <v/>
      </c>
      <c r="G935" s="3">
        <f>D935/30.48</f>
        <v/>
      </c>
      <c r="H935" s="615" t="n"/>
      <c r="I935" s="49" t="inlineStr">
        <is>
          <t>OLD</t>
        </is>
      </c>
      <c r="J935" s="48" t="inlineStr">
        <is>
          <t>TRS</t>
        </is>
      </c>
      <c r="K935" s="51" t="inlineStr">
        <is>
          <t>PAC</t>
        </is>
      </c>
      <c r="L935" s="105" t="inlineStr">
        <is>
          <t>VR</t>
        </is>
      </c>
      <c r="M935" s="210" t="n"/>
      <c r="N935" s="211" t="n"/>
      <c r="O935" s="263" t="n"/>
      <c r="Q935" s="271" t="n"/>
      <c r="R935" s="282" t="n"/>
    </row>
    <row r="936" ht="18" customHeight="1" s="305">
      <c r="A936" s="8" t="inlineStr">
        <is>
          <t>A 49</t>
        </is>
      </c>
      <c r="B936" s="5" t="n">
        <v>90</v>
      </c>
      <c r="C936" s="6" t="inlineStr">
        <is>
          <t>X</t>
        </is>
      </c>
      <c r="D936" s="5" t="n">
        <v>283</v>
      </c>
      <c r="E936" s="2">
        <f>B936*D936/10000</f>
        <v/>
      </c>
      <c r="F936" s="3">
        <f>B936/30.48</f>
        <v/>
      </c>
      <c r="G936" s="3">
        <f>D936/30.48</f>
        <v/>
      </c>
      <c r="H936" s="615" t="n"/>
      <c r="I936" s="49" t="inlineStr">
        <is>
          <t>OLD</t>
        </is>
      </c>
      <c r="K936" s="51" t="inlineStr">
        <is>
          <t>PAC</t>
        </is>
      </c>
      <c r="M936" s="210" t="inlineStr">
        <is>
          <t>RK</t>
        </is>
      </c>
      <c r="N936" s="211" t="n"/>
      <c r="O936" s="340" t="inlineStr">
        <is>
          <t>SBL</t>
        </is>
      </c>
      <c r="Q936" s="271" t="n"/>
      <c r="R936" s="282" t="n"/>
    </row>
    <row r="937" ht="18" customHeight="1" s="305">
      <c r="A937" s="8" t="inlineStr">
        <is>
          <t>A 65</t>
        </is>
      </c>
      <c r="B937" s="5" t="n">
        <v>73</v>
      </c>
      <c r="C937" s="6" t="inlineStr">
        <is>
          <t>X</t>
        </is>
      </c>
      <c r="D937" s="5" t="n">
        <v>261</v>
      </c>
      <c r="E937" s="2">
        <f>B937*D937/10000</f>
        <v/>
      </c>
      <c r="F937" s="3">
        <f>B937/30.48</f>
        <v/>
      </c>
      <c r="G937" s="3">
        <f>D937/30.48</f>
        <v/>
      </c>
      <c r="H937" s="615" t="n"/>
      <c r="I937" s="49" t="inlineStr">
        <is>
          <t>OLD</t>
        </is>
      </c>
      <c r="J937" s="48" t="inlineStr">
        <is>
          <t>TRS</t>
        </is>
      </c>
      <c r="K937" s="51" t="inlineStr">
        <is>
          <t>PAC</t>
        </is>
      </c>
      <c r="L937" s="105" t="inlineStr">
        <is>
          <t>VR</t>
        </is>
      </c>
      <c r="M937" s="210" t="n"/>
      <c r="N937" s="211" t="n"/>
      <c r="O937" s="340" t="inlineStr">
        <is>
          <t>SBL</t>
        </is>
      </c>
      <c r="Q937" s="271" t="n"/>
      <c r="R937" s="282" t="n"/>
    </row>
    <row r="938" ht="18" customHeight="1" s="305">
      <c r="A938" s="8" t="inlineStr">
        <is>
          <t>A 136</t>
        </is>
      </c>
      <c r="B938" s="5" t="n">
        <v>216</v>
      </c>
      <c r="C938" s="6" t="inlineStr">
        <is>
          <t>X</t>
        </is>
      </c>
      <c r="D938" s="5" t="n">
        <v>318</v>
      </c>
      <c r="E938" s="2">
        <f>B938*D938/10000</f>
        <v/>
      </c>
      <c r="F938" s="3">
        <f>B938/30.48</f>
        <v/>
      </c>
      <c r="G938" s="3">
        <f>D938/30.48</f>
        <v/>
      </c>
      <c r="H938" s="615" t="n"/>
      <c r="I938" s="49" t="inlineStr">
        <is>
          <t>OLD</t>
        </is>
      </c>
      <c r="J938" s="48" t="inlineStr">
        <is>
          <t>TRS</t>
        </is>
      </c>
      <c r="K938" s="51" t="inlineStr">
        <is>
          <t>PAC</t>
        </is>
      </c>
      <c r="M938" s="210" t="inlineStr">
        <is>
          <t>RK</t>
        </is>
      </c>
      <c r="N938" s="211" t="n"/>
      <c r="O938" s="263" t="n"/>
      <c r="Q938" s="271" t="n"/>
      <c r="R938" s="282" t="n"/>
    </row>
    <row r="939" ht="18" customHeight="1" s="305">
      <c r="A939" s="8" t="inlineStr">
        <is>
          <t>A 138</t>
        </is>
      </c>
      <c r="B939" s="5" t="n">
        <v>210</v>
      </c>
      <c r="C939" s="6" t="inlineStr">
        <is>
          <t>X</t>
        </is>
      </c>
      <c r="D939" s="5" t="n">
        <v>286</v>
      </c>
      <c r="E939" s="2">
        <f>B939*D939/10000</f>
        <v/>
      </c>
      <c r="F939" s="3">
        <f>B939/30.48</f>
        <v/>
      </c>
      <c r="G939" s="3">
        <f>D939/30.48</f>
        <v/>
      </c>
      <c r="H939" s="615" t="n"/>
      <c r="I939" s="49" t="inlineStr">
        <is>
          <t>OLD</t>
        </is>
      </c>
      <c r="J939" s="48" t="inlineStr">
        <is>
          <t>TRS</t>
        </is>
      </c>
      <c r="K939" s="51" t="inlineStr">
        <is>
          <t>PAC</t>
        </is>
      </c>
      <c r="M939" s="210" t="n"/>
      <c r="N939" s="211" t="n"/>
      <c r="O939" s="340" t="inlineStr">
        <is>
          <t>SBL</t>
        </is>
      </c>
      <c r="Q939" s="271" t="n"/>
      <c r="R939" s="282" t="n"/>
    </row>
    <row r="940" ht="18" customHeight="1" s="305">
      <c r="A940" s="8" t="inlineStr">
        <is>
          <t>C 984</t>
        </is>
      </c>
      <c r="B940" s="5" t="n">
        <v>69</v>
      </c>
      <c r="C940" s="6" t="inlineStr">
        <is>
          <t>X</t>
        </is>
      </c>
      <c r="D940" s="5" t="n">
        <v>170</v>
      </c>
      <c r="E940" s="2">
        <f>B940*D940/10000</f>
        <v/>
      </c>
      <c r="F940" s="3">
        <f>B940/30.48</f>
        <v/>
      </c>
      <c r="G940" s="3">
        <f>D940/30.48</f>
        <v/>
      </c>
      <c r="H940" s="615" t="n"/>
      <c r="I940" s="49" t="inlineStr">
        <is>
          <t>OLD</t>
        </is>
      </c>
      <c r="J940" s="48" t="inlineStr">
        <is>
          <t>TRS</t>
        </is>
      </c>
      <c r="K940" s="51" t="inlineStr">
        <is>
          <t>PAC</t>
        </is>
      </c>
      <c r="L940" s="105" t="inlineStr">
        <is>
          <t>VR</t>
        </is>
      </c>
      <c r="M940" s="210" t="n"/>
      <c r="N940" s="211" t="n"/>
      <c r="O940" s="340" t="inlineStr">
        <is>
          <t>SBL</t>
        </is>
      </c>
      <c r="Q940" s="271" t="n"/>
      <c r="R940" s="282" t="n"/>
    </row>
    <row r="941" ht="18" customHeight="1" s="305">
      <c r="A941" s="8" t="inlineStr">
        <is>
          <t>A 29</t>
        </is>
      </c>
      <c r="B941" s="5" t="n">
        <v>53</v>
      </c>
      <c r="C941" s="6" t="inlineStr">
        <is>
          <t>X</t>
        </is>
      </c>
      <c r="D941" s="5" t="n">
        <v>135</v>
      </c>
      <c r="E941" s="2">
        <f>B941*D941/10000</f>
        <v/>
      </c>
      <c r="F941" s="3">
        <f>B941/30.48</f>
        <v/>
      </c>
      <c r="G941" s="3">
        <f>D941/30.48</f>
        <v/>
      </c>
      <c r="H941" s="615" t="n"/>
      <c r="I941" s="49" t="inlineStr">
        <is>
          <t>OLD</t>
        </is>
      </c>
      <c r="J941" s="48" t="inlineStr">
        <is>
          <t>TRS</t>
        </is>
      </c>
      <c r="K941" s="51" t="inlineStr">
        <is>
          <t>PAC</t>
        </is>
      </c>
      <c r="L941" s="105" t="inlineStr">
        <is>
          <t>VR</t>
        </is>
      </c>
      <c r="M941" s="210" t="n"/>
      <c r="N941" s="211" t="n"/>
      <c r="O941" s="340" t="inlineStr">
        <is>
          <t>SBL</t>
        </is>
      </c>
      <c r="Q941" s="271" t="n"/>
      <c r="R941" s="282" t="n"/>
    </row>
    <row r="942" ht="18" customHeight="1" s="305">
      <c r="A942" s="8" t="inlineStr">
        <is>
          <t>A 70</t>
        </is>
      </c>
      <c r="B942" s="5" t="n">
        <v>83</v>
      </c>
      <c r="C942" s="6" t="inlineStr">
        <is>
          <t>X</t>
        </is>
      </c>
      <c r="D942" s="5" t="n">
        <v>325</v>
      </c>
      <c r="E942" s="2">
        <f>B942*D942/10000</f>
        <v/>
      </c>
      <c r="F942" s="3">
        <f>B942/30.48</f>
        <v/>
      </c>
      <c r="G942" s="3">
        <f>D942/30.48</f>
        <v/>
      </c>
      <c r="H942" s="615" t="n"/>
      <c r="J942" s="48" t="inlineStr">
        <is>
          <t>TRS</t>
        </is>
      </c>
      <c r="K942" s="51" t="inlineStr">
        <is>
          <t>PAC</t>
        </is>
      </c>
      <c r="L942" s="105" t="inlineStr">
        <is>
          <t>VR</t>
        </is>
      </c>
      <c r="M942" s="210" t="n"/>
      <c r="N942" s="211" t="n"/>
      <c r="O942" s="340" t="inlineStr">
        <is>
          <t>SBL</t>
        </is>
      </c>
      <c r="Q942" s="271" t="n"/>
      <c r="R942" s="282" t="n"/>
    </row>
    <row r="943" ht="18" customHeight="1" s="305">
      <c r="A943" s="8" t="inlineStr">
        <is>
          <t>A 120</t>
        </is>
      </c>
      <c r="B943" s="5" t="n">
        <v>78</v>
      </c>
      <c r="C943" s="6" t="inlineStr">
        <is>
          <t>X</t>
        </is>
      </c>
      <c r="D943" s="5" t="n">
        <v>321</v>
      </c>
      <c r="E943" s="2">
        <f>B943*D943/10000</f>
        <v/>
      </c>
      <c r="F943" s="3">
        <f>B943/30.48</f>
        <v/>
      </c>
      <c r="G943" s="3">
        <f>D943/30.48</f>
        <v/>
      </c>
      <c r="H943" s="615" t="n"/>
      <c r="I943" s="49" t="inlineStr">
        <is>
          <t>OLD</t>
        </is>
      </c>
      <c r="J943" s="48" t="inlineStr">
        <is>
          <t>TRS</t>
        </is>
      </c>
      <c r="K943" s="51" t="inlineStr">
        <is>
          <t>PAC</t>
        </is>
      </c>
      <c r="L943" s="105" t="inlineStr">
        <is>
          <t>VR</t>
        </is>
      </c>
      <c r="M943" s="210" t="inlineStr">
        <is>
          <t>RK</t>
        </is>
      </c>
      <c r="N943" s="211" t="n"/>
      <c r="O943" s="340" t="inlineStr">
        <is>
          <t>SBL</t>
        </is>
      </c>
      <c r="Q943" s="271" t="n"/>
      <c r="R943" s="282" t="n"/>
    </row>
    <row r="944" ht="18" customHeight="1" s="305">
      <c r="A944" s="8" t="inlineStr">
        <is>
          <t>A 128</t>
        </is>
      </c>
      <c r="B944" s="5" t="n">
        <v>81</v>
      </c>
      <c r="C944" s="6" t="inlineStr">
        <is>
          <t>X</t>
        </is>
      </c>
      <c r="D944" s="5" t="n">
        <v>335</v>
      </c>
      <c r="E944" s="2">
        <f>B944*D944/10000</f>
        <v/>
      </c>
      <c r="F944" s="3">
        <f>B944/30.48</f>
        <v/>
      </c>
      <c r="G944" s="3">
        <f>D944/30.48</f>
        <v/>
      </c>
      <c r="H944" s="615" t="n"/>
      <c r="I944" s="49" t="inlineStr">
        <is>
          <t>OLD</t>
        </is>
      </c>
      <c r="J944" s="48" t="inlineStr">
        <is>
          <t>TRS</t>
        </is>
      </c>
      <c r="K944" s="51" t="inlineStr">
        <is>
          <t>PAC</t>
        </is>
      </c>
      <c r="L944" s="105" t="inlineStr">
        <is>
          <t>VR</t>
        </is>
      </c>
      <c r="M944" s="210" t="n"/>
      <c r="N944" s="211" t="n"/>
      <c r="O944" s="340" t="inlineStr">
        <is>
          <t>SBL</t>
        </is>
      </c>
      <c r="Q944" s="271" t="n"/>
      <c r="R944" s="282" t="n"/>
    </row>
    <row r="945" ht="18" customHeight="1" s="305">
      <c r="A945" s="8" t="inlineStr">
        <is>
          <t>A 144</t>
        </is>
      </c>
      <c r="B945" s="5" t="n">
        <v>172</v>
      </c>
      <c r="C945" s="6" t="inlineStr">
        <is>
          <t>X</t>
        </is>
      </c>
      <c r="D945" s="5" t="n">
        <v>256</v>
      </c>
      <c r="E945" s="2">
        <f>B945*D945/10000</f>
        <v/>
      </c>
      <c r="F945" s="3">
        <f>B945/30.48</f>
        <v/>
      </c>
      <c r="G945" s="3">
        <f>D945/30.48</f>
        <v/>
      </c>
      <c r="H945" s="615" t="n"/>
      <c r="I945" s="49" t="inlineStr">
        <is>
          <t>OLD</t>
        </is>
      </c>
      <c r="J945" s="48" t="inlineStr">
        <is>
          <t>TRS</t>
        </is>
      </c>
      <c r="K945" s="51" t="inlineStr">
        <is>
          <t>PAC</t>
        </is>
      </c>
      <c r="L945" s="105" t="inlineStr">
        <is>
          <t>VR</t>
        </is>
      </c>
      <c r="M945" s="210" t="inlineStr">
        <is>
          <t>RK</t>
        </is>
      </c>
      <c r="N945" s="211" t="n"/>
      <c r="O945" s="263" t="n"/>
      <c r="Q945" s="271" t="n"/>
      <c r="R945" s="282" t="n"/>
    </row>
    <row r="946" ht="18" customHeight="1" s="305">
      <c r="A946" s="8" t="inlineStr">
        <is>
          <t>C 987</t>
        </is>
      </c>
      <c r="B946" s="5" t="n">
        <v>92</v>
      </c>
      <c r="C946" s="6" t="inlineStr">
        <is>
          <t>X</t>
        </is>
      </c>
      <c r="D946" s="5" t="n">
        <v>358</v>
      </c>
      <c r="E946" s="2">
        <f>B946*D946/10000</f>
        <v/>
      </c>
      <c r="F946" s="3">
        <f>B946/30.48</f>
        <v/>
      </c>
      <c r="G946" s="3">
        <f>D946/30.48</f>
        <v/>
      </c>
      <c r="H946" s="615" t="n"/>
      <c r="I946" s="49" t="inlineStr">
        <is>
          <t>OLD</t>
        </is>
      </c>
      <c r="J946" s="48" t="inlineStr">
        <is>
          <t>TRS</t>
        </is>
      </c>
      <c r="K946" s="51" t="inlineStr">
        <is>
          <t>PAC</t>
        </is>
      </c>
      <c r="L946" s="105" t="inlineStr">
        <is>
          <t>VR</t>
        </is>
      </c>
      <c r="M946" s="210" t="n"/>
      <c r="N946" s="211" t="n"/>
      <c r="O946" s="340" t="inlineStr">
        <is>
          <t>SBL</t>
        </is>
      </c>
      <c r="Q946" s="271" t="n"/>
      <c r="R946" s="282" t="n"/>
    </row>
    <row r="947" ht="18" customHeight="1" s="305">
      <c r="A947" s="8" t="inlineStr">
        <is>
          <t>A 17</t>
        </is>
      </c>
      <c r="B947" s="5" t="n">
        <v>82</v>
      </c>
      <c r="C947" s="6" t="inlineStr">
        <is>
          <t>X</t>
        </is>
      </c>
      <c r="D947" s="5" t="n">
        <v>325</v>
      </c>
      <c r="E947" s="2">
        <f>B947*D947/10000</f>
        <v/>
      </c>
      <c r="F947" s="3">
        <f>B947/30.48</f>
        <v/>
      </c>
      <c r="G947" s="3">
        <f>D947/30.48</f>
        <v/>
      </c>
      <c r="H947" s="615" t="n"/>
      <c r="I947" s="49" t="inlineStr">
        <is>
          <t>OLD</t>
        </is>
      </c>
      <c r="J947" s="48" t="inlineStr">
        <is>
          <t>TRS</t>
        </is>
      </c>
      <c r="K947" s="51" t="inlineStr">
        <is>
          <t>PAC</t>
        </is>
      </c>
      <c r="L947" s="105" t="inlineStr">
        <is>
          <t>VR</t>
        </is>
      </c>
      <c r="M947" s="210" t="n"/>
      <c r="N947" s="211" t="n"/>
      <c r="O947" s="340" t="inlineStr">
        <is>
          <t>SBL</t>
        </is>
      </c>
      <c r="Q947" s="271" t="n"/>
      <c r="R947" s="282" t="n"/>
    </row>
    <row r="948" ht="18" customHeight="1" s="305">
      <c r="A948" s="8" t="inlineStr">
        <is>
          <t>A 46</t>
        </is>
      </c>
      <c r="B948" s="5" t="n">
        <v>97</v>
      </c>
      <c r="C948" s="6" t="inlineStr">
        <is>
          <t>X</t>
        </is>
      </c>
      <c r="D948" s="5" t="n">
        <v>263</v>
      </c>
      <c r="E948" s="2">
        <f>B948*D948/10000</f>
        <v/>
      </c>
      <c r="F948" s="3">
        <f>B948/30.48</f>
        <v/>
      </c>
      <c r="G948" s="3">
        <f>D948/30.48</f>
        <v/>
      </c>
      <c r="H948" s="615" t="n"/>
      <c r="I948" s="49" t="inlineStr">
        <is>
          <t>OLD</t>
        </is>
      </c>
      <c r="J948" s="48" t="inlineStr">
        <is>
          <t>TRS</t>
        </is>
      </c>
      <c r="K948" s="51" t="inlineStr">
        <is>
          <t>PAC</t>
        </is>
      </c>
      <c r="L948" s="105" t="inlineStr">
        <is>
          <t>VR</t>
        </is>
      </c>
      <c r="M948" s="210" t="n"/>
      <c r="N948" s="211" t="n"/>
      <c r="O948" s="340" t="inlineStr">
        <is>
          <t>SBL</t>
        </is>
      </c>
      <c r="Q948" s="271" t="n"/>
      <c r="R948" s="282" t="n"/>
    </row>
    <row r="949" ht="18" customHeight="1" s="305">
      <c r="A949" s="8" t="inlineStr">
        <is>
          <t>A 51</t>
        </is>
      </c>
      <c r="B949" s="5" t="n">
        <v>134</v>
      </c>
      <c r="C949" s="6" t="inlineStr">
        <is>
          <t>X</t>
        </is>
      </c>
      <c r="D949" s="5" t="n">
        <v>207</v>
      </c>
      <c r="E949" s="2">
        <f>B949*D949/10000</f>
        <v/>
      </c>
      <c r="F949" s="3">
        <f>B949/30.48</f>
        <v/>
      </c>
      <c r="G949" s="3">
        <f>D949/30.48</f>
        <v/>
      </c>
      <c r="H949" s="615" t="n"/>
      <c r="I949" s="49" t="inlineStr">
        <is>
          <t>OLD</t>
        </is>
      </c>
      <c r="J949" s="48" t="inlineStr">
        <is>
          <t>TRS</t>
        </is>
      </c>
      <c r="K949" s="51" t="inlineStr">
        <is>
          <t>PAC</t>
        </is>
      </c>
      <c r="L949" s="105" t="inlineStr">
        <is>
          <t>VR</t>
        </is>
      </c>
      <c r="M949" s="210" t="inlineStr">
        <is>
          <t>RK</t>
        </is>
      </c>
      <c r="N949" s="211" t="n"/>
      <c r="O949" s="340" t="inlineStr">
        <is>
          <t>SBL</t>
        </is>
      </c>
      <c r="Q949" s="271" t="n"/>
      <c r="R949" s="282" t="n"/>
    </row>
    <row r="950" ht="18" customHeight="1" s="305">
      <c r="A950" s="8" t="inlineStr">
        <is>
          <t>A 56</t>
        </is>
      </c>
      <c r="B950" s="5" t="n">
        <v>100</v>
      </c>
      <c r="C950" s="6" t="inlineStr">
        <is>
          <t>X</t>
        </is>
      </c>
      <c r="D950" s="5" t="n">
        <v>337</v>
      </c>
      <c r="E950" s="2">
        <f>B950*D950/10000</f>
        <v/>
      </c>
      <c r="F950" s="3">
        <f>B950/30.48</f>
        <v/>
      </c>
      <c r="G950" s="3">
        <f>D950/30.48</f>
        <v/>
      </c>
      <c r="H950" s="615" t="n"/>
      <c r="I950" s="49" t="inlineStr">
        <is>
          <t>OLD</t>
        </is>
      </c>
      <c r="J950" s="48" t="inlineStr">
        <is>
          <t>TRS</t>
        </is>
      </c>
      <c r="K950" s="51" t="inlineStr">
        <is>
          <t>PAC</t>
        </is>
      </c>
      <c r="L950" s="105" t="inlineStr">
        <is>
          <t>VR</t>
        </is>
      </c>
      <c r="M950" s="210" t="inlineStr">
        <is>
          <t>RK</t>
        </is>
      </c>
      <c r="N950" s="211" t="n"/>
      <c r="O950" s="340" t="inlineStr">
        <is>
          <t>SBL</t>
        </is>
      </c>
      <c r="Q950" s="271" t="n"/>
      <c r="R950" s="282" t="n"/>
    </row>
    <row r="951" ht="18" customHeight="1" s="305">
      <c r="A951" s="8" t="inlineStr">
        <is>
          <t>A 61</t>
        </is>
      </c>
      <c r="B951" s="5" t="n">
        <v>130</v>
      </c>
      <c r="C951" s="6" t="inlineStr">
        <is>
          <t>X</t>
        </is>
      </c>
      <c r="D951" s="5" t="n">
        <v>193</v>
      </c>
      <c r="E951" s="2">
        <f>B951*D951/10000</f>
        <v/>
      </c>
      <c r="F951" s="3">
        <f>B951/30.48</f>
        <v/>
      </c>
      <c r="G951" s="3">
        <f>D951/30.48</f>
        <v/>
      </c>
      <c r="H951" s="615" t="n"/>
      <c r="I951" s="49" t="inlineStr">
        <is>
          <t>OLD</t>
        </is>
      </c>
      <c r="J951" s="48" t="inlineStr">
        <is>
          <t>TRS</t>
        </is>
      </c>
      <c r="K951" s="51" t="inlineStr">
        <is>
          <t>PAC</t>
        </is>
      </c>
      <c r="L951" s="105" t="inlineStr">
        <is>
          <t>VR</t>
        </is>
      </c>
      <c r="M951" s="210" t="inlineStr">
        <is>
          <t>RK</t>
        </is>
      </c>
      <c r="N951" s="211" t="n"/>
      <c r="O951" s="340" t="inlineStr">
        <is>
          <t>SBL</t>
        </is>
      </c>
      <c r="Q951" s="271" t="n"/>
      <c r="R951" s="282" t="n"/>
    </row>
    <row r="952" ht="18" customHeight="1" s="305">
      <c r="A952" s="8" t="inlineStr">
        <is>
          <t>A 63</t>
        </is>
      </c>
      <c r="B952" s="5" t="n">
        <v>136</v>
      </c>
      <c r="C952" s="6" t="inlineStr">
        <is>
          <t>X</t>
        </is>
      </c>
      <c r="D952" s="5" t="n">
        <v>191</v>
      </c>
      <c r="E952" s="2">
        <f>B952*D952/10000</f>
        <v/>
      </c>
      <c r="F952" s="3">
        <f>B952/30.48</f>
        <v/>
      </c>
      <c r="G952" s="3">
        <f>D952/30.48</f>
        <v/>
      </c>
      <c r="H952" s="615" t="n"/>
      <c r="I952" s="49" t="inlineStr">
        <is>
          <t>OLD</t>
        </is>
      </c>
      <c r="K952" s="51" t="inlineStr">
        <is>
          <t>PAC</t>
        </is>
      </c>
      <c r="L952" s="105" t="inlineStr">
        <is>
          <t>VR</t>
        </is>
      </c>
      <c r="M952" s="210" t="n"/>
      <c r="N952" s="211" t="n"/>
      <c r="O952" s="340" t="inlineStr">
        <is>
          <t>SBL</t>
        </is>
      </c>
      <c r="Q952" s="271" t="n"/>
      <c r="R952" s="282" t="n"/>
    </row>
    <row r="953" ht="18" customHeight="1" s="305">
      <c r="A953" s="8" t="inlineStr">
        <is>
          <t>A 69</t>
        </is>
      </c>
      <c r="B953" s="5" t="n">
        <v>73</v>
      </c>
      <c r="C953" s="6" t="inlineStr">
        <is>
          <t>X</t>
        </is>
      </c>
      <c r="D953" s="5" t="n">
        <v>292</v>
      </c>
      <c r="E953" s="2">
        <f>B953*D953/10000</f>
        <v/>
      </c>
      <c r="F953" s="3">
        <f>B953/30.48</f>
        <v/>
      </c>
      <c r="G953" s="3">
        <f>D953/30.48</f>
        <v/>
      </c>
      <c r="H953" s="615" t="n"/>
      <c r="I953" s="49" t="inlineStr">
        <is>
          <t>OLD</t>
        </is>
      </c>
      <c r="L953" s="105" t="inlineStr">
        <is>
          <t>VR</t>
        </is>
      </c>
      <c r="M953" s="210" t="inlineStr">
        <is>
          <t>RK</t>
        </is>
      </c>
      <c r="N953" s="211" t="n"/>
      <c r="O953" s="340" t="inlineStr">
        <is>
          <t>SBL</t>
        </is>
      </c>
      <c r="Q953" s="271" t="n"/>
      <c r="R953" s="282" t="n"/>
    </row>
    <row r="954" ht="18" customHeight="1" s="305">
      <c r="A954" s="8" t="inlineStr">
        <is>
          <t>A 78</t>
        </is>
      </c>
      <c r="B954" s="5" t="n">
        <v>90</v>
      </c>
      <c r="C954" s="6" t="inlineStr">
        <is>
          <t>X</t>
        </is>
      </c>
      <c r="D954" s="5" t="n">
        <v>317</v>
      </c>
      <c r="E954" s="2">
        <f>B954*D954/10000</f>
        <v/>
      </c>
      <c r="F954" s="3">
        <f>B954/30.48</f>
        <v/>
      </c>
      <c r="G954" s="3">
        <f>D954/30.48</f>
        <v/>
      </c>
      <c r="H954" s="615" t="n"/>
      <c r="I954" s="49" t="inlineStr">
        <is>
          <t>OLD</t>
        </is>
      </c>
      <c r="J954" s="48" t="inlineStr">
        <is>
          <t>TRS</t>
        </is>
      </c>
      <c r="K954" s="51" t="inlineStr">
        <is>
          <t>PAC</t>
        </is>
      </c>
      <c r="L954" s="105" t="inlineStr">
        <is>
          <t>VR</t>
        </is>
      </c>
      <c r="M954" s="210" t="n"/>
      <c r="N954" s="211" t="n"/>
      <c r="O954" s="340" t="inlineStr">
        <is>
          <t>SBL</t>
        </is>
      </c>
      <c r="Q954" s="271" t="n"/>
      <c r="R954" s="282" t="n"/>
    </row>
    <row r="955" ht="18" customHeight="1" s="305">
      <c r="A955" s="8" t="inlineStr">
        <is>
          <t>A 96</t>
        </is>
      </c>
      <c r="B955" s="5" t="n">
        <v>208</v>
      </c>
      <c r="C955" s="6" t="inlineStr">
        <is>
          <t>X</t>
        </is>
      </c>
      <c r="D955" s="5" t="n">
        <v>308</v>
      </c>
      <c r="E955" s="2">
        <f>B955*D955/10000</f>
        <v/>
      </c>
      <c r="F955" s="3">
        <f>B955/30.48</f>
        <v/>
      </c>
      <c r="G955" s="3">
        <f>D955/30.48</f>
        <v/>
      </c>
      <c r="H955" s="615" t="n"/>
      <c r="L955" s="105" t="inlineStr">
        <is>
          <t>VR</t>
        </is>
      </c>
      <c r="M955" s="210" t="n"/>
      <c r="N955" s="211" t="n"/>
      <c r="O955" s="340" t="inlineStr">
        <is>
          <t>SBL</t>
        </is>
      </c>
      <c r="Q955" s="271" t="n"/>
      <c r="R955" s="282" t="n"/>
    </row>
    <row r="956" ht="18" customHeight="1" s="305">
      <c r="A956" s="8" t="inlineStr">
        <is>
          <t>A 109</t>
        </is>
      </c>
      <c r="B956" s="5" t="n">
        <v>88</v>
      </c>
      <c r="C956" s="6" t="inlineStr">
        <is>
          <t>X</t>
        </is>
      </c>
      <c r="D956" s="5" t="n">
        <v>276</v>
      </c>
      <c r="E956" s="2">
        <f>B956*D956/10000</f>
        <v/>
      </c>
      <c r="F956" s="3">
        <f>B956/30.48</f>
        <v/>
      </c>
      <c r="G956" s="3">
        <f>D956/30.48</f>
        <v/>
      </c>
      <c r="H956" s="615" t="n"/>
      <c r="I956" s="49" t="inlineStr">
        <is>
          <t>OLD</t>
        </is>
      </c>
      <c r="J956" s="48" t="inlineStr">
        <is>
          <t>TRS</t>
        </is>
      </c>
      <c r="K956" s="51" t="inlineStr">
        <is>
          <t>PAC</t>
        </is>
      </c>
      <c r="L956" s="105" t="inlineStr">
        <is>
          <t>VR</t>
        </is>
      </c>
      <c r="M956" s="210" t="inlineStr">
        <is>
          <t>RK</t>
        </is>
      </c>
      <c r="N956" s="211" t="n"/>
      <c r="O956" s="340" t="inlineStr">
        <is>
          <t>SBL</t>
        </is>
      </c>
      <c r="Q956" s="271" t="n"/>
      <c r="R956" s="282" t="n"/>
    </row>
    <row r="957" ht="18" customHeight="1" s="305">
      <c r="A957" s="8" t="inlineStr">
        <is>
          <t>A 112</t>
        </is>
      </c>
      <c r="B957" s="5" t="n">
        <v>87</v>
      </c>
      <c r="C957" s="6" t="inlineStr">
        <is>
          <t>X</t>
        </is>
      </c>
      <c r="D957" s="5" t="n">
        <v>369</v>
      </c>
      <c r="E957" s="2">
        <f>B957*D957/10000</f>
        <v/>
      </c>
      <c r="F957" s="3">
        <f>B957/30.48</f>
        <v/>
      </c>
      <c r="G957" s="3">
        <f>D957/30.48</f>
        <v/>
      </c>
      <c r="H957" s="615" t="n"/>
      <c r="I957" s="49" t="inlineStr">
        <is>
          <t>OLD</t>
        </is>
      </c>
      <c r="J957" s="48" t="inlineStr">
        <is>
          <t>TRS</t>
        </is>
      </c>
      <c r="L957" s="105" t="inlineStr">
        <is>
          <t>VR</t>
        </is>
      </c>
      <c r="M957" s="210" t="n"/>
      <c r="N957" s="211" t="n"/>
      <c r="O957" s="340" t="inlineStr">
        <is>
          <t>SBL</t>
        </is>
      </c>
      <c r="Q957" s="271" t="n"/>
      <c r="R957" s="282" t="n"/>
    </row>
    <row r="958" ht="18" customHeight="1" s="305">
      <c r="A958" s="8" t="inlineStr">
        <is>
          <t>A 113</t>
        </is>
      </c>
      <c r="B958" s="5" t="n">
        <v>159</v>
      </c>
      <c r="C958" s="6" t="inlineStr">
        <is>
          <t>X</t>
        </is>
      </c>
      <c r="D958" s="5" t="n">
        <v>287</v>
      </c>
      <c r="E958" s="2">
        <f>B958*D958/10000</f>
        <v/>
      </c>
      <c r="F958" s="3">
        <f>B958/30.48</f>
        <v/>
      </c>
      <c r="G958" s="3">
        <f>D958/30.48</f>
        <v/>
      </c>
      <c r="H958" s="615" t="n"/>
      <c r="I958" s="49" t="inlineStr">
        <is>
          <t>OLD</t>
        </is>
      </c>
      <c r="J958" s="48" t="inlineStr">
        <is>
          <t>TRS</t>
        </is>
      </c>
      <c r="L958" s="105" t="inlineStr">
        <is>
          <t>VR</t>
        </is>
      </c>
      <c r="M958" s="210" t="n"/>
      <c r="N958" s="211" t="n"/>
      <c r="O958" s="340" t="inlineStr">
        <is>
          <t>SBL</t>
        </is>
      </c>
      <c r="Q958" s="271" t="n"/>
      <c r="R958" s="282" t="n"/>
    </row>
    <row r="959" ht="18" customHeight="1" s="305">
      <c r="A959" s="8" t="inlineStr">
        <is>
          <t>A 149</t>
        </is>
      </c>
      <c r="B959" s="5" t="n">
        <v>217</v>
      </c>
      <c r="C959" s="72" t="inlineStr">
        <is>
          <t>X</t>
        </is>
      </c>
      <c r="D959" s="5" t="n">
        <v>310</v>
      </c>
      <c r="E959" s="73">
        <f>B959*D959/10000</f>
        <v/>
      </c>
      <c r="F959" s="74">
        <f>B959/30.48</f>
        <v/>
      </c>
      <c r="G959" s="74">
        <f>D959/30.48</f>
        <v/>
      </c>
      <c r="H959" s="615" t="n"/>
      <c r="I959" s="49" t="inlineStr">
        <is>
          <t>OLD</t>
        </is>
      </c>
      <c r="J959" s="48" t="inlineStr">
        <is>
          <t>TRS</t>
        </is>
      </c>
      <c r="K959" s="51" t="inlineStr">
        <is>
          <t>PAC</t>
        </is>
      </c>
      <c r="M959" s="210" t="inlineStr">
        <is>
          <t>RK</t>
        </is>
      </c>
      <c r="N959" s="211" t="n"/>
      <c r="O959" s="263" t="n"/>
      <c r="Q959" s="271" t="n"/>
      <c r="R959" s="282" t="n"/>
    </row>
    <row r="960" ht="18" customHeight="1" s="305">
      <c r="A960" s="8" t="inlineStr">
        <is>
          <t>A 154</t>
        </is>
      </c>
      <c r="B960" s="5" t="n">
        <v>91</v>
      </c>
      <c r="C960" s="72" t="inlineStr">
        <is>
          <t>X</t>
        </is>
      </c>
      <c r="D960" s="5" t="n">
        <v>347</v>
      </c>
      <c r="E960" s="73">
        <f>B960*D960/10000</f>
        <v/>
      </c>
      <c r="F960" s="74">
        <f>B960/30.48</f>
        <v/>
      </c>
      <c r="G960" s="74">
        <f>D960/30.48</f>
        <v/>
      </c>
      <c r="H960" s="615" t="n"/>
      <c r="I960" s="49" t="inlineStr">
        <is>
          <t>OLD</t>
        </is>
      </c>
      <c r="J960" s="48" t="inlineStr">
        <is>
          <t>TRS</t>
        </is>
      </c>
      <c r="K960" s="51" t="inlineStr">
        <is>
          <t>PAC</t>
        </is>
      </c>
      <c r="L960" s="105" t="inlineStr">
        <is>
          <t>VR</t>
        </is>
      </c>
      <c r="M960" s="210" t="n"/>
      <c r="N960" s="211" t="n"/>
      <c r="O960" s="340" t="inlineStr">
        <is>
          <t>SBL</t>
        </is>
      </c>
      <c r="Q960" s="271" t="n"/>
      <c r="R960" s="282" t="n"/>
    </row>
    <row r="961" ht="18" customHeight="1" s="305">
      <c r="A961" s="8" t="inlineStr">
        <is>
          <t>A 152</t>
        </is>
      </c>
      <c r="B961" s="5" t="n">
        <v>215</v>
      </c>
      <c r="C961" s="72" t="inlineStr">
        <is>
          <t>X</t>
        </is>
      </c>
      <c r="D961" s="5" t="n">
        <v>292</v>
      </c>
      <c r="E961" s="73">
        <f>B961*D961/10000</f>
        <v/>
      </c>
      <c r="F961" s="74">
        <f>B961/30.48</f>
        <v/>
      </c>
      <c r="G961" s="74">
        <f>D961/30.48</f>
        <v/>
      </c>
      <c r="H961" s="615" t="n"/>
      <c r="I961" s="49" t="inlineStr">
        <is>
          <t>OLD</t>
        </is>
      </c>
      <c r="J961" s="48" t="inlineStr">
        <is>
          <t>TRS</t>
        </is>
      </c>
      <c r="K961" s="51" t="inlineStr">
        <is>
          <t>PAC</t>
        </is>
      </c>
      <c r="L961" s="105" t="inlineStr">
        <is>
          <t>VR</t>
        </is>
      </c>
      <c r="M961" s="210" t="n"/>
      <c r="N961" s="211" t="n"/>
      <c r="O961" s="340" t="inlineStr">
        <is>
          <t>SBL</t>
        </is>
      </c>
      <c r="Q961" s="271" t="n"/>
      <c r="R961" s="282" t="n"/>
    </row>
    <row r="962" ht="18" customHeight="1" s="305">
      <c r="A962" s="8" t="inlineStr">
        <is>
          <t>A 153</t>
        </is>
      </c>
      <c r="B962" s="5" t="n">
        <v>209</v>
      </c>
      <c r="C962" s="72" t="inlineStr">
        <is>
          <t>X</t>
        </is>
      </c>
      <c r="D962" s="5" t="n">
        <v>311</v>
      </c>
      <c r="E962" s="73">
        <f>B962*D962/10000</f>
        <v/>
      </c>
      <c r="F962" s="74">
        <f>B962/30.48</f>
        <v/>
      </c>
      <c r="G962" s="74">
        <f>D962/30.48</f>
        <v/>
      </c>
      <c r="H962" s="615" t="n"/>
      <c r="I962" s="49" t="inlineStr">
        <is>
          <t>OLD</t>
        </is>
      </c>
      <c r="J962" s="48" t="inlineStr">
        <is>
          <t>TRS</t>
        </is>
      </c>
      <c r="K962" s="51" t="inlineStr">
        <is>
          <t>PAC</t>
        </is>
      </c>
      <c r="L962" s="105" t="inlineStr">
        <is>
          <t>VR</t>
        </is>
      </c>
      <c r="M962" s="210" t="n"/>
      <c r="N962" s="211" t="n"/>
      <c r="O962" s="340" t="inlineStr">
        <is>
          <t>SBL</t>
        </is>
      </c>
      <c r="Q962" s="271" t="n"/>
      <c r="R962" s="282" t="n"/>
    </row>
    <row r="963" ht="18" customHeight="1" s="305">
      <c r="A963" s="8" t="inlineStr">
        <is>
          <t>A 156</t>
        </is>
      </c>
      <c r="B963" s="5" t="n">
        <v>200</v>
      </c>
      <c r="C963" s="72" t="inlineStr">
        <is>
          <t>X</t>
        </is>
      </c>
      <c r="D963" s="5" t="n">
        <v>298</v>
      </c>
      <c r="E963" s="73">
        <f>B963*D963/10000</f>
        <v/>
      </c>
      <c r="F963" s="74">
        <f>B963/30.48</f>
        <v/>
      </c>
      <c r="G963" s="74">
        <f>D963/30.48</f>
        <v/>
      </c>
      <c r="H963" s="615" t="n"/>
      <c r="I963" s="49" t="inlineStr">
        <is>
          <t>OLD</t>
        </is>
      </c>
      <c r="J963" s="48" t="inlineStr">
        <is>
          <t>TRS</t>
        </is>
      </c>
      <c r="K963" s="51" t="inlineStr">
        <is>
          <t>PAC</t>
        </is>
      </c>
      <c r="L963" s="105" t="inlineStr">
        <is>
          <t>VR</t>
        </is>
      </c>
      <c r="M963" s="210" t="inlineStr">
        <is>
          <t>RK</t>
        </is>
      </c>
      <c r="N963" s="211" t="n"/>
      <c r="O963" s="263" t="n"/>
      <c r="Q963" s="271" t="n"/>
      <c r="R963" s="282" t="n"/>
    </row>
    <row r="964" ht="18" customHeight="1" s="305">
      <c r="A964" s="8" t="inlineStr">
        <is>
          <t>A 158</t>
        </is>
      </c>
      <c r="B964" s="5" t="n">
        <v>188</v>
      </c>
      <c r="C964" s="72" t="inlineStr">
        <is>
          <t>X</t>
        </is>
      </c>
      <c r="D964" s="5" t="n">
        <v>280</v>
      </c>
      <c r="E964" s="73">
        <f>B964*D964/10000</f>
        <v/>
      </c>
      <c r="F964" s="74">
        <f>B964/30.48</f>
        <v/>
      </c>
      <c r="G964" s="74">
        <f>D964/30.48</f>
        <v/>
      </c>
      <c r="H964" s="615" t="n"/>
      <c r="I964" s="49" t="inlineStr">
        <is>
          <t>OLD</t>
        </is>
      </c>
      <c r="J964" s="48" t="inlineStr">
        <is>
          <t>TRS</t>
        </is>
      </c>
      <c r="K964" s="51" t="inlineStr">
        <is>
          <t>PAC</t>
        </is>
      </c>
      <c r="L964" s="105" t="inlineStr">
        <is>
          <t>VR</t>
        </is>
      </c>
      <c r="M964" s="210" t="inlineStr">
        <is>
          <t>RK</t>
        </is>
      </c>
      <c r="N964" s="211" t="n"/>
      <c r="O964" s="263" t="n"/>
      <c r="Q964" s="271" t="n"/>
      <c r="R964" s="282" t="n"/>
    </row>
    <row r="965" ht="18" customHeight="1" s="305">
      <c r="A965" s="8" t="n">
        <v>27</v>
      </c>
      <c r="B965" s="5" t="n">
        <v>87</v>
      </c>
      <c r="C965" s="72" t="inlineStr">
        <is>
          <t>X</t>
        </is>
      </c>
      <c r="D965" s="5" t="n">
        <v>387</v>
      </c>
      <c r="E965" s="73">
        <f>B965*D965/10000</f>
        <v/>
      </c>
      <c r="F965" s="74">
        <f>B965/30.48</f>
        <v/>
      </c>
      <c r="G965" s="74">
        <f>D965/30.48</f>
        <v/>
      </c>
      <c r="H965" s="615" t="n"/>
      <c r="J965" s="48" t="inlineStr">
        <is>
          <t>TRS</t>
        </is>
      </c>
      <c r="L965" s="105" t="inlineStr">
        <is>
          <t>VR</t>
        </is>
      </c>
      <c r="M965" s="210" t="n"/>
      <c r="N965" s="211" t="n"/>
      <c r="O965" s="340" t="inlineStr">
        <is>
          <t>SBL</t>
        </is>
      </c>
      <c r="Q965" s="271" t="inlineStr">
        <is>
          <t>RST</t>
        </is>
      </c>
      <c r="R965" s="282" t="n"/>
    </row>
    <row r="966" ht="18" customHeight="1" s="305">
      <c r="A966" s="8" t="n">
        <v>226</v>
      </c>
      <c r="B966" s="5" t="n">
        <v>116</v>
      </c>
      <c r="C966" s="72" t="inlineStr">
        <is>
          <t>X</t>
        </is>
      </c>
      <c r="D966" s="5" t="n">
        <v>216</v>
      </c>
      <c r="E966" s="73">
        <f>B966*D966/10000</f>
        <v/>
      </c>
      <c r="F966" s="74">
        <f>B966/30.48</f>
        <v/>
      </c>
      <c r="G966" s="74">
        <f>D966/30.48</f>
        <v/>
      </c>
      <c r="H966" s="615" t="n"/>
      <c r="J966" s="48" t="inlineStr">
        <is>
          <t>TRS</t>
        </is>
      </c>
      <c r="K966" s="51" t="inlineStr">
        <is>
          <t>PAC</t>
        </is>
      </c>
      <c r="L966" s="105" t="inlineStr">
        <is>
          <t>VR</t>
        </is>
      </c>
      <c r="M966" s="210" t="n"/>
      <c r="N966" s="211" t="n"/>
      <c r="O966" s="340" t="inlineStr">
        <is>
          <t>SBL</t>
        </is>
      </c>
      <c r="Q966" s="271" t="n"/>
      <c r="R966" s="282" t="n"/>
    </row>
    <row r="967" ht="18" customHeight="1" s="305">
      <c r="A967" s="8" t="n">
        <v>802</v>
      </c>
      <c r="B967" s="5" t="n">
        <v>120</v>
      </c>
      <c r="C967" s="72" t="inlineStr">
        <is>
          <t>X</t>
        </is>
      </c>
      <c r="D967" s="5" t="n">
        <v>200</v>
      </c>
      <c r="E967" s="73">
        <f>B967*D967/10000</f>
        <v/>
      </c>
      <c r="F967" s="74">
        <f>B967/30.48</f>
        <v/>
      </c>
      <c r="G967" s="74">
        <f>D967/30.48</f>
        <v/>
      </c>
      <c r="H967" s="615" t="n"/>
      <c r="I967" s="49" t="inlineStr">
        <is>
          <t>OLD</t>
        </is>
      </c>
      <c r="J967" s="48" t="inlineStr">
        <is>
          <t>TRS</t>
        </is>
      </c>
      <c r="K967" s="51" t="inlineStr">
        <is>
          <t>PAC</t>
        </is>
      </c>
      <c r="M967" s="210" t="inlineStr">
        <is>
          <t>RK</t>
        </is>
      </c>
      <c r="N967" s="211" t="n"/>
      <c r="O967" s="340" t="inlineStr">
        <is>
          <t>SBL</t>
        </is>
      </c>
      <c r="Q967" s="271" t="n"/>
      <c r="R967" s="282" t="n"/>
    </row>
    <row r="968" ht="18" customHeight="1" s="305">
      <c r="A968" s="8" t="n">
        <v>1674</v>
      </c>
      <c r="B968" s="5" t="n">
        <v>153</v>
      </c>
      <c r="C968" s="72" t="inlineStr">
        <is>
          <t>X</t>
        </is>
      </c>
      <c r="D968" s="5" t="n">
        <v>253</v>
      </c>
      <c r="E968" s="73">
        <f>B968*D968/10000</f>
        <v/>
      </c>
      <c r="F968" s="74">
        <f>B968/30.48</f>
        <v/>
      </c>
      <c r="G968" s="74">
        <f>D968/30.48</f>
        <v/>
      </c>
      <c r="H968" s="615" t="n"/>
      <c r="I968" s="49" t="inlineStr">
        <is>
          <t>OLD</t>
        </is>
      </c>
      <c r="J968" s="48" t="inlineStr">
        <is>
          <t>TRS</t>
        </is>
      </c>
      <c r="K968" s="51" t="inlineStr">
        <is>
          <t>PAC</t>
        </is>
      </c>
      <c r="M968" s="210" t="n"/>
      <c r="N968" s="211" t="n"/>
      <c r="O968" s="340" t="inlineStr">
        <is>
          <t>SBL</t>
        </is>
      </c>
      <c r="Q968" s="271" t="n"/>
      <c r="R968" s="282" t="n"/>
    </row>
    <row r="969" ht="18" customHeight="1" s="305">
      <c r="A969" s="8" t="inlineStr">
        <is>
          <t>B 20</t>
        </is>
      </c>
      <c r="B969" s="5" t="n">
        <v>122</v>
      </c>
      <c r="C969" s="72" t="inlineStr">
        <is>
          <t>X</t>
        </is>
      </c>
      <c r="D969" s="5" t="n">
        <v>205</v>
      </c>
      <c r="E969" s="73">
        <f>B969*D969/10000</f>
        <v/>
      </c>
      <c r="F969" s="74">
        <f>B969/30.48</f>
        <v/>
      </c>
      <c r="G969" s="74">
        <f>D969/30.48</f>
        <v/>
      </c>
      <c r="H969" s="615" t="n"/>
      <c r="I969" s="49" t="inlineStr">
        <is>
          <t>OLD</t>
        </is>
      </c>
      <c r="K969" s="51" t="inlineStr">
        <is>
          <t>PAC</t>
        </is>
      </c>
      <c r="L969" s="105" t="inlineStr">
        <is>
          <t>VR</t>
        </is>
      </c>
      <c r="M969" s="210" t="inlineStr">
        <is>
          <t>RK</t>
        </is>
      </c>
      <c r="N969" s="211" t="n"/>
      <c r="O969" s="340" t="inlineStr">
        <is>
          <t>SBL</t>
        </is>
      </c>
      <c r="Q969" s="271" t="n"/>
      <c r="R969" s="282" t="n"/>
    </row>
    <row r="970" ht="18" customHeight="1" s="305">
      <c r="A970" s="8" t="inlineStr">
        <is>
          <t>B 30</t>
        </is>
      </c>
      <c r="B970" s="5" t="n">
        <v>112</v>
      </c>
      <c r="C970" s="72" t="inlineStr">
        <is>
          <t>X</t>
        </is>
      </c>
      <c r="D970" s="5" t="n">
        <v>207</v>
      </c>
      <c r="E970" s="73">
        <f>B970*D970/10000</f>
        <v/>
      </c>
      <c r="F970" s="74">
        <f>B970/30.48</f>
        <v/>
      </c>
      <c r="G970" s="74">
        <f>D970/30.48</f>
        <v/>
      </c>
      <c r="H970" s="615" t="n"/>
      <c r="I970" s="49" t="inlineStr">
        <is>
          <t>OLD</t>
        </is>
      </c>
      <c r="K970" s="51" t="inlineStr">
        <is>
          <t>PAC</t>
        </is>
      </c>
      <c r="M970" s="210" t="inlineStr">
        <is>
          <t>RK</t>
        </is>
      </c>
      <c r="N970" s="211" t="n"/>
      <c r="O970" s="340" t="inlineStr">
        <is>
          <t>SBL</t>
        </is>
      </c>
      <c r="Q970" s="271" t="n"/>
      <c r="R970" s="282" t="n"/>
    </row>
    <row r="971" ht="18" customHeight="1" s="305">
      <c r="A971" s="8" t="inlineStr">
        <is>
          <t>B 36</t>
        </is>
      </c>
      <c r="B971" s="5" t="n">
        <v>119</v>
      </c>
      <c r="C971" s="72" t="inlineStr">
        <is>
          <t>X</t>
        </is>
      </c>
      <c r="D971" s="5" t="n">
        <v>197</v>
      </c>
      <c r="E971" s="73">
        <f>B971*D971/10000</f>
        <v/>
      </c>
      <c r="F971" s="74">
        <f>B971/30.48</f>
        <v/>
      </c>
      <c r="G971" s="74">
        <f>D971/30.48</f>
        <v/>
      </c>
      <c r="H971" s="615" t="n"/>
      <c r="K971" s="51" t="inlineStr">
        <is>
          <t>PAC</t>
        </is>
      </c>
      <c r="M971" s="210" t="inlineStr">
        <is>
          <t>RK</t>
        </is>
      </c>
      <c r="N971" s="211" t="n"/>
      <c r="O971" s="340" t="inlineStr">
        <is>
          <t>SBL</t>
        </is>
      </c>
      <c r="Q971" s="271" t="n"/>
      <c r="R971" s="282" t="n"/>
    </row>
    <row r="972" ht="18" customHeight="1" s="305">
      <c r="A972" s="8" t="inlineStr">
        <is>
          <t>B 39</t>
        </is>
      </c>
      <c r="B972" s="5" t="n">
        <v>117</v>
      </c>
      <c r="C972" s="72" t="inlineStr">
        <is>
          <t>X</t>
        </is>
      </c>
      <c r="D972" s="5" t="n">
        <v>203</v>
      </c>
      <c r="E972" s="73">
        <f>B972*D972/10000</f>
        <v/>
      </c>
      <c r="F972" s="74">
        <f>B972/30.48</f>
        <v/>
      </c>
      <c r="G972" s="74">
        <f>D972/30.48</f>
        <v/>
      </c>
      <c r="H972" s="615" t="n"/>
      <c r="K972" s="51" t="inlineStr">
        <is>
          <t>PAC</t>
        </is>
      </c>
      <c r="M972" s="210" t="n"/>
      <c r="N972" s="211" t="n"/>
      <c r="O972" s="340" t="inlineStr">
        <is>
          <t>SBL</t>
        </is>
      </c>
      <c r="Q972" s="271" t="n"/>
      <c r="R972" s="282" t="n"/>
    </row>
    <row r="973" ht="18" customHeight="1" s="305">
      <c r="A973" s="8" t="inlineStr">
        <is>
          <t>B 44</t>
        </is>
      </c>
      <c r="B973" s="5" t="n">
        <v>177</v>
      </c>
      <c r="C973" s="72" t="inlineStr">
        <is>
          <t>X</t>
        </is>
      </c>
      <c r="D973" s="5" t="n">
        <v>285</v>
      </c>
      <c r="E973" s="73">
        <f>B973*D973/10000</f>
        <v/>
      </c>
      <c r="F973" s="74">
        <f>B973/30.48</f>
        <v/>
      </c>
      <c r="G973" s="74">
        <f>D973/30.48</f>
        <v/>
      </c>
      <c r="H973" s="615" t="n"/>
      <c r="K973" s="51" t="inlineStr">
        <is>
          <t>PAC</t>
        </is>
      </c>
      <c r="M973" s="210" t="n"/>
      <c r="N973" s="211" t="n"/>
      <c r="O973" s="340" t="inlineStr">
        <is>
          <t>SBL</t>
        </is>
      </c>
      <c r="Q973" s="271" t="n"/>
      <c r="R973" s="282" t="n"/>
    </row>
    <row r="974" ht="18" customHeight="1" s="305">
      <c r="A974" s="8" t="inlineStr">
        <is>
          <t>B 60</t>
        </is>
      </c>
      <c r="B974" s="5" t="n">
        <v>60</v>
      </c>
      <c r="C974" s="72" t="inlineStr">
        <is>
          <t>X</t>
        </is>
      </c>
      <c r="D974" s="5" t="n">
        <v>157</v>
      </c>
      <c r="E974" s="73">
        <f>B974*D974/10000</f>
        <v/>
      </c>
      <c r="F974" s="74">
        <f>B974/30.48</f>
        <v/>
      </c>
      <c r="G974" s="74">
        <f>D974/30.48</f>
        <v/>
      </c>
      <c r="H974" s="615" t="n"/>
      <c r="M974" s="210" t="n"/>
      <c r="N974" s="211" t="n"/>
      <c r="O974" s="340" t="inlineStr">
        <is>
          <t>SBL</t>
        </is>
      </c>
      <c r="Q974" s="271" t="n"/>
      <c r="R974" s="282" t="n"/>
    </row>
    <row r="975" ht="18" customHeight="1" s="305">
      <c r="A975" s="8" t="inlineStr">
        <is>
          <t>B 63</t>
        </is>
      </c>
      <c r="B975" s="5" t="n">
        <v>191</v>
      </c>
      <c r="C975" s="72" t="inlineStr">
        <is>
          <t>X</t>
        </is>
      </c>
      <c r="D975" s="5" t="n">
        <v>285</v>
      </c>
      <c r="E975" s="73">
        <f>B975*D975/10000</f>
        <v/>
      </c>
      <c r="F975" s="74">
        <f>B975/30.48</f>
        <v/>
      </c>
      <c r="G975" s="74">
        <f>D975/30.48</f>
        <v/>
      </c>
      <c r="H975" s="615" t="n"/>
      <c r="M975" s="210" t="n"/>
      <c r="N975" s="211" t="n"/>
      <c r="O975" s="263" t="n"/>
      <c r="Q975" s="271" t="n"/>
      <c r="R975" s="282" t="n"/>
    </row>
    <row r="976" ht="18" customHeight="1" s="305">
      <c r="A976" s="8" t="inlineStr">
        <is>
          <t>B 65</t>
        </is>
      </c>
      <c r="B976" s="5" t="n">
        <v>183</v>
      </c>
      <c r="C976" s="72" t="inlineStr">
        <is>
          <t>X</t>
        </is>
      </c>
      <c r="D976" s="5" t="n">
        <v>293</v>
      </c>
      <c r="E976" s="73">
        <f>B976*D976/10000</f>
        <v/>
      </c>
      <c r="F976" s="74">
        <f>B976/30.48</f>
        <v/>
      </c>
      <c r="G976" s="74">
        <f>D976/30.48</f>
        <v/>
      </c>
      <c r="H976" s="615" t="n"/>
      <c r="K976" s="51" t="inlineStr">
        <is>
          <t>PAC</t>
        </is>
      </c>
      <c r="M976" s="210" t="n"/>
      <c r="N976" s="211" t="n"/>
      <c r="O976" s="340" t="inlineStr">
        <is>
          <t>SBL</t>
        </is>
      </c>
      <c r="Q976" s="271" t="n"/>
      <c r="R976" s="282" t="n"/>
    </row>
    <row r="977" ht="18" customHeight="1" s="305">
      <c r="A977" s="8" t="inlineStr">
        <is>
          <t>B 66</t>
        </is>
      </c>
      <c r="B977" s="5" t="n">
        <v>182</v>
      </c>
      <c r="C977" s="72" t="inlineStr">
        <is>
          <t>X</t>
        </is>
      </c>
      <c r="D977" s="5" t="n">
        <v>281</v>
      </c>
      <c r="E977" s="73">
        <f>B977*D977/10000</f>
        <v/>
      </c>
      <c r="F977" s="74">
        <f>B977/30.48</f>
        <v/>
      </c>
      <c r="G977" s="74">
        <f>D977/30.48</f>
        <v/>
      </c>
      <c r="H977" s="615" t="n"/>
      <c r="K977" s="51" t="inlineStr">
        <is>
          <t>PAC</t>
        </is>
      </c>
      <c r="M977" s="210" t="n"/>
      <c r="N977" s="211" t="n"/>
      <c r="O977" s="340" t="inlineStr">
        <is>
          <t>SBL</t>
        </is>
      </c>
      <c r="Q977" s="271" t="n"/>
      <c r="R977" s="282" t="n"/>
    </row>
    <row r="978" ht="18" customHeight="1" s="305">
      <c r="A978" s="8" t="inlineStr">
        <is>
          <t>B 80</t>
        </is>
      </c>
      <c r="B978" s="5" t="n">
        <v>208</v>
      </c>
      <c r="C978" s="72" t="inlineStr">
        <is>
          <t>X</t>
        </is>
      </c>
      <c r="D978" s="5" t="n">
        <v>297</v>
      </c>
      <c r="E978" s="73">
        <f>B978*D978/10000</f>
        <v/>
      </c>
      <c r="F978" s="74">
        <f>B978/30.48</f>
        <v/>
      </c>
      <c r="G978" s="74">
        <f>D978/30.48</f>
        <v/>
      </c>
      <c r="H978" s="615" t="n"/>
      <c r="K978" s="51" t="inlineStr">
        <is>
          <t>PAC</t>
        </is>
      </c>
      <c r="M978" s="210" t="n"/>
      <c r="N978" s="211" t="n"/>
      <c r="O978" s="340" t="inlineStr">
        <is>
          <t>SBL</t>
        </is>
      </c>
      <c r="Q978" s="271" t="n"/>
      <c r="R978" s="282" t="n"/>
    </row>
    <row r="979" ht="18" customHeight="1" s="305">
      <c r="A979" s="8" t="inlineStr">
        <is>
          <t>B 97</t>
        </is>
      </c>
      <c r="B979" s="5" t="n">
        <v>163</v>
      </c>
      <c r="C979" s="72" t="inlineStr">
        <is>
          <t>X</t>
        </is>
      </c>
      <c r="D979" s="5" t="n">
        <v>274</v>
      </c>
      <c r="E979" s="73">
        <f>B979*D979/10000</f>
        <v/>
      </c>
      <c r="F979" s="74">
        <f>B979/30.48</f>
        <v/>
      </c>
      <c r="G979" s="74">
        <f>D979/30.48</f>
        <v/>
      </c>
      <c r="H979" s="615" t="n"/>
      <c r="K979" s="51" t="inlineStr">
        <is>
          <t>PAC</t>
        </is>
      </c>
      <c r="M979" s="210" t="n"/>
      <c r="N979" s="211" t="n"/>
      <c r="O979" s="340" t="inlineStr">
        <is>
          <t>SBL</t>
        </is>
      </c>
      <c r="Q979" s="271" t="n"/>
      <c r="R979" s="282" t="n"/>
    </row>
    <row r="980" ht="18" customHeight="1" s="305">
      <c r="A980" s="8" t="inlineStr">
        <is>
          <t>B 98</t>
        </is>
      </c>
      <c r="B980" s="5" t="n">
        <v>187</v>
      </c>
      <c r="C980" s="72" t="inlineStr">
        <is>
          <t>X</t>
        </is>
      </c>
      <c r="D980" s="5" t="n">
        <v>262</v>
      </c>
      <c r="E980" s="73">
        <f>B980*D980/10000</f>
        <v/>
      </c>
      <c r="F980" s="74">
        <f>B980/30.48</f>
        <v/>
      </c>
      <c r="G980" s="74">
        <f>D980/30.48</f>
        <v/>
      </c>
      <c r="H980" s="615" t="n"/>
      <c r="K980" s="51" t="inlineStr">
        <is>
          <t>PAC</t>
        </is>
      </c>
      <c r="M980" s="210" t="n"/>
      <c r="N980" s="211" t="n"/>
      <c r="O980" s="340" t="inlineStr">
        <is>
          <t>SBL</t>
        </is>
      </c>
      <c r="Q980" s="271" t="n"/>
      <c r="R980" s="282" t="n"/>
    </row>
    <row r="981" ht="18" customHeight="1" s="305">
      <c r="A981" s="8" t="inlineStr">
        <is>
          <t>B 99</t>
        </is>
      </c>
      <c r="B981" s="5" t="n">
        <v>164</v>
      </c>
      <c r="C981" s="72" t="inlineStr">
        <is>
          <t>X</t>
        </is>
      </c>
      <c r="D981" s="5" t="n">
        <v>245</v>
      </c>
      <c r="E981" s="73">
        <f>B981*D981/10000</f>
        <v/>
      </c>
      <c r="F981" s="74">
        <f>B981/30.48</f>
        <v/>
      </c>
      <c r="G981" s="74">
        <f>D981/30.48</f>
        <v/>
      </c>
      <c r="H981" s="615" t="n"/>
      <c r="K981" s="51" t="inlineStr">
        <is>
          <t>PAC</t>
        </is>
      </c>
      <c r="M981" s="210" t="n"/>
      <c r="N981" s="211" t="n"/>
      <c r="O981" s="263" t="n"/>
      <c r="Q981" s="271" t="n"/>
      <c r="R981" s="282" t="n"/>
    </row>
    <row r="982" ht="18" customHeight="1" s="305">
      <c r="A982" s="8" t="inlineStr">
        <is>
          <t>B 100</t>
        </is>
      </c>
      <c r="B982" s="5" t="n">
        <v>156</v>
      </c>
      <c r="C982" s="72" t="inlineStr">
        <is>
          <t>X</t>
        </is>
      </c>
      <c r="D982" s="5" t="n">
        <v>265</v>
      </c>
      <c r="E982" s="73">
        <f>B982*D982/10000</f>
        <v/>
      </c>
      <c r="F982" s="74">
        <f>B982/30.48</f>
        <v/>
      </c>
      <c r="G982" s="74">
        <f>D982/30.48</f>
        <v/>
      </c>
      <c r="H982" s="615" t="n"/>
      <c r="K982" s="51" t="inlineStr">
        <is>
          <t>PAC</t>
        </is>
      </c>
      <c r="M982" s="210" t="n"/>
      <c r="N982" s="211" t="n"/>
      <c r="O982" s="340" t="inlineStr">
        <is>
          <t>SBL</t>
        </is>
      </c>
      <c r="Q982" s="271" t="n"/>
      <c r="R982" s="282" t="n"/>
    </row>
    <row r="983" ht="18" customHeight="1" s="305">
      <c r="A983" s="8" t="inlineStr">
        <is>
          <t>B 101</t>
        </is>
      </c>
      <c r="B983" s="5" t="n">
        <v>174</v>
      </c>
      <c r="C983" s="72" t="inlineStr">
        <is>
          <t>X</t>
        </is>
      </c>
      <c r="D983" s="5" t="n">
        <v>276</v>
      </c>
      <c r="E983" s="73">
        <f>B983*D983/10000</f>
        <v/>
      </c>
      <c r="F983" s="74">
        <f>B983/30.48</f>
        <v/>
      </c>
      <c r="G983" s="74">
        <f>D983/30.48</f>
        <v/>
      </c>
      <c r="H983" s="615" t="n"/>
      <c r="K983" s="51" t="inlineStr">
        <is>
          <t>PAC</t>
        </is>
      </c>
      <c r="M983" s="210" t="n"/>
      <c r="N983" s="211" t="n"/>
      <c r="O983" s="340" t="inlineStr">
        <is>
          <t>SBL</t>
        </is>
      </c>
      <c r="Q983" s="271" t="n"/>
      <c r="R983" s="282" t="n"/>
    </row>
    <row r="984" ht="18" customHeight="1" s="305">
      <c r="A984" s="8" t="inlineStr">
        <is>
          <t>B 102</t>
        </is>
      </c>
      <c r="B984" s="5" t="n">
        <v>162</v>
      </c>
      <c r="C984" s="72" t="inlineStr">
        <is>
          <t>X</t>
        </is>
      </c>
      <c r="D984" s="5" t="n">
        <v>242</v>
      </c>
      <c r="E984" s="73">
        <f>B984*D984/10000</f>
        <v/>
      </c>
      <c r="F984" s="74">
        <f>B984/30.48</f>
        <v/>
      </c>
      <c r="G984" s="74">
        <f>D984/30.48</f>
        <v/>
      </c>
      <c r="H984" s="615" t="n"/>
      <c r="K984" s="51" t="inlineStr">
        <is>
          <t>PAC</t>
        </is>
      </c>
      <c r="M984" s="210" t="n"/>
      <c r="N984" s="211" t="n"/>
      <c r="O984" s="340" t="inlineStr">
        <is>
          <t>SBL</t>
        </is>
      </c>
      <c r="Q984" s="271" t="n"/>
      <c r="R984" s="282" t="n"/>
    </row>
    <row r="985" ht="18" customHeight="1" s="305">
      <c r="A985" s="8" t="inlineStr">
        <is>
          <t>B 103</t>
        </is>
      </c>
      <c r="B985" s="5" t="n">
        <v>193</v>
      </c>
      <c r="C985" s="72" t="inlineStr">
        <is>
          <t>X</t>
        </is>
      </c>
      <c r="D985" s="5" t="n">
        <v>295</v>
      </c>
      <c r="E985" s="73">
        <f>B985*D985/10000</f>
        <v/>
      </c>
      <c r="F985" s="74">
        <f>B985/30.48</f>
        <v/>
      </c>
      <c r="G985" s="74">
        <f>D985/30.48</f>
        <v/>
      </c>
      <c r="H985" s="615" t="n"/>
      <c r="K985" s="51" t="inlineStr">
        <is>
          <t>PAC</t>
        </is>
      </c>
      <c r="M985" s="210" t="n"/>
      <c r="N985" s="211" t="n"/>
      <c r="O985" s="340" t="inlineStr">
        <is>
          <t>SBL</t>
        </is>
      </c>
      <c r="Q985" s="271" t="n"/>
      <c r="R985" s="282" t="n"/>
    </row>
    <row r="986" ht="18" customHeight="1" s="305">
      <c r="A986" s="8" t="inlineStr">
        <is>
          <t>B 105</t>
        </is>
      </c>
      <c r="B986" s="5" t="n">
        <v>202</v>
      </c>
      <c r="C986" s="72" t="inlineStr">
        <is>
          <t>X</t>
        </is>
      </c>
      <c r="D986" s="5" t="n">
        <v>277</v>
      </c>
      <c r="E986" s="73">
        <f>B986*D986/10000</f>
        <v/>
      </c>
      <c r="F986" s="74">
        <f>B986/30.48</f>
        <v/>
      </c>
      <c r="G986" s="74">
        <f>D986/30.48</f>
        <v/>
      </c>
      <c r="H986" s="615" t="n"/>
      <c r="K986" s="51" t="inlineStr">
        <is>
          <t>PAC</t>
        </is>
      </c>
      <c r="M986" s="210" t="n"/>
      <c r="N986" s="211" t="n"/>
      <c r="O986" s="340" t="inlineStr">
        <is>
          <t>SBL</t>
        </is>
      </c>
      <c r="Q986" s="271" t="n"/>
      <c r="R986" s="282" t="n"/>
    </row>
    <row r="987" ht="18" customHeight="1" s="305">
      <c r="A987" s="8" t="inlineStr">
        <is>
          <t>B 106</t>
        </is>
      </c>
      <c r="B987" s="5" t="n">
        <v>190</v>
      </c>
      <c r="C987" s="72" t="inlineStr">
        <is>
          <t>X</t>
        </is>
      </c>
      <c r="D987" s="5" t="n">
        <v>298</v>
      </c>
      <c r="E987" s="73">
        <f>B987*D987/10000</f>
        <v/>
      </c>
      <c r="F987" s="74">
        <f>B987/30.48</f>
        <v/>
      </c>
      <c r="G987" s="74">
        <f>D987/30.48</f>
        <v/>
      </c>
      <c r="H987" s="615" t="n"/>
      <c r="K987" s="51" t="inlineStr">
        <is>
          <t>PAC</t>
        </is>
      </c>
      <c r="M987" s="210" t="n"/>
      <c r="N987" s="211" t="n"/>
      <c r="O987" s="340" t="inlineStr">
        <is>
          <t>SBL</t>
        </is>
      </c>
      <c r="Q987" s="271" t="n"/>
      <c r="R987" s="282" t="n"/>
    </row>
    <row r="988" ht="18" customHeight="1" s="305">
      <c r="A988" s="8" t="inlineStr">
        <is>
          <t>B 107</t>
        </is>
      </c>
      <c r="B988" s="5" t="n">
        <v>183</v>
      </c>
      <c r="C988" s="72" t="inlineStr">
        <is>
          <t>X</t>
        </is>
      </c>
      <c r="D988" s="5" t="n">
        <v>268</v>
      </c>
      <c r="E988" s="73">
        <f>B988*D988/10000</f>
        <v/>
      </c>
      <c r="F988" s="74">
        <f>B988/30.48</f>
        <v/>
      </c>
      <c r="G988" s="74">
        <f>D988/30.48</f>
        <v/>
      </c>
      <c r="H988" s="615" t="n"/>
      <c r="K988" s="51" t="inlineStr">
        <is>
          <t>PAC</t>
        </is>
      </c>
      <c r="M988" s="210" t="n"/>
      <c r="N988" s="211" t="n"/>
      <c r="O988" s="340" t="inlineStr">
        <is>
          <t>SBL</t>
        </is>
      </c>
      <c r="Q988" s="271" t="n"/>
      <c r="R988" s="282" t="n"/>
    </row>
    <row r="989" ht="18" customHeight="1" s="305">
      <c r="A989" s="8" t="inlineStr">
        <is>
          <t>B 108</t>
        </is>
      </c>
      <c r="B989" s="5" t="n">
        <v>180</v>
      </c>
      <c r="C989" s="72" t="inlineStr">
        <is>
          <t>X</t>
        </is>
      </c>
      <c r="D989" s="5" t="n">
        <v>279</v>
      </c>
      <c r="E989" s="73">
        <f>B989*D989/10000</f>
        <v/>
      </c>
      <c r="F989" s="74">
        <f>B989/30.48</f>
        <v/>
      </c>
      <c r="G989" s="74">
        <f>D989/30.48</f>
        <v/>
      </c>
      <c r="H989" s="615" t="n"/>
      <c r="M989" s="210" t="n"/>
      <c r="N989" s="211" t="n"/>
      <c r="O989" s="340" t="inlineStr">
        <is>
          <t>SBL</t>
        </is>
      </c>
      <c r="Q989" s="271" t="n"/>
      <c r="R989" s="282" t="n"/>
    </row>
    <row r="990" ht="18" customHeight="1" s="305">
      <c r="A990" s="8" t="inlineStr">
        <is>
          <t>B 109</t>
        </is>
      </c>
      <c r="B990" s="5" t="n">
        <v>155</v>
      </c>
      <c r="C990" s="72" t="inlineStr">
        <is>
          <t>X</t>
        </is>
      </c>
      <c r="D990" s="5" t="n">
        <v>253</v>
      </c>
      <c r="E990" s="73">
        <f>B990*D990/10000</f>
        <v/>
      </c>
      <c r="F990" s="74">
        <f>B990/30.48</f>
        <v/>
      </c>
      <c r="G990" s="74">
        <f>D990/30.48</f>
        <v/>
      </c>
      <c r="H990" s="615" t="n"/>
      <c r="M990" s="210" t="n"/>
      <c r="N990" s="211" t="n"/>
      <c r="O990" s="340" t="inlineStr">
        <is>
          <t>SBL</t>
        </is>
      </c>
      <c r="Q990" s="271" t="n"/>
      <c r="R990" s="282" t="n"/>
    </row>
    <row r="991" ht="18" customHeight="1" s="305">
      <c r="A991" s="8" t="inlineStr">
        <is>
          <t>B 111</t>
        </is>
      </c>
      <c r="B991" s="5" t="n">
        <v>195</v>
      </c>
      <c r="C991" s="72" t="inlineStr">
        <is>
          <t>X</t>
        </is>
      </c>
      <c r="D991" s="5" t="n">
        <v>288</v>
      </c>
      <c r="E991" s="73">
        <f>B991*D991/10000</f>
        <v/>
      </c>
      <c r="F991" s="74">
        <f>B991/30.48</f>
        <v/>
      </c>
      <c r="G991" s="74">
        <f>D991/30.48</f>
        <v/>
      </c>
      <c r="H991" s="615" t="n"/>
      <c r="M991" s="210" t="n"/>
      <c r="N991" s="211" t="n"/>
      <c r="O991" s="340" t="inlineStr">
        <is>
          <t>SBL</t>
        </is>
      </c>
      <c r="Q991" s="271" t="n"/>
      <c r="R991" s="282" t="n"/>
    </row>
    <row r="992" ht="18" customHeight="1" s="305">
      <c r="A992" s="8" t="inlineStr">
        <is>
          <t>B 112</t>
        </is>
      </c>
      <c r="B992" s="5" t="n">
        <v>163</v>
      </c>
      <c r="C992" s="72" t="inlineStr">
        <is>
          <t>X</t>
        </is>
      </c>
      <c r="D992" s="5" t="n">
        <v>260</v>
      </c>
      <c r="E992" s="73">
        <f>B992*D992/10000</f>
        <v/>
      </c>
      <c r="F992" s="74">
        <f>B992/30.48</f>
        <v/>
      </c>
      <c r="G992" s="74">
        <f>D992/30.48</f>
        <v/>
      </c>
      <c r="H992" s="615" t="n"/>
      <c r="M992" s="210" t="n"/>
      <c r="N992" s="211" t="n"/>
      <c r="O992" s="340" t="inlineStr">
        <is>
          <t>SBL</t>
        </is>
      </c>
      <c r="Q992" s="271" t="n"/>
      <c r="R992" s="282" t="n"/>
    </row>
    <row r="993" ht="18" customHeight="1" s="305">
      <c r="A993" s="8" t="inlineStr">
        <is>
          <t>B 113</t>
        </is>
      </c>
      <c r="B993" s="5" t="n">
        <v>177</v>
      </c>
      <c r="C993" s="72" t="inlineStr">
        <is>
          <t>X</t>
        </is>
      </c>
      <c r="D993" s="5" t="n">
        <v>285</v>
      </c>
      <c r="E993" s="73">
        <f>B993*D993/10000</f>
        <v/>
      </c>
      <c r="F993" s="74">
        <f>B993/30.48</f>
        <v/>
      </c>
      <c r="G993" s="74">
        <f>D993/30.48</f>
        <v/>
      </c>
      <c r="H993" s="615" t="n"/>
      <c r="M993" s="210" t="n"/>
      <c r="N993" s="211" t="n"/>
      <c r="O993" s="340" t="inlineStr">
        <is>
          <t>SBL</t>
        </is>
      </c>
      <c r="Q993" s="271" t="n"/>
      <c r="R993" s="282" t="n"/>
    </row>
    <row r="994" ht="18" customHeight="1" s="305">
      <c r="A994" s="8" t="inlineStr">
        <is>
          <t>B 114</t>
        </is>
      </c>
      <c r="B994" s="5" t="n">
        <v>160</v>
      </c>
      <c r="C994" s="72" t="inlineStr">
        <is>
          <t>X</t>
        </is>
      </c>
      <c r="D994" s="5" t="n">
        <v>257</v>
      </c>
      <c r="E994" s="73">
        <f>B994*D994/10000</f>
        <v/>
      </c>
      <c r="F994" s="74">
        <f>B994/30.48</f>
        <v/>
      </c>
      <c r="G994" s="74">
        <f>D994/30.48</f>
        <v/>
      </c>
      <c r="H994" s="615" t="n"/>
      <c r="M994" s="210" t="n"/>
      <c r="N994" s="211" t="n"/>
      <c r="O994" s="340" t="inlineStr">
        <is>
          <t>SBL</t>
        </is>
      </c>
      <c r="Q994" s="271" t="n"/>
      <c r="R994" s="282" t="n"/>
    </row>
    <row r="995" ht="18" customHeight="1" s="305">
      <c r="A995" s="8" t="inlineStr">
        <is>
          <t>B 115</t>
        </is>
      </c>
      <c r="B995" s="5" t="n">
        <v>170</v>
      </c>
      <c r="C995" s="72" t="inlineStr">
        <is>
          <t>X</t>
        </is>
      </c>
      <c r="D995" s="5" t="n">
        <v>283</v>
      </c>
      <c r="E995" s="73">
        <f>B995*D995/10000</f>
        <v/>
      </c>
      <c r="F995" s="74">
        <f>B995/30.48</f>
        <v/>
      </c>
      <c r="G995" s="74">
        <f>D995/30.48</f>
        <v/>
      </c>
      <c r="H995" s="615" t="n"/>
      <c r="M995" s="210" t="n"/>
      <c r="N995" s="211" t="n"/>
      <c r="O995" s="340" t="inlineStr">
        <is>
          <t>SBL</t>
        </is>
      </c>
      <c r="Q995" s="271" t="n"/>
      <c r="R995" s="282" t="n"/>
    </row>
    <row r="996" ht="18" customHeight="1" s="305">
      <c r="A996" s="8" t="inlineStr">
        <is>
          <t>B 116</t>
        </is>
      </c>
      <c r="B996" s="5" t="n">
        <v>164</v>
      </c>
      <c r="C996" s="72" t="inlineStr">
        <is>
          <t>X</t>
        </is>
      </c>
      <c r="D996" s="5" t="n">
        <v>255</v>
      </c>
      <c r="E996" s="73">
        <f>B996*D996/10000</f>
        <v/>
      </c>
      <c r="F996" s="74">
        <f>B996/30.48</f>
        <v/>
      </c>
      <c r="G996" s="74">
        <f>D996/30.48</f>
        <v/>
      </c>
      <c r="H996" s="615" t="n"/>
      <c r="M996" s="210" t="n"/>
      <c r="N996" s="211" t="n"/>
      <c r="O996" s="340" t="inlineStr">
        <is>
          <t>SBL</t>
        </is>
      </c>
      <c r="Q996" s="271" t="n"/>
      <c r="R996" s="282" t="n"/>
    </row>
    <row r="997" ht="18" customHeight="1" s="305">
      <c r="A997" s="8" t="inlineStr">
        <is>
          <t>B 117</t>
        </is>
      </c>
      <c r="B997" s="5" t="n">
        <v>156</v>
      </c>
      <c r="C997" s="72" t="inlineStr">
        <is>
          <t>X</t>
        </is>
      </c>
      <c r="D997" s="5" t="n">
        <v>233</v>
      </c>
      <c r="E997" s="73">
        <f>B997*D997/10000</f>
        <v/>
      </c>
      <c r="F997" s="74">
        <f>B997/30.48</f>
        <v/>
      </c>
      <c r="G997" s="74">
        <f>D997/30.48</f>
        <v/>
      </c>
      <c r="H997" s="615" t="n"/>
      <c r="M997" s="210" t="n"/>
      <c r="N997" s="211" t="n"/>
      <c r="O997" s="340" t="inlineStr">
        <is>
          <t>SBL</t>
        </is>
      </c>
      <c r="Q997" s="271" t="n"/>
      <c r="R997" s="282" t="n"/>
    </row>
    <row r="998" ht="18" customHeight="1" s="305">
      <c r="A998" s="8" t="inlineStr">
        <is>
          <t>B 118</t>
        </is>
      </c>
      <c r="B998" s="5" t="n">
        <v>171</v>
      </c>
      <c r="C998" s="72" t="inlineStr">
        <is>
          <t>X</t>
        </is>
      </c>
      <c r="D998" s="5" t="n">
        <v>277</v>
      </c>
      <c r="E998" s="73">
        <f>B998*D998/10000</f>
        <v/>
      </c>
      <c r="F998" s="74">
        <f>B998/30.48</f>
        <v/>
      </c>
      <c r="G998" s="74">
        <f>D998/30.48</f>
        <v/>
      </c>
      <c r="H998" s="615" t="n"/>
      <c r="M998" s="210" t="n"/>
      <c r="N998" s="211" t="n"/>
      <c r="O998" s="340" t="inlineStr">
        <is>
          <t>SBL</t>
        </is>
      </c>
      <c r="Q998" s="271" t="n"/>
      <c r="R998" s="282" t="n"/>
    </row>
    <row r="999" ht="18" customHeight="1" s="305">
      <c r="A999" s="8" t="inlineStr">
        <is>
          <t>B 119</t>
        </is>
      </c>
      <c r="B999" s="5" t="n">
        <v>186</v>
      </c>
      <c r="C999" s="72" t="inlineStr">
        <is>
          <t>X</t>
        </is>
      </c>
      <c r="D999" s="5" t="n">
        <v>279</v>
      </c>
      <c r="E999" s="73">
        <f>B999*D999/10000</f>
        <v/>
      </c>
      <c r="F999" s="74">
        <f>B999/30.48</f>
        <v/>
      </c>
      <c r="G999" s="74">
        <f>D999/30.48</f>
        <v/>
      </c>
      <c r="H999" s="615" t="n"/>
      <c r="M999" s="210" t="n"/>
      <c r="N999" s="211" t="n"/>
      <c r="O999" s="340" t="inlineStr">
        <is>
          <t>SBL</t>
        </is>
      </c>
      <c r="Q999" s="271" t="n"/>
      <c r="R999" s="282" t="n"/>
    </row>
    <row r="1000" ht="18" customHeight="1" s="305">
      <c r="A1000" s="8" t="inlineStr">
        <is>
          <t>B 120</t>
        </is>
      </c>
      <c r="B1000" s="5" t="n">
        <v>181</v>
      </c>
      <c r="C1000" s="72" t="inlineStr">
        <is>
          <t>X</t>
        </is>
      </c>
      <c r="D1000" s="5" t="n">
        <v>291</v>
      </c>
      <c r="E1000" s="73">
        <f>B1000*D1000/10000</f>
        <v/>
      </c>
      <c r="F1000" s="74">
        <f>B1000/30.48</f>
        <v/>
      </c>
      <c r="G1000" s="74">
        <f>D1000/30.48</f>
        <v/>
      </c>
      <c r="H1000" s="615" t="n"/>
      <c r="M1000" s="210" t="n"/>
      <c r="N1000" s="211" t="n"/>
      <c r="O1000" s="340" t="inlineStr">
        <is>
          <t>SBL</t>
        </is>
      </c>
      <c r="Q1000" s="271" t="n"/>
      <c r="R1000" s="282" t="n"/>
    </row>
    <row r="1001" ht="18" customHeight="1" s="305">
      <c r="A1001" s="8" t="inlineStr">
        <is>
          <t>B 122</t>
        </is>
      </c>
      <c r="B1001" s="5" t="n">
        <v>171</v>
      </c>
      <c r="C1001" s="72" t="inlineStr">
        <is>
          <t>X</t>
        </is>
      </c>
      <c r="D1001" s="5" t="n">
        <v>295</v>
      </c>
      <c r="E1001" s="73">
        <f>B1001*D1001/10000</f>
        <v/>
      </c>
      <c r="F1001" s="74">
        <f>B1001/30.48</f>
        <v/>
      </c>
      <c r="G1001" s="74">
        <f>D1001/30.48</f>
        <v/>
      </c>
      <c r="H1001" s="615" t="n"/>
      <c r="M1001" s="210" t="n"/>
      <c r="N1001" s="211" t="n"/>
      <c r="O1001" s="340" t="inlineStr">
        <is>
          <t>SBL</t>
        </is>
      </c>
      <c r="Q1001" s="271" t="n"/>
      <c r="R1001" s="282" t="n"/>
    </row>
    <row r="1002" ht="18" customHeight="1" s="305">
      <c r="A1002" s="8" t="inlineStr">
        <is>
          <t>B 123</t>
        </is>
      </c>
      <c r="B1002" s="5" t="n">
        <v>177</v>
      </c>
      <c r="C1002" s="72" t="inlineStr">
        <is>
          <t>X</t>
        </is>
      </c>
      <c r="D1002" s="5" t="n">
        <v>268</v>
      </c>
      <c r="E1002" s="73">
        <f>B1002*D1002/10000</f>
        <v/>
      </c>
      <c r="F1002" s="74">
        <f>B1002/30.48</f>
        <v/>
      </c>
      <c r="G1002" s="74">
        <f>D1002/30.48</f>
        <v/>
      </c>
      <c r="H1002" s="615" t="n"/>
      <c r="M1002" s="210" t="n"/>
      <c r="N1002" s="211" t="n"/>
      <c r="O1002" s="340" t="inlineStr">
        <is>
          <t>SBL</t>
        </is>
      </c>
      <c r="Q1002" s="271" t="n"/>
      <c r="R1002" s="282" t="n"/>
    </row>
    <row r="1003" ht="18" customHeight="1" s="305">
      <c r="A1003" s="8" t="inlineStr">
        <is>
          <t>B 124</t>
        </is>
      </c>
      <c r="B1003" s="5" t="n">
        <v>192</v>
      </c>
      <c r="C1003" s="72" t="inlineStr">
        <is>
          <t>X</t>
        </is>
      </c>
      <c r="D1003" s="5" t="n">
        <v>287</v>
      </c>
      <c r="E1003" s="73">
        <f>B1003*D1003/10000</f>
        <v/>
      </c>
      <c r="F1003" s="74">
        <f>B1003/30.48</f>
        <v/>
      </c>
      <c r="G1003" s="74">
        <f>D1003/30.48</f>
        <v/>
      </c>
      <c r="H1003" s="615" t="n"/>
      <c r="M1003" s="210" t="n"/>
      <c r="N1003" s="211" t="n"/>
      <c r="O1003" s="340" t="inlineStr">
        <is>
          <t>SBL</t>
        </is>
      </c>
      <c r="Q1003" s="271" t="n"/>
      <c r="R1003" s="282" t="n"/>
    </row>
    <row r="1004" ht="18" customHeight="1" s="305">
      <c r="A1004" s="8" t="inlineStr">
        <is>
          <t>B 125</t>
        </is>
      </c>
      <c r="B1004" s="5" t="n">
        <v>199</v>
      </c>
      <c r="C1004" s="72" t="inlineStr">
        <is>
          <t>X</t>
        </is>
      </c>
      <c r="D1004" s="5" t="n">
        <v>277</v>
      </c>
      <c r="E1004" s="73">
        <f>B1004*D1004/10000</f>
        <v/>
      </c>
      <c r="F1004" s="74">
        <f>B1004/30.48</f>
        <v/>
      </c>
      <c r="G1004" s="74">
        <f>D1004/30.48</f>
        <v/>
      </c>
      <c r="H1004" s="615" t="n"/>
      <c r="M1004" s="210" t="n"/>
      <c r="N1004" s="211" t="n"/>
      <c r="O1004" s="340" t="inlineStr">
        <is>
          <t>SBL</t>
        </is>
      </c>
      <c r="Q1004" s="271" t="n"/>
      <c r="R1004" s="282" t="n"/>
    </row>
    <row r="1005" ht="18" customHeight="1" s="305">
      <c r="A1005" s="8" t="inlineStr">
        <is>
          <t>B 127</t>
        </is>
      </c>
      <c r="B1005" s="5" t="n">
        <v>151</v>
      </c>
      <c r="C1005" s="72" t="inlineStr">
        <is>
          <t>X</t>
        </is>
      </c>
      <c r="D1005" s="5" t="n">
        <v>245</v>
      </c>
      <c r="E1005" s="73">
        <f>B1005*D1005/10000</f>
        <v/>
      </c>
      <c r="F1005" s="74">
        <f>B1005/30.48</f>
        <v/>
      </c>
      <c r="G1005" s="74">
        <f>D1005/30.48</f>
        <v/>
      </c>
      <c r="H1005" s="615" t="n"/>
      <c r="M1005" s="210" t="n"/>
      <c r="N1005" s="211" t="n"/>
      <c r="O1005" s="340" t="inlineStr">
        <is>
          <t>SBL</t>
        </is>
      </c>
      <c r="Q1005" s="271" t="n"/>
      <c r="R1005" s="282" t="n"/>
    </row>
    <row r="1006" ht="18" customHeight="1" s="305">
      <c r="A1006" s="8" t="inlineStr">
        <is>
          <t>B 129</t>
        </is>
      </c>
      <c r="B1006" s="5" t="n">
        <v>158</v>
      </c>
      <c r="C1006" s="72" t="inlineStr">
        <is>
          <t>X</t>
        </is>
      </c>
      <c r="D1006" s="5" t="n">
        <v>272</v>
      </c>
      <c r="E1006" s="73">
        <f>B1006*D1006/10000</f>
        <v/>
      </c>
      <c r="F1006" s="74">
        <f>B1006/30.48</f>
        <v/>
      </c>
      <c r="G1006" s="74">
        <f>D1006/30.48</f>
        <v/>
      </c>
      <c r="H1006" s="615" t="n"/>
      <c r="M1006" s="210" t="n"/>
      <c r="N1006" s="211" t="n"/>
      <c r="O1006" s="340" t="inlineStr">
        <is>
          <t>SBL</t>
        </is>
      </c>
      <c r="Q1006" s="271" t="n"/>
      <c r="R1006" s="282" t="n"/>
    </row>
    <row r="1007" ht="18" customHeight="1" s="305">
      <c r="A1007" s="8" t="inlineStr">
        <is>
          <t>B 130</t>
        </is>
      </c>
      <c r="B1007" s="5" t="n">
        <v>179</v>
      </c>
      <c r="C1007" s="72" t="inlineStr">
        <is>
          <t>X</t>
        </is>
      </c>
      <c r="D1007" s="5" t="n">
        <v>278</v>
      </c>
      <c r="E1007" s="73">
        <f>B1007*D1007/10000</f>
        <v/>
      </c>
      <c r="F1007" s="74">
        <f>B1007/30.48</f>
        <v/>
      </c>
      <c r="G1007" s="74">
        <f>D1007/30.48</f>
        <v/>
      </c>
      <c r="H1007" s="615" t="n"/>
      <c r="M1007" s="210" t="n"/>
      <c r="N1007" s="211" t="n"/>
      <c r="O1007" s="340" t="inlineStr">
        <is>
          <t>SBL</t>
        </is>
      </c>
      <c r="Q1007" s="271" t="n"/>
      <c r="R1007" s="282" t="n"/>
    </row>
    <row r="1008" ht="18" customHeight="1" s="305">
      <c r="A1008" s="8" t="inlineStr">
        <is>
          <t>B 132</t>
        </is>
      </c>
      <c r="B1008" s="5" t="n">
        <v>183</v>
      </c>
      <c r="C1008" s="72" t="inlineStr">
        <is>
          <t>X</t>
        </is>
      </c>
      <c r="D1008" s="5" t="n">
        <v>296</v>
      </c>
      <c r="E1008" s="73">
        <f>B1008*D1008/10000</f>
        <v/>
      </c>
      <c r="F1008" s="74">
        <f>B1008/30.48</f>
        <v/>
      </c>
      <c r="G1008" s="74">
        <f>D1008/30.48</f>
        <v/>
      </c>
      <c r="H1008" s="615" t="n"/>
      <c r="M1008" s="210" t="n"/>
      <c r="N1008" s="211" t="n"/>
      <c r="O1008" s="340" t="inlineStr">
        <is>
          <t>SBL</t>
        </is>
      </c>
      <c r="Q1008" s="271" t="n"/>
      <c r="R1008" s="282" t="n"/>
    </row>
    <row r="1009" ht="18" customHeight="1" s="305">
      <c r="A1009" s="8" t="inlineStr">
        <is>
          <t>B 138</t>
        </is>
      </c>
      <c r="B1009" s="5" t="n">
        <v>117</v>
      </c>
      <c r="C1009" s="72" t="inlineStr">
        <is>
          <t>X</t>
        </is>
      </c>
      <c r="D1009" s="5" t="n">
        <v>213</v>
      </c>
      <c r="E1009" s="73">
        <f>B1009*D1009/10000</f>
        <v/>
      </c>
      <c r="F1009" s="74">
        <f>B1009/30.48</f>
        <v/>
      </c>
      <c r="G1009" s="74">
        <f>D1009/30.48</f>
        <v/>
      </c>
      <c r="H1009" s="615" t="n"/>
      <c r="M1009" s="210" t="n"/>
      <c r="N1009" s="211" t="n"/>
      <c r="O1009" s="340" t="inlineStr">
        <is>
          <t>SBL</t>
        </is>
      </c>
      <c r="Q1009" s="271" t="n"/>
      <c r="R1009" s="282" t="n"/>
    </row>
    <row r="1010" ht="18" customHeight="1" s="305">
      <c r="A1010" s="8" t="inlineStr">
        <is>
          <t>B 139</t>
        </is>
      </c>
      <c r="B1010" s="5" t="n">
        <v>178</v>
      </c>
      <c r="C1010" s="72" t="inlineStr">
        <is>
          <t>X</t>
        </is>
      </c>
      <c r="D1010" s="5" t="n">
        <v>300</v>
      </c>
      <c r="E1010" s="73">
        <f>B1010*D1010/10000</f>
        <v/>
      </c>
      <c r="F1010" s="74">
        <f>B1010/30.48</f>
        <v/>
      </c>
      <c r="G1010" s="74">
        <f>D1010/30.48</f>
        <v/>
      </c>
      <c r="H1010" s="615" t="n"/>
      <c r="M1010" s="210" t="n"/>
      <c r="N1010" s="211" t="n"/>
      <c r="O1010" s="340" t="inlineStr">
        <is>
          <t>SBL</t>
        </is>
      </c>
      <c r="Q1010" s="271" t="n"/>
      <c r="R1010" s="282" t="n"/>
    </row>
    <row r="1011" ht="18" customHeight="1" s="305">
      <c r="A1011" s="8" t="inlineStr">
        <is>
          <t>B 140</t>
        </is>
      </c>
      <c r="B1011" s="5" t="n">
        <v>171</v>
      </c>
      <c r="C1011" s="72" t="inlineStr">
        <is>
          <t>X</t>
        </is>
      </c>
      <c r="D1011" s="5" t="n">
        <v>257</v>
      </c>
      <c r="E1011" s="73">
        <f>B1011*D1011/10000</f>
        <v/>
      </c>
      <c r="F1011" s="74">
        <f>B1011/30.48</f>
        <v/>
      </c>
      <c r="G1011" s="74">
        <f>D1011/30.48</f>
        <v/>
      </c>
      <c r="H1011" s="615" t="n"/>
      <c r="M1011" s="210" t="n"/>
      <c r="N1011" s="211" t="n"/>
      <c r="O1011" s="340" t="inlineStr">
        <is>
          <t>SBL</t>
        </is>
      </c>
      <c r="Q1011" s="271" t="n"/>
      <c r="R1011" s="282" t="n"/>
    </row>
    <row r="1012" ht="18" customHeight="1" s="305">
      <c r="A1012" s="8" t="inlineStr">
        <is>
          <t>B 144</t>
        </is>
      </c>
      <c r="B1012" s="5" t="n">
        <v>146</v>
      </c>
      <c r="C1012" s="72" t="inlineStr">
        <is>
          <t>X</t>
        </is>
      </c>
      <c r="D1012" s="5" t="n">
        <v>228</v>
      </c>
      <c r="E1012" s="73">
        <f>B1012*D1012/10000</f>
        <v/>
      </c>
      <c r="F1012" s="74">
        <f>B1012/30.48</f>
        <v/>
      </c>
      <c r="G1012" s="74">
        <f>D1012/30.48</f>
        <v/>
      </c>
      <c r="H1012" s="615" t="n"/>
      <c r="M1012" s="210" t="n"/>
      <c r="N1012" s="211" t="n"/>
      <c r="O1012" s="340" t="inlineStr">
        <is>
          <t>SBL</t>
        </is>
      </c>
      <c r="Q1012" s="271" t="n"/>
      <c r="R1012" s="282" t="n"/>
    </row>
    <row r="1013" ht="18" customHeight="1" s="305">
      <c r="A1013" s="8" t="inlineStr">
        <is>
          <t>B 149</t>
        </is>
      </c>
      <c r="B1013" s="5" t="n">
        <v>162</v>
      </c>
      <c r="C1013" s="72" t="inlineStr">
        <is>
          <t>X</t>
        </is>
      </c>
      <c r="D1013" s="5" t="n">
        <v>264</v>
      </c>
      <c r="E1013" s="73">
        <f>B1013*D1013/10000</f>
        <v/>
      </c>
      <c r="F1013" s="74">
        <f>B1013/30.48</f>
        <v/>
      </c>
      <c r="G1013" s="74">
        <f>D1013/30.48</f>
        <v/>
      </c>
      <c r="H1013" s="615" t="n"/>
      <c r="M1013" s="210" t="n"/>
      <c r="N1013" s="211" t="n"/>
      <c r="O1013" s="340" t="inlineStr">
        <is>
          <t>SBL</t>
        </is>
      </c>
      <c r="Q1013" s="271" t="n"/>
      <c r="R1013" s="282" t="n"/>
    </row>
    <row r="1014" ht="18" customHeight="1" s="305">
      <c r="A1014" s="8" t="inlineStr">
        <is>
          <t>B 151</t>
        </is>
      </c>
      <c r="B1014" s="5" t="n">
        <v>188</v>
      </c>
      <c r="C1014" s="72" t="inlineStr">
        <is>
          <t>X</t>
        </is>
      </c>
      <c r="D1014" s="5" t="n">
        <v>288</v>
      </c>
      <c r="E1014" s="73">
        <f>B1014*D1014/10000</f>
        <v/>
      </c>
      <c r="F1014" s="74">
        <f>B1014/30.48</f>
        <v/>
      </c>
      <c r="G1014" s="74">
        <f>D1014/30.48</f>
        <v/>
      </c>
      <c r="H1014" s="615" t="n"/>
      <c r="M1014" s="210" t="n"/>
      <c r="N1014" s="211" t="n"/>
      <c r="O1014" s="340" t="inlineStr">
        <is>
          <t>SBL</t>
        </is>
      </c>
      <c r="Q1014" s="271" t="n"/>
      <c r="R1014" s="282" t="n"/>
    </row>
    <row r="1015" ht="18" customHeight="1" s="305">
      <c r="A1015" s="8" t="inlineStr">
        <is>
          <t>B 157</t>
        </is>
      </c>
      <c r="B1015" s="5" t="n">
        <v>144</v>
      </c>
      <c r="C1015" s="72" t="inlineStr">
        <is>
          <t>X</t>
        </is>
      </c>
      <c r="D1015" s="5" t="n">
        <v>242</v>
      </c>
      <c r="E1015" s="73">
        <f>B1015*D1015/10000</f>
        <v/>
      </c>
      <c r="F1015" s="74">
        <f>B1015/30.48</f>
        <v/>
      </c>
      <c r="G1015" s="74">
        <f>D1015/30.48</f>
        <v/>
      </c>
      <c r="H1015" s="615" t="n"/>
      <c r="M1015" s="210" t="n"/>
      <c r="N1015" s="211" t="n"/>
      <c r="O1015" s="340" t="inlineStr">
        <is>
          <t>SBL</t>
        </is>
      </c>
      <c r="Q1015" s="271" t="n"/>
      <c r="R1015" s="282" t="n"/>
    </row>
    <row r="1016" ht="18" customHeight="1" s="305">
      <c r="A1016" s="8" t="inlineStr">
        <is>
          <t>B 158</t>
        </is>
      </c>
      <c r="B1016" s="5" t="n">
        <v>152</v>
      </c>
      <c r="C1016" s="72" t="inlineStr">
        <is>
          <t>X</t>
        </is>
      </c>
      <c r="D1016" s="5" t="n">
        <v>254</v>
      </c>
      <c r="E1016" s="73">
        <f>B1016*D1016/10000</f>
        <v/>
      </c>
      <c r="F1016" s="74">
        <f>B1016/30.48</f>
        <v/>
      </c>
      <c r="G1016" s="74">
        <f>D1016/30.48</f>
        <v/>
      </c>
      <c r="H1016" s="615" t="n"/>
      <c r="M1016" s="210" t="n"/>
      <c r="N1016" s="211" t="n"/>
      <c r="O1016" s="340" t="inlineStr">
        <is>
          <t>SBL</t>
        </is>
      </c>
      <c r="Q1016" s="271" t="n"/>
      <c r="R1016" s="282" t="n"/>
    </row>
    <row r="1017" ht="18" customHeight="1" s="305">
      <c r="A1017" s="8" t="inlineStr">
        <is>
          <t>B 165</t>
        </is>
      </c>
      <c r="B1017" s="5" t="n">
        <v>111</v>
      </c>
      <c r="C1017" s="72" t="inlineStr">
        <is>
          <t>X</t>
        </is>
      </c>
      <c r="D1017" s="5" t="n">
        <v>203</v>
      </c>
      <c r="E1017" s="73">
        <f>B1017*D1017/10000</f>
        <v/>
      </c>
      <c r="F1017" s="74">
        <f>B1017/30.48</f>
        <v/>
      </c>
      <c r="G1017" s="74">
        <f>D1017/30.48</f>
        <v/>
      </c>
      <c r="H1017" s="615" t="n"/>
      <c r="M1017" s="210" t="n"/>
      <c r="N1017" s="211" t="n"/>
      <c r="O1017" s="340" t="inlineStr">
        <is>
          <t>SBL</t>
        </is>
      </c>
      <c r="Q1017" s="271" t="n"/>
      <c r="R1017" s="282" t="n"/>
    </row>
    <row r="1018" ht="18" customHeight="1" s="305">
      <c r="A1018" s="8" t="inlineStr">
        <is>
          <t>B 169</t>
        </is>
      </c>
      <c r="B1018" s="5" t="n">
        <v>166</v>
      </c>
      <c r="C1018" s="72" t="inlineStr">
        <is>
          <t>X</t>
        </is>
      </c>
      <c r="D1018" s="5" t="n">
        <v>265</v>
      </c>
      <c r="E1018" s="73">
        <f>B1018*D1018/10000</f>
        <v/>
      </c>
      <c r="F1018" s="74">
        <f>B1018/30.48</f>
        <v/>
      </c>
      <c r="G1018" s="74">
        <f>D1018/30.48</f>
        <v/>
      </c>
      <c r="H1018" s="615" t="n"/>
      <c r="M1018" s="210" t="n"/>
      <c r="N1018" s="211" t="n"/>
      <c r="O1018" s="340" t="inlineStr">
        <is>
          <t>SBL</t>
        </is>
      </c>
      <c r="Q1018" s="271" t="n"/>
      <c r="R1018" s="282" t="n"/>
    </row>
    <row r="1019" ht="18" customHeight="1" s="305">
      <c r="A1019" s="8" t="inlineStr">
        <is>
          <t>B 172</t>
        </is>
      </c>
      <c r="B1019" s="5" t="n">
        <v>95</v>
      </c>
      <c r="C1019" s="72" t="inlineStr">
        <is>
          <t>X</t>
        </is>
      </c>
      <c r="D1019" s="5" t="n">
        <v>192</v>
      </c>
      <c r="E1019" s="73">
        <f>B1019*D1019/10000</f>
        <v/>
      </c>
      <c r="F1019" s="74">
        <f>B1019/30.48</f>
        <v/>
      </c>
      <c r="G1019" s="74">
        <f>D1019/30.48</f>
        <v/>
      </c>
      <c r="H1019" s="615" t="n"/>
      <c r="M1019" s="210" t="n"/>
      <c r="N1019" s="211" t="n"/>
      <c r="O1019" s="340" t="inlineStr">
        <is>
          <t>SBL</t>
        </is>
      </c>
      <c r="Q1019" s="271" t="n"/>
      <c r="R1019" s="282" t="n"/>
    </row>
    <row r="1020" ht="18" customHeight="1" s="305">
      <c r="A1020" s="8" t="inlineStr">
        <is>
          <t>B 173</t>
        </is>
      </c>
      <c r="B1020" s="5" t="n">
        <v>166</v>
      </c>
      <c r="C1020" s="72" t="inlineStr">
        <is>
          <t>X</t>
        </is>
      </c>
      <c r="D1020" s="5" t="n">
        <v>268</v>
      </c>
      <c r="E1020" s="73">
        <f>B1020*D1020/10000</f>
        <v/>
      </c>
      <c r="F1020" s="74">
        <f>B1020/30.48</f>
        <v/>
      </c>
      <c r="G1020" s="74">
        <f>D1020/30.48</f>
        <v/>
      </c>
      <c r="H1020" s="615" t="n"/>
      <c r="M1020" s="210" t="n"/>
      <c r="N1020" s="211" t="n"/>
      <c r="O1020" s="340" t="inlineStr">
        <is>
          <t>SBL</t>
        </is>
      </c>
      <c r="Q1020" s="271" t="n"/>
      <c r="R1020" s="282" t="n"/>
    </row>
    <row r="1021" ht="18" customHeight="1" s="305">
      <c r="A1021" s="8" t="inlineStr">
        <is>
          <t>BH 58</t>
        </is>
      </c>
      <c r="B1021" s="5" t="n">
        <v>165</v>
      </c>
      <c r="C1021" s="72" t="inlineStr">
        <is>
          <t>X</t>
        </is>
      </c>
      <c r="D1021" s="5" t="n">
        <v>248</v>
      </c>
      <c r="E1021" s="73">
        <f>B1021*D1021/10000</f>
        <v/>
      </c>
      <c r="F1021" s="74">
        <f>B1021/30.48</f>
        <v/>
      </c>
      <c r="G1021" s="74">
        <f>D1021/30.48</f>
        <v/>
      </c>
      <c r="H1021" s="615" t="n"/>
      <c r="M1021" s="210" t="n"/>
      <c r="N1021" s="211" t="n"/>
      <c r="O1021" s="340" t="inlineStr">
        <is>
          <t>SBL</t>
        </is>
      </c>
      <c r="Q1021" s="271" t="n"/>
      <c r="R1021" s="282" t="n"/>
    </row>
    <row r="1022" ht="18" customHeight="1" s="305">
      <c r="A1022" s="8" t="inlineStr">
        <is>
          <t>BH 320</t>
        </is>
      </c>
      <c r="B1022" s="5" t="n">
        <v>219</v>
      </c>
      <c r="C1022" s="72" t="inlineStr">
        <is>
          <t>X</t>
        </is>
      </c>
      <c r="D1022" s="5" t="n">
        <v>301</v>
      </c>
      <c r="E1022" s="73">
        <f>B1022*D1022/10000</f>
        <v/>
      </c>
      <c r="F1022" s="74">
        <f>B1022/30.48</f>
        <v/>
      </c>
      <c r="G1022" s="74">
        <f>D1022/30.48</f>
        <v/>
      </c>
      <c r="H1022" s="615" t="n"/>
      <c r="M1022" s="210" t="n"/>
      <c r="N1022" s="211" t="n"/>
      <c r="O1022" s="340" t="inlineStr">
        <is>
          <t>SBL</t>
        </is>
      </c>
      <c r="Q1022" s="271" t="n"/>
      <c r="R1022" s="282" t="n"/>
    </row>
    <row r="1023" ht="18" customHeight="1" s="305">
      <c r="A1023" s="8" t="inlineStr">
        <is>
          <t>H 1</t>
        </is>
      </c>
      <c r="B1023" s="5" t="n">
        <v>94</v>
      </c>
      <c r="C1023" s="72" t="inlineStr">
        <is>
          <t>X</t>
        </is>
      </c>
      <c r="D1023" s="5" t="n">
        <v>355</v>
      </c>
      <c r="E1023" s="73">
        <f>B1023*D1023/10000</f>
        <v/>
      </c>
      <c r="F1023" s="74">
        <f>B1023/30.48</f>
        <v/>
      </c>
      <c r="G1023" s="74">
        <f>D1023/30.48</f>
        <v/>
      </c>
      <c r="H1023" s="615" t="n"/>
      <c r="I1023" s="49" t="inlineStr">
        <is>
          <t>OLD</t>
        </is>
      </c>
      <c r="K1023" s="51" t="inlineStr">
        <is>
          <t>PAC</t>
        </is>
      </c>
      <c r="M1023" s="210" t="n"/>
      <c r="N1023" s="211" t="n"/>
      <c r="O1023" s="340" t="inlineStr">
        <is>
          <t>SBL</t>
        </is>
      </c>
      <c r="Q1023" s="271" t="n"/>
      <c r="R1023" s="282" t="n"/>
    </row>
    <row r="1024" ht="18" customHeight="1" s="305">
      <c r="A1024" s="8" t="inlineStr">
        <is>
          <t>H 4</t>
        </is>
      </c>
      <c r="B1024" s="5" t="n">
        <v>84</v>
      </c>
      <c r="C1024" s="72" t="inlineStr">
        <is>
          <t>X</t>
        </is>
      </c>
      <c r="D1024" s="5" t="n">
        <v>390</v>
      </c>
      <c r="E1024" s="73">
        <f>B1024*D1024/10000</f>
        <v/>
      </c>
      <c r="F1024" s="74">
        <f>B1024/30.48</f>
        <v/>
      </c>
      <c r="G1024" s="74">
        <f>D1024/30.48</f>
        <v/>
      </c>
      <c r="H1024" s="615" t="n"/>
      <c r="I1024" s="49" t="inlineStr">
        <is>
          <t>OLD</t>
        </is>
      </c>
      <c r="K1024" s="51" t="inlineStr">
        <is>
          <t>PAC</t>
        </is>
      </c>
      <c r="L1024" s="105" t="inlineStr">
        <is>
          <t>VR</t>
        </is>
      </c>
      <c r="M1024" s="210" t="n"/>
      <c r="N1024" s="211" t="n"/>
      <c r="O1024" s="340" t="inlineStr">
        <is>
          <t>SBL</t>
        </is>
      </c>
      <c r="Q1024" s="271" t="n"/>
      <c r="R1024" s="282" t="n"/>
    </row>
    <row r="1025" ht="18" customHeight="1" s="305">
      <c r="A1025" s="8" t="inlineStr">
        <is>
          <t>H 6</t>
        </is>
      </c>
      <c r="B1025" s="5" t="n">
        <v>92</v>
      </c>
      <c r="C1025" s="72" t="inlineStr">
        <is>
          <t>X</t>
        </is>
      </c>
      <c r="D1025" s="5" t="n">
        <v>360</v>
      </c>
      <c r="E1025" s="73">
        <f>B1025*D1025/10000</f>
        <v/>
      </c>
      <c r="F1025" s="74">
        <f>B1025/30.48</f>
        <v/>
      </c>
      <c r="G1025" s="74">
        <f>D1025/30.48</f>
        <v/>
      </c>
      <c r="H1025" s="615" t="n"/>
      <c r="I1025" s="49" t="inlineStr">
        <is>
          <t>OLD</t>
        </is>
      </c>
      <c r="K1025" s="51" t="inlineStr">
        <is>
          <t>PAC</t>
        </is>
      </c>
      <c r="M1025" s="210" t="n"/>
      <c r="N1025" s="211" t="n"/>
      <c r="O1025" s="340" t="inlineStr">
        <is>
          <t>SBL</t>
        </is>
      </c>
      <c r="Q1025" s="271" t="n"/>
      <c r="R1025" s="282" t="n"/>
    </row>
    <row r="1026" ht="18" customHeight="1" s="305">
      <c r="A1026" s="8" t="inlineStr">
        <is>
          <t>H 9</t>
        </is>
      </c>
      <c r="B1026" s="5" t="n">
        <v>87</v>
      </c>
      <c r="C1026" s="72" t="inlineStr">
        <is>
          <t>X</t>
        </is>
      </c>
      <c r="D1026" s="5" t="n">
        <v>391</v>
      </c>
      <c r="E1026" s="73">
        <f>B1026*D1026/10000</f>
        <v/>
      </c>
      <c r="F1026" s="74">
        <f>B1026/30.48</f>
        <v/>
      </c>
      <c r="G1026" s="74">
        <f>D1026/30.48</f>
        <v/>
      </c>
      <c r="H1026" s="615" t="n"/>
      <c r="I1026" s="49" t="inlineStr">
        <is>
          <t>OLD</t>
        </is>
      </c>
      <c r="K1026" s="51" t="inlineStr">
        <is>
          <t>PAC</t>
        </is>
      </c>
      <c r="L1026" s="105" t="inlineStr">
        <is>
          <t>VR</t>
        </is>
      </c>
      <c r="M1026" s="210" t="n"/>
      <c r="N1026" s="211" t="n"/>
      <c r="O1026" s="340" t="inlineStr">
        <is>
          <t>SBL</t>
        </is>
      </c>
      <c r="Q1026" s="271" t="n"/>
      <c r="R1026" s="282" t="n"/>
    </row>
    <row r="1027" ht="18" customHeight="1" s="305">
      <c r="A1027" s="8" t="inlineStr">
        <is>
          <t>H 11</t>
        </is>
      </c>
      <c r="B1027" s="5" t="n">
        <v>83</v>
      </c>
      <c r="C1027" s="72" t="inlineStr">
        <is>
          <t>X</t>
        </is>
      </c>
      <c r="D1027" s="5" t="n">
        <v>360</v>
      </c>
      <c r="E1027" s="73">
        <f>B1027*D1027/10000</f>
        <v/>
      </c>
      <c r="F1027" s="74">
        <f>B1027/30.48</f>
        <v/>
      </c>
      <c r="G1027" s="74">
        <f>D1027/30.48</f>
        <v/>
      </c>
      <c r="H1027" s="615" t="n"/>
      <c r="I1027" s="49" t="inlineStr">
        <is>
          <t>OLD</t>
        </is>
      </c>
      <c r="K1027" s="51" t="inlineStr">
        <is>
          <t>PAC</t>
        </is>
      </c>
      <c r="M1027" s="210" t="n"/>
      <c r="N1027" s="211" t="n"/>
      <c r="O1027" s="340" t="inlineStr">
        <is>
          <t>SBL</t>
        </is>
      </c>
      <c r="Q1027" s="271" t="n"/>
      <c r="R1027" s="282" t="n"/>
    </row>
    <row r="1028" ht="18" customHeight="1" s="305">
      <c r="A1028" s="8" t="inlineStr">
        <is>
          <t>H 12</t>
        </is>
      </c>
      <c r="B1028" s="5" t="n">
        <v>81</v>
      </c>
      <c r="C1028" s="72" t="inlineStr">
        <is>
          <t>X</t>
        </is>
      </c>
      <c r="D1028" s="5" t="n">
        <v>420</v>
      </c>
      <c r="E1028" s="73">
        <f>B1028*D1028/10000</f>
        <v/>
      </c>
      <c r="F1028" s="74">
        <f>B1028/30.48</f>
        <v/>
      </c>
      <c r="G1028" s="74">
        <f>D1028/30.48</f>
        <v/>
      </c>
      <c r="H1028" s="615" t="n"/>
      <c r="I1028" s="49" t="inlineStr">
        <is>
          <t>OLD</t>
        </is>
      </c>
      <c r="K1028" s="51" t="inlineStr">
        <is>
          <t>PAC</t>
        </is>
      </c>
      <c r="L1028" s="105" t="inlineStr">
        <is>
          <t>VR</t>
        </is>
      </c>
      <c r="M1028" s="210" t="n"/>
      <c r="N1028" s="211" t="n"/>
      <c r="O1028" s="340" t="inlineStr">
        <is>
          <t>SBL</t>
        </is>
      </c>
      <c r="Q1028" s="271" t="n"/>
      <c r="R1028" s="282" t="n"/>
    </row>
    <row r="1029" ht="18" customHeight="1" s="305">
      <c r="A1029" s="8" t="inlineStr">
        <is>
          <t>H 18</t>
        </is>
      </c>
      <c r="B1029" s="5" t="n">
        <v>80</v>
      </c>
      <c r="C1029" s="72" t="inlineStr">
        <is>
          <t>X</t>
        </is>
      </c>
      <c r="D1029" s="5" t="n">
        <v>360</v>
      </c>
      <c r="E1029" s="73">
        <f>B1029*D1029/10000</f>
        <v/>
      </c>
      <c r="F1029" s="74">
        <f>B1029/30.48</f>
        <v/>
      </c>
      <c r="G1029" s="74">
        <f>D1029/30.48</f>
        <v/>
      </c>
      <c r="H1029" s="615" t="n"/>
      <c r="I1029" s="49" t="inlineStr">
        <is>
          <t>OLD</t>
        </is>
      </c>
      <c r="M1029" s="210" t="n"/>
      <c r="N1029" s="211" t="n"/>
      <c r="O1029" s="340" t="inlineStr">
        <is>
          <t>SBL</t>
        </is>
      </c>
      <c r="Q1029" s="271" t="n"/>
      <c r="R1029" s="282" t="n"/>
    </row>
    <row r="1030" ht="18" customHeight="1" s="305">
      <c r="A1030" s="8" t="inlineStr">
        <is>
          <t>H 21</t>
        </is>
      </c>
      <c r="B1030" s="5" t="n">
        <v>78</v>
      </c>
      <c r="C1030" s="72" t="inlineStr">
        <is>
          <t>X</t>
        </is>
      </c>
      <c r="D1030" s="5" t="n">
        <v>363</v>
      </c>
      <c r="E1030" s="73">
        <f>B1030*D1030/10000</f>
        <v/>
      </c>
      <c r="F1030" s="74">
        <f>B1030/30.48</f>
        <v/>
      </c>
      <c r="G1030" s="74">
        <f>D1030/30.48</f>
        <v/>
      </c>
      <c r="H1030" s="615" t="n"/>
      <c r="I1030" s="49" t="inlineStr">
        <is>
          <t>OLD</t>
        </is>
      </c>
      <c r="L1030" s="105" t="inlineStr">
        <is>
          <t>VR</t>
        </is>
      </c>
      <c r="M1030" s="210" t="n"/>
      <c r="N1030" s="211" t="n"/>
      <c r="O1030" s="340" t="inlineStr">
        <is>
          <t>SBL</t>
        </is>
      </c>
      <c r="Q1030" s="271" t="n"/>
      <c r="R1030" s="282" t="n"/>
    </row>
    <row r="1031" ht="18" customHeight="1" s="305">
      <c r="A1031" s="8" t="inlineStr">
        <is>
          <t>H 25</t>
        </is>
      </c>
      <c r="B1031" s="5" t="n">
        <v>82</v>
      </c>
      <c r="C1031" s="72" t="inlineStr">
        <is>
          <t>X</t>
        </is>
      </c>
      <c r="D1031" s="5" t="n">
        <v>367</v>
      </c>
      <c r="E1031" s="73">
        <f>B1031*D1031/10000</f>
        <v/>
      </c>
      <c r="F1031" s="74">
        <f>B1031/30.48</f>
        <v/>
      </c>
      <c r="G1031" s="74">
        <f>D1031/30.48</f>
        <v/>
      </c>
      <c r="H1031" s="615" t="n"/>
      <c r="I1031" s="49" t="inlineStr">
        <is>
          <t>OLD</t>
        </is>
      </c>
      <c r="L1031" s="105" t="inlineStr">
        <is>
          <t>VR</t>
        </is>
      </c>
      <c r="M1031" s="210" t="n"/>
      <c r="N1031" s="211" t="n"/>
      <c r="O1031" s="340" t="inlineStr">
        <is>
          <t>SBL</t>
        </is>
      </c>
      <c r="Q1031" s="271" t="n"/>
      <c r="R1031" s="282" t="n"/>
    </row>
    <row r="1032" ht="18" customHeight="1" s="305">
      <c r="A1032" s="8" t="inlineStr">
        <is>
          <t>H 27</t>
        </is>
      </c>
      <c r="B1032" s="5" t="n">
        <v>76</v>
      </c>
      <c r="C1032" s="72" t="inlineStr">
        <is>
          <t>X</t>
        </is>
      </c>
      <c r="D1032" s="5" t="n">
        <v>327</v>
      </c>
      <c r="E1032" s="73">
        <f>B1032*D1032/10000</f>
        <v/>
      </c>
      <c r="F1032" s="74">
        <f>B1032/30.48</f>
        <v/>
      </c>
      <c r="G1032" s="74">
        <f>D1032/30.48</f>
        <v/>
      </c>
      <c r="H1032" s="615" t="n"/>
      <c r="I1032" s="49" t="inlineStr">
        <is>
          <t>OLD</t>
        </is>
      </c>
      <c r="M1032" s="210" t="n"/>
      <c r="N1032" s="211" t="n"/>
      <c r="O1032" s="340" t="inlineStr">
        <is>
          <t>SBL</t>
        </is>
      </c>
      <c r="Q1032" s="271" t="n"/>
      <c r="R1032" s="282" t="n"/>
    </row>
    <row r="1033" ht="18" customHeight="1" s="305">
      <c r="A1033" s="8" t="inlineStr">
        <is>
          <t>H 34</t>
        </is>
      </c>
      <c r="B1033" s="5" t="n">
        <v>83</v>
      </c>
      <c r="C1033" s="72" t="inlineStr">
        <is>
          <t>X</t>
        </is>
      </c>
      <c r="D1033" s="5" t="n">
        <v>360</v>
      </c>
      <c r="E1033" s="73">
        <f>B1033*D1033/10000</f>
        <v/>
      </c>
      <c r="F1033" s="74">
        <f>B1033/30.48</f>
        <v/>
      </c>
      <c r="G1033" s="74">
        <f>D1033/30.48</f>
        <v/>
      </c>
      <c r="H1033" s="615" t="n"/>
      <c r="I1033" s="49" t="inlineStr">
        <is>
          <t>OLD</t>
        </is>
      </c>
      <c r="L1033" s="105" t="inlineStr">
        <is>
          <t>VR</t>
        </is>
      </c>
      <c r="M1033" s="210" t="n"/>
      <c r="N1033" s="211" t="n"/>
      <c r="O1033" s="340" t="inlineStr">
        <is>
          <t>SBL</t>
        </is>
      </c>
      <c r="Q1033" s="271" t="n"/>
      <c r="R1033" s="282" t="n"/>
    </row>
    <row r="1034" ht="18" customHeight="1" s="305">
      <c r="A1034" s="8" t="inlineStr">
        <is>
          <t>H 35</t>
        </is>
      </c>
      <c r="B1034" s="5" t="n">
        <v>88</v>
      </c>
      <c r="C1034" s="72" t="inlineStr">
        <is>
          <t>X</t>
        </is>
      </c>
      <c r="D1034" s="5" t="n">
        <v>386</v>
      </c>
      <c r="E1034" s="73">
        <f>B1034*D1034/10000</f>
        <v/>
      </c>
      <c r="F1034" s="74">
        <f>B1034/30.48</f>
        <v/>
      </c>
      <c r="G1034" s="74">
        <f>D1034/30.48</f>
        <v/>
      </c>
      <c r="H1034" s="615" t="n"/>
      <c r="I1034" s="49" t="inlineStr">
        <is>
          <t>OLD</t>
        </is>
      </c>
      <c r="L1034" s="105" t="inlineStr">
        <is>
          <t>VR</t>
        </is>
      </c>
      <c r="M1034" s="210" t="n"/>
      <c r="N1034" s="211" t="n"/>
      <c r="O1034" s="340" t="inlineStr">
        <is>
          <t>SBL</t>
        </is>
      </c>
      <c r="Q1034" s="271" t="n"/>
      <c r="R1034" s="282" t="n"/>
    </row>
    <row r="1035" ht="18" customHeight="1" s="305">
      <c r="A1035" s="8" t="inlineStr">
        <is>
          <t>H 40</t>
        </is>
      </c>
      <c r="B1035" s="5" t="n">
        <v>86</v>
      </c>
      <c r="C1035" s="72" t="inlineStr">
        <is>
          <t>X</t>
        </is>
      </c>
      <c r="D1035" s="5" t="n">
        <v>346</v>
      </c>
      <c r="E1035" s="73">
        <f>B1035*D1035/10000</f>
        <v/>
      </c>
      <c r="F1035" s="74">
        <f>B1035/30.48</f>
        <v/>
      </c>
      <c r="G1035" s="74">
        <f>D1035/30.48</f>
        <v/>
      </c>
      <c r="H1035" s="615" t="n"/>
      <c r="I1035" s="49" t="inlineStr">
        <is>
          <t>OLD</t>
        </is>
      </c>
      <c r="K1035" s="51" t="inlineStr">
        <is>
          <t>PAC</t>
        </is>
      </c>
      <c r="L1035" s="105" t="inlineStr">
        <is>
          <t>VR</t>
        </is>
      </c>
      <c r="M1035" s="210" t="n"/>
      <c r="N1035" s="211" t="n"/>
      <c r="O1035" s="340" t="inlineStr">
        <is>
          <t>SBL</t>
        </is>
      </c>
      <c r="Q1035" s="271" t="n"/>
      <c r="R1035" s="282" t="n"/>
    </row>
    <row r="1036" ht="18" customHeight="1" s="305">
      <c r="A1036" s="8" t="inlineStr">
        <is>
          <t>H 41</t>
        </is>
      </c>
      <c r="B1036" s="5" t="n">
        <v>95</v>
      </c>
      <c r="C1036" s="72" t="inlineStr">
        <is>
          <t>X</t>
        </is>
      </c>
      <c r="D1036" s="5" t="n">
        <v>286</v>
      </c>
      <c r="E1036" s="73">
        <f>B1036*D1036/10000</f>
        <v/>
      </c>
      <c r="F1036" s="74">
        <f>B1036/30.48</f>
        <v/>
      </c>
      <c r="G1036" s="74">
        <f>D1036/30.48</f>
        <v/>
      </c>
      <c r="H1036" s="615" t="n"/>
      <c r="I1036" s="49" t="inlineStr">
        <is>
          <t>OLD</t>
        </is>
      </c>
      <c r="L1036" s="105" t="inlineStr">
        <is>
          <t>VR</t>
        </is>
      </c>
      <c r="M1036" s="210" t="n"/>
      <c r="N1036" s="211" t="n"/>
      <c r="O1036" s="340" t="inlineStr">
        <is>
          <t>SBL</t>
        </is>
      </c>
      <c r="Q1036" s="271" t="n"/>
      <c r="R1036" s="282" t="n"/>
    </row>
    <row r="1037" ht="18" customHeight="1" s="305">
      <c r="A1037" s="8" t="inlineStr">
        <is>
          <t>H 42</t>
        </is>
      </c>
      <c r="B1037" s="5" t="n">
        <v>86</v>
      </c>
      <c r="C1037" s="72" t="inlineStr">
        <is>
          <t>X</t>
        </is>
      </c>
      <c r="D1037" s="5" t="n">
        <v>361</v>
      </c>
      <c r="E1037" s="73">
        <f>B1037*D1037/10000</f>
        <v/>
      </c>
      <c r="F1037" s="74">
        <f>B1037/30.48</f>
        <v/>
      </c>
      <c r="G1037" s="74">
        <f>D1037/30.48</f>
        <v/>
      </c>
      <c r="H1037" s="615" t="n"/>
      <c r="I1037" s="49" t="inlineStr">
        <is>
          <t>OLD</t>
        </is>
      </c>
      <c r="L1037" s="105" t="inlineStr">
        <is>
          <t>VR</t>
        </is>
      </c>
      <c r="M1037" s="210" t="n"/>
      <c r="N1037" s="211" t="n"/>
      <c r="O1037" s="340" t="inlineStr">
        <is>
          <t>SBL</t>
        </is>
      </c>
      <c r="Q1037" s="271" t="n"/>
      <c r="R1037" s="282" t="n"/>
    </row>
    <row r="1038" ht="18" customHeight="1" s="305">
      <c r="A1038" s="8" t="inlineStr">
        <is>
          <t>H 44</t>
        </is>
      </c>
      <c r="B1038" s="5" t="n">
        <v>89</v>
      </c>
      <c r="C1038" s="72" t="inlineStr">
        <is>
          <t>X</t>
        </is>
      </c>
      <c r="D1038" s="5" t="n">
        <v>370</v>
      </c>
      <c r="E1038" s="73">
        <f>B1038*D1038/10000</f>
        <v/>
      </c>
      <c r="F1038" s="74">
        <f>B1038/30.48</f>
        <v/>
      </c>
      <c r="G1038" s="74">
        <f>D1038/30.48</f>
        <v/>
      </c>
      <c r="H1038" s="615" t="n"/>
      <c r="I1038" s="49" t="inlineStr">
        <is>
          <t>OLD</t>
        </is>
      </c>
      <c r="L1038" s="105" t="inlineStr">
        <is>
          <t>VR</t>
        </is>
      </c>
      <c r="M1038" s="210" t="n"/>
      <c r="N1038" s="211" t="n"/>
      <c r="O1038" s="340" t="inlineStr">
        <is>
          <t>SBL</t>
        </is>
      </c>
      <c r="Q1038" s="271" t="n"/>
      <c r="R1038" s="282" t="n"/>
    </row>
    <row r="1039" ht="18" customHeight="1" s="305">
      <c r="A1039" s="8" t="inlineStr">
        <is>
          <t>H 45</t>
        </is>
      </c>
      <c r="B1039" s="5" t="n">
        <v>84</v>
      </c>
      <c r="C1039" s="72" t="inlineStr">
        <is>
          <t>X</t>
        </is>
      </c>
      <c r="D1039" s="5" t="n">
        <v>390</v>
      </c>
      <c r="E1039" s="73">
        <f>B1039*D1039/10000</f>
        <v/>
      </c>
      <c r="F1039" s="74">
        <f>B1039/30.48</f>
        <v/>
      </c>
      <c r="G1039" s="74">
        <f>D1039/30.48</f>
        <v/>
      </c>
      <c r="H1039" s="615" t="n"/>
      <c r="I1039" s="49" t="inlineStr">
        <is>
          <t>OLD</t>
        </is>
      </c>
      <c r="L1039" s="105" t="inlineStr">
        <is>
          <t>VR</t>
        </is>
      </c>
      <c r="M1039" s="210" t="n"/>
      <c r="N1039" s="211" t="n"/>
      <c r="O1039" s="340" t="inlineStr">
        <is>
          <t>SBL</t>
        </is>
      </c>
      <c r="Q1039" s="271" t="n"/>
      <c r="R1039" s="282" t="n"/>
    </row>
    <row r="1040" ht="18" customHeight="1" s="305">
      <c r="A1040" s="8" t="inlineStr">
        <is>
          <t>H 46</t>
        </is>
      </c>
      <c r="B1040" s="5" t="n">
        <v>94</v>
      </c>
      <c r="C1040" s="72" t="inlineStr">
        <is>
          <t>X</t>
        </is>
      </c>
      <c r="D1040" s="5" t="n">
        <v>404</v>
      </c>
      <c r="E1040" s="73">
        <f>B1040*D1040/10000</f>
        <v/>
      </c>
      <c r="F1040" s="74">
        <f>B1040/30.48</f>
        <v/>
      </c>
      <c r="G1040" s="74">
        <f>D1040/30.48</f>
        <v/>
      </c>
      <c r="H1040" s="615" t="n"/>
      <c r="I1040" s="49" t="inlineStr">
        <is>
          <t>OLD</t>
        </is>
      </c>
      <c r="L1040" s="105" t="inlineStr">
        <is>
          <t>VR</t>
        </is>
      </c>
      <c r="M1040" s="210" t="n"/>
      <c r="N1040" s="211" t="n"/>
      <c r="O1040" s="340" t="inlineStr">
        <is>
          <t>SBL</t>
        </is>
      </c>
      <c r="Q1040" s="271" t="n"/>
      <c r="R1040" s="282" t="n"/>
    </row>
    <row r="1041" ht="18" customHeight="1" s="305">
      <c r="A1041" s="8" t="inlineStr">
        <is>
          <t>H 47</t>
        </is>
      </c>
      <c r="B1041" s="5" t="n">
        <v>82</v>
      </c>
      <c r="C1041" s="72" t="inlineStr">
        <is>
          <t>X</t>
        </is>
      </c>
      <c r="D1041" s="5" t="n">
        <v>400</v>
      </c>
      <c r="E1041" s="73">
        <f>B1041*D1041/10000</f>
        <v/>
      </c>
      <c r="F1041" s="74">
        <f>B1041/30.48</f>
        <v/>
      </c>
      <c r="G1041" s="74">
        <f>D1041/30.48</f>
        <v/>
      </c>
      <c r="H1041" s="615" t="n"/>
      <c r="I1041" s="49" t="inlineStr">
        <is>
          <t>OLD</t>
        </is>
      </c>
      <c r="L1041" s="105" t="inlineStr">
        <is>
          <t>VR</t>
        </is>
      </c>
      <c r="M1041" s="210" t="n"/>
      <c r="N1041" s="211" t="n"/>
      <c r="O1041" s="340" t="inlineStr">
        <is>
          <t>SBL</t>
        </is>
      </c>
      <c r="Q1041" s="271" t="n"/>
      <c r="R1041" s="282" t="n"/>
    </row>
    <row r="1042" ht="18" customHeight="1" s="305">
      <c r="A1042" s="8" t="inlineStr">
        <is>
          <t>H 55</t>
        </is>
      </c>
      <c r="B1042" s="5" t="n">
        <v>85</v>
      </c>
      <c r="C1042" s="72" t="inlineStr">
        <is>
          <t>X</t>
        </is>
      </c>
      <c r="D1042" s="5" t="n">
        <v>404</v>
      </c>
      <c r="E1042" s="73">
        <f>B1042*D1042/10000</f>
        <v/>
      </c>
      <c r="F1042" s="74">
        <f>B1042/30.48</f>
        <v/>
      </c>
      <c r="G1042" s="74">
        <f>D1042/30.48</f>
        <v/>
      </c>
      <c r="H1042" s="615" t="n"/>
      <c r="I1042" s="49" t="inlineStr">
        <is>
          <t>OLD</t>
        </is>
      </c>
      <c r="L1042" s="105" t="inlineStr">
        <is>
          <t>VR</t>
        </is>
      </c>
      <c r="M1042" s="210" t="n"/>
      <c r="N1042" s="211" t="n"/>
      <c r="O1042" s="340" t="inlineStr">
        <is>
          <t>SBL</t>
        </is>
      </c>
      <c r="Q1042" s="271" t="n"/>
      <c r="R1042" s="282" t="n"/>
    </row>
    <row r="1043" ht="18" customHeight="1" s="305">
      <c r="A1043" s="8" t="inlineStr">
        <is>
          <t>H 56</t>
        </is>
      </c>
      <c r="B1043" s="5" t="n">
        <v>86</v>
      </c>
      <c r="C1043" s="72" t="inlineStr">
        <is>
          <t>X</t>
        </is>
      </c>
      <c r="D1043" s="5" t="n">
        <v>376</v>
      </c>
      <c r="E1043" s="73">
        <f>B1043*D1043/10000</f>
        <v/>
      </c>
      <c r="F1043" s="74">
        <f>B1043/30.48</f>
        <v/>
      </c>
      <c r="G1043" s="74">
        <f>D1043/30.48</f>
        <v/>
      </c>
      <c r="H1043" s="615" t="n"/>
      <c r="I1043" s="49" t="inlineStr">
        <is>
          <t>OLD</t>
        </is>
      </c>
      <c r="L1043" s="105" t="inlineStr">
        <is>
          <t>VR</t>
        </is>
      </c>
      <c r="M1043" s="210" t="n"/>
      <c r="N1043" s="211" t="n"/>
      <c r="O1043" s="340" t="inlineStr">
        <is>
          <t>SBL</t>
        </is>
      </c>
      <c r="Q1043" s="271" t="n"/>
      <c r="R1043" s="282" t="n"/>
    </row>
    <row r="1044" ht="18" customHeight="1" s="305">
      <c r="A1044" s="8" t="inlineStr">
        <is>
          <t>H 59</t>
        </is>
      </c>
      <c r="B1044" s="5" t="n">
        <v>93</v>
      </c>
      <c r="C1044" s="72" t="inlineStr">
        <is>
          <t>X</t>
        </is>
      </c>
      <c r="D1044" s="5" t="n">
        <v>364</v>
      </c>
      <c r="E1044" s="73">
        <f>B1044*D1044/10000</f>
        <v/>
      </c>
      <c r="F1044" s="74">
        <f>B1044/30.48</f>
        <v/>
      </c>
      <c r="G1044" s="74">
        <f>D1044/30.48</f>
        <v/>
      </c>
      <c r="H1044" s="615" t="n"/>
      <c r="I1044" s="49" t="inlineStr">
        <is>
          <t>OLD</t>
        </is>
      </c>
      <c r="L1044" s="105" t="inlineStr">
        <is>
          <t>VR</t>
        </is>
      </c>
      <c r="M1044" s="210" t="n"/>
      <c r="N1044" s="211" t="n"/>
      <c r="O1044" s="340" t="inlineStr">
        <is>
          <t>SBL</t>
        </is>
      </c>
      <c r="Q1044" s="271" t="n"/>
      <c r="R1044" s="282" t="n"/>
    </row>
    <row r="1045" ht="18" customHeight="1" s="305">
      <c r="A1045" s="8" t="inlineStr">
        <is>
          <t>H 63</t>
        </is>
      </c>
      <c r="B1045" s="5" t="n">
        <v>83</v>
      </c>
      <c r="C1045" s="72" t="inlineStr">
        <is>
          <t>X</t>
        </is>
      </c>
      <c r="D1045" s="5" t="n">
        <v>367</v>
      </c>
      <c r="E1045" s="73">
        <f>B1045*D1045/10000</f>
        <v/>
      </c>
      <c r="F1045" s="74">
        <f>B1045/30.48</f>
        <v/>
      </c>
      <c r="G1045" s="74">
        <f>D1045/30.48</f>
        <v/>
      </c>
      <c r="H1045" s="615" t="n"/>
      <c r="I1045" s="49" t="inlineStr">
        <is>
          <t>OLD</t>
        </is>
      </c>
      <c r="L1045" s="105" t="inlineStr">
        <is>
          <t>VR</t>
        </is>
      </c>
      <c r="M1045" s="210" t="n"/>
      <c r="N1045" s="211" t="n"/>
      <c r="O1045" s="340" t="inlineStr">
        <is>
          <t>SBL</t>
        </is>
      </c>
      <c r="Q1045" s="271" t="n"/>
      <c r="R1045" s="282" t="n"/>
    </row>
    <row r="1046" ht="18" customHeight="1" s="305">
      <c r="A1046" s="8" t="inlineStr">
        <is>
          <t>H 65</t>
        </is>
      </c>
      <c r="B1046" s="5" t="n">
        <v>90</v>
      </c>
      <c r="C1046" s="72" t="inlineStr">
        <is>
          <t>X</t>
        </is>
      </c>
      <c r="D1046" s="5" t="n">
        <v>350</v>
      </c>
      <c r="E1046" s="73">
        <f>B1046*D1046/10000</f>
        <v/>
      </c>
      <c r="F1046" s="74">
        <f>B1046/30.48</f>
        <v/>
      </c>
      <c r="G1046" s="74">
        <f>D1046/30.48</f>
        <v/>
      </c>
      <c r="H1046" s="615" t="n"/>
      <c r="I1046" s="49" t="inlineStr">
        <is>
          <t>OLD</t>
        </is>
      </c>
      <c r="L1046" s="105" t="inlineStr">
        <is>
          <t>VR</t>
        </is>
      </c>
      <c r="M1046" s="210" t="n"/>
      <c r="N1046" s="211" t="n"/>
      <c r="O1046" s="340" t="inlineStr">
        <is>
          <t>SBL</t>
        </is>
      </c>
      <c r="Q1046" s="271" t="n"/>
      <c r="R1046" s="282" t="n"/>
    </row>
    <row r="1047" ht="18" customHeight="1" s="305">
      <c r="A1047" s="8" t="inlineStr">
        <is>
          <t>H 68</t>
        </is>
      </c>
      <c r="B1047" s="5" t="n">
        <v>85</v>
      </c>
      <c r="C1047" s="72" t="inlineStr">
        <is>
          <t>X</t>
        </is>
      </c>
      <c r="D1047" s="5" t="n">
        <v>374</v>
      </c>
      <c r="E1047" s="73">
        <f>B1047*D1047/10000</f>
        <v/>
      </c>
      <c r="F1047" s="74">
        <f>B1047/30.48</f>
        <v/>
      </c>
      <c r="G1047" s="74">
        <f>D1047/30.48</f>
        <v/>
      </c>
      <c r="H1047" s="615" t="n"/>
      <c r="I1047" s="49" t="inlineStr">
        <is>
          <t>OLD</t>
        </is>
      </c>
      <c r="L1047" s="105" t="inlineStr">
        <is>
          <t>VR</t>
        </is>
      </c>
      <c r="M1047" s="210" t="n"/>
      <c r="N1047" s="211" t="n"/>
      <c r="O1047" s="340" t="inlineStr">
        <is>
          <t>SBL</t>
        </is>
      </c>
      <c r="Q1047" s="271" t="n"/>
      <c r="R1047" s="282" t="n"/>
    </row>
    <row r="1048" ht="18" customHeight="1" s="305">
      <c r="A1048" s="8" t="inlineStr">
        <is>
          <t>H 71</t>
        </is>
      </c>
      <c r="B1048" s="5" t="n">
        <v>92</v>
      </c>
      <c r="C1048" s="72" t="inlineStr">
        <is>
          <t>X</t>
        </is>
      </c>
      <c r="D1048" s="5" t="n">
        <v>385</v>
      </c>
      <c r="E1048" s="73">
        <f>B1048*D1048/10000</f>
        <v/>
      </c>
      <c r="F1048" s="74">
        <f>B1048/30.48</f>
        <v/>
      </c>
      <c r="G1048" s="74">
        <f>D1048/30.48</f>
        <v/>
      </c>
      <c r="H1048" s="615" t="n"/>
      <c r="I1048" s="49" t="inlineStr">
        <is>
          <t>OLD</t>
        </is>
      </c>
      <c r="L1048" s="105" t="inlineStr">
        <is>
          <t>VR</t>
        </is>
      </c>
      <c r="M1048" s="210" t="n"/>
      <c r="N1048" s="211" t="n"/>
      <c r="O1048" s="340" t="inlineStr">
        <is>
          <t>SBL</t>
        </is>
      </c>
      <c r="Q1048" s="271" t="n"/>
      <c r="R1048" s="282" t="n"/>
    </row>
    <row r="1049" ht="18" customHeight="1" s="305">
      <c r="A1049" s="8" t="inlineStr">
        <is>
          <t>H 72</t>
        </is>
      </c>
      <c r="B1049" s="5" t="n">
        <v>87</v>
      </c>
      <c r="C1049" s="72" t="inlineStr">
        <is>
          <t>X</t>
        </is>
      </c>
      <c r="D1049" s="5" t="n">
        <v>385</v>
      </c>
      <c r="E1049" s="73">
        <f>B1049*D1049/10000</f>
        <v/>
      </c>
      <c r="F1049" s="74">
        <f>B1049/30.48</f>
        <v/>
      </c>
      <c r="G1049" s="74">
        <f>D1049/30.48</f>
        <v/>
      </c>
      <c r="H1049" s="615" t="n"/>
      <c r="I1049" s="49" t="inlineStr">
        <is>
          <t>OLD</t>
        </is>
      </c>
      <c r="L1049" s="105" t="inlineStr">
        <is>
          <t>VR</t>
        </is>
      </c>
      <c r="M1049" s="210" t="n"/>
      <c r="N1049" s="211" t="n"/>
      <c r="O1049" s="340" t="inlineStr">
        <is>
          <t>SBL</t>
        </is>
      </c>
      <c r="Q1049" s="271" t="n"/>
      <c r="R1049" s="282" t="n"/>
    </row>
    <row r="1050" ht="18" customHeight="1" s="305">
      <c r="A1050" s="8" t="inlineStr">
        <is>
          <t>H 73</t>
        </is>
      </c>
      <c r="B1050" s="5" t="n">
        <v>85</v>
      </c>
      <c r="C1050" s="72" t="inlineStr">
        <is>
          <t>X</t>
        </is>
      </c>
      <c r="D1050" s="5" t="n">
        <v>378</v>
      </c>
      <c r="E1050" s="73">
        <f>B1050*D1050/10000</f>
        <v/>
      </c>
      <c r="F1050" s="74">
        <f>B1050/30.48</f>
        <v/>
      </c>
      <c r="G1050" s="74">
        <f>D1050/30.48</f>
        <v/>
      </c>
      <c r="H1050" s="615" t="n"/>
      <c r="I1050" s="49" t="inlineStr">
        <is>
          <t>OLD</t>
        </is>
      </c>
      <c r="L1050" s="105" t="inlineStr">
        <is>
          <t>VR</t>
        </is>
      </c>
      <c r="M1050" s="210" t="n"/>
      <c r="N1050" s="211" t="n"/>
      <c r="O1050" s="340" t="inlineStr">
        <is>
          <t>SBL</t>
        </is>
      </c>
      <c r="Q1050" s="271" t="n"/>
      <c r="R1050" s="282" t="n"/>
    </row>
    <row r="1051" ht="18" customHeight="1" s="305">
      <c r="A1051" s="8" t="inlineStr">
        <is>
          <t>H 74</t>
        </is>
      </c>
      <c r="B1051" s="5" t="n">
        <v>90</v>
      </c>
      <c r="C1051" s="72" t="inlineStr">
        <is>
          <t>X</t>
        </is>
      </c>
      <c r="D1051" s="5" t="n">
        <v>390</v>
      </c>
      <c r="E1051" s="73">
        <f>B1051*D1051/10000</f>
        <v/>
      </c>
      <c r="F1051" s="74">
        <f>B1051/30.48</f>
        <v/>
      </c>
      <c r="G1051" s="74">
        <f>D1051/30.48</f>
        <v/>
      </c>
      <c r="H1051" s="615" t="n"/>
      <c r="I1051" s="49" t="inlineStr">
        <is>
          <t>OLD</t>
        </is>
      </c>
      <c r="L1051" s="105" t="inlineStr">
        <is>
          <t>VR</t>
        </is>
      </c>
      <c r="M1051" s="210" t="n"/>
      <c r="N1051" s="211" t="n"/>
      <c r="O1051" s="340" t="inlineStr">
        <is>
          <t>SBL</t>
        </is>
      </c>
      <c r="Q1051" s="271" t="n"/>
      <c r="R1051" s="282" t="n"/>
    </row>
    <row r="1052" ht="18" customHeight="1" s="305">
      <c r="A1052" s="8" t="inlineStr">
        <is>
          <t>H 75</t>
        </is>
      </c>
      <c r="B1052" s="5" t="n">
        <v>82</v>
      </c>
      <c r="C1052" s="72" t="inlineStr">
        <is>
          <t>X</t>
        </is>
      </c>
      <c r="D1052" s="5" t="n">
        <v>272</v>
      </c>
      <c r="E1052" s="73">
        <f>B1052*D1052/10000</f>
        <v/>
      </c>
      <c r="F1052" s="74">
        <f>B1052/30.48</f>
        <v/>
      </c>
      <c r="G1052" s="74">
        <f>D1052/30.48</f>
        <v/>
      </c>
      <c r="H1052" s="615" t="n"/>
      <c r="I1052" s="49" t="inlineStr">
        <is>
          <t>OLD</t>
        </is>
      </c>
      <c r="L1052" s="105" t="inlineStr">
        <is>
          <t>VR</t>
        </is>
      </c>
      <c r="M1052" s="210" t="n"/>
      <c r="N1052" s="211" t="n"/>
      <c r="O1052" s="340" t="inlineStr">
        <is>
          <t>SBL</t>
        </is>
      </c>
      <c r="Q1052" s="271" t="n"/>
      <c r="R1052" s="282" t="n"/>
    </row>
    <row r="1053" ht="18" customHeight="1" s="305">
      <c r="A1053" s="8" t="inlineStr">
        <is>
          <t>H 77</t>
        </is>
      </c>
      <c r="B1053" s="5" t="n">
        <v>80</v>
      </c>
      <c r="C1053" s="72" t="inlineStr">
        <is>
          <t>X</t>
        </is>
      </c>
      <c r="D1053" s="5" t="n">
        <v>376</v>
      </c>
      <c r="E1053" s="73">
        <f>B1053*D1053/10000</f>
        <v/>
      </c>
      <c r="F1053" s="74">
        <f>B1053/30.48</f>
        <v/>
      </c>
      <c r="G1053" s="74">
        <f>D1053/30.48</f>
        <v/>
      </c>
      <c r="H1053" s="615" t="n"/>
      <c r="I1053" s="49" t="inlineStr">
        <is>
          <t>OLD</t>
        </is>
      </c>
      <c r="L1053" s="105" t="inlineStr">
        <is>
          <t>VR</t>
        </is>
      </c>
      <c r="M1053" s="210" t="n"/>
      <c r="N1053" s="211" t="n"/>
      <c r="O1053" s="340" t="inlineStr">
        <is>
          <t>SBL</t>
        </is>
      </c>
      <c r="Q1053" s="271" t="n"/>
      <c r="R1053" s="282" t="n"/>
    </row>
    <row r="1054" ht="18" customHeight="1" s="305">
      <c r="A1054" s="8" t="inlineStr">
        <is>
          <t>H 79</t>
        </is>
      </c>
      <c r="B1054" s="5" t="n">
        <v>86</v>
      </c>
      <c r="C1054" s="72" t="inlineStr">
        <is>
          <t>X</t>
        </is>
      </c>
      <c r="D1054" s="5" t="n">
        <v>319</v>
      </c>
      <c r="E1054" s="73">
        <f>B1054*D1054/10000</f>
        <v/>
      </c>
      <c r="F1054" s="74">
        <f>B1054/30.48</f>
        <v/>
      </c>
      <c r="G1054" s="74">
        <f>D1054/30.48</f>
        <v/>
      </c>
      <c r="H1054" s="615" t="n"/>
      <c r="I1054" s="49" t="inlineStr">
        <is>
          <t>OLD</t>
        </is>
      </c>
      <c r="L1054" s="105" t="inlineStr">
        <is>
          <t>VR</t>
        </is>
      </c>
      <c r="M1054" s="210" t="n"/>
      <c r="N1054" s="211" t="n"/>
      <c r="O1054" s="340" t="inlineStr">
        <is>
          <t>SBL</t>
        </is>
      </c>
      <c r="Q1054" s="271" t="n"/>
      <c r="R1054" s="282" t="n"/>
    </row>
    <row r="1055" ht="18" customHeight="1" s="305">
      <c r="A1055" s="8" t="inlineStr">
        <is>
          <t>H 80</t>
        </is>
      </c>
      <c r="B1055" s="5" t="n">
        <v>89</v>
      </c>
      <c r="C1055" s="72" t="inlineStr">
        <is>
          <t>X</t>
        </is>
      </c>
      <c r="D1055" s="5" t="n">
        <v>306</v>
      </c>
      <c r="E1055" s="73">
        <f>B1055*D1055/10000</f>
        <v/>
      </c>
      <c r="F1055" s="74">
        <f>B1055/30.48</f>
        <v/>
      </c>
      <c r="G1055" s="74">
        <f>D1055/30.48</f>
        <v/>
      </c>
      <c r="H1055" s="615" t="n"/>
      <c r="I1055" s="49" t="inlineStr">
        <is>
          <t>OLD</t>
        </is>
      </c>
      <c r="L1055" s="105" t="inlineStr">
        <is>
          <t>VR</t>
        </is>
      </c>
      <c r="M1055" s="210" t="n"/>
      <c r="N1055" s="211" t="n"/>
      <c r="O1055" s="340" t="inlineStr">
        <is>
          <t>SBL</t>
        </is>
      </c>
      <c r="Q1055" s="271" t="n"/>
      <c r="R1055" s="282" t="n"/>
    </row>
    <row r="1056" ht="18" customHeight="1" s="305">
      <c r="A1056" s="8" t="inlineStr">
        <is>
          <t>H 81</t>
        </is>
      </c>
      <c r="B1056" s="5" t="n">
        <v>80</v>
      </c>
      <c r="C1056" s="72" t="inlineStr">
        <is>
          <t>X</t>
        </is>
      </c>
      <c r="D1056" s="5" t="n">
        <v>346</v>
      </c>
      <c r="E1056" s="73">
        <f>B1056*D1056/10000</f>
        <v/>
      </c>
      <c r="F1056" s="74">
        <f>B1056/30.48</f>
        <v/>
      </c>
      <c r="G1056" s="74">
        <f>D1056/30.48</f>
        <v/>
      </c>
      <c r="H1056" s="615" t="n"/>
      <c r="I1056" s="49" t="inlineStr">
        <is>
          <t>OLD</t>
        </is>
      </c>
      <c r="L1056" s="105" t="inlineStr">
        <is>
          <t>VR</t>
        </is>
      </c>
      <c r="M1056" s="210" t="n"/>
      <c r="N1056" s="211" t="n"/>
      <c r="O1056" s="340" t="inlineStr">
        <is>
          <t>SBL</t>
        </is>
      </c>
      <c r="Q1056" s="271" t="n"/>
      <c r="R1056" s="282" t="n"/>
    </row>
    <row r="1057" ht="18" customHeight="1" s="305">
      <c r="A1057" s="8" t="inlineStr">
        <is>
          <t>H 84</t>
        </is>
      </c>
      <c r="B1057" s="5" t="n">
        <v>88</v>
      </c>
      <c r="C1057" s="72" t="inlineStr">
        <is>
          <t>X</t>
        </is>
      </c>
      <c r="D1057" s="5" t="n">
        <v>377</v>
      </c>
      <c r="E1057" s="73">
        <f>B1057*D1057/10000</f>
        <v/>
      </c>
      <c r="F1057" s="74">
        <f>B1057/30.48</f>
        <v/>
      </c>
      <c r="G1057" s="74">
        <f>D1057/30.48</f>
        <v/>
      </c>
      <c r="H1057" s="615" t="n"/>
      <c r="I1057" s="49" t="inlineStr">
        <is>
          <t>OLD</t>
        </is>
      </c>
      <c r="L1057" s="105" t="inlineStr">
        <is>
          <t>VR</t>
        </is>
      </c>
      <c r="M1057" s="210" t="n"/>
      <c r="N1057" s="211" t="n"/>
      <c r="O1057" s="340" t="inlineStr">
        <is>
          <t>SBL</t>
        </is>
      </c>
      <c r="Q1057" s="271" t="n"/>
      <c r="R1057" s="282" t="n"/>
    </row>
    <row r="1058" ht="18" customHeight="1" s="305">
      <c r="A1058" s="8" t="inlineStr">
        <is>
          <t>H 86</t>
        </is>
      </c>
      <c r="B1058" s="5" t="n">
        <v>83</v>
      </c>
      <c r="C1058" s="72" t="inlineStr">
        <is>
          <t>X</t>
        </is>
      </c>
      <c r="D1058" s="5" t="n">
        <v>374</v>
      </c>
      <c r="E1058" s="73">
        <f>B1058*D1058/10000</f>
        <v/>
      </c>
      <c r="F1058" s="74">
        <f>B1058/30.48</f>
        <v/>
      </c>
      <c r="G1058" s="74">
        <f>D1058/30.48</f>
        <v/>
      </c>
      <c r="H1058" s="615" t="n"/>
      <c r="I1058" s="49" t="inlineStr">
        <is>
          <t>OLD</t>
        </is>
      </c>
      <c r="L1058" s="105" t="inlineStr">
        <is>
          <t>VR</t>
        </is>
      </c>
      <c r="M1058" s="210" t="n"/>
      <c r="N1058" s="211" t="n"/>
      <c r="O1058" s="340" t="inlineStr">
        <is>
          <t>SBL</t>
        </is>
      </c>
      <c r="Q1058" s="271" t="n"/>
      <c r="R1058" s="282" t="n"/>
    </row>
    <row r="1059" ht="18" customHeight="1" s="305">
      <c r="A1059" s="8" t="inlineStr">
        <is>
          <t>H 87</t>
        </is>
      </c>
      <c r="B1059" s="5" t="n">
        <v>87</v>
      </c>
      <c r="C1059" s="72" t="inlineStr">
        <is>
          <t>X</t>
        </is>
      </c>
      <c r="D1059" s="5" t="n">
        <v>340</v>
      </c>
      <c r="E1059" s="73">
        <f>B1059*D1059/10000</f>
        <v/>
      </c>
      <c r="F1059" s="74">
        <f>B1059/30.48</f>
        <v/>
      </c>
      <c r="G1059" s="74">
        <f>D1059/30.48</f>
        <v/>
      </c>
      <c r="H1059" s="615" t="n"/>
      <c r="I1059" s="49" t="inlineStr">
        <is>
          <t>OLD</t>
        </is>
      </c>
      <c r="M1059" s="210" t="n"/>
      <c r="N1059" s="211" t="n"/>
      <c r="O1059" s="340" t="inlineStr">
        <is>
          <t>SBL</t>
        </is>
      </c>
      <c r="Q1059" s="271" t="n"/>
      <c r="R1059" s="282" t="n"/>
    </row>
    <row r="1060" ht="18" customHeight="1" s="305">
      <c r="A1060" s="8" t="inlineStr">
        <is>
          <t>H 91</t>
        </is>
      </c>
      <c r="B1060" s="5" t="n">
        <v>82</v>
      </c>
      <c r="C1060" s="72" t="inlineStr">
        <is>
          <t>X</t>
        </is>
      </c>
      <c r="D1060" s="5" t="n">
        <v>362</v>
      </c>
      <c r="E1060" s="73">
        <f>B1060*D1060/10000</f>
        <v/>
      </c>
      <c r="F1060" s="74">
        <f>B1060/30.48</f>
        <v/>
      </c>
      <c r="G1060" s="74">
        <f>D1060/30.48</f>
        <v/>
      </c>
      <c r="H1060" s="615" t="n"/>
      <c r="I1060" s="49" t="inlineStr">
        <is>
          <t>OLD</t>
        </is>
      </c>
      <c r="L1060" s="105" t="inlineStr">
        <is>
          <t>VR</t>
        </is>
      </c>
      <c r="M1060" s="210" t="n"/>
      <c r="N1060" s="211" t="n"/>
      <c r="O1060" s="340" t="inlineStr">
        <is>
          <t>SBL</t>
        </is>
      </c>
      <c r="Q1060" s="271" t="n"/>
      <c r="R1060" s="282" t="n"/>
    </row>
    <row r="1061" ht="18" customHeight="1" s="305">
      <c r="A1061" s="8" t="inlineStr">
        <is>
          <t>H 95</t>
        </is>
      </c>
      <c r="B1061" s="5" t="n">
        <v>92</v>
      </c>
      <c r="C1061" s="72" t="inlineStr">
        <is>
          <t>X</t>
        </is>
      </c>
      <c r="D1061" s="5" t="n">
        <v>394</v>
      </c>
      <c r="E1061" s="73">
        <f>B1061*D1061/10000</f>
        <v/>
      </c>
      <c r="F1061" s="74">
        <f>B1061/30.48</f>
        <v/>
      </c>
      <c r="G1061" s="74">
        <f>D1061/30.48</f>
        <v/>
      </c>
      <c r="H1061" s="615" t="n"/>
      <c r="I1061" s="49" t="inlineStr">
        <is>
          <t>OLD</t>
        </is>
      </c>
      <c r="L1061" s="105" t="inlineStr">
        <is>
          <t>VR</t>
        </is>
      </c>
      <c r="M1061" s="210" t="n"/>
      <c r="N1061" s="211" t="n"/>
      <c r="O1061" s="340" t="inlineStr">
        <is>
          <t>SBL</t>
        </is>
      </c>
      <c r="Q1061" s="271" t="n"/>
      <c r="R1061" s="282" t="n"/>
    </row>
    <row r="1062" ht="18" customHeight="1" s="305">
      <c r="A1062" s="8" t="inlineStr">
        <is>
          <t>H 100</t>
        </is>
      </c>
      <c r="B1062" s="5" t="n">
        <v>90</v>
      </c>
      <c r="C1062" s="72" t="inlineStr">
        <is>
          <t>X</t>
        </is>
      </c>
      <c r="D1062" s="5" t="n">
        <v>350</v>
      </c>
      <c r="E1062" s="73">
        <f>B1062*D1062/10000</f>
        <v/>
      </c>
      <c r="F1062" s="74">
        <f>B1062/30.48</f>
        <v/>
      </c>
      <c r="G1062" s="74">
        <f>D1062/30.48</f>
        <v/>
      </c>
      <c r="H1062" s="615" t="n"/>
      <c r="I1062" s="49" t="inlineStr">
        <is>
          <t>OLD</t>
        </is>
      </c>
      <c r="L1062" s="105" t="inlineStr">
        <is>
          <t>VR</t>
        </is>
      </c>
      <c r="M1062" s="210" t="n"/>
      <c r="N1062" s="211" t="n"/>
      <c r="O1062" s="340" t="inlineStr">
        <is>
          <t>SBL</t>
        </is>
      </c>
      <c r="Q1062" s="271" t="n"/>
      <c r="R1062" s="282" t="n"/>
    </row>
    <row r="1063" ht="18" customHeight="1" s="305">
      <c r="A1063" s="8" t="inlineStr">
        <is>
          <t>H 102</t>
        </is>
      </c>
      <c r="B1063" s="5" t="n">
        <v>85</v>
      </c>
      <c r="C1063" s="72" t="inlineStr">
        <is>
          <t>X</t>
        </is>
      </c>
      <c r="D1063" s="5" t="n">
        <v>360</v>
      </c>
      <c r="E1063" s="73">
        <f>B1063*D1063/10000</f>
        <v/>
      </c>
      <c r="F1063" s="74">
        <f>B1063/30.48</f>
        <v/>
      </c>
      <c r="G1063" s="74">
        <f>D1063/30.48</f>
        <v/>
      </c>
      <c r="H1063" s="615" t="n"/>
      <c r="I1063" s="49" t="inlineStr">
        <is>
          <t>OLD</t>
        </is>
      </c>
      <c r="K1063" s="51" t="inlineStr">
        <is>
          <t>PAC</t>
        </is>
      </c>
      <c r="L1063" s="105" t="inlineStr">
        <is>
          <t>VR</t>
        </is>
      </c>
      <c r="M1063" s="210" t="n"/>
      <c r="N1063" s="211" t="n"/>
      <c r="O1063" s="340" t="inlineStr">
        <is>
          <t>SBL</t>
        </is>
      </c>
      <c r="Q1063" s="271" t="n"/>
      <c r="R1063" s="282" t="n"/>
    </row>
    <row r="1064" ht="18" customHeight="1" s="305">
      <c r="A1064" s="8" t="inlineStr">
        <is>
          <t>H 103</t>
        </is>
      </c>
      <c r="B1064" s="5" t="n">
        <v>90</v>
      </c>
      <c r="C1064" s="72" t="inlineStr">
        <is>
          <t>X</t>
        </is>
      </c>
      <c r="D1064" s="5" t="n">
        <v>357</v>
      </c>
      <c r="E1064" s="73">
        <f>B1064*D1064/10000</f>
        <v/>
      </c>
      <c r="F1064" s="74">
        <f>B1064/30.48</f>
        <v/>
      </c>
      <c r="G1064" s="74">
        <f>D1064/30.48</f>
        <v/>
      </c>
      <c r="H1064" s="615" t="n"/>
      <c r="I1064" s="49" t="inlineStr">
        <is>
          <t>OLD</t>
        </is>
      </c>
      <c r="L1064" s="105" t="inlineStr">
        <is>
          <t>VR</t>
        </is>
      </c>
      <c r="M1064" s="210" t="n"/>
      <c r="N1064" s="211" t="n"/>
      <c r="O1064" s="340" t="inlineStr">
        <is>
          <t>SBL</t>
        </is>
      </c>
      <c r="Q1064" s="271" t="n"/>
      <c r="R1064" s="282" t="n"/>
    </row>
    <row r="1065" ht="18" customHeight="1" s="305">
      <c r="A1065" s="8" t="inlineStr">
        <is>
          <t>H 105</t>
        </is>
      </c>
      <c r="B1065" s="5" t="n">
        <v>79</v>
      </c>
      <c r="C1065" s="72" t="inlineStr">
        <is>
          <t>X</t>
        </is>
      </c>
      <c r="D1065" s="5" t="n">
        <v>343</v>
      </c>
      <c r="E1065" s="73">
        <f>B1065*D1065/10000</f>
        <v/>
      </c>
      <c r="F1065" s="74">
        <f>B1065/30.48</f>
        <v/>
      </c>
      <c r="G1065" s="74">
        <f>D1065/30.48</f>
        <v/>
      </c>
      <c r="H1065" s="615" t="n"/>
      <c r="I1065" s="49" t="inlineStr">
        <is>
          <t>OLD</t>
        </is>
      </c>
      <c r="L1065" s="105" t="inlineStr">
        <is>
          <t>VR</t>
        </is>
      </c>
      <c r="M1065" s="210" t="n"/>
      <c r="N1065" s="211" t="n"/>
      <c r="O1065" s="340" t="inlineStr">
        <is>
          <t>SBL</t>
        </is>
      </c>
      <c r="Q1065" s="271" t="n"/>
      <c r="R1065" s="282" t="n"/>
    </row>
    <row r="1066" ht="18" customHeight="1" s="305">
      <c r="A1066" s="8" t="inlineStr">
        <is>
          <t>H 110</t>
        </is>
      </c>
      <c r="B1066" s="5" t="n">
        <v>85</v>
      </c>
      <c r="C1066" s="72" t="inlineStr">
        <is>
          <t>X</t>
        </is>
      </c>
      <c r="D1066" s="5" t="n">
        <v>394</v>
      </c>
      <c r="E1066" s="73">
        <f>B1066*D1066/10000</f>
        <v/>
      </c>
      <c r="F1066" s="74">
        <f>B1066/30.48</f>
        <v/>
      </c>
      <c r="G1066" s="74">
        <f>D1066/30.48</f>
        <v/>
      </c>
      <c r="H1066" s="615" t="n"/>
      <c r="I1066" s="49" t="inlineStr">
        <is>
          <t>OLD</t>
        </is>
      </c>
      <c r="M1066" s="210" t="n"/>
      <c r="N1066" s="211" t="n"/>
      <c r="O1066" s="340" t="inlineStr">
        <is>
          <t>SBL</t>
        </is>
      </c>
      <c r="Q1066" s="271" t="n"/>
      <c r="R1066" s="282" t="n"/>
    </row>
    <row r="1067" ht="18" customHeight="1" s="305">
      <c r="A1067" s="8" t="inlineStr">
        <is>
          <t>H 111</t>
        </is>
      </c>
      <c r="B1067" s="5" t="n">
        <v>85</v>
      </c>
      <c r="C1067" s="72" t="inlineStr">
        <is>
          <t>X</t>
        </is>
      </c>
      <c r="D1067" s="5" t="n">
        <v>390</v>
      </c>
      <c r="E1067" s="73">
        <f>B1067*D1067/10000</f>
        <v/>
      </c>
      <c r="F1067" s="74">
        <f>B1067/30.48</f>
        <v/>
      </c>
      <c r="G1067" s="74">
        <f>D1067/30.48</f>
        <v/>
      </c>
      <c r="H1067" s="615" t="n"/>
      <c r="M1067" s="210" t="n"/>
      <c r="N1067" s="211" t="n"/>
      <c r="O1067" s="263" t="n"/>
      <c r="Q1067" s="271" t="n"/>
      <c r="R1067" s="282" t="n"/>
    </row>
    <row r="1068" ht="18" customHeight="1" s="305">
      <c r="A1068" s="8" t="inlineStr">
        <is>
          <t>H 113</t>
        </is>
      </c>
      <c r="B1068" s="5" t="n">
        <v>87</v>
      </c>
      <c r="C1068" s="72" t="inlineStr">
        <is>
          <t>X</t>
        </is>
      </c>
      <c r="D1068" s="5" t="n">
        <v>392</v>
      </c>
      <c r="E1068" s="73">
        <f>B1068*D1068/10000</f>
        <v/>
      </c>
      <c r="F1068" s="74">
        <f>B1068/30.48</f>
        <v/>
      </c>
      <c r="G1068" s="74">
        <f>D1068/30.48</f>
        <v/>
      </c>
      <c r="H1068" s="615" t="n"/>
      <c r="I1068" s="49" t="inlineStr">
        <is>
          <t>OLD</t>
        </is>
      </c>
      <c r="L1068" s="105" t="inlineStr">
        <is>
          <t>VR</t>
        </is>
      </c>
      <c r="M1068" s="210" t="n"/>
      <c r="N1068" s="211" t="n"/>
      <c r="O1068" s="340" t="inlineStr">
        <is>
          <t>SBL</t>
        </is>
      </c>
      <c r="Q1068" s="271" t="n"/>
      <c r="R1068" s="282" t="n"/>
    </row>
    <row r="1069" ht="18" customHeight="1" s="305">
      <c r="A1069" s="8" t="inlineStr">
        <is>
          <t>H 119</t>
        </is>
      </c>
      <c r="B1069" s="5" t="n">
        <v>86</v>
      </c>
      <c r="C1069" s="72" t="inlineStr">
        <is>
          <t>X</t>
        </is>
      </c>
      <c r="D1069" s="5" t="n">
        <v>373</v>
      </c>
      <c r="E1069" s="73">
        <f>B1069*D1069/10000</f>
        <v/>
      </c>
      <c r="F1069" s="74">
        <f>B1069/30.48</f>
        <v/>
      </c>
      <c r="G1069" s="74">
        <f>D1069/30.48</f>
        <v/>
      </c>
      <c r="H1069" s="615" t="n"/>
      <c r="I1069" s="49" t="inlineStr">
        <is>
          <t>OLD</t>
        </is>
      </c>
      <c r="L1069" s="105" t="inlineStr">
        <is>
          <t>VR</t>
        </is>
      </c>
      <c r="M1069" s="210" t="n"/>
      <c r="N1069" s="211" t="n"/>
      <c r="O1069" s="340" t="inlineStr">
        <is>
          <t>SBL</t>
        </is>
      </c>
      <c r="Q1069" s="271" t="n"/>
      <c r="R1069" s="282" t="n"/>
    </row>
    <row r="1070" ht="18" customHeight="1" s="305">
      <c r="A1070" s="8" t="inlineStr">
        <is>
          <t>H 124</t>
        </is>
      </c>
      <c r="B1070" s="5" t="n">
        <v>91</v>
      </c>
      <c r="C1070" s="72" t="inlineStr">
        <is>
          <t>X</t>
        </is>
      </c>
      <c r="D1070" s="5" t="n">
        <v>302</v>
      </c>
      <c r="E1070" s="73">
        <f>B1070*D1070/10000</f>
        <v/>
      </c>
      <c r="F1070" s="74">
        <f>B1070/30.48</f>
        <v/>
      </c>
      <c r="G1070" s="74">
        <f>D1070/30.48</f>
        <v/>
      </c>
      <c r="H1070" s="615" t="n"/>
      <c r="I1070" s="49" t="inlineStr">
        <is>
          <t>OLD</t>
        </is>
      </c>
      <c r="L1070" s="105" t="inlineStr">
        <is>
          <t>VR</t>
        </is>
      </c>
      <c r="M1070" s="210" t="n"/>
      <c r="N1070" s="211" t="n"/>
      <c r="O1070" s="340" t="inlineStr">
        <is>
          <t>SBL</t>
        </is>
      </c>
      <c r="Q1070" s="271" t="n"/>
      <c r="R1070" s="282" t="n"/>
    </row>
    <row r="1071" ht="18" customHeight="1" s="305">
      <c r="A1071" s="8" t="inlineStr">
        <is>
          <t>H 125</t>
        </is>
      </c>
      <c r="B1071" s="5" t="n">
        <v>95</v>
      </c>
      <c r="C1071" s="72" t="inlineStr">
        <is>
          <t>X</t>
        </is>
      </c>
      <c r="D1071" s="5" t="n">
        <v>365</v>
      </c>
      <c r="E1071" s="73">
        <f>B1071*D1071/10000</f>
        <v/>
      </c>
      <c r="F1071" s="74">
        <f>B1071/30.48</f>
        <v/>
      </c>
      <c r="G1071" s="74">
        <f>D1071/30.48</f>
        <v/>
      </c>
      <c r="H1071" s="615" t="n"/>
      <c r="I1071" s="49" t="inlineStr">
        <is>
          <t>OLD</t>
        </is>
      </c>
      <c r="L1071" s="105" t="inlineStr">
        <is>
          <t>VR</t>
        </is>
      </c>
      <c r="M1071" s="210" t="n"/>
      <c r="N1071" s="211" t="n"/>
      <c r="O1071" s="340" t="inlineStr">
        <is>
          <t>SBL</t>
        </is>
      </c>
      <c r="Q1071" s="271" t="n"/>
      <c r="R1071" s="282" t="n"/>
    </row>
    <row r="1072" ht="18" customHeight="1" s="305">
      <c r="A1072" s="8" t="inlineStr">
        <is>
          <t>H 130</t>
        </is>
      </c>
      <c r="B1072" s="5" t="n">
        <v>109</v>
      </c>
      <c r="C1072" s="72" t="inlineStr">
        <is>
          <t>X</t>
        </is>
      </c>
      <c r="D1072" s="5" t="n">
        <v>348</v>
      </c>
      <c r="E1072" s="73">
        <f>B1072*D1072/10000</f>
        <v/>
      </c>
      <c r="F1072" s="74">
        <f>B1072/30.48</f>
        <v/>
      </c>
      <c r="G1072" s="74">
        <f>D1072/30.48</f>
        <v/>
      </c>
      <c r="H1072" s="615" t="n"/>
      <c r="I1072" s="49" t="inlineStr">
        <is>
          <t>OLD</t>
        </is>
      </c>
      <c r="L1072" s="105" t="inlineStr">
        <is>
          <t>VR</t>
        </is>
      </c>
      <c r="M1072" s="210" t="n"/>
      <c r="N1072" s="211" t="n"/>
      <c r="O1072" s="340" t="inlineStr">
        <is>
          <t>SBL</t>
        </is>
      </c>
      <c r="Q1072" s="271" t="n"/>
      <c r="R1072" s="282" t="n"/>
    </row>
    <row r="1073" ht="18" customHeight="1" s="305">
      <c r="A1073" s="8" t="inlineStr">
        <is>
          <t>H 216</t>
        </is>
      </c>
      <c r="B1073" s="5" t="n">
        <v>90</v>
      </c>
      <c r="C1073" s="72" t="inlineStr">
        <is>
          <t>X</t>
        </is>
      </c>
      <c r="D1073" s="5" t="n">
        <v>374</v>
      </c>
      <c r="E1073" s="73">
        <f>B1073*D1073/10000</f>
        <v/>
      </c>
      <c r="F1073" s="74">
        <f>B1073/30.48</f>
        <v/>
      </c>
      <c r="G1073" s="74">
        <f>D1073/30.48</f>
        <v/>
      </c>
      <c r="H1073" s="615" t="n"/>
      <c r="M1073" s="210" t="n"/>
      <c r="N1073" s="211" t="n"/>
      <c r="O1073" s="263" t="n"/>
      <c r="Q1073" s="271" t="n"/>
      <c r="R1073" s="282" t="n"/>
    </row>
    <row r="1074" ht="18" customHeight="1" s="305">
      <c r="A1074" s="8" t="inlineStr">
        <is>
          <t>H 232</t>
        </is>
      </c>
      <c r="B1074" s="5" t="n">
        <v>86</v>
      </c>
      <c r="C1074" s="72" t="inlineStr">
        <is>
          <t>X</t>
        </is>
      </c>
      <c r="D1074" s="5" t="n">
        <v>420</v>
      </c>
      <c r="E1074" s="73">
        <f>B1074*D1074/10000</f>
        <v/>
      </c>
      <c r="F1074" s="74">
        <f>B1074/30.48</f>
        <v/>
      </c>
      <c r="G1074" s="74">
        <f>D1074/30.48</f>
        <v/>
      </c>
      <c r="H1074" s="615" t="n"/>
      <c r="I1074" s="49" t="inlineStr">
        <is>
          <t>OLD</t>
        </is>
      </c>
      <c r="L1074" s="105" t="inlineStr">
        <is>
          <t>VR</t>
        </is>
      </c>
      <c r="M1074" s="210" t="n"/>
      <c r="N1074" s="211" t="n"/>
      <c r="O1074" s="340" t="inlineStr">
        <is>
          <t>SBL</t>
        </is>
      </c>
      <c r="Q1074" s="271" t="n"/>
      <c r="R1074" s="282" t="n"/>
    </row>
    <row r="1075" ht="18" customHeight="1" s="305">
      <c r="A1075" s="8" t="inlineStr">
        <is>
          <t>H 234</t>
        </is>
      </c>
      <c r="B1075" s="5" t="n">
        <v>97</v>
      </c>
      <c r="C1075" s="72" t="inlineStr">
        <is>
          <t>X</t>
        </is>
      </c>
      <c r="D1075" s="5" t="n">
        <v>324</v>
      </c>
      <c r="E1075" s="73">
        <f>B1075*D1075/10000</f>
        <v/>
      </c>
      <c r="F1075" s="74">
        <f>B1075/30.48</f>
        <v/>
      </c>
      <c r="G1075" s="74">
        <f>D1075/30.48</f>
        <v/>
      </c>
      <c r="H1075" s="615" t="n"/>
      <c r="I1075" s="49" t="inlineStr">
        <is>
          <t>OLD</t>
        </is>
      </c>
      <c r="L1075" s="105" t="inlineStr">
        <is>
          <t>VR</t>
        </is>
      </c>
      <c r="M1075" s="210" t="n"/>
      <c r="N1075" s="211" t="n"/>
      <c r="O1075" s="340" t="inlineStr">
        <is>
          <t>SBL</t>
        </is>
      </c>
      <c r="Q1075" s="271" t="n"/>
      <c r="R1075" s="282" t="n"/>
    </row>
    <row r="1076" ht="18" customHeight="1" s="305">
      <c r="A1076" s="8" t="inlineStr">
        <is>
          <t>H 235</t>
        </is>
      </c>
      <c r="B1076" s="5" t="n">
        <v>84</v>
      </c>
      <c r="C1076" s="72" t="inlineStr">
        <is>
          <t>X</t>
        </is>
      </c>
      <c r="D1076" s="5" t="n">
        <v>354</v>
      </c>
      <c r="E1076" s="73">
        <f>B1076*D1076/10000</f>
        <v/>
      </c>
      <c r="F1076" s="74">
        <f>B1076/30.48</f>
        <v/>
      </c>
      <c r="G1076" s="74">
        <f>D1076/30.48</f>
        <v/>
      </c>
      <c r="H1076" s="615" t="n"/>
      <c r="I1076" s="49" t="inlineStr">
        <is>
          <t>OLD</t>
        </is>
      </c>
      <c r="L1076" s="105" t="inlineStr">
        <is>
          <t>VR</t>
        </is>
      </c>
      <c r="M1076" s="210" t="n"/>
      <c r="N1076" s="211" t="n"/>
      <c r="O1076" s="340" t="inlineStr">
        <is>
          <t>SBL</t>
        </is>
      </c>
      <c r="Q1076" s="271" t="n"/>
      <c r="R1076" s="282" t="n"/>
    </row>
    <row r="1077" ht="18" customHeight="1" s="305">
      <c r="A1077" s="8" t="inlineStr">
        <is>
          <t>H 236</t>
        </is>
      </c>
      <c r="B1077" s="5" t="n">
        <v>91</v>
      </c>
      <c r="C1077" s="72" t="inlineStr">
        <is>
          <t>X</t>
        </is>
      </c>
      <c r="D1077" s="5" t="n">
        <v>420</v>
      </c>
      <c r="E1077" s="73">
        <f>B1077*D1077/10000</f>
        <v/>
      </c>
      <c r="F1077" s="74">
        <f>B1077/30.48</f>
        <v/>
      </c>
      <c r="G1077" s="74">
        <f>D1077/30.48</f>
        <v/>
      </c>
      <c r="H1077" s="615" t="n"/>
      <c r="I1077" s="49" t="inlineStr">
        <is>
          <t>OLD</t>
        </is>
      </c>
      <c r="L1077" s="105" t="inlineStr">
        <is>
          <t>VR</t>
        </is>
      </c>
      <c r="M1077" s="210" t="n"/>
      <c r="N1077" s="211" t="n"/>
      <c r="O1077" s="340" t="inlineStr">
        <is>
          <t>SBL</t>
        </is>
      </c>
      <c r="Q1077" s="271" t="inlineStr">
        <is>
          <t>RST</t>
        </is>
      </c>
      <c r="R1077" s="282" t="n"/>
    </row>
    <row r="1078" ht="18" customHeight="1" s="305">
      <c r="A1078" s="8" t="inlineStr">
        <is>
          <t>H 237</t>
        </is>
      </c>
      <c r="B1078" s="5" t="n">
        <v>86</v>
      </c>
      <c r="C1078" s="72" t="inlineStr">
        <is>
          <t>X</t>
        </is>
      </c>
      <c r="D1078" s="5" t="n">
        <v>363</v>
      </c>
      <c r="E1078" s="73">
        <f>B1078*D1078/10000</f>
        <v/>
      </c>
      <c r="F1078" s="74">
        <f>B1078/30.48</f>
        <v/>
      </c>
      <c r="G1078" s="74">
        <f>D1078/30.48</f>
        <v/>
      </c>
      <c r="H1078" s="615" t="n"/>
      <c r="I1078" s="49" t="inlineStr">
        <is>
          <t>OLD</t>
        </is>
      </c>
      <c r="L1078" s="105" t="inlineStr">
        <is>
          <t>VR</t>
        </is>
      </c>
      <c r="M1078" s="210" t="n"/>
      <c r="N1078" s="211" t="n"/>
      <c r="O1078" s="340" t="inlineStr">
        <is>
          <t>SBL</t>
        </is>
      </c>
      <c r="Q1078" s="271" t="n"/>
      <c r="R1078" s="282" t="n"/>
    </row>
    <row r="1079" ht="18" customHeight="1" s="305">
      <c r="A1079" s="8" t="inlineStr">
        <is>
          <t>Y 592</t>
        </is>
      </c>
      <c r="B1079" s="5" t="n">
        <v>78</v>
      </c>
      <c r="C1079" s="72" t="inlineStr">
        <is>
          <t>X</t>
        </is>
      </c>
      <c r="D1079" s="5" t="n">
        <v>397</v>
      </c>
      <c r="E1079" s="73">
        <f>B1079*D1079/10000</f>
        <v/>
      </c>
      <c r="F1079" s="74">
        <f>B1079/30.48</f>
        <v/>
      </c>
      <c r="G1079" s="74">
        <f>D1079/30.48</f>
        <v/>
      </c>
      <c r="H1079" s="615" t="n"/>
      <c r="I1079" s="49" t="inlineStr">
        <is>
          <t>OLD</t>
        </is>
      </c>
      <c r="K1079" s="51" t="inlineStr">
        <is>
          <t>PAC</t>
        </is>
      </c>
      <c r="L1079" s="105" t="inlineStr">
        <is>
          <t>VR</t>
        </is>
      </c>
      <c r="M1079" s="210" t="n"/>
      <c r="N1079" s="211" t="n"/>
      <c r="O1079" s="340" t="inlineStr">
        <is>
          <t>SBL</t>
        </is>
      </c>
      <c r="Q1079" s="271" t="n"/>
      <c r="R1079" s="282" t="n"/>
    </row>
    <row r="1080" ht="18" customHeight="1" s="305">
      <c r="A1080" s="8" t="inlineStr">
        <is>
          <t>Y 593</t>
        </is>
      </c>
      <c r="B1080" s="5" t="n">
        <v>76</v>
      </c>
      <c r="C1080" s="72" t="inlineStr">
        <is>
          <t>X</t>
        </is>
      </c>
      <c r="D1080" s="5" t="n">
        <v>335</v>
      </c>
      <c r="E1080" s="73">
        <f>B1080*D1080/10000</f>
        <v/>
      </c>
      <c r="F1080" s="74">
        <f>B1080/30.48</f>
        <v/>
      </c>
      <c r="G1080" s="74">
        <f>D1080/30.48</f>
        <v/>
      </c>
      <c r="H1080" s="615" t="n"/>
      <c r="I1080" s="49" t="inlineStr">
        <is>
          <t>OLD</t>
        </is>
      </c>
      <c r="K1080" s="51" t="inlineStr">
        <is>
          <t>PAC</t>
        </is>
      </c>
      <c r="L1080" s="105" t="inlineStr">
        <is>
          <t>VR</t>
        </is>
      </c>
      <c r="M1080" s="210" t="n"/>
      <c r="N1080" s="211" t="n"/>
      <c r="O1080" s="340" t="inlineStr">
        <is>
          <t>SBL</t>
        </is>
      </c>
      <c r="Q1080" s="271" t="n"/>
      <c r="R1080" s="282" t="n"/>
    </row>
    <row r="1081" ht="18" customHeight="1" s="305">
      <c r="A1081" s="8" t="inlineStr">
        <is>
          <t>Y 780</t>
        </is>
      </c>
      <c r="B1081" s="5" t="n">
        <v>90</v>
      </c>
      <c r="C1081" s="72" t="inlineStr">
        <is>
          <t>X</t>
        </is>
      </c>
      <c r="D1081" s="5" t="n">
        <v>367</v>
      </c>
      <c r="E1081" s="73">
        <f>B1081*D1081/10000</f>
        <v/>
      </c>
      <c r="F1081" s="74">
        <f>B1081/30.48</f>
        <v/>
      </c>
      <c r="G1081" s="74">
        <f>D1081/30.48</f>
        <v/>
      </c>
      <c r="H1081" s="615" t="n"/>
      <c r="I1081" s="49" t="inlineStr">
        <is>
          <t>OLD</t>
        </is>
      </c>
      <c r="K1081" s="51" t="inlineStr">
        <is>
          <t>PAC</t>
        </is>
      </c>
      <c r="L1081" s="105" t="inlineStr">
        <is>
          <t>VR</t>
        </is>
      </c>
      <c r="M1081" s="210" t="n"/>
      <c r="N1081" s="211" t="n"/>
      <c r="O1081" s="340" t="inlineStr">
        <is>
          <t>SBL</t>
        </is>
      </c>
      <c r="Q1081" s="271" t="n"/>
      <c r="R1081" s="282" t="n"/>
    </row>
    <row r="1082" ht="18" customHeight="1" s="305">
      <c r="A1082" s="8" t="inlineStr">
        <is>
          <t>A 218</t>
        </is>
      </c>
      <c r="B1082" s="5" t="n">
        <v>137</v>
      </c>
      <c r="C1082" s="72" t="inlineStr">
        <is>
          <t>X</t>
        </is>
      </c>
      <c r="D1082" s="5" t="n">
        <v>242</v>
      </c>
      <c r="E1082" s="73">
        <f>B1082*D1082/10000</f>
        <v/>
      </c>
      <c r="F1082" s="74">
        <f>B1082/30.48</f>
        <v/>
      </c>
      <c r="G1082" s="74">
        <f>D1082/30.48</f>
        <v/>
      </c>
      <c r="H1082" s="615" t="n"/>
      <c r="I1082" s="49" t="inlineStr">
        <is>
          <t>OLD</t>
        </is>
      </c>
      <c r="J1082" s="48" t="inlineStr">
        <is>
          <t>TRS</t>
        </is>
      </c>
      <c r="K1082" s="51" t="inlineStr">
        <is>
          <t>PAC</t>
        </is>
      </c>
      <c r="L1082" s="105" t="inlineStr">
        <is>
          <t>VR</t>
        </is>
      </c>
      <c r="M1082" s="210" t="inlineStr">
        <is>
          <t>RK</t>
        </is>
      </c>
      <c r="N1082" s="211" t="n"/>
      <c r="O1082" s="340" t="inlineStr">
        <is>
          <t>SBL</t>
        </is>
      </c>
      <c r="Q1082" s="271" t="n"/>
      <c r="R1082" s="282" t="n"/>
    </row>
    <row r="1083" ht="18" customHeight="1" s="305">
      <c r="A1083" s="8" t="n">
        <v>1000</v>
      </c>
      <c r="B1083" s="5" t="n">
        <v>77</v>
      </c>
      <c r="C1083" s="72" t="inlineStr">
        <is>
          <t>X</t>
        </is>
      </c>
      <c r="D1083" s="5" t="n">
        <v>316</v>
      </c>
      <c r="E1083" s="73">
        <f>B1083*D1083/10000</f>
        <v/>
      </c>
      <c r="F1083" s="74">
        <f>B1083/30.48</f>
        <v/>
      </c>
      <c r="G1083" s="74">
        <f>D1083/30.48</f>
        <v/>
      </c>
      <c r="H1083" s="615" t="n"/>
      <c r="I1083" s="49" t="inlineStr">
        <is>
          <t>OLD</t>
        </is>
      </c>
      <c r="J1083" s="48" t="inlineStr">
        <is>
          <t>TRS</t>
        </is>
      </c>
      <c r="K1083" s="51" t="inlineStr">
        <is>
          <t>PAC</t>
        </is>
      </c>
      <c r="L1083" s="105" t="inlineStr">
        <is>
          <t>VR</t>
        </is>
      </c>
      <c r="M1083" s="210" t="n"/>
      <c r="N1083" s="211" t="inlineStr">
        <is>
          <t>WEB</t>
        </is>
      </c>
      <c r="O1083" s="340" t="inlineStr">
        <is>
          <t>SBL</t>
        </is>
      </c>
      <c r="Q1083" s="271" t="n"/>
      <c r="R1083" s="282" t="n"/>
    </row>
    <row r="1084" ht="18" customHeight="1" s="305">
      <c r="A1084" s="8" t="n">
        <v>1006</v>
      </c>
      <c r="B1084" s="5" t="n">
        <v>86</v>
      </c>
      <c r="C1084" s="72" t="inlineStr">
        <is>
          <t>X</t>
        </is>
      </c>
      <c r="D1084" s="5" t="n">
        <v>374</v>
      </c>
      <c r="E1084" s="73">
        <f>B1084*D1084/10000</f>
        <v/>
      </c>
      <c r="F1084" s="74">
        <f>B1084/30.48</f>
        <v/>
      </c>
      <c r="G1084" s="74">
        <f>D1084/30.48</f>
        <v/>
      </c>
      <c r="H1084" s="615" t="n"/>
      <c r="I1084" s="49" t="inlineStr">
        <is>
          <t>OLD</t>
        </is>
      </c>
      <c r="J1084" s="48" t="inlineStr">
        <is>
          <t>TRS</t>
        </is>
      </c>
      <c r="K1084" s="51" t="inlineStr">
        <is>
          <t>PAC</t>
        </is>
      </c>
      <c r="L1084" s="105" t="inlineStr">
        <is>
          <t>VR</t>
        </is>
      </c>
      <c r="M1084" s="210" t="n"/>
      <c r="N1084" s="211" t="inlineStr">
        <is>
          <t>WEB</t>
        </is>
      </c>
      <c r="O1084" s="340" t="inlineStr">
        <is>
          <t>SBL</t>
        </is>
      </c>
      <c r="Q1084" s="271" t="n"/>
      <c r="R1084" s="282" t="n"/>
    </row>
    <row r="1085" ht="18" customHeight="1" s="305">
      <c r="A1085" s="8" t="n">
        <v>1011</v>
      </c>
      <c r="B1085" s="5" t="n">
        <v>191</v>
      </c>
      <c r="C1085" s="72" t="inlineStr">
        <is>
          <t>X</t>
        </is>
      </c>
      <c r="D1085" s="5" t="n">
        <v>276</v>
      </c>
      <c r="E1085" s="73">
        <f>B1085*D1085/10000</f>
        <v/>
      </c>
      <c r="F1085" s="74">
        <f>B1085/30.48</f>
        <v/>
      </c>
      <c r="G1085" s="74">
        <f>D1085/30.48</f>
        <v/>
      </c>
      <c r="H1085" s="615" t="n"/>
      <c r="I1085" s="49" t="inlineStr">
        <is>
          <t>OLD</t>
        </is>
      </c>
      <c r="J1085" s="48" t="inlineStr">
        <is>
          <t>TRS</t>
        </is>
      </c>
      <c r="K1085" s="51" t="inlineStr">
        <is>
          <t>PAC</t>
        </is>
      </c>
      <c r="L1085" s="105" t="inlineStr">
        <is>
          <t>VR</t>
        </is>
      </c>
      <c r="M1085" s="210" t="n"/>
      <c r="N1085" s="211" t="inlineStr">
        <is>
          <t>WEB</t>
        </is>
      </c>
      <c r="O1085" s="340" t="inlineStr">
        <is>
          <t>SBL</t>
        </is>
      </c>
      <c r="Q1085" s="271" t="n"/>
      <c r="R1085" s="282" t="n"/>
    </row>
    <row r="1086" ht="18" customHeight="1" s="305">
      <c r="A1086" s="8" t="n">
        <v>1013</v>
      </c>
      <c r="B1086" s="5" t="n">
        <v>77</v>
      </c>
      <c r="C1086" s="72" t="inlineStr">
        <is>
          <t>X</t>
        </is>
      </c>
      <c r="D1086" s="5" t="n">
        <v>330</v>
      </c>
      <c r="E1086" s="73">
        <f>B1086*D1086/10000</f>
        <v/>
      </c>
      <c r="F1086" s="74">
        <f>B1086/30.48</f>
        <v/>
      </c>
      <c r="G1086" s="74">
        <f>D1086/30.48</f>
        <v/>
      </c>
      <c r="H1086" s="615" t="n"/>
      <c r="I1086" s="49" t="inlineStr">
        <is>
          <t>OLD</t>
        </is>
      </c>
      <c r="J1086" s="48" t="inlineStr">
        <is>
          <t>TRS</t>
        </is>
      </c>
      <c r="K1086" s="51" t="inlineStr">
        <is>
          <t>PAC</t>
        </is>
      </c>
      <c r="L1086" s="105" t="inlineStr">
        <is>
          <t>VR</t>
        </is>
      </c>
      <c r="M1086" s="210" t="n"/>
      <c r="N1086" s="211" t="n"/>
      <c r="O1086" s="340" t="inlineStr">
        <is>
          <t>SBL</t>
        </is>
      </c>
      <c r="Q1086" s="271" t="n"/>
      <c r="R1086" s="282" t="n"/>
    </row>
    <row r="1087" ht="18" customHeight="1" s="305">
      <c r="A1087" s="8" t="n">
        <v>1014</v>
      </c>
      <c r="B1087" s="5" t="n">
        <v>101</v>
      </c>
      <c r="C1087" s="72" t="inlineStr">
        <is>
          <t>X</t>
        </is>
      </c>
      <c r="D1087" s="5" t="n">
        <v>379</v>
      </c>
      <c r="E1087" s="73">
        <f>B1087*D1087/10000</f>
        <v/>
      </c>
      <c r="F1087" s="74">
        <f>B1087/30.48</f>
        <v/>
      </c>
      <c r="G1087" s="74">
        <f>D1087/30.48</f>
        <v/>
      </c>
      <c r="H1087" s="615" t="n"/>
      <c r="I1087" s="49" t="inlineStr">
        <is>
          <t>OLD</t>
        </is>
      </c>
      <c r="J1087" s="48" t="inlineStr">
        <is>
          <t>TRS</t>
        </is>
      </c>
      <c r="K1087" s="51" t="inlineStr">
        <is>
          <t>PAC</t>
        </is>
      </c>
      <c r="M1087" s="210" t="n"/>
      <c r="N1087" s="211" t="n"/>
      <c r="O1087" s="340" t="inlineStr">
        <is>
          <t>SBL</t>
        </is>
      </c>
      <c r="Q1087" s="271" t="n"/>
      <c r="R1087" s="282" t="n"/>
    </row>
    <row r="1088" ht="18" customHeight="1" s="305">
      <c r="A1088" s="8" t="n">
        <v>1017</v>
      </c>
      <c r="B1088" s="5" t="n">
        <v>116</v>
      </c>
      <c r="C1088" s="72" t="inlineStr">
        <is>
          <t>X</t>
        </is>
      </c>
      <c r="D1088" s="5" t="n">
        <v>161</v>
      </c>
      <c r="E1088" s="73">
        <f>B1088*D1088/10000</f>
        <v/>
      </c>
      <c r="F1088" s="74">
        <f>B1088/30.48</f>
        <v/>
      </c>
      <c r="G1088" s="74">
        <f>D1088/30.48</f>
        <v/>
      </c>
      <c r="H1088" s="615" t="n"/>
      <c r="I1088" s="49" t="inlineStr">
        <is>
          <t>OLD</t>
        </is>
      </c>
      <c r="J1088" s="48" t="inlineStr">
        <is>
          <t>TRS</t>
        </is>
      </c>
      <c r="L1088" s="105" t="inlineStr">
        <is>
          <t>VR</t>
        </is>
      </c>
      <c r="M1088" s="210" t="n"/>
      <c r="N1088" s="211" t="inlineStr">
        <is>
          <t>WEB</t>
        </is>
      </c>
      <c r="O1088" s="340" t="inlineStr">
        <is>
          <t>SBL</t>
        </is>
      </c>
      <c r="Q1088" s="271" t="n"/>
      <c r="R1088" s="282" t="n"/>
    </row>
    <row r="1089" ht="18" customHeight="1" s="305">
      <c r="A1089" s="8" t="n">
        <v>1021</v>
      </c>
      <c r="B1089" s="5" t="n">
        <v>134</v>
      </c>
      <c r="C1089" s="72" t="inlineStr">
        <is>
          <t>X</t>
        </is>
      </c>
      <c r="D1089" s="5" t="n">
        <v>194</v>
      </c>
      <c r="E1089" s="73">
        <f>B1089*D1089/10000</f>
        <v/>
      </c>
      <c r="F1089" s="74">
        <f>B1089/30.48</f>
        <v/>
      </c>
      <c r="G1089" s="74">
        <f>D1089/30.48</f>
        <v/>
      </c>
      <c r="H1089" s="615" t="n"/>
      <c r="I1089" s="49" t="inlineStr">
        <is>
          <t>OLD</t>
        </is>
      </c>
      <c r="J1089" s="48" t="inlineStr">
        <is>
          <t>TRS</t>
        </is>
      </c>
      <c r="K1089" s="51" t="inlineStr">
        <is>
          <t>PAC</t>
        </is>
      </c>
      <c r="L1089" s="105" t="inlineStr">
        <is>
          <t>VR</t>
        </is>
      </c>
      <c r="M1089" s="210" t="n"/>
      <c r="N1089" s="211" t="n"/>
      <c r="O1089" s="340" t="inlineStr">
        <is>
          <t>SBL</t>
        </is>
      </c>
      <c r="Q1089" s="271" t="n"/>
      <c r="R1089" s="282" t="n"/>
    </row>
    <row r="1090" ht="18" customHeight="1" s="305">
      <c r="A1090" s="8" t="n">
        <v>1033</v>
      </c>
      <c r="B1090" s="5" t="n">
        <v>221</v>
      </c>
      <c r="C1090" s="72" t="inlineStr">
        <is>
          <t>X</t>
        </is>
      </c>
      <c r="D1090" s="5" t="n">
        <v>329</v>
      </c>
      <c r="E1090" s="73">
        <f>B1090*D1090/10000</f>
        <v/>
      </c>
      <c r="F1090" s="74">
        <f>B1090/30.48</f>
        <v/>
      </c>
      <c r="G1090" s="74">
        <f>D1090/30.48</f>
        <v/>
      </c>
      <c r="H1090" s="615" t="n"/>
      <c r="J1090" s="48" t="inlineStr">
        <is>
          <t>TRS</t>
        </is>
      </c>
      <c r="K1090" s="51" t="inlineStr">
        <is>
          <t>PAC</t>
        </is>
      </c>
      <c r="L1090" s="105" t="inlineStr">
        <is>
          <t>VR</t>
        </is>
      </c>
      <c r="M1090" s="210" t="n"/>
      <c r="N1090" s="211" t="n"/>
      <c r="O1090" s="340" t="inlineStr">
        <is>
          <t>SBL</t>
        </is>
      </c>
      <c r="Q1090" s="271" t="n"/>
      <c r="R1090" s="282" t="n"/>
    </row>
    <row r="1091" ht="18" customHeight="1" s="305">
      <c r="A1091" s="8" t="n">
        <v>1038</v>
      </c>
      <c r="B1091" s="5" t="n">
        <v>173</v>
      </c>
      <c r="C1091" s="72" t="inlineStr">
        <is>
          <t>X</t>
        </is>
      </c>
      <c r="D1091" s="5" t="n">
        <v>281</v>
      </c>
      <c r="E1091" s="73">
        <f>B1091*D1091/10000</f>
        <v/>
      </c>
      <c r="F1091" s="74">
        <f>B1091/30.48</f>
        <v/>
      </c>
      <c r="G1091" s="74">
        <f>D1091/30.48</f>
        <v/>
      </c>
      <c r="H1091" s="615" t="n"/>
      <c r="I1091" s="49" t="inlineStr">
        <is>
          <t>OLD</t>
        </is>
      </c>
      <c r="J1091" s="48" t="inlineStr">
        <is>
          <t>TRS</t>
        </is>
      </c>
      <c r="K1091" s="51" t="inlineStr">
        <is>
          <t>PAC</t>
        </is>
      </c>
      <c r="L1091" s="105" t="inlineStr">
        <is>
          <t>VR</t>
        </is>
      </c>
      <c r="M1091" s="210" t="n"/>
      <c r="N1091" s="211" t="n"/>
      <c r="O1091" s="340" t="inlineStr">
        <is>
          <t>SBL</t>
        </is>
      </c>
      <c r="Q1091" s="271" t="n"/>
      <c r="R1091" s="282" t="n"/>
    </row>
    <row r="1092" ht="18" customHeight="1" s="305">
      <c r="A1092" s="8" t="n">
        <v>1039</v>
      </c>
      <c r="B1092" s="5" t="n">
        <v>194</v>
      </c>
      <c r="C1092" s="72" t="inlineStr">
        <is>
          <t>X</t>
        </is>
      </c>
      <c r="D1092" s="5" t="n">
        <v>270</v>
      </c>
      <c r="E1092" s="73">
        <f>B1092*D1092/10000</f>
        <v/>
      </c>
      <c r="F1092" s="74">
        <f>B1092/30.48</f>
        <v/>
      </c>
      <c r="G1092" s="74">
        <f>D1092/30.48</f>
        <v/>
      </c>
      <c r="H1092" s="615" t="n"/>
      <c r="J1092" s="48" t="inlineStr">
        <is>
          <t>TRS</t>
        </is>
      </c>
      <c r="K1092" s="51" t="inlineStr">
        <is>
          <t>PAC</t>
        </is>
      </c>
      <c r="L1092" s="105" t="inlineStr">
        <is>
          <t>VR</t>
        </is>
      </c>
      <c r="M1092" s="210" t="n"/>
      <c r="N1092" s="211" t="n"/>
      <c r="O1092" s="340" t="inlineStr">
        <is>
          <t>SBL</t>
        </is>
      </c>
      <c r="Q1092" s="271" t="n"/>
      <c r="R1092" s="282" t="n"/>
    </row>
    <row r="1093" ht="18" customHeight="1" s="305">
      <c r="A1093" s="8" t="n">
        <v>1040</v>
      </c>
      <c r="B1093" s="5" t="n">
        <v>175</v>
      </c>
      <c r="C1093" s="72" t="inlineStr">
        <is>
          <t>X</t>
        </is>
      </c>
      <c r="D1093" s="5" t="n">
        <v>286</v>
      </c>
      <c r="E1093" s="73">
        <f>B1093*D1093/10000</f>
        <v/>
      </c>
      <c r="F1093" s="74">
        <f>B1093/30.48</f>
        <v/>
      </c>
      <c r="G1093" s="74">
        <f>D1093/30.48</f>
        <v/>
      </c>
      <c r="H1093" s="615" t="n"/>
      <c r="J1093" s="48" t="inlineStr">
        <is>
          <t>TRS</t>
        </is>
      </c>
      <c r="K1093" s="51" t="inlineStr">
        <is>
          <t>PAC</t>
        </is>
      </c>
      <c r="L1093" s="105" t="inlineStr">
        <is>
          <t>VR</t>
        </is>
      </c>
      <c r="M1093" s="210" t="n"/>
      <c r="N1093" s="211" t="n"/>
      <c r="O1093" s="340" t="inlineStr">
        <is>
          <t>SBL</t>
        </is>
      </c>
      <c r="Q1093" s="271" t="n"/>
      <c r="R1093" s="282" t="n"/>
    </row>
    <row r="1094" ht="18" customHeight="1" s="305">
      <c r="A1094" s="8" t="n">
        <v>1041</v>
      </c>
      <c r="B1094" s="5" t="n">
        <v>142</v>
      </c>
      <c r="C1094" s="72" t="inlineStr">
        <is>
          <t>X</t>
        </is>
      </c>
      <c r="D1094" s="5" t="n">
        <v>256</v>
      </c>
      <c r="E1094" s="73">
        <f>B1094*D1094/10000</f>
        <v/>
      </c>
      <c r="F1094" s="74">
        <f>B1094/30.48</f>
        <v/>
      </c>
      <c r="G1094" s="74">
        <f>D1094/30.48</f>
        <v/>
      </c>
      <c r="H1094" s="615" t="n"/>
      <c r="J1094" s="48" t="inlineStr">
        <is>
          <t>TRS</t>
        </is>
      </c>
      <c r="K1094" s="51" t="inlineStr">
        <is>
          <t>PAC</t>
        </is>
      </c>
      <c r="L1094" s="105" t="inlineStr">
        <is>
          <t>VR</t>
        </is>
      </c>
      <c r="M1094" s="210" t="n"/>
      <c r="N1094" s="211" t="n"/>
      <c r="O1094" s="340" t="inlineStr">
        <is>
          <t>SBL</t>
        </is>
      </c>
      <c r="Q1094" s="271" t="n"/>
      <c r="R1094" s="282" t="n"/>
    </row>
    <row r="1095" ht="18" customHeight="1" s="305">
      <c r="A1095" s="8" t="n">
        <v>1044</v>
      </c>
      <c r="B1095" s="5" t="n">
        <v>103</v>
      </c>
      <c r="C1095" s="72" t="inlineStr">
        <is>
          <t>X</t>
        </is>
      </c>
      <c r="D1095" s="5" t="n">
        <v>202</v>
      </c>
      <c r="E1095" s="73">
        <f>B1095*D1095/10000</f>
        <v/>
      </c>
      <c r="F1095" s="74">
        <f>B1095/30.48</f>
        <v/>
      </c>
      <c r="G1095" s="74">
        <f>D1095/30.48</f>
        <v/>
      </c>
      <c r="H1095" s="615" t="n"/>
      <c r="J1095" s="48" t="inlineStr">
        <is>
          <t>TRS</t>
        </is>
      </c>
      <c r="K1095" s="51" t="inlineStr">
        <is>
          <t>PAC</t>
        </is>
      </c>
      <c r="L1095" s="105" t="inlineStr">
        <is>
          <t>VR</t>
        </is>
      </c>
      <c r="M1095" s="210" t="n"/>
      <c r="N1095" s="211" t="n"/>
      <c r="O1095" s="340" t="inlineStr">
        <is>
          <t>SBL</t>
        </is>
      </c>
      <c r="Q1095" s="271" t="n"/>
      <c r="R1095" s="282" t="n"/>
    </row>
    <row r="1096" ht="18" customHeight="1" s="305">
      <c r="A1096" s="8" t="n">
        <v>1048</v>
      </c>
      <c r="B1096" s="5" t="n">
        <v>126</v>
      </c>
      <c r="C1096" s="72" t="inlineStr">
        <is>
          <t>X</t>
        </is>
      </c>
      <c r="D1096" s="5" t="n">
        <v>204</v>
      </c>
      <c r="E1096" s="73">
        <f>B1096*D1096/10000</f>
        <v/>
      </c>
      <c r="F1096" s="74">
        <f>B1096/30.48</f>
        <v/>
      </c>
      <c r="G1096" s="74">
        <f>D1096/30.48</f>
        <v/>
      </c>
      <c r="H1096" s="615" t="n"/>
      <c r="J1096" s="48" t="inlineStr">
        <is>
          <t>TRS</t>
        </is>
      </c>
      <c r="K1096" s="51" t="inlineStr">
        <is>
          <t>PAC</t>
        </is>
      </c>
      <c r="L1096" s="105" t="inlineStr">
        <is>
          <t>VR</t>
        </is>
      </c>
      <c r="M1096" s="210" t="n"/>
      <c r="N1096" s="211" t="n"/>
      <c r="O1096" s="340" t="inlineStr">
        <is>
          <t>SBL</t>
        </is>
      </c>
      <c r="Q1096" s="271" t="n"/>
      <c r="R1096" s="282" t="n"/>
    </row>
    <row r="1097" ht="18" customHeight="1" s="305">
      <c r="A1097" s="8" t="n">
        <v>1052</v>
      </c>
      <c r="B1097" s="5" t="n">
        <v>103</v>
      </c>
      <c r="C1097" s="72" t="inlineStr">
        <is>
          <t>X</t>
        </is>
      </c>
      <c r="D1097" s="5" t="n">
        <v>340</v>
      </c>
      <c r="E1097" s="73">
        <f>B1097*D1097/10000</f>
        <v/>
      </c>
      <c r="F1097" s="74">
        <f>B1097/30.48</f>
        <v/>
      </c>
      <c r="G1097" s="74">
        <f>D1097/30.48</f>
        <v/>
      </c>
      <c r="H1097" s="615" t="n"/>
      <c r="I1097" s="49" t="inlineStr">
        <is>
          <t>OLD</t>
        </is>
      </c>
      <c r="J1097" s="48" t="inlineStr">
        <is>
          <t>TRS</t>
        </is>
      </c>
      <c r="K1097" s="51" t="inlineStr">
        <is>
          <t>PAC</t>
        </is>
      </c>
      <c r="L1097" s="105" t="inlineStr">
        <is>
          <t>VR</t>
        </is>
      </c>
      <c r="M1097" s="210" t="n"/>
      <c r="N1097" s="211" t="n"/>
      <c r="O1097" s="340" t="inlineStr">
        <is>
          <t>SBL</t>
        </is>
      </c>
      <c r="Q1097" s="271" t="n"/>
      <c r="R1097" s="282" t="n"/>
    </row>
    <row r="1098" ht="18" customHeight="1" s="305">
      <c r="A1098" s="8" t="n">
        <v>1053</v>
      </c>
      <c r="B1098" s="5" t="n">
        <v>104</v>
      </c>
      <c r="C1098" s="72" t="inlineStr">
        <is>
          <t>X</t>
        </is>
      </c>
      <c r="D1098" s="5" t="n">
        <v>208</v>
      </c>
      <c r="E1098" s="73">
        <f>B1098*D1098/10000</f>
        <v/>
      </c>
      <c r="F1098" s="74">
        <f>B1098/30.48</f>
        <v/>
      </c>
      <c r="G1098" s="74">
        <f>D1098/30.48</f>
        <v/>
      </c>
      <c r="H1098" s="615" t="n"/>
      <c r="I1098" s="49" t="inlineStr">
        <is>
          <t>OLD</t>
        </is>
      </c>
      <c r="J1098" s="48" t="inlineStr">
        <is>
          <t>TRS</t>
        </is>
      </c>
      <c r="K1098" s="51" t="inlineStr">
        <is>
          <t>PAC</t>
        </is>
      </c>
      <c r="L1098" s="105" t="inlineStr">
        <is>
          <t>VR</t>
        </is>
      </c>
      <c r="M1098" s="210" t="n"/>
      <c r="N1098" s="211" t="n"/>
      <c r="O1098" s="340" t="inlineStr">
        <is>
          <t>SBL</t>
        </is>
      </c>
      <c r="Q1098" s="271" t="n"/>
      <c r="R1098" s="282" t="n"/>
    </row>
    <row r="1099" ht="18" customHeight="1" s="305">
      <c r="A1099" s="8" t="n">
        <v>1054</v>
      </c>
      <c r="B1099" s="5" t="n">
        <v>111</v>
      </c>
      <c r="C1099" s="72" t="inlineStr">
        <is>
          <t>X</t>
        </is>
      </c>
      <c r="D1099" s="5" t="n">
        <v>387</v>
      </c>
      <c r="E1099" s="73">
        <f>B1099*D1099/10000</f>
        <v/>
      </c>
      <c r="F1099" s="74">
        <f>B1099/30.48</f>
        <v/>
      </c>
      <c r="G1099" s="74">
        <f>D1099/30.48</f>
        <v/>
      </c>
      <c r="H1099" s="615" t="n"/>
      <c r="I1099" s="49" t="inlineStr">
        <is>
          <t>OLD</t>
        </is>
      </c>
      <c r="J1099" s="48" t="inlineStr">
        <is>
          <t>TRS</t>
        </is>
      </c>
      <c r="K1099" s="51" t="inlineStr">
        <is>
          <t>PAC</t>
        </is>
      </c>
      <c r="L1099" s="105" t="inlineStr">
        <is>
          <t>VR</t>
        </is>
      </c>
      <c r="M1099" s="210" t="n"/>
      <c r="N1099" s="211" t="n"/>
      <c r="O1099" s="340" t="inlineStr">
        <is>
          <t>SBL</t>
        </is>
      </c>
      <c r="Q1099" s="271" t="n"/>
      <c r="R1099" s="282" t="n"/>
    </row>
    <row r="1100" ht="18" customHeight="1" s="305">
      <c r="A1100" s="8" t="n">
        <v>1060</v>
      </c>
      <c r="B1100" s="5" t="n">
        <v>107</v>
      </c>
      <c r="C1100" s="72" t="inlineStr">
        <is>
          <t>X</t>
        </is>
      </c>
      <c r="D1100" s="5" t="n">
        <v>202</v>
      </c>
      <c r="E1100" s="73">
        <f>B1100*D1100/10000</f>
        <v/>
      </c>
      <c r="F1100" s="74">
        <f>B1100/30.48</f>
        <v/>
      </c>
      <c r="G1100" s="74">
        <f>D1100/30.48</f>
        <v/>
      </c>
      <c r="H1100" s="615" t="n"/>
      <c r="I1100" s="49" t="inlineStr">
        <is>
          <t>OLD</t>
        </is>
      </c>
      <c r="J1100" s="48" t="inlineStr">
        <is>
          <t>TRS</t>
        </is>
      </c>
      <c r="K1100" s="51" t="inlineStr">
        <is>
          <t>PAC</t>
        </is>
      </c>
      <c r="L1100" s="105" t="inlineStr">
        <is>
          <t>VR</t>
        </is>
      </c>
      <c r="M1100" s="210" t="inlineStr">
        <is>
          <t>RK</t>
        </is>
      </c>
      <c r="N1100" s="211" t="n"/>
      <c r="O1100" s="340" t="inlineStr">
        <is>
          <t>SBL</t>
        </is>
      </c>
      <c r="Q1100" s="271" t="n"/>
      <c r="R1100" s="282" t="n"/>
    </row>
    <row r="1101" ht="18" customHeight="1" s="305">
      <c r="A1101" s="8" t="n">
        <v>1061</v>
      </c>
      <c r="B1101" s="5" t="n">
        <v>80</v>
      </c>
      <c r="C1101" s="72" t="inlineStr">
        <is>
          <t>X</t>
        </is>
      </c>
      <c r="D1101" s="5" t="n">
        <v>417</v>
      </c>
      <c r="E1101" s="73">
        <f>B1101*D1101/10000</f>
        <v/>
      </c>
      <c r="F1101" s="74">
        <f>B1101/30.48</f>
        <v/>
      </c>
      <c r="G1101" s="74">
        <f>D1101/30.48</f>
        <v/>
      </c>
      <c r="H1101" s="615" t="n"/>
      <c r="I1101" s="49" t="inlineStr">
        <is>
          <t>OLD</t>
        </is>
      </c>
      <c r="J1101" s="48" t="inlineStr">
        <is>
          <t>TRS</t>
        </is>
      </c>
      <c r="K1101" s="51" t="inlineStr">
        <is>
          <t>PAC</t>
        </is>
      </c>
      <c r="L1101" s="105" t="inlineStr">
        <is>
          <t>VR</t>
        </is>
      </c>
      <c r="M1101" s="210" t="n"/>
      <c r="N1101" s="211" t="n"/>
      <c r="O1101" s="340" t="inlineStr">
        <is>
          <t>SBL</t>
        </is>
      </c>
      <c r="Q1101" s="271" t="n"/>
      <c r="R1101" s="282" t="n"/>
    </row>
    <row r="1102" ht="18" customHeight="1" s="305">
      <c r="A1102" s="8" t="n">
        <v>1065</v>
      </c>
      <c r="B1102" s="5" t="n">
        <v>95</v>
      </c>
      <c r="C1102" s="72" t="inlineStr">
        <is>
          <t>X</t>
        </is>
      </c>
      <c r="D1102" s="5" t="n">
        <v>283</v>
      </c>
      <c r="E1102" s="73">
        <f>B1102*D1102/10000</f>
        <v/>
      </c>
      <c r="F1102" s="74">
        <f>B1102/30.48</f>
        <v/>
      </c>
      <c r="G1102" s="74">
        <f>D1102/30.48</f>
        <v/>
      </c>
      <c r="H1102" s="615" t="n"/>
      <c r="I1102" s="49" t="inlineStr">
        <is>
          <t>OLD</t>
        </is>
      </c>
      <c r="J1102" s="48" t="inlineStr">
        <is>
          <t>TRS</t>
        </is>
      </c>
      <c r="K1102" s="51" t="inlineStr">
        <is>
          <t>PAC</t>
        </is>
      </c>
      <c r="M1102" s="210" t="n"/>
      <c r="N1102" s="211" t="n"/>
      <c r="O1102" s="340" t="inlineStr">
        <is>
          <t>SBL</t>
        </is>
      </c>
      <c r="Q1102" s="271" t="n"/>
      <c r="R1102" s="282" t="n"/>
    </row>
    <row r="1103" ht="18" customHeight="1" s="305">
      <c r="A1103" s="8" t="n">
        <v>1066</v>
      </c>
      <c r="B1103" s="5" t="n">
        <v>150</v>
      </c>
      <c r="C1103" s="72" t="inlineStr">
        <is>
          <t>X</t>
        </is>
      </c>
      <c r="D1103" s="5" t="n">
        <v>263</v>
      </c>
      <c r="E1103" s="73">
        <f>B1103*D1103/10000</f>
        <v/>
      </c>
      <c r="F1103" s="74">
        <f>B1103/30.48</f>
        <v/>
      </c>
      <c r="G1103" s="74">
        <f>D1103/30.48</f>
        <v/>
      </c>
      <c r="H1103" s="615" t="n"/>
      <c r="I1103" s="49" t="inlineStr">
        <is>
          <t>OLD</t>
        </is>
      </c>
      <c r="J1103" s="48" t="inlineStr">
        <is>
          <t>TRS</t>
        </is>
      </c>
      <c r="L1103" s="105" t="inlineStr">
        <is>
          <t>VR</t>
        </is>
      </c>
      <c r="M1103" s="210" t="n"/>
      <c r="N1103" s="211" t="n"/>
      <c r="O1103" s="340" t="inlineStr">
        <is>
          <t>SBL</t>
        </is>
      </c>
      <c r="Q1103" s="271" t="n"/>
      <c r="R1103" s="282" t="n"/>
    </row>
    <row r="1104" ht="18" customHeight="1" s="305">
      <c r="A1104" s="8" t="n">
        <v>1067</v>
      </c>
      <c r="B1104" s="5" t="n">
        <v>90</v>
      </c>
      <c r="C1104" s="72" t="inlineStr">
        <is>
          <t>X</t>
        </is>
      </c>
      <c r="D1104" s="5" t="n">
        <v>373</v>
      </c>
      <c r="E1104" s="73">
        <f>B1104*D1104/10000</f>
        <v/>
      </c>
      <c r="F1104" s="74">
        <f>B1104/30.48</f>
        <v/>
      </c>
      <c r="G1104" s="74">
        <f>D1104/30.48</f>
        <v/>
      </c>
      <c r="H1104" s="615" t="n"/>
      <c r="I1104" s="49" t="inlineStr">
        <is>
          <t>OLD</t>
        </is>
      </c>
      <c r="J1104" s="48" t="inlineStr">
        <is>
          <t>TRS</t>
        </is>
      </c>
      <c r="K1104" s="51" t="inlineStr">
        <is>
          <t>PAC</t>
        </is>
      </c>
      <c r="L1104" s="105" t="inlineStr">
        <is>
          <t>VR</t>
        </is>
      </c>
      <c r="M1104" s="210" t="n"/>
      <c r="N1104" s="211" t="n"/>
      <c r="O1104" s="340" t="inlineStr">
        <is>
          <t>SBL</t>
        </is>
      </c>
      <c r="Q1104" s="271" t="n"/>
      <c r="R1104" s="282" t="n"/>
    </row>
    <row r="1105" ht="18" customHeight="1" s="305">
      <c r="A1105" s="8" t="n">
        <v>1068</v>
      </c>
      <c r="B1105" s="5" t="n">
        <v>220</v>
      </c>
      <c r="C1105" s="72" t="inlineStr">
        <is>
          <t>X</t>
        </is>
      </c>
      <c r="D1105" s="5" t="n">
        <v>312</v>
      </c>
      <c r="E1105" s="73">
        <f>B1105*D1105/10000</f>
        <v/>
      </c>
      <c r="F1105" s="74">
        <f>B1105/30.48</f>
        <v/>
      </c>
      <c r="G1105" s="74">
        <f>D1105/30.48</f>
        <v/>
      </c>
      <c r="H1105" s="615" t="n"/>
      <c r="K1105" s="51" t="inlineStr">
        <is>
          <t>PAC</t>
        </is>
      </c>
      <c r="L1105" s="105" t="inlineStr">
        <is>
          <t>VR</t>
        </is>
      </c>
      <c r="M1105" s="210" t="n"/>
      <c r="N1105" s="211" t="n"/>
      <c r="O1105" s="340" t="inlineStr">
        <is>
          <t>SBL</t>
        </is>
      </c>
      <c r="Q1105" s="271" t="n"/>
      <c r="R1105" s="282" t="n"/>
    </row>
    <row r="1106" ht="18" customHeight="1" s="305">
      <c r="A1106" s="8" t="n">
        <v>1082</v>
      </c>
      <c r="B1106" s="5" t="n">
        <v>64</v>
      </c>
      <c r="C1106" s="72" t="inlineStr">
        <is>
          <t>X</t>
        </is>
      </c>
      <c r="D1106" s="5" t="n">
        <v>172</v>
      </c>
      <c r="E1106" s="73">
        <f>B1106*D1106/10000</f>
        <v/>
      </c>
      <c r="F1106" s="74">
        <f>B1106/30.48</f>
        <v/>
      </c>
      <c r="G1106" s="74">
        <f>D1106/30.48</f>
        <v/>
      </c>
      <c r="H1106" s="615" t="n"/>
      <c r="I1106" s="49" t="inlineStr">
        <is>
          <t>OLD</t>
        </is>
      </c>
      <c r="J1106" s="48" t="inlineStr">
        <is>
          <t>TRS</t>
        </is>
      </c>
      <c r="K1106" s="51" t="inlineStr">
        <is>
          <t>PAC</t>
        </is>
      </c>
      <c r="L1106" s="105" t="inlineStr">
        <is>
          <t>VR</t>
        </is>
      </c>
      <c r="M1106" s="210" t="n"/>
      <c r="N1106" s="211" t="n"/>
      <c r="O1106" s="340" t="inlineStr">
        <is>
          <t>SBL</t>
        </is>
      </c>
      <c r="Q1106" s="271" t="n"/>
      <c r="R1106" s="282" t="n"/>
    </row>
    <row r="1107" ht="18" customHeight="1" s="305">
      <c r="A1107" s="8" t="n">
        <v>1083</v>
      </c>
      <c r="B1107" s="5" t="n">
        <v>112</v>
      </c>
      <c r="C1107" s="72" t="inlineStr">
        <is>
          <t>X</t>
        </is>
      </c>
      <c r="D1107" s="5" t="n">
        <v>201</v>
      </c>
      <c r="E1107" s="73">
        <f>B1107*D1107/10000</f>
        <v/>
      </c>
      <c r="F1107" s="74">
        <f>B1107/30.48</f>
        <v/>
      </c>
      <c r="G1107" s="74">
        <f>D1107/30.48</f>
        <v/>
      </c>
      <c r="H1107" s="615" t="n"/>
      <c r="I1107" s="49" t="inlineStr">
        <is>
          <t>OLD</t>
        </is>
      </c>
      <c r="J1107" s="48" t="inlineStr">
        <is>
          <t>TRS</t>
        </is>
      </c>
      <c r="K1107" s="51" t="inlineStr">
        <is>
          <t>PAC</t>
        </is>
      </c>
      <c r="L1107" s="105" t="inlineStr">
        <is>
          <t>VR</t>
        </is>
      </c>
      <c r="M1107" s="210" t="n"/>
      <c r="N1107" s="211" t="n"/>
      <c r="O1107" s="340" t="inlineStr">
        <is>
          <t>SBL</t>
        </is>
      </c>
      <c r="Q1107" s="271" t="n"/>
      <c r="R1107" s="282" t="n"/>
    </row>
    <row r="1108" ht="18" customHeight="1" s="305">
      <c r="A1108" s="8" t="n">
        <v>1096</v>
      </c>
      <c r="B1108" s="5" t="n">
        <v>86</v>
      </c>
      <c r="C1108" s="72" t="inlineStr">
        <is>
          <t>X</t>
        </is>
      </c>
      <c r="D1108" s="5" t="n">
        <v>336</v>
      </c>
      <c r="E1108" s="73">
        <f>B1108*D1108/10000</f>
        <v/>
      </c>
      <c r="F1108" s="74">
        <f>B1108/30.48</f>
        <v/>
      </c>
      <c r="G1108" s="74">
        <f>D1108/30.48</f>
        <v/>
      </c>
      <c r="H1108" s="615" t="n"/>
      <c r="I1108" s="49" t="inlineStr">
        <is>
          <t>OLD</t>
        </is>
      </c>
      <c r="J1108" s="48" t="inlineStr">
        <is>
          <t>TRS</t>
        </is>
      </c>
      <c r="K1108" s="51" t="inlineStr">
        <is>
          <t>PAC</t>
        </is>
      </c>
      <c r="L1108" s="105" t="inlineStr">
        <is>
          <t>VR</t>
        </is>
      </c>
      <c r="M1108" s="210" t="n"/>
      <c r="N1108" s="211" t="n"/>
      <c r="O1108" s="340" t="inlineStr">
        <is>
          <t>SBL</t>
        </is>
      </c>
      <c r="Q1108" s="271" t="n"/>
      <c r="R1108" s="282" t="n"/>
    </row>
    <row r="1109" ht="18" customHeight="1" s="305">
      <c r="A1109" s="8" t="n">
        <v>1097</v>
      </c>
      <c r="B1109" s="5" t="n">
        <v>83</v>
      </c>
      <c r="C1109" s="72" t="inlineStr">
        <is>
          <t>X</t>
        </is>
      </c>
      <c r="D1109" s="5" t="n">
        <v>336</v>
      </c>
      <c r="E1109" s="73">
        <f>B1109*D1109/10000</f>
        <v/>
      </c>
      <c r="F1109" s="74">
        <f>B1109/30.48</f>
        <v/>
      </c>
      <c r="G1109" s="74">
        <f>D1109/30.48</f>
        <v/>
      </c>
      <c r="H1109" s="615" t="n"/>
      <c r="I1109" s="49" t="inlineStr">
        <is>
          <t>OLD</t>
        </is>
      </c>
      <c r="J1109" s="48" t="inlineStr">
        <is>
          <t>TRS</t>
        </is>
      </c>
      <c r="K1109" s="51" t="inlineStr">
        <is>
          <t>PAC</t>
        </is>
      </c>
      <c r="L1109" s="105" t="inlineStr">
        <is>
          <t>VR</t>
        </is>
      </c>
      <c r="M1109" s="210" t="n"/>
      <c r="N1109" s="211" t="n"/>
      <c r="O1109" s="340" t="inlineStr">
        <is>
          <t>SBL</t>
        </is>
      </c>
      <c r="Q1109" s="271" t="n"/>
      <c r="R1109" s="282" t="n"/>
    </row>
    <row r="1110" ht="18" customHeight="1" s="305">
      <c r="A1110" s="8" t="n">
        <v>1099</v>
      </c>
      <c r="B1110" s="5" t="n">
        <v>251</v>
      </c>
      <c r="C1110" s="72" t="inlineStr">
        <is>
          <t>X</t>
        </is>
      </c>
      <c r="D1110" s="5" t="n">
        <v>339</v>
      </c>
      <c r="E1110" s="73">
        <f>B1110*D1110/10000</f>
        <v/>
      </c>
      <c r="F1110" s="74">
        <f>B1110/30.48</f>
        <v/>
      </c>
      <c r="G1110" s="74">
        <f>D1110/30.48</f>
        <v/>
      </c>
      <c r="H1110" s="615" t="n"/>
      <c r="J1110" s="48" t="inlineStr">
        <is>
          <t>TRS</t>
        </is>
      </c>
      <c r="K1110" s="51" t="inlineStr">
        <is>
          <t>PAC</t>
        </is>
      </c>
      <c r="L1110" s="105" t="inlineStr">
        <is>
          <t>VR</t>
        </is>
      </c>
      <c r="M1110" s="210" t="n"/>
      <c r="N1110" s="211" t="n"/>
      <c r="O1110" s="340" t="inlineStr">
        <is>
          <t>SBL</t>
        </is>
      </c>
      <c r="Q1110" s="271" t="n"/>
      <c r="R1110" s="282" t="n"/>
    </row>
    <row r="1111" ht="18" customHeight="1" s="305">
      <c r="A1111" s="8" t="n">
        <v>1100</v>
      </c>
      <c r="B1111" s="5" t="n">
        <v>81</v>
      </c>
      <c r="C1111" s="72" t="inlineStr">
        <is>
          <t>X</t>
        </is>
      </c>
      <c r="D1111" s="5" t="n">
        <v>360</v>
      </c>
      <c r="E1111" s="73">
        <f>B1111*D1111/10000</f>
        <v/>
      </c>
      <c r="F1111" s="74">
        <f>B1111/30.48</f>
        <v/>
      </c>
      <c r="G1111" s="74">
        <f>D1111/30.48</f>
        <v/>
      </c>
      <c r="H1111" s="615" t="n"/>
      <c r="I1111" s="49" t="inlineStr">
        <is>
          <t>OLD</t>
        </is>
      </c>
      <c r="J1111" s="48" t="inlineStr">
        <is>
          <t>TRS</t>
        </is>
      </c>
      <c r="K1111" s="51" t="inlineStr">
        <is>
          <t>PAC</t>
        </is>
      </c>
      <c r="L1111" s="105" t="inlineStr">
        <is>
          <t>VR</t>
        </is>
      </c>
      <c r="M1111" s="210" t="n"/>
      <c r="N1111" s="211" t="n"/>
      <c r="O1111" s="340" t="inlineStr">
        <is>
          <t>SBL</t>
        </is>
      </c>
      <c r="Q1111" s="271" t="n"/>
      <c r="R1111" s="282" t="n"/>
    </row>
    <row r="1112" ht="18" customHeight="1" s="305">
      <c r="A1112" s="8" t="n">
        <v>1102</v>
      </c>
      <c r="B1112" s="5" t="n">
        <v>116</v>
      </c>
      <c r="C1112" s="72" t="inlineStr">
        <is>
          <t>X</t>
        </is>
      </c>
      <c r="D1112" s="5" t="n">
        <v>204</v>
      </c>
      <c r="E1112" s="73">
        <f>B1112*D1112/10000</f>
        <v/>
      </c>
      <c r="F1112" s="74">
        <f>B1112/30.48</f>
        <v/>
      </c>
      <c r="G1112" s="74">
        <f>D1112/30.48</f>
        <v/>
      </c>
      <c r="H1112" s="615" t="n"/>
      <c r="I1112" s="49" t="inlineStr">
        <is>
          <t>OLD</t>
        </is>
      </c>
      <c r="J1112" s="48" t="inlineStr">
        <is>
          <t>TRS</t>
        </is>
      </c>
      <c r="K1112" s="51" t="inlineStr">
        <is>
          <t>PAC</t>
        </is>
      </c>
      <c r="L1112" s="105" t="inlineStr">
        <is>
          <t>VR</t>
        </is>
      </c>
      <c r="M1112" s="210" t="n"/>
      <c r="N1112" s="211" t="n"/>
      <c r="O1112" s="340" t="inlineStr">
        <is>
          <t>SBL</t>
        </is>
      </c>
      <c r="Q1112" s="271" t="n"/>
      <c r="R1112" s="282" t="n"/>
    </row>
    <row r="1113" ht="18" customHeight="1" s="305">
      <c r="A1113" s="8" t="n">
        <v>1103</v>
      </c>
      <c r="B1113" s="5" t="n">
        <v>130</v>
      </c>
      <c r="C1113" s="72" t="inlineStr">
        <is>
          <t>X</t>
        </is>
      </c>
      <c r="D1113" s="5" t="n">
        <v>221</v>
      </c>
      <c r="E1113" s="73">
        <f>B1113*D1113/10000</f>
        <v/>
      </c>
      <c r="F1113" s="74">
        <f>B1113/30.48</f>
        <v/>
      </c>
      <c r="G1113" s="74">
        <f>D1113/30.48</f>
        <v/>
      </c>
      <c r="H1113" s="615" t="n"/>
      <c r="I1113" s="49" t="inlineStr">
        <is>
          <t>OLD</t>
        </is>
      </c>
      <c r="J1113" s="48" t="inlineStr">
        <is>
          <t>TRS</t>
        </is>
      </c>
      <c r="K1113" s="51" t="inlineStr">
        <is>
          <t>PAC</t>
        </is>
      </c>
      <c r="L1113" s="105" t="inlineStr">
        <is>
          <t>VR</t>
        </is>
      </c>
      <c r="M1113" s="210" t="inlineStr">
        <is>
          <t>RK</t>
        </is>
      </c>
      <c r="N1113" s="211" t="n"/>
      <c r="O1113" s="340" t="inlineStr">
        <is>
          <t>SBL</t>
        </is>
      </c>
      <c r="Q1113" s="271" t="n"/>
      <c r="R1113" s="282" t="n"/>
    </row>
    <row r="1114" ht="18" customHeight="1" s="305">
      <c r="A1114" s="8" t="n">
        <v>1105</v>
      </c>
      <c r="B1114" s="5" t="n">
        <v>92</v>
      </c>
      <c r="C1114" s="72" t="inlineStr">
        <is>
          <t>X</t>
        </is>
      </c>
      <c r="D1114" s="5" t="n">
        <v>364</v>
      </c>
      <c r="E1114" s="73">
        <f>B1114*D1114/10000</f>
        <v/>
      </c>
      <c r="F1114" s="74">
        <f>B1114/30.48</f>
        <v/>
      </c>
      <c r="G1114" s="74">
        <f>D1114/30.48</f>
        <v/>
      </c>
      <c r="H1114" s="615" t="n"/>
      <c r="J1114" s="48" t="inlineStr">
        <is>
          <t>TRS</t>
        </is>
      </c>
      <c r="K1114" s="51" t="inlineStr">
        <is>
          <t>PAC</t>
        </is>
      </c>
      <c r="M1114" s="210" t="n"/>
      <c r="N1114" s="211" t="n"/>
      <c r="O1114" s="340" t="inlineStr">
        <is>
          <t>SBL</t>
        </is>
      </c>
      <c r="Q1114" s="271" t="n"/>
      <c r="R1114" s="282" t="n"/>
    </row>
    <row r="1115" ht="18" customHeight="1" s="305">
      <c r="A1115" s="8" t="n">
        <v>1107</v>
      </c>
      <c r="B1115" s="5" t="n">
        <v>117</v>
      </c>
      <c r="C1115" s="72" t="inlineStr">
        <is>
          <t>X</t>
        </is>
      </c>
      <c r="D1115" s="5" t="n">
        <v>204</v>
      </c>
      <c r="E1115" s="73">
        <f>B1115*D1115/10000</f>
        <v/>
      </c>
      <c r="F1115" s="74">
        <f>B1115/30.48</f>
        <v/>
      </c>
      <c r="G1115" s="74">
        <f>D1115/30.48</f>
        <v/>
      </c>
      <c r="H1115" s="615" t="n"/>
      <c r="I1115" s="49" t="inlineStr">
        <is>
          <t>OLD</t>
        </is>
      </c>
      <c r="J1115" s="48" t="inlineStr">
        <is>
          <t>TRS</t>
        </is>
      </c>
      <c r="K1115" s="51" t="inlineStr">
        <is>
          <t>PAC</t>
        </is>
      </c>
      <c r="L1115" s="105" t="inlineStr">
        <is>
          <t>VR</t>
        </is>
      </c>
      <c r="M1115" s="210" t="n"/>
      <c r="N1115" s="211" t="n"/>
      <c r="O1115" s="340" t="inlineStr">
        <is>
          <t>SBL</t>
        </is>
      </c>
      <c r="Q1115" s="271" t="n"/>
      <c r="R1115" s="282" t="n"/>
    </row>
    <row r="1116" ht="18" customHeight="1" s="305">
      <c r="A1116" s="8" t="n">
        <v>1109</v>
      </c>
      <c r="B1116" s="5" t="n">
        <v>90</v>
      </c>
      <c r="C1116" s="72" t="inlineStr">
        <is>
          <t>X</t>
        </is>
      </c>
      <c r="D1116" s="5" t="n">
        <v>180</v>
      </c>
      <c r="E1116" s="73">
        <f>B1116*D1116/10000</f>
        <v/>
      </c>
      <c r="F1116" s="74">
        <f>B1116/30.48</f>
        <v/>
      </c>
      <c r="G1116" s="74">
        <f>D1116/30.48</f>
        <v/>
      </c>
      <c r="H1116" s="615" t="n"/>
      <c r="I1116" s="49" t="inlineStr">
        <is>
          <t>OLD</t>
        </is>
      </c>
      <c r="J1116" s="48" t="inlineStr">
        <is>
          <t>TRS</t>
        </is>
      </c>
      <c r="K1116" s="51" t="inlineStr">
        <is>
          <t>PAC</t>
        </is>
      </c>
      <c r="L1116" s="105" t="inlineStr">
        <is>
          <t>VR</t>
        </is>
      </c>
      <c r="M1116" s="210" t="n"/>
      <c r="N1116" s="211" t="n"/>
      <c r="O1116" s="340" t="inlineStr">
        <is>
          <t>SBL</t>
        </is>
      </c>
      <c r="Q1116" s="271" t="n"/>
      <c r="R1116" s="282" t="n"/>
    </row>
    <row r="1117" ht="18" customHeight="1" s="305">
      <c r="A1117" s="8" t="n">
        <v>1111</v>
      </c>
      <c r="B1117" s="5" t="n">
        <v>77</v>
      </c>
      <c r="C1117" s="72" t="inlineStr">
        <is>
          <t>X</t>
        </is>
      </c>
      <c r="D1117" s="5" t="n">
        <v>327</v>
      </c>
      <c r="E1117" s="73">
        <f>B1117*D1117/10000</f>
        <v/>
      </c>
      <c r="F1117" s="74">
        <f>B1117/30.48</f>
        <v/>
      </c>
      <c r="G1117" s="74">
        <f>D1117/30.48</f>
        <v/>
      </c>
      <c r="H1117" s="615" t="n"/>
      <c r="I1117" s="49" t="inlineStr">
        <is>
          <t>OLD</t>
        </is>
      </c>
      <c r="J1117" s="48" t="inlineStr">
        <is>
          <t>TRS</t>
        </is>
      </c>
      <c r="K1117" s="51" t="inlineStr">
        <is>
          <t>PAC</t>
        </is>
      </c>
      <c r="L1117" s="105" t="inlineStr">
        <is>
          <t>VR</t>
        </is>
      </c>
      <c r="M1117" s="210" t="n"/>
      <c r="N1117" s="211" t="n"/>
      <c r="O1117" s="340" t="inlineStr">
        <is>
          <t>SBL</t>
        </is>
      </c>
      <c r="Q1117" s="271" t="n"/>
      <c r="R1117" s="282" t="n"/>
    </row>
    <row r="1118" ht="18" customHeight="1" s="305">
      <c r="A1118" s="8" t="n">
        <v>1114</v>
      </c>
      <c r="B1118" s="5" t="n">
        <v>121</v>
      </c>
      <c r="C1118" s="72" t="inlineStr">
        <is>
          <t>X</t>
        </is>
      </c>
      <c r="D1118" s="5" t="n">
        <v>199</v>
      </c>
      <c r="E1118" s="73">
        <f>B1118*D1118/10000</f>
        <v/>
      </c>
      <c r="F1118" s="74">
        <f>B1118/30.48</f>
        <v/>
      </c>
      <c r="G1118" s="74">
        <f>D1118/30.48</f>
        <v/>
      </c>
      <c r="H1118" s="615" t="n"/>
      <c r="I1118" s="49" t="inlineStr">
        <is>
          <t>OLD</t>
        </is>
      </c>
      <c r="J1118" s="48" t="inlineStr">
        <is>
          <t>TRS</t>
        </is>
      </c>
      <c r="K1118" s="51" t="inlineStr">
        <is>
          <t>PAC</t>
        </is>
      </c>
      <c r="L1118" s="105" t="inlineStr">
        <is>
          <t>VR</t>
        </is>
      </c>
      <c r="M1118" s="210" t="n"/>
      <c r="N1118" s="211" t="n"/>
      <c r="O1118" s="340" t="inlineStr">
        <is>
          <t>SBL</t>
        </is>
      </c>
      <c r="Q1118" s="271" t="n"/>
      <c r="R1118" s="282" t="n"/>
    </row>
    <row r="1119" ht="18" customHeight="1" s="305">
      <c r="A1119" s="8" t="n">
        <v>1120</v>
      </c>
      <c r="B1119" s="5" t="n">
        <v>132</v>
      </c>
      <c r="C1119" s="72" t="inlineStr">
        <is>
          <t>X</t>
        </is>
      </c>
      <c r="D1119" s="5" t="n">
        <v>208</v>
      </c>
      <c r="E1119" s="73">
        <f>B1119*D1119/10000</f>
        <v/>
      </c>
      <c r="F1119" s="74">
        <f>B1119/30.48</f>
        <v/>
      </c>
      <c r="G1119" s="74">
        <f>D1119/30.48</f>
        <v/>
      </c>
      <c r="H1119" s="615" t="n"/>
      <c r="I1119" s="49" t="inlineStr">
        <is>
          <t>OLD</t>
        </is>
      </c>
      <c r="J1119" s="48" t="inlineStr">
        <is>
          <t>TRS</t>
        </is>
      </c>
      <c r="K1119" s="51" t="inlineStr">
        <is>
          <t>PAC</t>
        </is>
      </c>
      <c r="L1119" s="105" t="inlineStr">
        <is>
          <t>VR</t>
        </is>
      </c>
      <c r="M1119" s="210" t="n"/>
      <c r="N1119" s="211" t="n"/>
      <c r="O1119" s="340" t="inlineStr">
        <is>
          <t>SBL</t>
        </is>
      </c>
      <c r="Q1119" s="271" t="n"/>
      <c r="R1119" s="282" t="n"/>
    </row>
    <row r="1120" ht="18" customHeight="1" s="305">
      <c r="A1120" s="8" t="n">
        <v>1122</v>
      </c>
      <c r="B1120" s="5" t="n">
        <v>83</v>
      </c>
      <c r="C1120" s="72" t="inlineStr">
        <is>
          <t>X</t>
        </is>
      </c>
      <c r="D1120" s="5" t="n">
        <v>301</v>
      </c>
      <c r="E1120" s="73">
        <f>B1120*D1120/10000</f>
        <v/>
      </c>
      <c r="F1120" s="74">
        <f>B1120/30.48</f>
        <v/>
      </c>
      <c r="G1120" s="74">
        <f>D1120/30.48</f>
        <v/>
      </c>
      <c r="H1120" s="615" t="n"/>
      <c r="I1120" s="49" t="inlineStr">
        <is>
          <t>OLD</t>
        </is>
      </c>
      <c r="J1120" s="48" t="inlineStr">
        <is>
          <t>TRS</t>
        </is>
      </c>
      <c r="K1120" s="51" t="inlineStr">
        <is>
          <t>PAC</t>
        </is>
      </c>
      <c r="L1120" s="105" t="inlineStr">
        <is>
          <t>VR</t>
        </is>
      </c>
      <c r="M1120" s="210" t="n"/>
      <c r="N1120" s="211" t="n"/>
      <c r="O1120" s="340" t="inlineStr">
        <is>
          <t>SBL</t>
        </is>
      </c>
      <c r="Q1120" s="271" t="n"/>
      <c r="R1120" s="282" t="n"/>
    </row>
    <row r="1121" ht="18" customHeight="1" s="305">
      <c r="A1121" s="8" t="n">
        <v>1123</v>
      </c>
      <c r="B1121" s="5" t="n">
        <v>113</v>
      </c>
      <c r="C1121" s="72" t="inlineStr">
        <is>
          <t>X</t>
        </is>
      </c>
      <c r="D1121" s="5" t="n">
        <v>341</v>
      </c>
      <c r="E1121" s="73">
        <f>B1121*D1121/10000</f>
        <v/>
      </c>
      <c r="F1121" s="74">
        <f>B1121/30.48</f>
        <v/>
      </c>
      <c r="G1121" s="74">
        <f>D1121/30.48</f>
        <v/>
      </c>
      <c r="H1121" s="615" t="n"/>
      <c r="I1121" s="49" t="inlineStr">
        <is>
          <t>OLD</t>
        </is>
      </c>
      <c r="J1121" s="48" t="inlineStr">
        <is>
          <t>TRS</t>
        </is>
      </c>
      <c r="K1121" s="51" t="inlineStr">
        <is>
          <t>PAC</t>
        </is>
      </c>
      <c r="L1121" s="105" t="inlineStr">
        <is>
          <t>VR</t>
        </is>
      </c>
      <c r="M1121" s="210" t="n"/>
      <c r="N1121" s="211" t="n"/>
      <c r="O1121" s="340" t="inlineStr">
        <is>
          <t>SBL</t>
        </is>
      </c>
      <c r="Q1121" s="271" t="n"/>
      <c r="R1121" s="282" t="n"/>
    </row>
    <row r="1122" ht="18" customHeight="1" s="305">
      <c r="A1122" s="8" t="n">
        <v>1127</v>
      </c>
      <c r="B1122" s="5" t="n">
        <v>155</v>
      </c>
      <c r="C1122" s="72" t="inlineStr">
        <is>
          <t>X</t>
        </is>
      </c>
      <c r="D1122" s="5" t="n">
        <v>248</v>
      </c>
      <c r="E1122" s="73">
        <f>B1122*D1122/10000</f>
        <v/>
      </c>
      <c r="F1122" s="74">
        <f>B1122/30.48</f>
        <v/>
      </c>
      <c r="G1122" s="74">
        <f>D1122/30.48</f>
        <v/>
      </c>
      <c r="H1122" s="615" t="n"/>
      <c r="I1122" s="49" t="inlineStr">
        <is>
          <t>OLD</t>
        </is>
      </c>
      <c r="K1122" s="51" t="inlineStr">
        <is>
          <t>PAC</t>
        </is>
      </c>
      <c r="L1122" s="105" t="inlineStr">
        <is>
          <t>VR</t>
        </is>
      </c>
      <c r="M1122" s="210" t="n"/>
      <c r="N1122" s="211" t="n"/>
      <c r="O1122" s="340" t="inlineStr">
        <is>
          <t>SBL</t>
        </is>
      </c>
      <c r="Q1122" s="271" t="n"/>
      <c r="R1122" s="282" t="n"/>
    </row>
    <row r="1123" ht="18" customHeight="1" s="305">
      <c r="A1123" s="8" t="n">
        <v>1129</v>
      </c>
      <c r="B1123" s="5" t="n">
        <v>113</v>
      </c>
      <c r="C1123" s="72" t="inlineStr">
        <is>
          <t>X</t>
        </is>
      </c>
      <c r="D1123" s="5" t="n">
        <v>422</v>
      </c>
      <c r="E1123" s="73">
        <f>B1123*D1123/10000</f>
        <v/>
      </c>
      <c r="F1123" s="74">
        <f>B1123/30.48</f>
        <v/>
      </c>
      <c r="G1123" s="74">
        <f>D1123/30.48</f>
        <v/>
      </c>
      <c r="H1123" s="615" t="n"/>
      <c r="I1123" s="49" t="inlineStr">
        <is>
          <t>OLD</t>
        </is>
      </c>
      <c r="J1123" s="48" t="inlineStr">
        <is>
          <t>TRS</t>
        </is>
      </c>
      <c r="L1123" s="105" t="inlineStr">
        <is>
          <t>VR</t>
        </is>
      </c>
      <c r="M1123" s="210" t="n"/>
      <c r="N1123" s="211" t="n"/>
      <c r="O1123" s="340" t="inlineStr">
        <is>
          <t>SBL</t>
        </is>
      </c>
      <c r="Q1123" s="271" t="n"/>
      <c r="R1123" s="282" t="n"/>
    </row>
    <row r="1124" ht="18" customHeight="1" s="305">
      <c r="A1124" s="8" t="n">
        <v>1130</v>
      </c>
      <c r="B1124" s="5" t="n">
        <v>90</v>
      </c>
      <c r="C1124" s="72" t="inlineStr">
        <is>
          <t>X</t>
        </is>
      </c>
      <c r="D1124" s="5" t="n">
        <v>378</v>
      </c>
      <c r="E1124" s="73">
        <f>B1124*D1124/10000</f>
        <v/>
      </c>
      <c r="F1124" s="74">
        <f>B1124/30.48</f>
        <v/>
      </c>
      <c r="G1124" s="74">
        <f>D1124/30.48</f>
        <v/>
      </c>
      <c r="H1124" s="615" t="n"/>
      <c r="I1124" s="49" t="inlineStr">
        <is>
          <t>OLD</t>
        </is>
      </c>
      <c r="J1124" s="48" t="inlineStr">
        <is>
          <t>TRS</t>
        </is>
      </c>
      <c r="K1124" s="51" t="inlineStr">
        <is>
          <t>PAC</t>
        </is>
      </c>
      <c r="L1124" s="105" t="inlineStr">
        <is>
          <t>VR</t>
        </is>
      </c>
      <c r="M1124" s="210" t="n"/>
      <c r="N1124" s="211" t="n"/>
      <c r="O1124" s="340" t="inlineStr">
        <is>
          <t>SBL</t>
        </is>
      </c>
      <c r="Q1124" s="271" t="n"/>
      <c r="R1124" s="282" t="n"/>
    </row>
    <row r="1125" ht="18" customHeight="1" s="305">
      <c r="A1125" s="8" t="n">
        <v>1131</v>
      </c>
      <c r="B1125" s="5" t="n">
        <v>93</v>
      </c>
      <c r="C1125" s="72" t="inlineStr">
        <is>
          <t>X</t>
        </is>
      </c>
      <c r="D1125" s="5" t="n">
        <v>440</v>
      </c>
      <c r="E1125" s="73">
        <f>B1125*D1125/10000</f>
        <v/>
      </c>
      <c r="F1125" s="74">
        <f>B1125/30.48</f>
        <v/>
      </c>
      <c r="G1125" s="74">
        <f>D1125/30.48</f>
        <v/>
      </c>
      <c r="H1125" s="615" t="n"/>
      <c r="J1125" s="48" t="inlineStr">
        <is>
          <t>TRS</t>
        </is>
      </c>
      <c r="K1125" s="51" t="inlineStr">
        <is>
          <t>PAC</t>
        </is>
      </c>
      <c r="L1125" s="105" t="inlineStr">
        <is>
          <t>VR</t>
        </is>
      </c>
      <c r="M1125" s="210" t="n"/>
      <c r="N1125" s="211" t="n"/>
      <c r="O1125" s="340" t="inlineStr">
        <is>
          <t>SBL</t>
        </is>
      </c>
      <c r="Q1125" s="271" t="n"/>
      <c r="R1125" s="282" t="n"/>
    </row>
    <row r="1126" ht="18" customHeight="1" s="305">
      <c r="A1126" s="8" t="n">
        <v>1132</v>
      </c>
      <c r="B1126" s="5" t="n">
        <v>244</v>
      </c>
      <c r="C1126" s="72" t="inlineStr">
        <is>
          <t>X</t>
        </is>
      </c>
      <c r="D1126" s="5" t="n">
        <v>326</v>
      </c>
      <c r="E1126" s="73">
        <f>B1126*D1126/10000</f>
        <v/>
      </c>
      <c r="F1126" s="74">
        <f>B1126/30.48</f>
        <v/>
      </c>
      <c r="G1126" s="74">
        <f>D1126/30.48</f>
        <v/>
      </c>
      <c r="H1126" s="615" t="n"/>
      <c r="I1126" s="49" t="inlineStr">
        <is>
          <t>OLD</t>
        </is>
      </c>
      <c r="M1126" s="210" t="n"/>
      <c r="N1126" s="211" t="n"/>
      <c r="O1126" s="340" t="inlineStr">
        <is>
          <t>SBL</t>
        </is>
      </c>
      <c r="Q1126" s="271" t="n"/>
      <c r="R1126" s="282" t="n"/>
    </row>
    <row r="1127" ht="18" customHeight="1" s="305">
      <c r="A1127" s="8" t="n">
        <v>1133</v>
      </c>
      <c r="B1127" s="5" t="n">
        <v>192</v>
      </c>
      <c r="C1127" s="72" t="inlineStr">
        <is>
          <t>X</t>
        </is>
      </c>
      <c r="D1127" s="5" t="n">
        <v>315</v>
      </c>
      <c r="E1127" s="73">
        <f>B1127*D1127/10000</f>
        <v/>
      </c>
      <c r="F1127" s="74">
        <f>B1127/30.48</f>
        <v/>
      </c>
      <c r="G1127" s="74">
        <f>D1127/30.48</f>
        <v/>
      </c>
      <c r="H1127" s="615" t="n"/>
      <c r="I1127" s="49" t="inlineStr">
        <is>
          <t>OLD</t>
        </is>
      </c>
      <c r="J1127" s="48" t="inlineStr">
        <is>
          <t>TRS</t>
        </is>
      </c>
      <c r="K1127" s="51" t="inlineStr">
        <is>
          <t>PAC</t>
        </is>
      </c>
      <c r="M1127" s="210" t="inlineStr">
        <is>
          <t>RK</t>
        </is>
      </c>
      <c r="N1127" s="211" t="n"/>
      <c r="O1127" s="340" t="inlineStr">
        <is>
          <t>SBL</t>
        </is>
      </c>
      <c r="Q1127" s="271" t="n"/>
      <c r="R1127" s="282" t="n"/>
    </row>
    <row r="1128" ht="18" customHeight="1" s="305">
      <c r="A1128" s="8" t="n">
        <v>1134</v>
      </c>
      <c r="B1128" s="5" t="n">
        <v>84</v>
      </c>
      <c r="C1128" s="72" t="inlineStr">
        <is>
          <t>X</t>
        </is>
      </c>
      <c r="D1128" s="5" t="n">
        <v>395</v>
      </c>
      <c r="E1128" s="73">
        <f>B1128*D1128/10000</f>
        <v/>
      </c>
      <c r="F1128" s="74">
        <f>B1128/30.48</f>
        <v/>
      </c>
      <c r="G1128" s="74">
        <f>D1128/30.48</f>
        <v/>
      </c>
      <c r="H1128" s="615" t="n"/>
      <c r="I1128" s="49" t="inlineStr">
        <is>
          <t>OLD</t>
        </is>
      </c>
      <c r="J1128" s="48" t="inlineStr">
        <is>
          <t>TRS</t>
        </is>
      </c>
      <c r="K1128" s="51" t="inlineStr">
        <is>
          <t>PAC</t>
        </is>
      </c>
      <c r="L1128" s="105" t="inlineStr">
        <is>
          <t>VR</t>
        </is>
      </c>
      <c r="M1128" s="210" t="n"/>
      <c r="N1128" s="211" t="n"/>
      <c r="O1128" s="340" t="inlineStr">
        <is>
          <t>SBL</t>
        </is>
      </c>
      <c r="Q1128" s="271" t="n"/>
      <c r="R1128" s="282" t="n"/>
    </row>
    <row r="1129" ht="18" customHeight="1" s="305">
      <c r="A1129" s="8" t="n">
        <v>1135</v>
      </c>
      <c r="B1129" s="5" t="n">
        <v>90</v>
      </c>
      <c r="C1129" s="72" t="inlineStr">
        <is>
          <t>X</t>
        </is>
      </c>
      <c r="D1129" s="5" t="n">
        <v>356</v>
      </c>
      <c r="E1129" s="73">
        <f>B1129*D1129/10000</f>
        <v/>
      </c>
      <c r="F1129" s="74">
        <f>B1129/30.48</f>
        <v/>
      </c>
      <c r="G1129" s="74">
        <f>D1129/30.48</f>
        <v/>
      </c>
      <c r="H1129" s="615" t="n"/>
      <c r="I1129" s="49" t="inlineStr">
        <is>
          <t>OLD</t>
        </is>
      </c>
      <c r="J1129" s="48" t="inlineStr">
        <is>
          <t>TRS</t>
        </is>
      </c>
      <c r="K1129" s="51" t="inlineStr">
        <is>
          <t>PAC</t>
        </is>
      </c>
      <c r="L1129" s="105" t="inlineStr">
        <is>
          <t>VR</t>
        </is>
      </c>
      <c r="M1129" s="210" t="n"/>
      <c r="N1129" s="211" t="n"/>
      <c r="O1129" s="340" t="inlineStr">
        <is>
          <t>SBL</t>
        </is>
      </c>
      <c r="Q1129" s="271" t="n"/>
      <c r="R1129" s="282" t="n"/>
    </row>
    <row r="1130" ht="18" customHeight="1" s="305">
      <c r="A1130" s="8" t="n">
        <v>1138</v>
      </c>
      <c r="B1130" s="5" t="n">
        <v>190</v>
      </c>
      <c r="C1130" s="72" t="inlineStr">
        <is>
          <t>X</t>
        </is>
      </c>
      <c r="D1130" s="5" t="n">
        <v>279</v>
      </c>
      <c r="E1130" s="73">
        <f>B1130*D1130/10000</f>
        <v/>
      </c>
      <c r="F1130" s="74">
        <f>B1130/30.48</f>
        <v/>
      </c>
      <c r="G1130" s="74">
        <f>D1130/30.48</f>
        <v/>
      </c>
      <c r="H1130" s="615" t="n"/>
      <c r="I1130" s="49" t="inlineStr">
        <is>
          <t>OLD</t>
        </is>
      </c>
      <c r="K1130" s="51" t="inlineStr">
        <is>
          <t>PAC</t>
        </is>
      </c>
      <c r="L1130" s="105" t="inlineStr">
        <is>
          <t>VR</t>
        </is>
      </c>
      <c r="M1130" s="210" t="n"/>
      <c r="N1130" s="211" t="n"/>
      <c r="O1130" s="340" t="inlineStr">
        <is>
          <t>SBL</t>
        </is>
      </c>
      <c r="Q1130" s="271" t="n"/>
      <c r="R1130" s="282" t="n"/>
    </row>
    <row r="1131" ht="18" customHeight="1" s="305">
      <c r="A1131" s="8" t="n">
        <v>1139</v>
      </c>
      <c r="B1131" s="5" t="n">
        <v>184</v>
      </c>
      <c r="C1131" s="72" t="inlineStr">
        <is>
          <t>X</t>
        </is>
      </c>
      <c r="D1131" s="5" t="n">
        <v>304</v>
      </c>
      <c r="E1131" s="73">
        <f>B1131*D1131/10000</f>
        <v/>
      </c>
      <c r="F1131" s="74">
        <f>B1131/30.48</f>
        <v/>
      </c>
      <c r="G1131" s="74">
        <f>D1131/30.48</f>
        <v/>
      </c>
      <c r="H1131" s="615" t="n"/>
      <c r="I1131" s="49" t="inlineStr">
        <is>
          <t>OLD</t>
        </is>
      </c>
      <c r="J1131" s="48" t="inlineStr">
        <is>
          <t>TRS</t>
        </is>
      </c>
      <c r="K1131" s="51" t="inlineStr">
        <is>
          <t>PAC</t>
        </is>
      </c>
      <c r="L1131" s="105" t="inlineStr">
        <is>
          <t>VR</t>
        </is>
      </c>
      <c r="M1131" s="210" t="n"/>
      <c r="N1131" s="211" t="n"/>
      <c r="O1131" s="340" t="inlineStr">
        <is>
          <t>SBL</t>
        </is>
      </c>
      <c r="Q1131" s="271" t="n"/>
      <c r="R1131" s="282" t="n"/>
    </row>
    <row r="1132" ht="18" customHeight="1" s="305">
      <c r="A1132" s="8" t="n">
        <v>1140</v>
      </c>
      <c r="B1132" s="5" t="n">
        <v>215</v>
      </c>
      <c r="C1132" s="72" t="inlineStr">
        <is>
          <t>X</t>
        </is>
      </c>
      <c r="D1132" s="5" t="n">
        <v>290</v>
      </c>
      <c r="E1132" s="73">
        <f>B1132*D1132/10000</f>
        <v/>
      </c>
      <c r="F1132" s="74">
        <f>B1132/30.48</f>
        <v/>
      </c>
      <c r="G1132" s="74">
        <f>D1132/30.48</f>
        <v/>
      </c>
      <c r="H1132" s="615" t="n"/>
      <c r="I1132" s="49" t="inlineStr">
        <is>
          <t>OLD</t>
        </is>
      </c>
      <c r="M1132" s="210" t="inlineStr">
        <is>
          <t>RK</t>
        </is>
      </c>
      <c r="N1132" s="211" t="n"/>
      <c r="O1132" s="263" t="n"/>
      <c r="Q1132" s="271" t="n"/>
      <c r="R1132" s="282" t="n"/>
    </row>
    <row r="1133" ht="18" customHeight="1" s="305">
      <c r="A1133" s="8" t="n">
        <v>1141</v>
      </c>
      <c r="B1133" s="5" t="n">
        <v>216</v>
      </c>
      <c r="C1133" s="72" t="inlineStr">
        <is>
          <t>X</t>
        </is>
      </c>
      <c r="D1133" s="5" t="n">
        <v>294</v>
      </c>
      <c r="E1133" s="73">
        <f>B1133*D1133/10000</f>
        <v/>
      </c>
      <c r="F1133" s="74">
        <f>B1133/30.48</f>
        <v/>
      </c>
      <c r="G1133" s="74">
        <f>D1133/30.48</f>
        <v/>
      </c>
      <c r="H1133" s="615" t="n"/>
      <c r="I1133" s="49" t="inlineStr">
        <is>
          <t>OLD</t>
        </is>
      </c>
      <c r="M1133" s="210" t="n"/>
      <c r="N1133" s="211" t="n"/>
      <c r="O1133" s="340" t="inlineStr">
        <is>
          <t>SBL</t>
        </is>
      </c>
      <c r="Q1133" s="271" t="n"/>
      <c r="R1133" s="282" t="n"/>
    </row>
    <row r="1134" ht="18" customHeight="1" s="305">
      <c r="A1134" s="8" t="n">
        <v>1145</v>
      </c>
      <c r="B1134" s="5" t="n">
        <v>81</v>
      </c>
      <c r="C1134" s="72" t="inlineStr">
        <is>
          <t>X</t>
        </is>
      </c>
      <c r="D1134" s="5" t="n">
        <v>316</v>
      </c>
      <c r="E1134" s="73">
        <f>B1134*D1134/10000</f>
        <v/>
      </c>
      <c r="F1134" s="74">
        <f>B1134/30.48</f>
        <v/>
      </c>
      <c r="G1134" s="74">
        <f>D1134/30.48</f>
        <v/>
      </c>
      <c r="H1134" s="615" t="n"/>
      <c r="I1134" s="49" t="inlineStr">
        <is>
          <t>OLD</t>
        </is>
      </c>
      <c r="J1134" s="48" t="inlineStr">
        <is>
          <t>TRS</t>
        </is>
      </c>
      <c r="K1134" s="51" t="inlineStr">
        <is>
          <t>PAC</t>
        </is>
      </c>
      <c r="M1134" s="210" t="n"/>
      <c r="N1134" s="211" t="n"/>
      <c r="O1134" s="340" t="inlineStr">
        <is>
          <t>SBL</t>
        </is>
      </c>
      <c r="Q1134" s="271" t="n"/>
      <c r="R1134" s="282" t="n"/>
    </row>
    <row r="1135" ht="18" customHeight="1" s="305">
      <c r="A1135" s="8" t="n">
        <v>1147</v>
      </c>
      <c r="B1135" s="5" t="n">
        <v>84</v>
      </c>
      <c r="C1135" s="72" t="inlineStr">
        <is>
          <t>X</t>
        </is>
      </c>
      <c r="D1135" s="5" t="n">
        <v>327</v>
      </c>
      <c r="E1135" s="73">
        <f>B1135*D1135/10000</f>
        <v/>
      </c>
      <c r="F1135" s="74">
        <f>B1135/30.48</f>
        <v/>
      </c>
      <c r="G1135" s="74">
        <f>D1135/30.48</f>
        <v/>
      </c>
      <c r="H1135" s="615" t="n"/>
      <c r="I1135" s="49" t="inlineStr">
        <is>
          <t>OLD</t>
        </is>
      </c>
      <c r="J1135" s="48" t="inlineStr">
        <is>
          <t>TRS</t>
        </is>
      </c>
      <c r="K1135" s="51" t="inlineStr">
        <is>
          <t>PAC</t>
        </is>
      </c>
      <c r="L1135" s="105" t="inlineStr">
        <is>
          <t>VR</t>
        </is>
      </c>
      <c r="M1135" s="210" t="n"/>
      <c r="N1135" s="211" t="n"/>
      <c r="O1135" s="340" t="inlineStr">
        <is>
          <t>SBL</t>
        </is>
      </c>
      <c r="Q1135" s="271" t="n"/>
      <c r="R1135" s="282" t="n"/>
    </row>
    <row r="1136" ht="18" customHeight="1" s="305">
      <c r="A1136" s="8" t="n">
        <v>1148</v>
      </c>
      <c r="B1136" s="5" t="n">
        <v>85</v>
      </c>
      <c r="C1136" s="72" t="inlineStr">
        <is>
          <t>X</t>
        </is>
      </c>
      <c r="D1136" s="5" t="n">
        <v>376</v>
      </c>
      <c r="E1136" s="73">
        <f>B1136*D1136/10000</f>
        <v/>
      </c>
      <c r="F1136" s="74">
        <f>B1136/30.48</f>
        <v/>
      </c>
      <c r="G1136" s="74">
        <f>D1136/30.48</f>
        <v/>
      </c>
      <c r="H1136" s="615" t="n"/>
      <c r="I1136" s="49" t="inlineStr">
        <is>
          <t>OLD</t>
        </is>
      </c>
      <c r="K1136" s="51" t="inlineStr">
        <is>
          <t>PAC</t>
        </is>
      </c>
      <c r="L1136" s="105" t="inlineStr">
        <is>
          <t>VR</t>
        </is>
      </c>
      <c r="M1136" s="210" t="n"/>
      <c r="N1136" s="211" t="n"/>
      <c r="O1136" s="263" t="inlineStr">
        <is>
          <t>SBL</t>
        </is>
      </c>
      <c r="Q1136" s="271" t="inlineStr">
        <is>
          <t>RST</t>
        </is>
      </c>
      <c r="R1136" s="282" t="n"/>
    </row>
    <row r="1137" ht="18" customHeight="1" s="305">
      <c r="A1137" s="8" t="n">
        <v>1149</v>
      </c>
      <c r="B1137" s="5" t="n">
        <v>93</v>
      </c>
      <c r="C1137" s="72" t="inlineStr">
        <is>
          <t>X</t>
        </is>
      </c>
      <c r="D1137" s="5" t="n">
        <v>343</v>
      </c>
      <c r="E1137" s="73">
        <f>B1137*D1137/10000</f>
        <v/>
      </c>
      <c r="F1137" s="74">
        <f>B1137/30.48</f>
        <v/>
      </c>
      <c r="G1137" s="74">
        <f>D1137/30.48</f>
        <v/>
      </c>
      <c r="H1137" s="615" t="n"/>
      <c r="I1137" s="49" t="inlineStr">
        <is>
          <t>OLD</t>
        </is>
      </c>
      <c r="J1137" s="48" t="inlineStr">
        <is>
          <t>TRS</t>
        </is>
      </c>
      <c r="K1137" s="51" t="inlineStr">
        <is>
          <t>PAC</t>
        </is>
      </c>
      <c r="L1137" s="105" t="inlineStr">
        <is>
          <t>VR</t>
        </is>
      </c>
      <c r="M1137" s="210" t="n"/>
      <c r="N1137" s="211" t="n"/>
      <c r="O1137" s="340" t="inlineStr">
        <is>
          <t>SBL</t>
        </is>
      </c>
      <c r="Q1137" s="271" t="n"/>
      <c r="R1137" s="282" t="n"/>
    </row>
    <row r="1138" ht="18" customHeight="1" s="305">
      <c r="A1138" s="8" t="n">
        <v>1150</v>
      </c>
      <c r="B1138" s="5" t="n">
        <v>166</v>
      </c>
      <c r="C1138" s="72" t="inlineStr">
        <is>
          <t>X</t>
        </is>
      </c>
      <c r="D1138" s="5" t="n">
        <v>291</v>
      </c>
      <c r="E1138" s="73">
        <f>B1138*D1138/10000</f>
        <v/>
      </c>
      <c r="F1138" s="74">
        <f>B1138/30.48</f>
        <v/>
      </c>
      <c r="G1138" s="74">
        <f>D1138/30.48</f>
        <v/>
      </c>
      <c r="H1138" s="615" t="n"/>
      <c r="I1138" s="49" t="inlineStr">
        <is>
          <t>OLD</t>
        </is>
      </c>
      <c r="J1138" s="48" t="inlineStr">
        <is>
          <t>TRS</t>
        </is>
      </c>
      <c r="M1138" s="210" t="inlineStr">
        <is>
          <t>RK</t>
        </is>
      </c>
      <c r="N1138" s="211" t="n"/>
      <c r="O1138" s="340" t="inlineStr">
        <is>
          <t>SBL</t>
        </is>
      </c>
      <c r="Q1138" s="271" t="n"/>
      <c r="R1138" s="282" t="n"/>
    </row>
    <row r="1139" ht="18" customHeight="1" s="305">
      <c r="A1139" s="8" t="n">
        <v>1151</v>
      </c>
      <c r="B1139" s="5" t="n">
        <v>173</v>
      </c>
      <c r="C1139" s="72" t="inlineStr">
        <is>
          <t>X</t>
        </is>
      </c>
      <c r="D1139" s="5" t="n">
        <v>243</v>
      </c>
      <c r="E1139" s="73">
        <f>B1139*D1139/10000</f>
        <v/>
      </c>
      <c r="F1139" s="74">
        <f>B1139/30.48</f>
        <v/>
      </c>
      <c r="G1139" s="74">
        <f>D1139/30.48</f>
        <v/>
      </c>
      <c r="H1139" s="615" t="n"/>
      <c r="I1139" s="49" t="inlineStr">
        <is>
          <t>OLD</t>
        </is>
      </c>
      <c r="K1139" s="51" t="inlineStr">
        <is>
          <t>PAC</t>
        </is>
      </c>
      <c r="L1139" s="105" t="inlineStr">
        <is>
          <t>VR</t>
        </is>
      </c>
      <c r="M1139" s="210" t="n"/>
      <c r="N1139" s="211" t="n"/>
      <c r="O1139" s="340" t="inlineStr">
        <is>
          <t>SBL</t>
        </is>
      </c>
      <c r="Q1139" s="271" t="n"/>
      <c r="R1139" s="282" t="n"/>
    </row>
    <row r="1140" ht="18" customHeight="1" s="305">
      <c r="A1140" s="8" t="n">
        <v>1153</v>
      </c>
      <c r="B1140" s="5" t="n">
        <v>177</v>
      </c>
      <c r="C1140" s="72" t="inlineStr">
        <is>
          <t>X</t>
        </is>
      </c>
      <c r="D1140" s="5" t="n">
        <v>259</v>
      </c>
      <c r="E1140" s="73">
        <f>B1140*D1140/10000</f>
        <v/>
      </c>
      <c r="F1140" s="74">
        <f>B1140/30.48</f>
        <v/>
      </c>
      <c r="G1140" s="74">
        <f>D1140/30.48</f>
        <v/>
      </c>
      <c r="H1140" s="615" t="n"/>
      <c r="I1140" s="49" t="inlineStr">
        <is>
          <t>OLD</t>
        </is>
      </c>
      <c r="J1140" s="48" t="inlineStr">
        <is>
          <t>TRS</t>
        </is>
      </c>
      <c r="K1140" s="51" t="inlineStr">
        <is>
          <t>PAC</t>
        </is>
      </c>
      <c r="M1140" s="210" t="inlineStr">
        <is>
          <t>RK</t>
        </is>
      </c>
      <c r="N1140" s="211" t="n"/>
      <c r="O1140" s="340" t="inlineStr">
        <is>
          <t>SBL</t>
        </is>
      </c>
      <c r="Q1140" s="271" t="n"/>
      <c r="R1140" s="282" t="n"/>
    </row>
    <row r="1141" ht="18" customHeight="1" s="305">
      <c r="A1141" s="8" t="n">
        <v>1155</v>
      </c>
      <c r="B1141" s="5" t="n">
        <v>168</v>
      </c>
      <c r="C1141" s="72" t="inlineStr">
        <is>
          <t>X</t>
        </is>
      </c>
      <c r="D1141" s="5" t="n">
        <v>281</v>
      </c>
      <c r="E1141" s="73">
        <f>B1141*D1141/10000</f>
        <v/>
      </c>
      <c r="F1141" s="74">
        <f>B1141/30.48</f>
        <v/>
      </c>
      <c r="G1141" s="74">
        <f>D1141/30.48</f>
        <v/>
      </c>
      <c r="H1141" s="615" t="n"/>
      <c r="I1141" s="49" t="inlineStr">
        <is>
          <t>OLD</t>
        </is>
      </c>
      <c r="J1141" s="48" t="inlineStr">
        <is>
          <t>TRS</t>
        </is>
      </c>
      <c r="K1141" s="51" t="inlineStr">
        <is>
          <t>PAC</t>
        </is>
      </c>
      <c r="M1141" s="210" t="n"/>
      <c r="N1141" s="211" t="n"/>
      <c r="O1141" s="340" t="inlineStr">
        <is>
          <t>SBL</t>
        </is>
      </c>
      <c r="Q1141" s="271" t="n"/>
      <c r="R1141" s="282" t="n"/>
    </row>
    <row r="1142" ht="18" customHeight="1" s="305">
      <c r="A1142" s="8" t="n">
        <v>1156</v>
      </c>
      <c r="B1142" s="5" t="n">
        <v>186</v>
      </c>
      <c r="C1142" s="72" t="inlineStr">
        <is>
          <t>X</t>
        </is>
      </c>
      <c r="D1142" s="5" t="n">
        <v>278</v>
      </c>
      <c r="E1142" s="73">
        <f>B1142*D1142/10000</f>
        <v/>
      </c>
      <c r="F1142" s="74">
        <f>B1142/30.48</f>
        <v/>
      </c>
      <c r="G1142" s="74">
        <f>D1142/30.48</f>
        <v/>
      </c>
      <c r="H1142" s="615" t="n"/>
      <c r="J1142" s="48" t="inlineStr">
        <is>
          <t>TRS</t>
        </is>
      </c>
      <c r="L1142" s="105" t="inlineStr">
        <is>
          <t>VR</t>
        </is>
      </c>
      <c r="M1142" s="210" t="n"/>
      <c r="N1142" s="211" t="n"/>
      <c r="O1142" s="340" t="inlineStr">
        <is>
          <t>SBL</t>
        </is>
      </c>
      <c r="Q1142" s="271" t="n"/>
      <c r="R1142" s="282" t="n"/>
    </row>
    <row r="1143" ht="18" customHeight="1" s="305">
      <c r="A1143" s="8" t="n">
        <v>1157</v>
      </c>
      <c r="B1143" s="5" t="n">
        <v>216</v>
      </c>
      <c r="C1143" s="72" t="inlineStr">
        <is>
          <t>X</t>
        </is>
      </c>
      <c r="D1143" s="5" t="n">
        <v>307</v>
      </c>
      <c r="E1143" s="73">
        <f>B1143*D1143/10000</f>
        <v/>
      </c>
      <c r="F1143" s="74">
        <f>B1143/30.48</f>
        <v/>
      </c>
      <c r="G1143" s="74">
        <f>D1143/30.48</f>
        <v/>
      </c>
      <c r="H1143" s="615" t="n"/>
      <c r="I1143" s="49" t="inlineStr">
        <is>
          <t>OLD</t>
        </is>
      </c>
      <c r="K1143" s="51" t="inlineStr">
        <is>
          <t>PAC</t>
        </is>
      </c>
      <c r="L1143" s="105" t="inlineStr">
        <is>
          <t>VR</t>
        </is>
      </c>
      <c r="M1143" s="210" t="n"/>
      <c r="N1143" s="211" t="n"/>
      <c r="O1143" s="340" t="inlineStr">
        <is>
          <t>SBL</t>
        </is>
      </c>
      <c r="Q1143" s="271" t="n"/>
      <c r="R1143" s="282" t="n"/>
    </row>
    <row r="1144" ht="18" customHeight="1" s="305">
      <c r="A1144" s="8" t="n">
        <v>1161</v>
      </c>
      <c r="B1144" s="5" t="n">
        <v>82</v>
      </c>
      <c r="C1144" s="72" t="inlineStr">
        <is>
          <t>X</t>
        </is>
      </c>
      <c r="D1144" s="5" t="n">
        <v>347</v>
      </c>
      <c r="E1144" s="73">
        <f>B1144*D1144/10000</f>
        <v/>
      </c>
      <c r="F1144" s="74">
        <f>B1144/30.48</f>
        <v/>
      </c>
      <c r="G1144" s="74">
        <f>D1144/30.48</f>
        <v/>
      </c>
      <c r="H1144" s="615" t="n"/>
      <c r="I1144" s="49" t="inlineStr">
        <is>
          <t>OLD</t>
        </is>
      </c>
      <c r="J1144" s="48" t="inlineStr">
        <is>
          <t>TRS</t>
        </is>
      </c>
      <c r="L1144" s="105" t="inlineStr">
        <is>
          <t>VR</t>
        </is>
      </c>
      <c r="M1144" s="210" t="n"/>
      <c r="N1144" s="211" t="n"/>
      <c r="O1144" s="340" t="inlineStr">
        <is>
          <t>SBL</t>
        </is>
      </c>
      <c r="Q1144" s="271" t="n"/>
      <c r="R1144" s="282" t="n"/>
    </row>
    <row r="1145" ht="18" customHeight="1" s="305">
      <c r="A1145" s="8" t="n">
        <v>1162</v>
      </c>
      <c r="B1145" s="5" t="n">
        <v>64</v>
      </c>
      <c r="C1145" s="72" t="inlineStr">
        <is>
          <t>X</t>
        </is>
      </c>
      <c r="D1145" s="5" t="n">
        <v>170</v>
      </c>
      <c r="E1145" s="73">
        <f>B1145*D1145/10000</f>
        <v/>
      </c>
      <c r="F1145" s="74">
        <f>B1145/30.48</f>
        <v/>
      </c>
      <c r="G1145" s="74">
        <f>D1145/30.48</f>
        <v/>
      </c>
      <c r="H1145" s="615" t="n"/>
      <c r="I1145" s="49" t="inlineStr">
        <is>
          <t>OLD</t>
        </is>
      </c>
      <c r="J1145" s="48" t="inlineStr">
        <is>
          <t>TRS</t>
        </is>
      </c>
      <c r="K1145" s="51" t="inlineStr">
        <is>
          <t>PAC</t>
        </is>
      </c>
      <c r="M1145" s="210" t="n"/>
      <c r="N1145" s="211" t="n"/>
      <c r="O1145" s="340" t="inlineStr">
        <is>
          <t>SBL</t>
        </is>
      </c>
      <c r="Q1145" s="271" t="n"/>
      <c r="R1145" s="282" t="n"/>
    </row>
    <row r="1146" ht="18" customHeight="1" s="305">
      <c r="A1146" s="8" t="n">
        <v>1163</v>
      </c>
      <c r="B1146" s="5" t="n">
        <v>62</v>
      </c>
      <c r="C1146" s="72" t="inlineStr">
        <is>
          <t>X</t>
        </is>
      </c>
      <c r="D1146" s="5" t="n">
        <v>172</v>
      </c>
      <c r="E1146" s="73">
        <f>B1146*D1146/10000</f>
        <v/>
      </c>
      <c r="F1146" s="74">
        <f>B1146/30.48</f>
        <v/>
      </c>
      <c r="G1146" s="74">
        <f>D1146/30.48</f>
        <v/>
      </c>
      <c r="H1146" s="615" t="n"/>
      <c r="I1146" s="49" t="inlineStr">
        <is>
          <t>OLD</t>
        </is>
      </c>
      <c r="J1146" s="48" t="inlineStr">
        <is>
          <t>TRS</t>
        </is>
      </c>
      <c r="K1146" s="51" t="inlineStr">
        <is>
          <t>PAC</t>
        </is>
      </c>
      <c r="M1146" s="210" t="n"/>
      <c r="N1146" s="211" t="n"/>
      <c r="O1146" s="340" t="inlineStr">
        <is>
          <t>SBL</t>
        </is>
      </c>
      <c r="Q1146" s="271" t="n"/>
      <c r="R1146" s="282" t="n"/>
    </row>
    <row r="1147" ht="18" customHeight="1" s="305">
      <c r="A1147" s="8" t="n">
        <v>1165</v>
      </c>
      <c r="B1147" s="5" t="n">
        <v>67</v>
      </c>
      <c r="C1147" s="72" t="inlineStr">
        <is>
          <t>X</t>
        </is>
      </c>
      <c r="D1147" s="5" t="n">
        <v>134</v>
      </c>
      <c r="E1147" s="73">
        <f>B1147*D1147/10000</f>
        <v/>
      </c>
      <c r="F1147" s="74">
        <f>B1147/30.48</f>
        <v/>
      </c>
      <c r="G1147" s="74">
        <f>D1147/30.48</f>
        <v/>
      </c>
      <c r="H1147" s="615" t="n"/>
      <c r="I1147" s="49" t="inlineStr">
        <is>
          <t>OLD</t>
        </is>
      </c>
      <c r="J1147" s="48" t="inlineStr">
        <is>
          <t>TRS</t>
        </is>
      </c>
      <c r="K1147" s="51" t="inlineStr">
        <is>
          <t>PAC</t>
        </is>
      </c>
      <c r="L1147" s="105" t="inlineStr">
        <is>
          <t>VR</t>
        </is>
      </c>
      <c r="M1147" s="210" t="n"/>
      <c r="N1147" s="211" t="n"/>
      <c r="O1147" s="340" t="inlineStr">
        <is>
          <t>SBL</t>
        </is>
      </c>
      <c r="Q1147" s="271" t="n"/>
      <c r="R1147" s="282" t="n"/>
    </row>
    <row r="1148" ht="18" customHeight="1" s="305">
      <c r="A1148" s="8" t="n">
        <v>1168</v>
      </c>
      <c r="B1148" s="5" t="n">
        <v>78</v>
      </c>
      <c r="C1148" s="72" t="inlineStr">
        <is>
          <t>X</t>
        </is>
      </c>
      <c r="D1148" s="5" t="n">
        <v>374</v>
      </c>
      <c r="E1148" s="73">
        <f>B1148*D1148/10000</f>
        <v/>
      </c>
      <c r="F1148" s="74">
        <f>B1148/30.48</f>
        <v/>
      </c>
      <c r="G1148" s="74">
        <f>D1148/30.48</f>
        <v/>
      </c>
      <c r="H1148" s="615" t="n"/>
      <c r="I1148" s="49" t="inlineStr">
        <is>
          <t>OLD</t>
        </is>
      </c>
      <c r="J1148" s="48" t="inlineStr">
        <is>
          <t>TRS</t>
        </is>
      </c>
      <c r="K1148" s="51" t="inlineStr">
        <is>
          <t>PAC</t>
        </is>
      </c>
      <c r="L1148" s="105" t="inlineStr">
        <is>
          <t>VR</t>
        </is>
      </c>
      <c r="M1148" s="210" t="n"/>
      <c r="N1148" s="211" t="n"/>
      <c r="O1148" s="340" t="inlineStr">
        <is>
          <t>SBL</t>
        </is>
      </c>
      <c r="Q1148" s="271" t="n"/>
      <c r="R1148" s="282" t="n"/>
    </row>
    <row r="1149" ht="18" customHeight="1" s="305">
      <c r="A1149" s="8" t="n">
        <v>1173</v>
      </c>
      <c r="B1149" s="5" t="n">
        <v>197</v>
      </c>
      <c r="C1149" s="72" t="inlineStr">
        <is>
          <t>X</t>
        </is>
      </c>
      <c r="D1149" s="5" t="n">
        <v>287</v>
      </c>
      <c r="E1149" s="73">
        <f>B1149*D1149/10000</f>
        <v/>
      </c>
      <c r="F1149" s="74">
        <f>B1149/30.48</f>
        <v/>
      </c>
      <c r="G1149" s="74">
        <f>D1149/30.48</f>
        <v/>
      </c>
      <c r="H1149" s="615" t="n"/>
      <c r="I1149" s="49" t="inlineStr">
        <is>
          <t>OLD</t>
        </is>
      </c>
      <c r="K1149" s="51" t="inlineStr">
        <is>
          <t>PAC</t>
        </is>
      </c>
      <c r="L1149" s="105" t="inlineStr">
        <is>
          <t>VR</t>
        </is>
      </c>
      <c r="M1149" s="210" t="n"/>
      <c r="N1149" s="211" t="n"/>
      <c r="O1149" s="340" t="inlineStr">
        <is>
          <t>SBL</t>
        </is>
      </c>
      <c r="Q1149" s="271" t="n"/>
      <c r="R1149" s="282" t="n"/>
    </row>
    <row r="1150" ht="18" customHeight="1" s="305">
      <c r="A1150" s="8" t="n">
        <v>1177</v>
      </c>
      <c r="B1150" s="5" t="n">
        <v>184</v>
      </c>
      <c r="C1150" s="72" t="inlineStr">
        <is>
          <t>X</t>
        </is>
      </c>
      <c r="D1150" s="5" t="n">
        <v>275</v>
      </c>
      <c r="E1150" s="73">
        <f>B1150*D1150/10000</f>
        <v/>
      </c>
      <c r="F1150" s="74">
        <f>B1150/30.48</f>
        <v/>
      </c>
      <c r="G1150" s="74">
        <f>D1150/30.48</f>
        <v/>
      </c>
      <c r="H1150" s="615" t="n"/>
      <c r="I1150" s="49" t="inlineStr">
        <is>
          <t>OLD</t>
        </is>
      </c>
      <c r="K1150" s="51" t="inlineStr">
        <is>
          <t>PAC</t>
        </is>
      </c>
      <c r="L1150" s="105" t="inlineStr">
        <is>
          <t>VR</t>
        </is>
      </c>
      <c r="M1150" s="210" t="n"/>
      <c r="N1150" s="211" t="n"/>
      <c r="O1150" s="340" t="inlineStr">
        <is>
          <t>SBL</t>
        </is>
      </c>
      <c r="Q1150" s="271" t="n"/>
      <c r="R1150" s="282" t="n"/>
    </row>
    <row r="1151" ht="18" customHeight="1" s="305">
      <c r="A1151" s="8" t="n">
        <v>1180</v>
      </c>
      <c r="B1151" s="5" t="n">
        <v>190</v>
      </c>
      <c r="C1151" s="72" t="inlineStr">
        <is>
          <t>X</t>
        </is>
      </c>
      <c r="D1151" s="5" t="n">
        <v>284</v>
      </c>
      <c r="E1151" s="73">
        <f>B1151*D1151/10000</f>
        <v/>
      </c>
      <c r="F1151" s="74">
        <f>B1151/30.48</f>
        <v/>
      </c>
      <c r="G1151" s="74">
        <f>D1151/30.48</f>
        <v/>
      </c>
      <c r="H1151" s="615" t="n"/>
      <c r="I1151" s="49" t="inlineStr">
        <is>
          <t>OLD</t>
        </is>
      </c>
      <c r="K1151" s="51" t="inlineStr">
        <is>
          <t>PAC</t>
        </is>
      </c>
      <c r="L1151" s="105" t="inlineStr">
        <is>
          <t>VR</t>
        </is>
      </c>
      <c r="M1151" s="210" t="n"/>
      <c r="N1151" s="211" t="n"/>
      <c r="O1151" s="340" t="inlineStr">
        <is>
          <t>SBL</t>
        </is>
      </c>
      <c r="Q1151" s="271" t="n"/>
      <c r="R1151" s="282" t="n"/>
    </row>
    <row r="1152" ht="16.5" customHeight="1" s="305">
      <c r="A1152" s="8" t="n">
        <v>1186</v>
      </c>
      <c r="B1152" s="5" t="n">
        <v>187</v>
      </c>
      <c r="C1152" s="72" t="inlineStr">
        <is>
          <t>X</t>
        </is>
      </c>
      <c r="D1152" s="5" t="n">
        <v>290</v>
      </c>
      <c r="E1152" s="73">
        <f>B1152*D1152/10000</f>
        <v/>
      </c>
      <c r="F1152" s="74">
        <f>B1152/30.48</f>
        <v/>
      </c>
      <c r="G1152" s="74">
        <f>D1152/30.48</f>
        <v/>
      </c>
      <c r="H1152" s="615" t="n"/>
      <c r="I1152" s="49" t="inlineStr">
        <is>
          <t>OLD</t>
        </is>
      </c>
      <c r="K1152" s="51" t="inlineStr">
        <is>
          <t>PAC</t>
        </is>
      </c>
      <c r="L1152" s="105" t="inlineStr">
        <is>
          <t>VR</t>
        </is>
      </c>
      <c r="M1152" s="210" t="n"/>
      <c r="N1152" s="211" t="n"/>
      <c r="O1152" s="340" t="inlineStr">
        <is>
          <t>SBL</t>
        </is>
      </c>
      <c r="Q1152" s="271" t="n"/>
      <c r="R1152" s="282" t="n"/>
    </row>
    <row r="1153" ht="18" customHeight="1" s="305">
      <c r="A1153" s="8" t="n">
        <v>1192</v>
      </c>
      <c r="B1153" s="5" t="n">
        <v>118</v>
      </c>
      <c r="C1153" s="72" t="inlineStr">
        <is>
          <t>X</t>
        </is>
      </c>
      <c r="D1153" s="5" t="n">
        <v>212</v>
      </c>
      <c r="E1153" s="73">
        <f>B1153*D1153/10000</f>
        <v/>
      </c>
      <c r="F1153" s="74">
        <f>B1153/30.48</f>
        <v/>
      </c>
      <c r="G1153" s="74">
        <f>D1153/30.48</f>
        <v/>
      </c>
      <c r="H1153" s="615" t="n"/>
      <c r="I1153" s="49" t="inlineStr">
        <is>
          <t>OLD</t>
        </is>
      </c>
      <c r="J1153" s="48" t="inlineStr">
        <is>
          <t>TRS</t>
        </is>
      </c>
      <c r="K1153" s="51" t="inlineStr">
        <is>
          <t>PAC</t>
        </is>
      </c>
      <c r="L1153" s="105" t="inlineStr">
        <is>
          <t>VR</t>
        </is>
      </c>
      <c r="M1153" s="210" t="n"/>
      <c r="N1153" s="211" t="n"/>
      <c r="O1153" s="340" t="inlineStr">
        <is>
          <t>SBL</t>
        </is>
      </c>
      <c r="Q1153" s="271" t="n"/>
      <c r="R1153" s="282" t="n"/>
    </row>
    <row r="1154" ht="18" customHeight="1" s="305">
      <c r="A1154" s="8" t="n">
        <v>1193</v>
      </c>
      <c r="B1154" s="5" t="n">
        <v>114</v>
      </c>
      <c r="C1154" s="72" t="inlineStr">
        <is>
          <t>X</t>
        </is>
      </c>
      <c r="D1154" s="5" t="n">
        <v>190</v>
      </c>
      <c r="E1154" s="73">
        <f>B1154*D1154/10000</f>
        <v/>
      </c>
      <c r="F1154" s="74">
        <f>B1154/30.48</f>
        <v/>
      </c>
      <c r="G1154" s="74">
        <f>D1154/30.48</f>
        <v/>
      </c>
      <c r="H1154" s="615" t="n"/>
      <c r="I1154" s="49" t="inlineStr">
        <is>
          <t>OLD</t>
        </is>
      </c>
      <c r="K1154" s="51" t="inlineStr">
        <is>
          <t>PAC</t>
        </is>
      </c>
      <c r="L1154" s="105" t="inlineStr">
        <is>
          <t>VR</t>
        </is>
      </c>
      <c r="M1154" s="210" t="n"/>
      <c r="N1154" s="211" t="n"/>
      <c r="O1154" s="340" t="inlineStr">
        <is>
          <t>SBL</t>
        </is>
      </c>
      <c r="Q1154" s="271" t="n"/>
      <c r="R1154" s="282" t="n"/>
    </row>
    <row r="1155" ht="18" customHeight="1" s="305">
      <c r="A1155" s="8" t="n">
        <v>1197</v>
      </c>
      <c r="B1155" s="5" t="n">
        <v>122</v>
      </c>
      <c r="C1155" s="72" t="inlineStr">
        <is>
          <t>X</t>
        </is>
      </c>
      <c r="D1155" s="5" t="n">
        <v>220</v>
      </c>
      <c r="E1155" s="73">
        <f>B1155*D1155/10000</f>
        <v/>
      </c>
      <c r="F1155" s="74">
        <f>B1155/30.48</f>
        <v/>
      </c>
      <c r="G1155" s="74">
        <f>D1155/30.48</f>
        <v/>
      </c>
      <c r="H1155" s="615" t="n"/>
      <c r="I1155" s="49" t="inlineStr">
        <is>
          <t>OLD</t>
        </is>
      </c>
      <c r="J1155" s="48" t="inlineStr">
        <is>
          <t>TRS</t>
        </is>
      </c>
      <c r="K1155" s="51" t="inlineStr">
        <is>
          <t>PAC</t>
        </is>
      </c>
      <c r="M1155" s="210" t="inlineStr">
        <is>
          <t>RK</t>
        </is>
      </c>
      <c r="N1155" s="211" t="n"/>
      <c r="O1155" s="340" t="inlineStr">
        <is>
          <t>SBL</t>
        </is>
      </c>
      <c r="Q1155" s="271" t="n"/>
      <c r="R1155" s="282" t="n"/>
    </row>
    <row r="1156" ht="18" customHeight="1" s="305">
      <c r="A1156" s="8" t="n">
        <v>1203</v>
      </c>
      <c r="B1156" s="5" t="n">
        <v>128</v>
      </c>
      <c r="C1156" s="72" t="inlineStr">
        <is>
          <t>X</t>
        </is>
      </c>
      <c r="D1156" s="5" t="n">
        <v>221</v>
      </c>
      <c r="E1156" s="73">
        <f>B1156*D1156/10000</f>
        <v/>
      </c>
      <c r="F1156" s="74">
        <f>B1156/30.48</f>
        <v/>
      </c>
      <c r="G1156" s="74">
        <f>D1156/30.48</f>
        <v/>
      </c>
      <c r="H1156" s="615" t="n"/>
      <c r="I1156" s="49" t="inlineStr">
        <is>
          <t>OLD</t>
        </is>
      </c>
      <c r="J1156" s="48" t="inlineStr">
        <is>
          <t>TRS</t>
        </is>
      </c>
      <c r="K1156" s="51" t="inlineStr">
        <is>
          <t>PAC</t>
        </is>
      </c>
      <c r="M1156" s="210" t="n"/>
      <c r="N1156" s="211" t="n"/>
      <c r="O1156" s="340" t="inlineStr">
        <is>
          <t>SBL</t>
        </is>
      </c>
      <c r="Q1156" s="271" t="n"/>
      <c r="R1156" s="282" t="n"/>
    </row>
    <row r="1157" ht="18" customHeight="1" s="305">
      <c r="A1157" s="8" t="n">
        <v>1208</v>
      </c>
      <c r="B1157" s="5" t="n">
        <v>200</v>
      </c>
      <c r="C1157" s="72" t="inlineStr">
        <is>
          <t>X</t>
        </is>
      </c>
      <c r="D1157" s="5" t="n">
        <v>285</v>
      </c>
      <c r="E1157" s="73">
        <f>B1157*D1157/10000</f>
        <v/>
      </c>
      <c r="F1157" s="74">
        <f>B1157/30.48</f>
        <v/>
      </c>
      <c r="G1157" s="74">
        <f>D1157/30.48</f>
        <v/>
      </c>
      <c r="H1157" s="615" t="n"/>
      <c r="K1157" s="51" t="inlineStr">
        <is>
          <t>PAC</t>
        </is>
      </c>
      <c r="L1157" s="105" t="inlineStr">
        <is>
          <t>VR</t>
        </is>
      </c>
      <c r="M1157" s="210" t="n"/>
      <c r="N1157" s="211" t="n"/>
      <c r="O1157" s="340" t="inlineStr">
        <is>
          <t>SBL</t>
        </is>
      </c>
      <c r="Q1157" s="271" t="n"/>
      <c r="R1157" s="282" t="n"/>
    </row>
    <row r="1158" ht="18" customHeight="1" s="305">
      <c r="A1158" s="8" t="n">
        <v>1209</v>
      </c>
      <c r="B1158" s="5" t="n">
        <v>89</v>
      </c>
      <c r="C1158" s="72" t="inlineStr">
        <is>
          <t>X</t>
        </is>
      </c>
      <c r="D1158" s="5" t="n">
        <v>334</v>
      </c>
      <c r="E1158" s="73">
        <f>B1158*D1158/10000</f>
        <v/>
      </c>
      <c r="F1158" s="74">
        <f>B1158/30.48</f>
        <v/>
      </c>
      <c r="G1158" s="74">
        <f>D1158/30.48</f>
        <v/>
      </c>
      <c r="H1158" s="615" t="n"/>
      <c r="I1158" s="49" t="inlineStr">
        <is>
          <t>OLD</t>
        </is>
      </c>
      <c r="J1158" s="48" t="inlineStr">
        <is>
          <t>TRS</t>
        </is>
      </c>
      <c r="K1158" s="51" t="inlineStr">
        <is>
          <t>PAC</t>
        </is>
      </c>
      <c r="L1158" s="105" t="inlineStr">
        <is>
          <t>VR</t>
        </is>
      </c>
      <c r="M1158" s="210" t="n"/>
      <c r="N1158" s="211" t="n"/>
      <c r="O1158" s="340" t="inlineStr">
        <is>
          <t>SBL</t>
        </is>
      </c>
      <c r="Q1158" s="271" t="n"/>
      <c r="R1158" s="282" t="n"/>
    </row>
    <row r="1159" ht="18" customHeight="1" s="305">
      <c r="A1159" s="8" t="n">
        <v>1210</v>
      </c>
      <c r="B1159" s="5" t="n">
        <v>182</v>
      </c>
      <c r="C1159" s="72" t="inlineStr">
        <is>
          <t>X</t>
        </is>
      </c>
      <c r="D1159" s="5" t="n">
        <v>275</v>
      </c>
      <c r="E1159" s="73">
        <f>B1159*D1159/10000</f>
        <v/>
      </c>
      <c r="F1159" s="74">
        <f>B1159/30.48</f>
        <v/>
      </c>
      <c r="G1159" s="74">
        <f>D1159/30.48</f>
        <v/>
      </c>
      <c r="H1159" s="615" t="n"/>
      <c r="I1159" s="49" t="inlineStr">
        <is>
          <t>OLD</t>
        </is>
      </c>
      <c r="M1159" s="210" t="n"/>
      <c r="N1159" s="211" t="n"/>
      <c r="O1159" s="340" t="inlineStr">
        <is>
          <t>SBL</t>
        </is>
      </c>
      <c r="Q1159" s="271" t="n"/>
      <c r="R1159" s="282" t="n"/>
    </row>
    <row r="1160" ht="18" customHeight="1" s="305">
      <c r="A1160" s="8" t="n">
        <v>1214</v>
      </c>
      <c r="B1160" s="5" t="n">
        <v>91</v>
      </c>
      <c r="C1160" s="72" t="inlineStr">
        <is>
          <t>X</t>
        </is>
      </c>
      <c r="D1160" s="5" t="n">
        <v>369</v>
      </c>
      <c r="E1160" s="73">
        <f>B1160*D1160/10000</f>
        <v/>
      </c>
      <c r="F1160" s="74">
        <f>B1160/30.48</f>
        <v/>
      </c>
      <c r="G1160" s="74">
        <f>D1160/30.48</f>
        <v/>
      </c>
      <c r="H1160" s="615" t="n"/>
      <c r="I1160" s="49" t="inlineStr">
        <is>
          <t>OLD</t>
        </is>
      </c>
      <c r="J1160" s="48" t="inlineStr">
        <is>
          <t>TRS</t>
        </is>
      </c>
      <c r="K1160" s="51" t="inlineStr">
        <is>
          <t>PAC</t>
        </is>
      </c>
      <c r="L1160" s="105" t="inlineStr">
        <is>
          <t>VR</t>
        </is>
      </c>
      <c r="M1160" s="210" t="n"/>
      <c r="N1160" s="211" t="n"/>
      <c r="O1160" s="340" t="inlineStr">
        <is>
          <t>SBL</t>
        </is>
      </c>
      <c r="Q1160" s="271" t="n"/>
      <c r="R1160" s="282" t="n"/>
    </row>
    <row r="1161" ht="18" customHeight="1" s="305">
      <c r="A1161" s="8" t="n">
        <v>1215</v>
      </c>
      <c r="B1161" s="5" t="n">
        <v>84</v>
      </c>
      <c r="C1161" s="72" t="inlineStr">
        <is>
          <t>X</t>
        </is>
      </c>
      <c r="D1161" s="5" t="n">
        <v>298</v>
      </c>
      <c r="E1161" s="73">
        <f>B1161*D1161/10000</f>
        <v/>
      </c>
      <c r="F1161" s="74">
        <f>B1161/30.48</f>
        <v/>
      </c>
      <c r="G1161" s="74">
        <f>D1161/30.48</f>
        <v/>
      </c>
      <c r="H1161" s="615" t="n"/>
      <c r="I1161" s="49" t="inlineStr">
        <is>
          <t>OLD</t>
        </is>
      </c>
      <c r="J1161" s="48" t="inlineStr">
        <is>
          <t>TRS</t>
        </is>
      </c>
      <c r="K1161" s="51" t="inlineStr">
        <is>
          <t>PAC</t>
        </is>
      </c>
      <c r="L1161" s="105" t="inlineStr">
        <is>
          <t>VR</t>
        </is>
      </c>
      <c r="M1161" s="210" t="n"/>
      <c r="N1161" s="211" t="n"/>
      <c r="O1161" s="340" t="inlineStr">
        <is>
          <t>SBL</t>
        </is>
      </c>
      <c r="Q1161" s="271" t="n"/>
      <c r="R1161" s="282" t="n"/>
    </row>
    <row r="1162" ht="18" customHeight="1" s="305">
      <c r="A1162" s="8" t="n">
        <v>1216</v>
      </c>
      <c r="B1162" s="5" t="n">
        <v>191</v>
      </c>
      <c r="C1162" s="72" t="inlineStr">
        <is>
          <t>X</t>
        </is>
      </c>
      <c r="D1162" s="5" t="n">
        <v>311</v>
      </c>
      <c r="E1162" s="73">
        <f>B1162*D1162/10000</f>
        <v/>
      </c>
      <c r="F1162" s="74">
        <f>B1162/30.48</f>
        <v/>
      </c>
      <c r="G1162" s="74">
        <f>D1162/30.48</f>
        <v/>
      </c>
      <c r="H1162" s="615" t="n"/>
      <c r="I1162" s="49" t="inlineStr">
        <is>
          <t>OLD</t>
        </is>
      </c>
      <c r="J1162" s="48" t="inlineStr">
        <is>
          <t>TRS</t>
        </is>
      </c>
      <c r="K1162" s="51" t="inlineStr">
        <is>
          <t>PAC</t>
        </is>
      </c>
      <c r="L1162" s="105" t="inlineStr">
        <is>
          <t>VR</t>
        </is>
      </c>
      <c r="M1162" s="210" t="n"/>
      <c r="N1162" s="211" t="n"/>
      <c r="O1162" s="340" t="inlineStr">
        <is>
          <t>SBL</t>
        </is>
      </c>
      <c r="Q1162" s="271" t="n"/>
      <c r="R1162" s="282" t="n"/>
    </row>
    <row r="1163" ht="18" customHeight="1" s="305">
      <c r="A1163" s="8" t="n">
        <v>1217</v>
      </c>
      <c r="B1163" s="5" t="n">
        <v>184</v>
      </c>
      <c r="C1163" s="72" t="inlineStr">
        <is>
          <t>X</t>
        </is>
      </c>
      <c r="D1163" s="5" t="n">
        <v>302</v>
      </c>
      <c r="E1163" s="73">
        <f>B1163*D1163/10000</f>
        <v/>
      </c>
      <c r="F1163" s="74">
        <f>B1163/30.48</f>
        <v/>
      </c>
      <c r="G1163" s="74">
        <f>D1163/30.48</f>
        <v/>
      </c>
      <c r="H1163" s="615" t="n"/>
      <c r="I1163" s="49" t="inlineStr">
        <is>
          <t>OLD</t>
        </is>
      </c>
      <c r="J1163" s="48" t="inlineStr">
        <is>
          <t>TRS</t>
        </is>
      </c>
      <c r="K1163" s="51" t="inlineStr">
        <is>
          <t>PAC</t>
        </is>
      </c>
      <c r="L1163" s="105" t="inlineStr">
        <is>
          <t>VR</t>
        </is>
      </c>
      <c r="M1163" s="210" t="n"/>
      <c r="N1163" s="211" t="n"/>
      <c r="O1163" s="340" t="inlineStr">
        <is>
          <t>SBL</t>
        </is>
      </c>
      <c r="Q1163" s="271" t="n"/>
      <c r="R1163" s="282" t="n"/>
    </row>
    <row r="1164" ht="18" customHeight="1" s="305">
      <c r="A1164" s="8" t="n">
        <v>1218</v>
      </c>
      <c r="B1164" s="5" t="n">
        <v>145</v>
      </c>
      <c r="C1164" s="72" t="inlineStr">
        <is>
          <t>X</t>
        </is>
      </c>
      <c r="D1164" s="5" t="n">
        <v>287</v>
      </c>
      <c r="E1164" s="73">
        <f>B1164*D1164/10000</f>
        <v/>
      </c>
      <c r="F1164" s="74">
        <f>B1164/30.48</f>
        <v/>
      </c>
      <c r="G1164" s="74">
        <f>D1164/30.48</f>
        <v/>
      </c>
      <c r="H1164" s="615" t="n"/>
      <c r="I1164" s="49" t="inlineStr">
        <is>
          <t>OLD</t>
        </is>
      </c>
      <c r="J1164" s="48" t="inlineStr">
        <is>
          <t>TRS</t>
        </is>
      </c>
      <c r="K1164" s="51" t="inlineStr">
        <is>
          <t>PAC</t>
        </is>
      </c>
      <c r="L1164" s="105" t="inlineStr">
        <is>
          <t>VR</t>
        </is>
      </c>
      <c r="M1164" s="210" t="n"/>
      <c r="N1164" s="211" t="n"/>
      <c r="O1164" s="340" t="inlineStr">
        <is>
          <t>SBL</t>
        </is>
      </c>
      <c r="Q1164" s="271" t="n"/>
      <c r="R1164" s="282" t="n"/>
    </row>
    <row r="1165" ht="18" customHeight="1" s="305">
      <c r="A1165" s="8" t="n">
        <v>1221</v>
      </c>
      <c r="B1165" s="5" t="n">
        <v>240</v>
      </c>
      <c r="C1165" s="72" t="inlineStr">
        <is>
          <t>X</t>
        </is>
      </c>
      <c r="D1165" s="5" t="n">
        <v>330</v>
      </c>
      <c r="E1165" s="73">
        <f>B1165*D1165/10000</f>
        <v/>
      </c>
      <c r="F1165" s="74">
        <f>B1165/30.48</f>
        <v/>
      </c>
      <c r="G1165" s="74">
        <f>D1165/30.48</f>
        <v/>
      </c>
      <c r="H1165" s="615" t="n"/>
      <c r="I1165" s="49" t="inlineStr">
        <is>
          <t>OLD</t>
        </is>
      </c>
      <c r="L1165" s="105" t="inlineStr">
        <is>
          <t>VR</t>
        </is>
      </c>
      <c r="M1165" s="210" t="n"/>
      <c r="N1165" s="211" t="n"/>
      <c r="O1165" s="340" t="inlineStr">
        <is>
          <t>SBL</t>
        </is>
      </c>
      <c r="Q1165" s="271" t="n"/>
      <c r="R1165" s="282" t="n"/>
    </row>
    <row r="1166" ht="18" customHeight="1" s="305">
      <c r="A1166" s="8" t="n">
        <v>1222</v>
      </c>
      <c r="B1166" s="5" t="n">
        <v>102</v>
      </c>
      <c r="C1166" s="72" t="inlineStr">
        <is>
          <t>X</t>
        </is>
      </c>
      <c r="D1166" s="5" t="n">
        <v>180</v>
      </c>
      <c r="E1166" s="73">
        <f>B1166*D1166/10000</f>
        <v/>
      </c>
      <c r="F1166" s="74">
        <f>B1166/30.48</f>
        <v/>
      </c>
      <c r="G1166" s="74">
        <f>D1166/30.48</f>
        <v/>
      </c>
      <c r="H1166" s="615" t="n"/>
      <c r="I1166" s="49" t="inlineStr">
        <is>
          <t>OLD</t>
        </is>
      </c>
      <c r="J1166" s="48" t="inlineStr">
        <is>
          <t>TRS</t>
        </is>
      </c>
      <c r="K1166" s="51" t="inlineStr">
        <is>
          <t>PAC</t>
        </is>
      </c>
      <c r="L1166" s="105" t="inlineStr">
        <is>
          <t>VR</t>
        </is>
      </c>
      <c r="M1166" s="210" t="n"/>
      <c r="N1166" s="211" t="n"/>
      <c r="O1166" s="340" t="inlineStr">
        <is>
          <t>SBL</t>
        </is>
      </c>
      <c r="Q1166" s="271" t="n"/>
      <c r="R1166" s="282" t="n"/>
    </row>
    <row r="1167" ht="18" customHeight="1" s="305">
      <c r="A1167" s="8" t="n">
        <v>1223</v>
      </c>
      <c r="B1167" s="5" t="n">
        <v>80</v>
      </c>
      <c r="C1167" s="72" t="inlineStr">
        <is>
          <t>X</t>
        </is>
      </c>
      <c r="D1167" s="5" t="n">
        <v>311</v>
      </c>
      <c r="E1167" s="73">
        <f>B1167*D1167/10000</f>
        <v/>
      </c>
      <c r="F1167" s="74">
        <f>B1167/30.48</f>
        <v/>
      </c>
      <c r="G1167" s="74">
        <f>D1167/30.48</f>
        <v/>
      </c>
      <c r="H1167" s="615" t="n"/>
      <c r="I1167" s="49" t="inlineStr">
        <is>
          <t>OLD</t>
        </is>
      </c>
      <c r="J1167" s="48" t="inlineStr">
        <is>
          <t>TRS</t>
        </is>
      </c>
      <c r="K1167" s="51" t="inlineStr">
        <is>
          <t>PAC</t>
        </is>
      </c>
      <c r="L1167" s="105" t="inlineStr">
        <is>
          <t>VR</t>
        </is>
      </c>
      <c r="M1167" s="210" t="n"/>
      <c r="N1167" s="211" t="n"/>
      <c r="O1167" s="340" t="inlineStr">
        <is>
          <t>SBL</t>
        </is>
      </c>
      <c r="Q1167" s="271" t="n"/>
      <c r="R1167" s="282" t="n"/>
    </row>
    <row r="1168" ht="18" customHeight="1" s="305">
      <c r="A1168" s="8" t="n">
        <v>1225</v>
      </c>
      <c r="B1168" s="5" t="n">
        <v>126</v>
      </c>
      <c r="C1168" s="72" t="inlineStr">
        <is>
          <t>X</t>
        </is>
      </c>
      <c r="D1168" s="5" t="n">
        <v>314</v>
      </c>
      <c r="E1168" s="73">
        <f>B1168*D1168/10000</f>
        <v/>
      </c>
      <c r="F1168" s="74">
        <f>B1168/30.48</f>
        <v/>
      </c>
      <c r="G1168" s="74">
        <f>D1168/30.48</f>
        <v/>
      </c>
      <c r="H1168" s="615" t="n"/>
      <c r="I1168" s="49" t="inlineStr">
        <is>
          <t>OLD</t>
        </is>
      </c>
      <c r="K1168" s="51" t="inlineStr">
        <is>
          <t>PAC</t>
        </is>
      </c>
      <c r="L1168" s="105" t="inlineStr">
        <is>
          <t>VR</t>
        </is>
      </c>
      <c r="M1168" s="210" t="n"/>
      <c r="N1168" s="211" t="n"/>
      <c r="O1168" s="340" t="inlineStr">
        <is>
          <t>SBL</t>
        </is>
      </c>
      <c r="Q1168" s="271" t="n"/>
      <c r="R1168" s="282" t="n"/>
    </row>
    <row r="1169" ht="18" customHeight="1" s="305">
      <c r="A1169" s="8" t="n">
        <v>1226</v>
      </c>
      <c r="B1169" s="5" t="n">
        <v>82</v>
      </c>
      <c r="C1169" s="72" t="inlineStr">
        <is>
          <t>X</t>
        </is>
      </c>
      <c r="D1169" s="5" t="n">
        <v>342</v>
      </c>
      <c r="E1169" s="73">
        <f>B1169*D1169/10000</f>
        <v/>
      </c>
      <c r="F1169" s="74">
        <f>B1169/30.48</f>
        <v/>
      </c>
      <c r="G1169" s="74">
        <f>D1169/30.48</f>
        <v/>
      </c>
      <c r="H1169" s="615" t="n"/>
      <c r="I1169" s="49" t="inlineStr">
        <is>
          <t>OLD</t>
        </is>
      </c>
      <c r="J1169" s="48" t="inlineStr">
        <is>
          <t>TRS</t>
        </is>
      </c>
      <c r="K1169" s="51" t="inlineStr">
        <is>
          <t>PAC</t>
        </is>
      </c>
      <c r="L1169" s="105" t="inlineStr">
        <is>
          <t>VR</t>
        </is>
      </c>
      <c r="M1169" s="210" t="n"/>
      <c r="N1169" s="211" t="n"/>
      <c r="O1169" s="340" t="inlineStr">
        <is>
          <t>SBL</t>
        </is>
      </c>
      <c r="Q1169" s="271" t="n"/>
      <c r="R1169" s="282" t="n"/>
    </row>
    <row r="1170" ht="18" customHeight="1" s="305">
      <c r="A1170" s="8" t="n">
        <v>1229</v>
      </c>
      <c r="B1170" s="5" t="n">
        <v>84</v>
      </c>
      <c r="C1170" s="72" t="inlineStr">
        <is>
          <t>X</t>
        </is>
      </c>
      <c r="D1170" s="5" t="n">
        <v>338</v>
      </c>
      <c r="E1170" s="73">
        <f>B1170*D1170/10000</f>
        <v/>
      </c>
      <c r="F1170" s="74">
        <f>B1170/30.48</f>
        <v/>
      </c>
      <c r="G1170" s="74">
        <f>D1170/30.48</f>
        <v/>
      </c>
      <c r="H1170" s="615" t="n"/>
      <c r="I1170" s="49" t="inlineStr">
        <is>
          <t>OLD</t>
        </is>
      </c>
      <c r="J1170" s="48" t="inlineStr">
        <is>
          <t>TRS</t>
        </is>
      </c>
      <c r="K1170" s="51" t="inlineStr">
        <is>
          <t>PAC</t>
        </is>
      </c>
      <c r="L1170" s="105" t="inlineStr">
        <is>
          <t>VR</t>
        </is>
      </c>
      <c r="M1170" s="210" t="inlineStr">
        <is>
          <t>RK</t>
        </is>
      </c>
      <c r="N1170" s="211" t="n"/>
      <c r="O1170" s="340" t="inlineStr">
        <is>
          <t>SBL</t>
        </is>
      </c>
      <c r="Q1170" s="271" t="n"/>
      <c r="R1170" s="282" t="n"/>
    </row>
    <row r="1171" ht="18" customHeight="1" s="305">
      <c r="A1171" s="8" t="n">
        <v>1230</v>
      </c>
      <c r="B1171" s="5" t="n">
        <v>88</v>
      </c>
      <c r="C1171" s="72" t="inlineStr">
        <is>
          <t>X</t>
        </is>
      </c>
      <c r="D1171" s="5" t="n">
        <v>397</v>
      </c>
      <c r="E1171" s="73">
        <f>B1171*D1171/10000</f>
        <v/>
      </c>
      <c r="F1171" s="74">
        <f>B1171/30.48</f>
        <v/>
      </c>
      <c r="G1171" s="74">
        <f>D1171/30.48</f>
        <v/>
      </c>
      <c r="H1171" s="615" t="n"/>
      <c r="I1171" s="49" t="inlineStr">
        <is>
          <t>OLD</t>
        </is>
      </c>
      <c r="J1171" s="48" t="inlineStr">
        <is>
          <t>TRS</t>
        </is>
      </c>
      <c r="K1171" s="51" t="inlineStr">
        <is>
          <t>PAC</t>
        </is>
      </c>
      <c r="M1171" s="210" t="n"/>
      <c r="N1171" s="211" t="n"/>
      <c r="O1171" s="340" t="inlineStr">
        <is>
          <t>SBL</t>
        </is>
      </c>
      <c r="Q1171" s="271" t="n"/>
      <c r="R1171" s="282" t="n"/>
    </row>
    <row r="1172" ht="18" customHeight="1" s="305">
      <c r="A1172" s="8" t="n">
        <v>1232</v>
      </c>
      <c r="B1172" s="5" t="n">
        <v>87</v>
      </c>
      <c r="C1172" s="72" t="inlineStr">
        <is>
          <t>X</t>
        </is>
      </c>
      <c r="D1172" s="5" t="n">
        <v>384</v>
      </c>
      <c r="E1172" s="73">
        <f>B1172*D1172/10000</f>
        <v/>
      </c>
      <c r="F1172" s="74">
        <f>B1172/30.48</f>
        <v/>
      </c>
      <c r="G1172" s="74">
        <f>D1172/30.48</f>
        <v/>
      </c>
      <c r="H1172" s="615" t="n"/>
      <c r="I1172" s="49" t="inlineStr">
        <is>
          <t>OLD</t>
        </is>
      </c>
      <c r="J1172" s="48" t="inlineStr">
        <is>
          <t>TRS</t>
        </is>
      </c>
      <c r="K1172" s="51" t="inlineStr">
        <is>
          <t>PAC</t>
        </is>
      </c>
      <c r="L1172" s="105" t="inlineStr">
        <is>
          <t>VR</t>
        </is>
      </c>
      <c r="M1172" s="210" t="n"/>
      <c r="N1172" s="211" t="n"/>
      <c r="O1172" s="340" t="inlineStr">
        <is>
          <t>SBL</t>
        </is>
      </c>
      <c r="Q1172" s="271" t="n"/>
      <c r="R1172" s="282" t="n"/>
    </row>
    <row r="1173" ht="18" customHeight="1" s="305">
      <c r="A1173" s="8" t="n">
        <v>1233</v>
      </c>
      <c r="B1173" s="5" t="n">
        <v>82</v>
      </c>
      <c r="C1173" s="72" t="inlineStr">
        <is>
          <t>X</t>
        </is>
      </c>
      <c r="D1173" s="5" t="n">
        <v>365</v>
      </c>
      <c r="E1173" s="73">
        <f>B1173*D1173/10000</f>
        <v/>
      </c>
      <c r="F1173" s="74">
        <f>B1173/30.48</f>
        <v/>
      </c>
      <c r="G1173" s="74">
        <f>D1173/30.48</f>
        <v/>
      </c>
      <c r="H1173" s="615" t="n"/>
      <c r="I1173" s="49" t="inlineStr">
        <is>
          <t>OLD</t>
        </is>
      </c>
      <c r="J1173" s="48" t="inlineStr">
        <is>
          <t>TRS</t>
        </is>
      </c>
      <c r="K1173" s="51" t="inlineStr">
        <is>
          <t>PAC</t>
        </is>
      </c>
      <c r="L1173" s="105" t="inlineStr">
        <is>
          <t>VR</t>
        </is>
      </c>
      <c r="M1173" s="210" t="n"/>
      <c r="N1173" s="211" t="n"/>
      <c r="O1173" s="340" t="inlineStr">
        <is>
          <t>SBL</t>
        </is>
      </c>
      <c r="Q1173" s="271" t="n"/>
      <c r="R1173" s="282" t="n"/>
    </row>
    <row r="1174" ht="18" customHeight="1" s="305">
      <c r="A1174" s="8" t="n">
        <v>1234</v>
      </c>
      <c r="B1174" s="5" t="n">
        <v>84</v>
      </c>
      <c r="C1174" s="72" t="inlineStr">
        <is>
          <t>X</t>
        </is>
      </c>
      <c r="D1174" s="5" t="n">
        <v>383</v>
      </c>
      <c r="E1174" s="73">
        <f>B1174*D1174/10000</f>
        <v/>
      </c>
      <c r="F1174" s="74">
        <f>B1174/30.48</f>
        <v/>
      </c>
      <c r="G1174" s="74">
        <f>D1174/30.48</f>
        <v/>
      </c>
      <c r="H1174" s="615" t="n"/>
      <c r="I1174" s="49" t="inlineStr">
        <is>
          <t>OLD</t>
        </is>
      </c>
      <c r="J1174" s="48" t="inlineStr">
        <is>
          <t>TRS</t>
        </is>
      </c>
      <c r="K1174" s="51" t="inlineStr">
        <is>
          <t>PAC</t>
        </is>
      </c>
      <c r="L1174" s="105" t="inlineStr">
        <is>
          <t>VR</t>
        </is>
      </c>
      <c r="M1174" s="210" t="n"/>
      <c r="N1174" s="211" t="n"/>
      <c r="O1174" s="340" t="inlineStr">
        <is>
          <t>SBL</t>
        </is>
      </c>
      <c r="Q1174" s="271" t="n"/>
      <c r="R1174" s="282" t="n"/>
    </row>
    <row r="1175" ht="18" customHeight="1" s="305">
      <c r="A1175" s="8" t="n">
        <v>1235</v>
      </c>
      <c r="B1175" s="5" t="n">
        <v>90</v>
      </c>
      <c r="C1175" s="72" t="inlineStr">
        <is>
          <t>X</t>
        </is>
      </c>
      <c r="D1175" s="5" t="n">
        <v>392</v>
      </c>
      <c r="E1175" s="73">
        <f>B1175*D1175/10000</f>
        <v/>
      </c>
      <c r="F1175" s="74">
        <f>B1175/30.48</f>
        <v/>
      </c>
      <c r="G1175" s="74">
        <f>D1175/30.48</f>
        <v/>
      </c>
      <c r="H1175" s="615" t="n"/>
      <c r="I1175" s="49" t="inlineStr">
        <is>
          <t>OLD</t>
        </is>
      </c>
      <c r="J1175" s="48" t="inlineStr">
        <is>
          <t>TRS</t>
        </is>
      </c>
      <c r="K1175" s="51" t="inlineStr">
        <is>
          <t>PAC</t>
        </is>
      </c>
      <c r="L1175" s="105" t="inlineStr">
        <is>
          <t>VR</t>
        </is>
      </c>
      <c r="M1175" s="210" t="n"/>
      <c r="N1175" s="211" t="n"/>
      <c r="O1175" s="340" t="inlineStr">
        <is>
          <t>SBL</t>
        </is>
      </c>
      <c r="Q1175" s="271" t="n"/>
      <c r="R1175" s="282" t="n"/>
    </row>
    <row r="1176" ht="18" customHeight="1" s="305">
      <c r="A1176" s="8" t="n">
        <v>1237</v>
      </c>
      <c r="B1176" s="5" t="n">
        <v>75</v>
      </c>
      <c r="C1176" s="72" t="inlineStr">
        <is>
          <t>X</t>
        </is>
      </c>
      <c r="D1176" s="5" t="n">
        <v>287</v>
      </c>
      <c r="E1176" s="73">
        <f>B1176*D1176/10000</f>
        <v/>
      </c>
      <c r="F1176" s="74">
        <f>B1176/30.48</f>
        <v/>
      </c>
      <c r="G1176" s="74">
        <f>D1176/30.48</f>
        <v/>
      </c>
      <c r="H1176" s="615" t="n"/>
      <c r="I1176" s="49" t="inlineStr">
        <is>
          <t>OLD</t>
        </is>
      </c>
      <c r="J1176" s="48" t="inlineStr">
        <is>
          <t>TRS</t>
        </is>
      </c>
      <c r="K1176" s="51" t="inlineStr">
        <is>
          <t>PAC</t>
        </is>
      </c>
      <c r="L1176" s="105" t="inlineStr">
        <is>
          <t>VR</t>
        </is>
      </c>
      <c r="M1176" s="210" t="n"/>
      <c r="N1176" s="211" t="n"/>
      <c r="O1176" s="340" t="inlineStr">
        <is>
          <t>SBL</t>
        </is>
      </c>
      <c r="Q1176" s="271" t="n"/>
      <c r="R1176" s="282" t="n"/>
    </row>
    <row r="1177" ht="18" customHeight="1" s="305">
      <c r="A1177" s="8" t="n">
        <v>1238</v>
      </c>
      <c r="B1177" s="5" t="n">
        <v>114</v>
      </c>
      <c r="C1177" s="72" t="inlineStr">
        <is>
          <t>X</t>
        </is>
      </c>
      <c r="D1177" s="5" t="n">
        <v>198</v>
      </c>
      <c r="E1177" s="73">
        <f>B1177*D1177/10000</f>
        <v/>
      </c>
      <c r="F1177" s="74">
        <f>B1177/30.48</f>
        <v/>
      </c>
      <c r="G1177" s="74">
        <f>D1177/30.48</f>
        <v/>
      </c>
      <c r="H1177" s="615" t="n"/>
      <c r="I1177" s="49" t="inlineStr">
        <is>
          <t>OLD</t>
        </is>
      </c>
      <c r="J1177" s="48" t="inlineStr">
        <is>
          <t>TRS</t>
        </is>
      </c>
      <c r="K1177" s="51" t="inlineStr">
        <is>
          <t>PAC</t>
        </is>
      </c>
      <c r="L1177" s="105" t="inlineStr">
        <is>
          <t>VR</t>
        </is>
      </c>
      <c r="M1177" s="210" t="n"/>
      <c r="N1177" s="211" t="n"/>
      <c r="O1177" s="340" t="inlineStr">
        <is>
          <t>SBL</t>
        </is>
      </c>
      <c r="Q1177" s="271" t="n"/>
      <c r="R1177" s="282" t="n"/>
    </row>
    <row r="1178" ht="18" customHeight="1" s="305">
      <c r="A1178" s="8" t="n">
        <v>1239</v>
      </c>
      <c r="B1178" s="5" t="n">
        <v>142</v>
      </c>
      <c r="C1178" s="72" t="inlineStr">
        <is>
          <t>X</t>
        </is>
      </c>
      <c r="D1178" s="5" t="n">
        <v>228</v>
      </c>
      <c r="E1178" s="73">
        <f>B1178*D1178/10000</f>
        <v/>
      </c>
      <c r="F1178" s="74">
        <f>B1178/30.48</f>
        <v/>
      </c>
      <c r="G1178" s="74">
        <f>D1178/30.48</f>
        <v/>
      </c>
      <c r="H1178" s="615" t="n"/>
      <c r="I1178" s="49" t="inlineStr">
        <is>
          <t>OLD</t>
        </is>
      </c>
      <c r="J1178" s="48" t="inlineStr">
        <is>
          <t>TRS</t>
        </is>
      </c>
      <c r="K1178" s="51" t="inlineStr">
        <is>
          <t>PAC</t>
        </is>
      </c>
      <c r="L1178" s="105" t="inlineStr">
        <is>
          <t>VR</t>
        </is>
      </c>
      <c r="M1178" s="210" t="n"/>
      <c r="N1178" s="211" t="n"/>
      <c r="O1178" s="340" t="inlineStr">
        <is>
          <t>SBL</t>
        </is>
      </c>
      <c r="Q1178" s="271" t="n"/>
      <c r="R1178" s="282" t="n"/>
    </row>
    <row r="1179" ht="18" customHeight="1" s="305">
      <c r="A1179" s="8" t="n">
        <v>1240</v>
      </c>
      <c r="B1179" s="5" t="n">
        <v>106</v>
      </c>
      <c r="C1179" s="72" t="inlineStr">
        <is>
          <t>X</t>
        </is>
      </c>
      <c r="D1179" s="5" t="n">
        <v>217</v>
      </c>
      <c r="E1179" s="73">
        <f>B1179*D1179/10000</f>
        <v/>
      </c>
      <c r="F1179" s="74">
        <f>B1179/30.48</f>
        <v/>
      </c>
      <c r="G1179" s="74">
        <f>D1179/30.48</f>
        <v/>
      </c>
      <c r="H1179" s="615" t="n"/>
      <c r="I1179" s="49" t="inlineStr">
        <is>
          <t>OLD</t>
        </is>
      </c>
      <c r="K1179" s="51" t="inlineStr">
        <is>
          <t>PAC</t>
        </is>
      </c>
      <c r="L1179" s="105" t="inlineStr">
        <is>
          <t>VR</t>
        </is>
      </c>
      <c r="M1179" s="210" t="n"/>
      <c r="N1179" s="211" t="n"/>
      <c r="O1179" s="340" t="inlineStr">
        <is>
          <t>SBL</t>
        </is>
      </c>
      <c r="Q1179" s="271" t="n"/>
      <c r="R1179" s="282" t="n"/>
    </row>
    <row r="1180" ht="18" customHeight="1" s="305">
      <c r="A1180" s="8" t="n">
        <v>1243</v>
      </c>
      <c r="B1180" s="5" t="n">
        <v>157</v>
      </c>
      <c r="C1180" s="72" t="inlineStr">
        <is>
          <t>X</t>
        </is>
      </c>
      <c r="D1180" s="5" t="n">
        <v>287</v>
      </c>
      <c r="E1180" s="73">
        <f>B1180*D1180/10000</f>
        <v/>
      </c>
      <c r="F1180" s="74">
        <f>B1180/30.48</f>
        <v/>
      </c>
      <c r="G1180" s="74">
        <f>D1180/30.48</f>
        <v/>
      </c>
      <c r="H1180" s="615" t="n"/>
      <c r="M1180" s="210" t="n"/>
      <c r="N1180" s="211" t="n"/>
      <c r="O1180" s="340" t="inlineStr">
        <is>
          <t>SBL</t>
        </is>
      </c>
      <c r="Q1180" s="271" t="n"/>
      <c r="R1180" s="282" t="n"/>
    </row>
    <row r="1181" ht="18" customHeight="1" s="305">
      <c r="A1181" s="8" t="n">
        <v>1244</v>
      </c>
      <c r="B1181" s="5" t="n">
        <v>208</v>
      </c>
      <c r="C1181" s="72" t="inlineStr">
        <is>
          <t>X</t>
        </is>
      </c>
      <c r="D1181" s="5" t="n">
        <v>321</v>
      </c>
      <c r="E1181" s="73">
        <f>B1181*D1181/10000</f>
        <v/>
      </c>
      <c r="F1181" s="74">
        <f>B1181/30.48</f>
        <v/>
      </c>
      <c r="G1181" s="74">
        <f>D1181/30.48</f>
        <v/>
      </c>
      <c r="H1181" s="615" t="n"/>
      <c r="K1181" s="51" t="inlineStr">
        <is>
          <t>PAC</t>
        </is>
      </c>
      <c r="M1181" s="210" t="n"/>
      <c r="N1181" s="211" t="n"/>
      <c r="O1181" s="340" t="inlineStr">
        <is>
          <t>SBL</t>
        </is>
      </c>
      <c r="Q1181" s="271" t="n"/>
      <c r="R1181" s="282" t="n"/>
    </row>
    <row r="1182" ht="18" customHeight="1" s="305">
      <c r="A1182" s="8" t="n">
        <v>1252</v>
      </c>
      <c r="B1182" s="5" t="n">
        <v>80</v>
      </c>
      <c r="C1182" s="72" t="inlineStr">
        <is>
          <t>X</t>
        </is>
      </c>
      <c r="D1182" s="5" t="n">
        <v>280</v>
      </c>
      <c r="E1182" s="73">
        <f>B1182*D1182/10000</f>
        <v/>
      </c>
      <c r="F1182" s="74">
        <f>B1182/30.48</f>
        <v/>
      </c>
      <c r="G1182" s="74">
        <f>D1182/30.48</f>
        <v/>
      </c>
      <c r="H1182" s="615" t="n"/>
      <c r="I1182" s="49" t="inlineStr">
        <is>
          <t>OLD</t>
        </is>
      </c>
      <c r="J1182" s="48" t="inlineStr">
        <is>
          <t>TRS</t>
        </is>
      </c>
      <c r="K1182" s="51" t="inlineStr">
        <is>
          <t>PAC</t>
        </is>
      </c>
      <c r="L1182" s="105" t="inlineStr">
        <is>
          <t>VR</t>
        </is>
      </c>
      <c r="M1182" s="210" t="n"/>
      <c r="N1182" s="211" t="n"/>
      <c r="O1182" s="340" t="inlineStr">
        <is>
          <t>SBL</t>
        </is>
      </c>
      <c r="Q1182" s="271" t="n"/>
      <c r="R1182" s="282" t="n"/>
    </row>
    <row r="1183" ht="18" customHeight="1" s="305">
      <c r="A1183" s="8" t="n">
        <v>1253</v>
      </c>
      <c r="B1183" s="5" t="n">
        <v>200</v>
      </c>
      <c r="C1183" s="72" t="inlineStr">
        <is>
          <t>X</t>
        </is>
      </c>
      <c r="D1183" s="5" t="n">
        <v>300</v>
      </c>
      <c r="E1183" s="73">
        <f>B1183*D1183/10000</f>
        <v/>
      </c>
      <c r="F1183" s="74">
        <f>B1183/30.48</f>
        <v/>
      </c>
      <c r="G1183" s="74">
        <f>D1183/30.48</f>
        <v/>
      </c>
      <c r="H1183" s="615" t="n"/>
      <c r="J1183" s="48" t="inlineStr">
        <is>
          <t>TRS</t>
        </is>
      </c>
      <c r="M1183" s="210" t="n"/>
      <c r="N1183" s="211" t="n"/>
      <c r="O1183" s="263" t="inlineStr">
        <is>
          <t>SBL</t>
        </is>
      </c>
      <c r="Q1183" s="271" t="inlineStr">
        <is>
          <t>RST</t>
        </is>
      </c>
      <c r="R1183" s="282" t="n"/>
    </row>
    <row r="1184" ht="18" customHeight="1" s="305">
      <c r="A1184" s="8" t="n">
        <v>1254</v>
      </c>
      <c r="B1184" s="5" t="n">
        <v>214</v>
      </c>
      <c r="C1184" s="72" t="inlineStr">
        <is>
          <t>X</t>
        </is>
      </c>
      <c r="D1184" s="5" t="n">
        <v>301</v>
      </c>
      <c r="E1184" s="73">
        <f>B1184*D1184/10000</f>
        <v/>
      </c>
      <c r="F1184" s="74">
        <f>B1184/30.48</f>
        <v/>
      </c>
      <c r="G1184" s="74">
        <f>D1184/30.48</f>
        <v/>
      </c>
      <c r="H1184" s="615" t="n"/>
      <c r="J1184" s="48" t="inlineStr">
        <is>
          <t>TRS</t>
        </is>
      </c>
      <c r="K1184" s="51" t="inlineStr">
        <is>
          <t>PAC</t>
        </is>
      </c>
      <c r="M1184" s="210" t="inlineStr">
        <is>
          <t>RK</t>
        </is>
      </c>
      <c r="N1184" s="211" t="n"/>
      <c r="O1184" s="340" t="inlineStr">
        <is>
          <t>SBL</t>
        </is>
      </c>
      <c r="Q1184" s="271" t="n"/>
      <c r="R1184" s="282" t="n"/>
    </row>
    <row r="1185" ht="18" customHeight="1" s="305">
      <c r="A1185" s="8" t="n">
        <v>1256</v>
      </c>
      <c r="B1185" s="5" t="n">
        <v>80</v>
      </c>
      <c r="C1185" s="72" t="inlineStr">
        <is>
          <t>X</t>
        </is>
      </c>
      <c r="D1185" s="5" t="n">
        <v>346</v>
      </c>
      <c r="E1185" s="73">
        <f>B1185*D1185/10000</f>
        <v/>
      </c>
      <c r="F1185" s="74">
        <f>B1185/30.48</f>
        <v/>
      </c>
      <c r="G1185" s="74">
        <f>D1185/30.48</f>
        <v/>
      </c>
      <c r="H1185" s="615" t="n"/>
      <c r="I1185" s="49" t="inlineStr">
        <is>
          <t>OLD</t>
        </is>
      </c>
      <c r="J1185" s="48" t="inlineStr">
        <is>
          <t>TRS</t>
        </is>
      </c>
      <c r="K1185" s="51" t="inlineStr">
        <is>
          <t>PAC</t>
        </is>
      </c>
      <c r="L1185" s="105" t="inlineStr">
        <is>
          <t>VR</t>
        </is>
      </c>
      <c r="M1185" s="210" t="n"/>
      <c r="N1185" s="211" t="n"/>
      <c r="O1185" s="340" t="inlineStr">
        <is>
          <t>SBL</t>
        </is>
      </c>
      <c r="Q1185" s="271" t="n"/>
      <c r="R1185" s="282" t="n"/>
    </row>
    <row r="1186" ht="18" customHeight="1" s="305">
      <c r="A1186" s="8" t="n">
        <v>1257</v>
      </c>
      <c r="B1186" s="5" t="n">
        <v>247</v>
      </c>
      <c r="C1186" s="72" t="inlineStr">
        <is>
          <t>X</t>
        </is>
      </c>
      <c r="D1186" s="5" t="n">
        <v>336</v>
      </c>
      <c r="E1186" s="73">
        <f>B1186*D1186/10000</f>
        <v/>
      </c>
      <c r="F1186" s="74">
        <f>B1186/30.48</f>
        <v/>
      </c>
      <c r="G1186" s="74">
        <f>D1186/30.48</f>
        <v/>
      </c>
      <c r="H1186" s="615" t="n"/>
      <c r="K1186" s="51" t="inlineStr">
        <is>
          <t>PAC</t>
        </is>
      </c>
      <c r="L1186" s="105" t="inlineStr">
        <is>
          <t>VR</t>
        </is>
      </c>
      <c r="M1186" s="210" t="n"/>
      <c r="N1186" s="211" t="n"/>
      <c r="O1186" s="340" t="inlineStr">
        <is>
          <t>SBL</t>
        </is>
      </c>
      <c r="Q1186" s="271" t="n"/>
      <c r="R1186" s="282" t="n"/>
    </row>
    <row r="1187" ht="18" customHeight="1" s="305">
      <c r="A1187" s="8" t="n">
        <v>1261</v>
      </c>
      <c r="B1187" s="5" t="n">
        <v>112</v>
      </c>
      <c r="C1187" s="72" t="inlineStr">
        <is>
          <t>X</t>
        </is>
      </c>
      <c r="D1187" s="5" t="n">
        <v>388</v>
      </c>
      <c r="E1187" s="73">
        <f>B1187*D1187/10000</f>
        <v/>
      </c>
      <c r="F1187" s="74">
        <f>B1187/30.48</f>
        <v/>
      </c>
      <c r="G1187" s="74">
        <f>D1187/30.48</f>
        <v/>
      </c>
      <c r="H1187" s="615" t="n"/>
      <c r="I1187" s="49" t="inlineStr">
        <is>
          <t>OLD</t>
        </is>
      </c>
      <c r="J1187" s="48" t="inlineStr">
        <is>
          <t>TRS</t>
        </is>
      </c>
      <c r="K1187" s="51" t="inlineStr">
        <is>
          <t>PAC</t>
        </is>
      </c>
      <c r="L1187" s="105" t="inlineStr">
        <is>
          <t>VR</t>
        </is>
      </c>
      <c r="M1187" s="210" t="n"/>
      <c r="N1187" s="211" t="n"/>
      <c r="O1187" s="340" t="inlineStr">
        <is>
          <t>SBL</t>
        </is>
      </c>
      <c r="Q1187" s="271" t="n"/>
      <c r="R1187" s="282" t="n"/>
    </row>
    <row r="1188" ht="18" customHeight="1" s="305">
      <c r="A1188" s="8" t="n">
        <v>1262</v>
      </c>
      <c r="B1188" s="5" t="n">
        <v>117</v>
      </c>
      <c r="C1188" s="72" t="inlineStr">
        <is>
          <t>X</t>
        </is>
      </c>
      <c r="D1188" s="5" t="n">
        <v>387</v>
      </c>
      <c r="E1188" s="73">
        <f>B1188*D1188/10000</f>
        <v/>
      </c>
      <c r="F1188" s="74">
        <f>B1188/30.48</f>
        <v/>
      </c>
      <c r="G1188" s="74">
        <f>D1188/30.48</f>
        <v/>
      </c>
      <c r="H1188" s="615" t="n"/>
      <c r="I1188" s="49" t="inlineStr">
        <is>
          <t>OLD</t>
        </is>
      </c>
      <c r="K1188" s="51" t="inlineStr">
        <is>
          <t>PAC</t>
        </is>
      </c>
      <c r="M1188" s="210" t="n"/>
      <c r="N1188" s="211" t="n"/>
      <c r="O1188" s="340" t="inlineStr">
        <is>
          <t>SBL</t>
        </is>
      </c>
      <c r="Q1188" s="271" t="n"/>
      <c r="R1188" s="282" t="n"/>
    </row>
    <row r="1189" ht="18" customHeight="1" s="305">
      <c r="A1189" s="8" t="n">
        <v>1292</v>
      </c>
      <c r="B1189" s="5" t="n">
        <v>115</v>
      </c>
      <c r="C1189" s="72" t="inlineStr">
        <is>
          <t>X</t>
        </is>
      </c>
      <c r="D1189" s="5" t="n">
        <v>363</v>
      </c>
      <c r="E1189" s="73">
        <f>B1189*D1189/10000</f>
        <v/>
      </c>
      <c r="F1189" s="74">
        <f>B1189/30.48</f>
        <v/>
      </c>
      <c r="G1189" s="74">
        <f>D1189/30.48</f>
        <v/>
      </c>
      <c r="H1189" s="615" t="n"/>
      <c r="I1189" s="49" t="inlineStr">
        <is>
          <t>OLD</t>
        </is>
      </c>
      <c r="J1189" s="48" t="inlineStr">
        <is>
          <t>TRS</t>
        </is>
      </c>
      <c r="K1189" s="51" t="inlineStr">
        <is>
          <t>PAC</t>
        </is>
      </c>
      <c r="L1189" s="105" t="inlineStr">
        <is>
          <t>VR</t>
        </is>
      </c>
      <c r="M1189" s="210" t="n"/>
      <c r="N1189" s="211" t="n"/>
      <c r="O1189" s="340" t="inlineStr">
        <is>
          <t>SBL</t>
        </is>
      </c>
      <c r="Q1189" s="271" t="n"/>
      <c r="R1189" s="282" t="n"/>
    </row>
    <row r="1190" ht="18" customHeight="1" s="305">
      <c r="A1190" s="8" t="n">
        <v>1299</v>
      </c>
      <c r="B1190" s="5" t="n">
        <v>81</v>
      </c>
      <c r="C1190" s="72" t="inlineStr">
        <is>
          <t>X</t>
        </is>
      </c>
      <c r="D1190" s="5" t="n">
        <v>449</v>
      </c>
      <c r="E1190" s="73">
        <f>B1190*D1190/10000</f>
        <v/>
      </c>
      <c r="F1190" s="74">
        <f>B1190/30.48</f>
        <v/>
      </c>
      <c r="G1190" s="74">
        <f>D1190/30.48</f>
        <v/>
      </c>
      <c r="H1190" s="615" t="n"/>
      <c r="I1190" s="49" t="inlineStr">
        <is>
          <t>OLD</t>
        </is>
      </c>
      <c r="J1190" s="48" t="inlineStr">
        <is>
          <t>TRS</t>
        </is>
      </c>
      <c r="K1190" s="51" t="inlineStr">
        <is>
          <t>PAC</t>
        </is>
      </c>
      <c r="L1190" s="105" t="inlineStr">
        <is>
          <t>VR</t>
        </is>
      </c>
      <c r="M1190" s="210" t="n"/>
      <c r="N1190" s="211" t="n"/>
      <c r="O1190" s="340" t="inlineStr">
        <is>
          <t>SBL</t>
        </is>
      </c>
      <c r="Q1190" s="271" t="n"/>
      <c r="R1190" s="282" t="n"/>
    </row>
    <row r="1191" ht="18" customHeight="1" s="305">
      <c r="A1191" s="8" t="n">
        <v>1307</v>
      </c>
      <c r="B1191" s="5" t="n">
        <v>90</v>
      </c>
      <c r="C1191" s="72" t="inlineStr">
        <is>
          <t>X</t>
        </is>
      </c>
      <c r="D1191" s="5" t="n">
        <v>372</v>
      </c>
      <c r="E1191" s="73">
        <f>B1191*D1191/10000</f>
        <v/>
      </c>
      <c r="F1191" s="74">
        <f>B1191/30.48</f>
        <v/>
      </c>
      <c r="G1191" s="74">
        <f>D1191/30.48</f>
        <v/>
      </c>
      <c r="H1191" s="615" t="n"/>
      <c r="I1191" s="49" t="inlineStr">
        <is>
          <t>OLD</t>
        </is>
      </c>
      <c r="J1191" s="48" t="inlineStr">
        <is>
          <t>TRS</t>
        </is>
      </c>
      <c r="L1191" s="105" t="inlineStr">
        <is>
          <t>VR</t>
        </is>
      </c>
      <c r="M1191" s="210" t="n"/>
      <c r="N1191" s="211" t="n"/>
      <c r="O1191" s="340" t="inlineStr">
        <is>
          <t>SBL</t>
        </is>
      </c>
      <c r="Q1191" s="271" t="n"/>
      <c r="R1191" s="282" t="n"/>
    </row>
    <row r="1192" ht="18" customHeight="1" s="305">
      <c r="A1192" s="8" t="n">
        <v>1309</v>
      </c>
      <c r="B1192" s="5" t="n">
        <v>110</v>
      </c>
      <c r="C1192" s="72" t="inlineStr">
        <is>
          <t>X</t>
        </is>
      </c>
      <c r="D1192" s="5" t="n">
        <v>206</v>
      </c>
      <c r="E1192" s="73">
        <f>B1192*D1192/10000</f>
        <v/>
      </c>
      <c r="F1192" s="74">
        <f>B1192/30.48</f>
        <v/>
      </c>
      <c r="G1192" s="74">
        <f>D1192/30.48</f>
        <v/>
      </c>
      <c r="H1192" s="615" t="n"/>
      <c r="I1192" s="49" t="inlineStr">
        <is>
          <t>OLD</t>
        </is>
      </c>
      <c r="J1192" s="48" t="inlineStr">
        <is>
          <t>TRS</t>
        </is>
      </c>
      <c r="K1192" s="51" t="inlineStr">
        <is>
          <t>PAC</t>
        </is>
      </c>
      <c r="M1192" s="210" t="inlineStr">
        <is>
          <t>RK</t>
        </is>
      </c>
      <c r="N1192" s="211" t="n"/>
      <c r="O1192" s="340" t="inlineStr">
        <is>
          <t>SBL</t>
        </is>
      </c>
      <c r="Q1192" s="271" t="n"/>
      <c r="R1192" s="282" t="n"/>
    </row>
    <row r="1193" ht="18" customHeight="1" s="305">
      <c r="A1193" s="8" t="n">
        <v>1314</v>
      </c>
      <c r="B1193" s="5" t="n">
        <v>90</v>
      </c>
      <c r="C1193" s="72" t="inlineStr">
        <is>
          <t>X</t>
        </is>
      </c>
      <c r="D1193" s="5" t="n">
        <v>401</v>
      </c>
      <c r="E1193" s="73">
        <f>B1193*D1193/10000</f>
        <v/>
      </c>
      <c r="F1193" s="74">
        <f>B1193/30.48</f>
        <v/>
      </c>
      <c r="G1193" s="74">
        <f>D1193/30.48</f>
        <v/>
      </c>
      <c r="H1193" s="615" t="n"/>
      <c r="I1193" s="49" t="inlineStr">
        <is>
          <t>OLD</t>
        </is>
      </c>
      <c r="J1193" s="48" t="inlineStr">
        <is>
          <t>TRS</t>
        </is>
      </c>
      <c r="K1193" s="51" t="inlineStr">
        <is>
          <t>PAC</t>
        </is>
      </c>
      <c r="L1193" s="105" t="inlineStr">
        <is>
          <t>VR</t>
        </is>
      </c>
      <c r="M1193" s="210" t="n"/>
      <c r="N1193" s="211" t="n"/>
      <c r="O1193" s="340" t="inlineStr">
        <is>
          <t>SBL</t>
        </is>
      </c>
      <c r="Q1193" s="271" t="n"/>
      <c r="R1193" s="282" t="n"/>
    </row>
    <row r="1194" ht="18" customHeight="1" s="305">
      <c r="A1194" s="8" t="n">
        <v>1315</v>
      </c>
      <c r="B1194" s="5" t="n">
        <v>84</v>
      </c>
      <c r="C1194" s="72" t="inlineStr">
        <is>
          <t>X</t>
        </is>
      </c>
      <c r="D1194" s="5" t="n">
        <v>373</v>
      </c>
      <c r="E1194" s="73">
        <f>B1194*D1194/10000</f>
        <v/>
      </c>
      <c r="F1194" s="74">
        <f>B1194/30.48</f>
        <v/>
      </c>
      <c r="G1194" s="74">
        <f>D1194/30.48</f>
        <v/>
      </c>
      <c r="H1194" s="615" t="n"/>
      <c r="I1194" s="49" t="inlineStr">
        <is>
          <t>OLD</t>
        </is>
      </c>
      <c r="J1194" s="48" t="inlineStr">
        <is>
          <t>TRS</t>
        </is>
      </c>
      <c r="K1194" s="51" t="inlineStr">
        <is>
          <t>PAC</t>
        </is>
      </c>
      <c r="L1194" s="105" t="inlineStr">
        <is>
          <t>VR</t>
        </is>
      </c>
      <c r="M1194" s="210" t="n"/>
      <c r="N1194" s="211" t="n"/>
      <c r="O1194" s="340" t="inlineStr">
        <is>
          <t>SBL</t>
        </is>
      </c>
      <c r="Q1194" s="271" t="n"/>
      <c r="R1194" s="282" t="n"/>
    </row>
    <row r="1195" ht="18" customHeight="1" s="305">
      <c r="A1195" s="8" t="n">
        <v>1316</v>
      </c>
      <c r="B1195" s="5" t="n">
        <v>90</v>
      </c>
      <c r="C1195" s="72" t="inlineStr">
        <is>
          <t>X</t>
        </is>
      </c>
      <c r="D1195" s="5" t="n">
        <v>367</v>
      </c>
      <c r="E1195" s="73">
        <f>B1195*D1195/10000</f>
        <v/>
      </c>
      <c r="F1195" s="74">
        <f>B1195/30.48</f>
        <v/>
      </c>
      <c r="G1195" s="74">
        <f>D1195/30.48</f>
        <v/>
      </c>
      <c r="H1195" s="615" t="n"/>
      <c r="I1195" s="49" t="inlineStr">
        <is>
          <t>OLD</t>
        </is>
      </c>
      <c r="J1195" s="48" t="inlineStr">
        <is>
          <t>TRS</t>
        </is>
      </c>
      <c r="K1195" s="51" t="inlineStr">
        <is>
          <t>PAC</t>
        </is>
      </c>
      <c r="L1195" s="105" t="inlineStr">
        <is>
          <t>VR</t>
        </is>
      </c>
      <c r="M1195" s="210" t="n"/>
      <c r="N1195" s="211" t="n"/>
      <c r="O1195" s="340" t="inlineStr">
        <is>
          <t>SBL</t>
        </is>
      </c>
      <c r="Q1195" s="271" t="n"/>
      <c r="R1195" s="282" t="n"/>
    </row>
    <row r="1196" ht="18" customHeight="1" s="305">
      <c r="A1196" s="8" t="n">
        <v>1318</v>
      </c>
      <c r="B1196" s="5" t="n">
        <v>67</v>
      </c>
      <c r="C1196" s="72" t="inlineStr">
        <is>
          <t>X</t>
        </is>
      </c>
      <c r="D1196" s="5" t="n">
        <v>279</v>
      </c>
      <c r="E1196" s="73">
        <f>B1196*D1196/10000</f>
        <v/>
      </c>
      <c r="F1196" s="74">
        <f>B1196/30.48</f>
        <v/>
      </c>
      <c r="G1196" s="74">
        <f>D1196/30.48</f>
        <v/>
      </c>
      <c r="H1196" s="615" t="n"/>
      <c r="I1196" s="49" t="inlineStr">
        <is>
          <t>OLD</t>
        </is>
      </c>
      <c r="J1196" s="48" t="inlineStr">
        <is>
          <t>TRS</t>
        </is>
      </c>
      <c r="K1196" s="51" t="inlineStr">
        <is>
          <t>PAC</t>
        </is>
      </c>
      <c r="M1196" s="210" t="n"/>
      <c r="N1196" s="211" t="n"/>
      <c r="O1196" s="340" t="inlineStr">
        <is>
          <t>SBL</t>
        </is>
      </c>
      <c r="Q1196" s="271" t="n"/>
      <c r="R1196" s="282" t="n"/>
    </row>
    <row r="1197" ht="18" customHeight="1" s="305">
      <c r="A1197" s="8" t="n">
        <v>1323</v>
      </c>
      <c r="B1197" s="5" t="n">
        <v>86</v>
      </c>
      <c r="C1197" s="72" t="inlineStr">
        <is>
          <t>X</t>
        </is>
      </c>
      <c r="D1197" s="5" t="n">
        <v>406</v>
      </c>
      <c r="E1197" s="73">
        <f>B1197*D1197/10000</f>
        <v/>
      </c>
      <c r="F1197" s="74">
        <f>B1197/30.48</f>
        <v/>
      </c>
      <c r="G1197" s="74">
        <f>D1197/30.48</f>
        <v/>
      </c>
      <c r="H1197" s="615" t="n"/>
      <c r="I1197" s="49" t="inlineStr">
        <is>
          <t>OLD</t>
        </is>
      </c>
      <c r="J1197" s="48" t="inlineStr">
        <is>
          <t>TRS</t>
        </is>
      </c>
      <c r="K1197" s="51" t="inlineStr">
        <is>
          <t>PAC</t>
        </is>
      </c>
      <c r="M1197" s="210" t="inlineStr">
        <is>
          <t>RK</t>
        </is>
      </c>
      <c r="N1197" s="211" t="n"/>
      <c r="O1197" s="340" t="inlineStr">
        <is>
          <t>SBL</t>
        </is>
      </c>
      <c r="Q1197" s="271" t="n"/>
      <c r="R1197" s="282" t="n"/>
    </row>
    <row r="1198" ht="18" customHeight="1" s="305">
      <c r="A1198" s="8" t="n">
        <v>1324</v>
      </c>
      <c r="B1198" s="5" t="n">
        <v>85</v>
      </c>
      <c r="C1198" s="72" t="inlineStr">
        <is>
          <t>X</t>
        </is>
      </c>
      <c r="D1198" s="5" t="n">
        <v>312</v>
      </c>
      <c r="E1198" s="73">
        <f>B1198*D1198/10000</f>
        <v/>
      </c>
      <c r="F1198" s="74">
        <f>B1198/30.48</f>
        <v/>
      </c>
      <c r="G1198" s="74">
        <f>D1198/30.48</f>
        <v/>
      </c>
      <c r="H1198" s="615" t="n"/>
      <c r="I1198" s="49" t="inlineStr">
        <is>
          <t>OLD</t>
        </is>
      </c>
      <c r="J1198" s="48" t="inlineStr">
        <is>
          <t>TRS</t>
        </is>
      </c>
      <c r="M1198" s="210" t="n"/>
      <c r="N1198" s="211" t="n"/>
      <c r="O1198" s="340" t="inlineStr">
        <is>
          <t>SBL</t>
        </is>
      </c>
      <c r="Q1198" s="271" t="n"/>
      <c r="R1198" s="282" t="n"/>
    </row>
    <row r="1199" ht="18" customHeight="1" s="305">
      <c r="A1199" s="8" t="n">
        <v>1325</v>
      </c>
      <c r="B1199" s="90" t="n">
        <v>84</v>
      </c>
      <c r="C1199" s="72" t="inlineStr">
        <is>
          <t>X</t>
        </is>
      </c>
      <c r="D1199" s="90" t="n">
        <v>325</v>
      </c>
      <c r="E1199" s="73">
        <f>B1199*D1199/10000</f>
        <v/>
      </c>
      <c r="F1199" s="74">
        <f>B1199/30.48</f>
        <v/>
      </c>
      <c r="G1199" s="74">
        <f>D1199/30.48</f>
        <v/>
      </c>
      <c r="H1199" s="615" t="n"/>
      <c r="I1199" s="49" t="inlineStr">
        <is>
          <t>OLD</t>
        </is>
      </c>
      <c r="J1199" s="48" t="inlineStr">
        <is>
          <t>TRS</t>
        </is>
      </c>
      <c r="K1199" s="51" t="inlineStr">
        <is>
          <t>PAC</t>
        </is>
      </c>
      <c r="L1199" s="105" t="inlineStr">
        <is>
          <t>VR</t>
        </is>
      </c>
      <c r="M1199" s="210" t="n"/>
      <c r="N1199" s="211" t="n"/>
      <c r="O1199" s="340" t="inlineStr">
        <is>
          <t>SBL</t>
        </is>
      </c>
      <c r="Q1199" s="271" t="n"/>
      <c r="R1199" s="282" t="n"/>
    </row>
    <row r="1200" ht="18" customHeight="1" s="305">
      <c r="A1200" s="8" t="n">
        <v>1328</v>
      </c>
      <c r="B1200" s="5" t="n">
        <v>91</v>
      </c>
      <c r="C1200" s="72" t="inlineStr">
        <is>
          <t>X</t>
        </is>
      </c>
      <c r="D1200" s="5" t="n">
        <v>346</v>
      </c>
      <c r="E1200" s="73">
        <f>B1200*D1200/10000</f>
        <v/>
      </c>
      <c r="F1200" s="74">
        <f>B1200/30.48</f>
        <v/>
      </c>
      <c r="G1200" s="74">
        <f>D1200/30.48</f>
        <v/>
      </c>
      <c r="H1200" s="615" t="n"/>
      <c r="I1200" s="49" t="inlineStr">
        <is>
          <t>OLD</t>
        </is>
      </c>
      <c r="J1200" s="48" t="inlineStr">
        <is>
          <t>TRS</t>
        </is>
      </c>
      <c r="K1200" s="51" t="inlineStr">
        <is>
          <t>PAC</t>
        </is>
      </c>
      <c r="L1200" s="105" t="inlineStr">
        <is>
          <t>VR</t>
        </is>
      </c>
      <c r="M1200" s="210" t="n"/>
      <c r="N1200" s="211" t="n"/>
      <c r="O1200" s="340" t="inlineStr">
        <is>
          <t>SBL</t>
        </is>
      </c>
      <c r="Q1200" s="271" t="n"/>
      <c r="R1200" s="282" t="n"/>
    </row>
    <row r="1201" ht="18" customHeight="1" s="305">
      <c r="A1201" s="8" t="n">
        <v>1330</v>
      </c>
      <c r="B1201" s="5" t="n">
        <v>87</v>
      </c>
      <c r="C1201" s="72" t="inlineStr">
        <is>
          <t>X</t>
        </is>
      </c>
      <c r="D1201" s="5" t="n">
        <v>332</v>
      </c>
      <c r="E1201" s="73">
        <f>B1201*D1201/10000</f>
        <v/>
      </c>
      <c r="F1201" s="74">
        <f>B1201/30.48</f>
        <v/>
      </c>
      <c r="G1201" s="74">
        <f>D1201/30.48</f>
        <v/>
      </c>
      <c r="H1201" s="615" t="n"/>
      <c r="I1201" s="49" t="inlineStr">
        <is>
          <t>OLD</t>
        </is>
      </c>
      <c r="J1201" s="48" t="inlineStr">
        <is>
          <t>TRS</t>
        </is>
      </c>
      <c r="K1201" s="51" t="inlineStr">
        <is>
          <t>PAC</t>
        </is>
      </c>
      <c r="L1201" s="105" t="inlineStr">
        <is>
          <t>VR</t>
        </is>
      </c>
      <c r="M1201" s="210" t="n"/>
      <c r="N1201" s="211" t="n"/>
      <c r="O1201" s="340" t="inlineStr">
        <is>
          <t>SBL</t>
        </is>
      </c>
      <c r="Q1201" s="271" t="n"/>
      <c r="R1201" s="282" t="n"/>
    </row>
    <row r="1202" ht="18" customHeight="1" s="305">
      <c r="A1202" s="8" t="n">
        <v>1331</v>
      </c>
      <c r="B1202" s="5" t="n">
        <v>92</v>
      </c>
      <c r="C1202" s="72" t="inlineStr">
        <is>
          <t>X</t>
        </is>
      </c>
      <c r="D1202" s="5" t="n">
        <v>362</v>
      </c>
      <c r="E1202" s="73">
        <f>B1202*D1202/10000</f>
        <v/>
      </c>
      <c r="F1202" s="74">
        <f>B1202/30.48</f>
        <v/>
      </c>
      <c r="G1202" s="74">
        <f>D1202/30.48</f>
        <v/>
      </c>
      <c r="H1202" s="615" t="n"/>
      <c r="I1202" s="49" t="inlineStr">
        <is>
          <t>OLD</t>
        </is>
      </c>
      <c r="J1202" s="48" t="inlineStr">
        <is>
          <t>TRS</t>
        </is>
      </c>
      <c r="K1202" s="51" t="inlineStr">
        <is>
          <t>PAC</t>
        </is>
      </c>
      <c r="M1202" s="210" t="n"/>
      <c r="N1202" s="211" t="n"/>
      <c r="O1202" s="340" t="inlineStr">
        <is>
          <t>SBL</t>
        </is>
      </c>
      <c r="Q1202" s="271" t="n"/>
      <c r="R1202" s="282" t="n"/>
    </row>
    <row r="1203" ht="18" customHeight="1" s="305">
      <c r="A1203" s="8" t="n">
        <v>1653</v>
      </c>
      <c r="B1203" s="5" t="n">
        <v>311</v>
      </c>
      <c r="C1203" s="72" t="inlineStr">
        <is>
          <t>X</t>
        </is>
      </c>
      <c r="D1203" s="5" t="n">
        <v>206</v>
      </c>
      <c r="E1203" s="73">
        <f>B1203*D1203/10000</f>
        <v/>
      </c>
      <c r="F1203" s="74">
        <f>B1203/30.48</f>
        <v/>
      </c>
      <c r="G1203" s="74">
        <f>D1203/30.48</f>
        <v/>
      </c>
      <c r="H1203" s="615" t="n"/>
      <c r="I1203" s="49" t="inlineStr">
        <is>
          <t>OLD</t>
        </is>
      </c>
      <c r="J1203" s="48" t="inlineStr">
        <is>
          <t>TRS</t>
        </is>
      </c>
      <c r="K1203" s="51" t="inlineStr">
        <is>
          <t>PAC</t>
        </is>
      </c>
      <c r="M1203" s="210" t="n"/>
      <c r="N1203" s="211" t="n"/>
      <c r="O1203" s="263" t="inlineStr">
        <is>
          <t>SBL</t>
        </is>
      </c>
      <c r="Q1203" s="271" t="n"/>
      <c r="R1203" s="282" t="n"/>
    </row>
    <row r="1204" ht="18" customHeight="1" s="305">
      <c r="A1204" s="8" t="n">
        <v>1666</v>
      </c>
      <c r="B1204" s="5" t="n">
        <v>249</v>
      </c>
      <c r="C1204" s="72" t="inlineStr">
        <is>
          <t>X</t>
        </is>
      </c>
      <c r="D1204" s="5" t="n">
        <v>156</v>
      </c>
      <c r="E1204" s="73">
        <f>B1204*D1204/10000</f>
        <v/>
      </c>
      <c r="F1204" s="74">
        <f>B1204/30.48</f>
        <v/>
      </c>
      <c r="G1204" s="74">
        <f>D1204/30.48</f>
        <v/>
      </c>
      <c r="H1204" s="615" t="n"/>
      <c r="J1204" s="48" t="inlineStr">
        <is>
          <t>TRS</t>
        </is>
      </c>
      <c r="K1204" s="51" t="inlineStr">
        <is>
          <t>PAC</t>
        </is>
      </c>
      <c r="M1204" s="210" t="n"/>
      <c r="N1204" s="211" t="n"/>
      <c r="O1204" s="263" t="inlineStr">
        <is>
          <t>SBL</t>
        </is>
      </c>
      <c r="Q1204" s="271" t="inlineStr">
        <is>
          <t>RST</t>
        </is>
      </c>
      <c r="R1204" s="282" t="n"/>
    </row>
    <row r="1205" ht="18" customHeight="1" s="305">
      <c r="A1205" s="8" t="n">
        <v>1669</v>
      </c>
      <c r="B1205" s="5" t="n">
        <v>332</v>
      </c>
      <c r="C1205" s="72" t="inlineStr">
        <is>
          <t>X</t>
        </is>
      </c>
      <c r="D1205" s="5" t="n">
        <v>165</v>
      </c>
      <c r="E1205" s="73">
        <f>B1205*D1205/10000</f>
        <v/>
      </c>
      <c r="F1205" s="74">
        <f>B1205/30.48</f>
        <v/>
      </c>
      <c r="G1205" s="74">
        <f>D1205/30.48</f>
        <v/>
      </c>
      <c r="H1205" s="615" t="n"/>
      <c r="J1205" s="48" t="inlineStr">
        <is>
          <t>TRS</t>
        </is>
      </c>
      <c r="K1205" s="51" t="inlineStr">
        <is>
          <t>PAC</t>
        </is>
      </c>
      <c r="M1205" s="210" t="n"/>
      <c r="N1205" s="211" t="n"/>
      <c r="O1205" s="263" t="inlineStr">
        <is>
          <t>SBL</t>
        </is>
      </c>
      <c r="Q1205" s="271" t="n"/>
      <c r="R1205" s="282" t="n"/>
    </row>
    <row r="1206" ht="18" customHeight="1" s="305">
      <c r="A1206" s="8" t="n">
        <v>1671</v>
      </c>
      <c r="B1206" s="5" t="n">
        <v>320</v>
      </c>
      <c r="C1206" s="72" t="inlineStr">
        <is>
          <t>X</t>
        </is>
      </c>
      <c r="D1206" s="5" t="n">
        <v>211</v>
      </c>
      <c r="E1206" s="73">
        <f>B1206*D1206/10000</f>
        <v/>
      </c>
      <c r="F1206" s="74">
        <f>B1206/30.48</f>
        <v/>
      </c>
      <c r="G1206" s="74">
        <f>D1206/30.48</f>
        <v/>
      </c>
      <c r="H1206" s="615" t="n"/>
      <c r="J1206" s="48" t="inlineStr">
        <is>
          <t>TRS</t>
        </is>
      </c>
      <c r="K1206" s="51" t="inlineStr">
        <is>
          <t>PAC</t>
        </is>
      </c>
      <c r="M1206" s="210" t="n"/>
      <c r="N1206" s="211" t="n"/>
      <c r="O1206" s="263" t="inlineStr">
        <is>
          <t>SBL</t>
        </is>
      </c>
      <c r="Q1206" s="271" t="n"/>
      <c r="R1206" s="282" t="n"/>
    </row>
    <row r="1207" ht="18" customHeight="1" s="305">
      <c r="A1207" s="8" t="n">
        <v>1672</v>
      </c>
      <c r="B1207" s="5" t="n">
        <v>193</v>
      </c>
      <c r="C1207" s="72" t="inlineStr">
        <is>
          <t>X</t>
        </is>
      </c>
      <c r="D1207" s="5" t="n">
        <v>121</v>
      </c>
      <c r="E1207" s="73">
        <f>B1207*D1207/10000</f>
        <v/>
      </c>
      <c r="F1207" s="74">
        <f>B1207/30.48</f>
        <v/>
      </c>
      <c r="G1207" s="74">
        <f>D1207/30.48</f>
        <v/>
      </c>
      <c r="H1207" s="615" t="n"/>
      <c r="J1207" s="48" t="inlineStr">
        <is>
          <t>TRS</t>
        </is>
      </c>
      <c r="K1207" s="51" t="inlineStr">
        <is>
          <t>PAC</t>
        </is>
      </c>
      <c r="L1207" s="105" t="inlineStr">
        <is>
          <t>VR</t>
        </is>
      </c>
      <c r="M1207" s="210" t="n"/>
      <c r="N1207" s="211" t="n"/>
      <c r="O1207" s="263" t="inlineStr">
        <is>
          <t>SBL</t>
        </is>
      </c>
      <c r="Q1207" s="271" t="inlineStr">
        <is>
          <t>RST</t>
        </is>
      </c>
      <c r="R1207" s="282" t="n"/>
    </row>
    <row r="1208" ht="18" customHeight="1" s="305">
      <c r="A1208" s="8" t="n">
        <v>1673</v>
      </c>
      <c r="B1208" s="5" t="n">
        <v>201</v>
      </c>
      <c r="C1208" s="72" t="inlineStr">
        <is>
          <t>X</t>
        </is>
      </c>
      <c r="D1208" s="5" t="n">
        <v>128</v>
      </c>
      <c r="E1208" s="73">
        <f>B1208*D1208/10000</f>
        <v/>
      </c>
      <c r="F1208" s="74">
        <f>B1208/30.48</f>
        <v/>
      </c>
      <c r="G1208" s="74">
        <f>D1208/30.48</f>
        <v/>
      </c>
      <c r="H1208" s="615" t="n"/>
      <c r="J1208" s="48" t="inlineStr">
        <is>
          <t>TRS</t>
        </is>
      </c>
      <c r="K1208" s="51" t="inlineStr">
        <is>
          <t>PAC</t>
        </is>
      </c>
      <c r="M1208" s="210" t="n"/>
      <c r="N1208" s="211" t="n"/>
      <c r="O1208" s="263" t="inlineStr">
        <is>
          <t>SBL</t>
        </is>
      </c>
      <c r="Q1208" s="271" t="inlineStr">
        <is>
          <t>RST</t>
        </is>
      </c>
      <c r="R1208" s="282" t="n"/>
    </row>
    <row r="1209" ht="18" customHeight="1" s="305">
      <c r="A1209" s="8" t="n">
        <v>1674</v>
      </c>
      <c r="B1209" s="5" t="n">
        <v>203</v>
      </c>
      <c r="C1209" s="72" t="inlineStr">
        <is>
          <t>X</t>
        </is>
      </c>
      <c r="D1209" s="5" t="n">
        <v>100</v>
      </c>
      <c r="E1209" s="73">
        <f>B1209*D1209/10000</f>
        <v/>
      </c>
      <c r="F1209" s="74">
        <f>B1209/30.48</f>
        <v/>
      </c>
      <c r="G1209" s="74">
        <f>D1209/30.48</f>
        <v/>
      </c>
      <c r="H1209" s="615" t="n"/>
      <c r="J1209" s="48" t="inlineStr">
        <is>
          <t>TRS</t>
        </is>
      </c>
      <c r="K1209" s="51" t="inlineStr">
        <is>
          <t>PAC</t>
        </is>
      </c>
      <c r="M1209" s="210" t="inlineStr">
        <is>
          <t>RK</t>
        </is>
      </c>
      <c r="N1209" s="211" t="n"/>
      <c r="O1209" s="263" t="inlineStr">
        <is>
          <t>SBL</t>
        </is>
      </c>
      <c r="Q1209" s="271" t="n"/>
      <c r="R1209" s="282" t="n"/>
    </row>
    <row r="1210" ht="18" customHeight="1" s="305">
      <c r="A1210" s="8" t="n">
        <v>1675</v>
      </c>
      <c r="B1210" s="5" t="n">
        <v>306</v>
      </c>
      <c r="C1210" s="72" t="inlineStr">
        <is>
          <t>X</t>
        </is>
      </c>
      <c r="D1210" s="5" t="n">
        <v>202</v>
      </c>
      <c r="E1210" s="73">
        <f>B1210*D1210/10000</f>
        <v/>
      </c>
      <c r="F1210" s="74">
        <f>B1210/30.48</f>
        <v/>
      </c>
      <c r="G1210" s="74">
        <f>D1210/30.48</f>
        <v/>
      </c>
      <c r="H1210" s="615" t="n"/>
      <c r="J1210" s="48" t="inlineStr">
        <is>
          <t>TRS</t>
        </is>
      </c>
      <c r="K1210" s="51" t="inlineStr">
        <is>
          <t>PAC</t>
        </is>
      </c>
      <c r="M1210" s="210" t="n"/>
      <c r="N1210" s="211" t="n"/>
      <c r="O1210" s="263" t="inlineStr">
        <is>
          <t>SBL</t>
        </is>
      </c>
      <c r="Q1210" s="271" t="n"/>
      <c r="R1210" s="282" t="n"/>
    </row>
    <row r="1211" ht="18" customHeight="1" s="305">
      <c r="A1211" s="8" t="inlineStr">
        <is>
          <t>1675!</t>
        </is>
      </c>
      <c r="B1211" s="5" t="n">
        <v>214</v>
      </c>
      <c r="C1211" s="72" t="inlineStr">
        <is>
          <t>X</t>
        </is>
      </c>
      <c r="D1211" s="5" t="n">
        <v>120</v>
      </c>
      <c r="E1211" s="73">
        <f>B1211*D1211/10000</f>
        <v/>
      </c>
      <c r="F1211" s="74">
        <f>B1211/30.48</f>
        <v/>
      </c>
      <c r="G1211" s="74">
        <f>D1211/30.48</f>
        <v/>
      </c>
      <c r="H1211" s="615" t="n"/>
      <c r="J1211" s="48" t="inlineStr">
        <is>
          <t>TRS</t>
        </is>
      </c>
      <c r="K1211" s="51" t="inlineStr">
        <is>
          <t>PAC</t>
        </is>
      </c>
      <c r="M1211" s="210" t="n"/>
      <c r="N1211" s="211" t="n"/>
      <c r="O1211" s="263" t="inlineStr">
        <is>
          <t>SBL</t>
        </is>
      </c>
      <c r="Q1211" s="271" t="n"/>
      <c r="R1211" s="282" t="n"/>
    </row>
    <row r="1212" ht="18" customHeight="1" s="305">
      <c r="A1212" s="8" t="n">
        <v>1678</v>
      </c>
      <c r="B1212" s="5" t="n">
        <v>305</v>
      </c>
      <c r="C1212" s="72" t="inlineStr">
        <is>
          <t>X</t>
        </is>
      </c>
      <c r="D1212" s="5" t="n">
        <v>195</v>
      </c>
      <c r="E1212" s="73">
        <f>B1212*D1212/10000</f>
        <v/>
      </c>
      <c r="F1212" s="74">
        <f>B1212/30.48</f>
        <v/>
      </c>
      <c r="G1212" s="74">
        <f>D1212/30.48</f>
        <v/>
      </c>
      <c r="H1212" s="615" t="n"/>
      <c r="J1212" s="48" t="inlineStr">
        <is>
          <t>TRS</t>
        </is>
      </c>
      <c r="K1212" s="51" t="inlineStr">
        <is>
          <t>PAC</t>
        </is>
      </c>
      <c r="M1212" s="210" t="n"/>
      <c r="N1212" s="211" t="n"/>
      <c r="O1212" s="263" t="inlineStr">
        <is>
          <t>SBL</t>
        </is>
      </c>
      <c r="Q1212" s="271" t="inlineStr">
        <is>
          <t>RST</t>
        </is>
      </c>
      <c r="R1212" s="282" t="n"/>
    </row>
    <row r="1213" ht="18" customHeight="1" s="305">
      <c r="A1213" s="8" t="n">
        <v>1679</v>
      </c>
      <c r="B1213" s="5" t="n">
        <v>300</v>
      </c>
      <c r="C1213" s="72" t="inlineStr">
        <is>
          <t>X</t>
        </is>
      </c>
      <c r="D1213" s="5" t="n">
        <v>148</v>
      </c>
      <c r="E1213" s="73">
        <f>B1213*D1213/10000</f>
        <v/>
      </c>
      <c r="F1213" s="74">
        <f>B1213/30.48</f>
        <v/>
      </c>
      <c r="G1213" s="74">
        <f>D1213/30.48</f>
        <v/>
      </c>
      <c r="H1213" s="615" t="n"/>
      <c r="J1213" s="48" t="inlineStr">
        <is>
          <t>TRS</t>
        </is>
      </c>
      <c r="K1213" s="51" t="inlineStr">
        <is>
          <t>PAC</t>
        </is>
      </c>
      <c r="M1213" s="210" t="n"/>
      <c r="N1213" s="211" t="n"/>
      <c r="O1213" s="263" t="inlineStr">
        <is>
          <t>SBL</t>
        </is>
      </c>
      <c r="Q1213" s="271" t="inlineStr">
        <is>
          <t>RST</t>
        </is>
      </c>
      <c r="R1213" s="282" t="n"/>
    </row>
    <row r="1214" ht="18" customHeight="1" s="305">
      <c r="A1214" s="8" t="n">
        <v>1681</v>
      </c>
      <c r="B1214" s="5" t="n">
        <v>342</v>
      </c>
      <c r="C1214" s="72" t="inlineStr">
        <is>
          <t>X</t>
        </is>
      </c>
      <c r="D1214" s="5" t="n">
        <v>82</v>
      </c>
      <c r="E1214" s="73">
        <f>B1214*D1214/10000</f>
        <v/>
      </c>
      <c r="F1214" s="74">
        <f>B1214/30.48</f>
        <v/>
      </c>
      <c r="G1214" s="74">
        <f>D1214/30.48</f>
        <v/>
      </c>
      <c r="H1214" s="615" t="n"/>
      <c r="J1214" s="48" t="inlineStr">
        <is>
          <t>TRS</t>
        </is>
      </c>
      <c r="K1214" s="51" t="inlineStr">
        <is>
          <t>PAC</t>
        </is>
      </c>
      <c r="M1214" s="210" t="n"/>
      <c r="N1214" s="211" t="n"/>
      <c r="O1214" s="263" t="inlineStr">
        <is>
          <t>SBL</t>
        </is>
      </c>
      <c r="Q1214" s="271" t="n"/>
      <c r="R1214" s="282" t="n"/>
    </row>
    <row r="1215" ht="18" customHeight="1" s="305">
      <c r="A1215" s="8" t="n">
        <v>1686</v>
      </c>
      <c r="B1215" s="5" t="n">
        <v>280</v>
      </c>
      <c r="C1215" s="72" t="inlineStr">
        <is>
          <t>X</t>
        </is>
      </c>
      <c r="D1215" s="5" t="n">
        <v>156</v>
      </c>
      <c r="E1215" s="73">
        <f>B1215*D1215/10000</f>
        <v/>
      </c>
      <c r="F1215" s="74">
        <f>B1215/30.48</f>
        <v/>
      </c>
      <c r="G1215" s="74">
        <f>D1215/30.48</f>
        <v/>
      </c>
      <c r="H1215" s="615" t="n"/>
      <c r="J1215" s="48" t="inlineStr">
        <is>
          <t>TRS</t>
        </is>
      </c>
      <c r="K1215" s="51" t="inlineStr">
        <is>
          <t>PAC</t>
        </is>
      </c>
      <c r="M1215" s="210" t="n"/>
      <c r="N1215" s="211" t="n"/>
      <c r="O1215" s="263" t="inlineStr">
        <is>
          <t>SBL</t>
        </is>
      </c>
      <c r="Q1215" s="271" t="inlineStr">
        <is>
          <t>RST</t>
        </is>
      </c>
      <c r="R1215" s="282" t="n"/>
    </row>
    <row r="1216" ht="18" customHeight="1" s="305">
      <c r="A1216" s="8" t="n">
        <v>1687</v>
      </c>
      <c r="B1216" s="5" t="n">
        <v>233</v>
      </c>
      <c r="C1216" s="72" t="inlineStr">
        <is>
          <t>X</t>
        </is>
      </c>
      <c r="D1216" s="5" t="n">
        <v>124</v>
      </c>
      <c r="E1216" s="73">
        <f>B1216*D1216/10000</f>
        <v/>
      </c>
      <c r="F1216" s="74">
        <f>B1216/30.48</f>
        <v/>
      </c>
      <c r="G1216" s="74">
        <f>D1216/30.48</f>
        <v/>
      </c>
      <c r="H1216" s="615" t="n"/>
      <c r="J1216" s="48" t="inlineStr">
        <is>
          <t>TRS</t>
        </is>
      </c>
      <c r="K1216" s="51" t="inlineStr">
        <is>
          <t>PAC</t>
        </is>
      </c>
      <c r="M1216" s="210" t="n"/>
      <c r="N1216" s="211" t="n"/>
      <c r="O1216" s="263" t="inlineStr">
        <is>
          <t>SBL</t>
        </is>
      </c>
      <c r="Q1216" s="271" t="inlineStr">
        <is>
          <t>RST</t>
        </is>
      </c>
      <c r="R1216" s="282" t="n"/>
    </row>
    <row r="1217" ht="18" customHeight="1" s="305">
      <c r="A1217" s="8" t="n">
        <v>1688</v>
      </c>
      <c r="B1217" s="5" t="n">
        <v>203</v>
      </c>
      <c r="C1217" s="72" t="inlineStr">
        <is>
          <t>X</t>
        </is>
      </c>
      <c r="D1217" s="5" t="n">
        <v>121</v>
      </c>
      <c r="E1217" s="73">
        <f>B1217*D1217/10000</f>
        <v/>
      </c>
      <c r="F1217" s="74">
        <f>B1217/30.48</f>
        <v/>
      </c>
      <c r="G1217" s="74">
        <f>D1217/30.48</f>
        <v/>
      </c>
      <c r="H1217" s="615" t="n"/>
      <c r="J1217" s="48" t="inlineStr">
        <is>
          <t>TRS</t>
        </is>
      </c>
      <c r="K1217" s="51" t="inlineStr">
        <is>
          <t>PAC</t>
        </is>
      </c>
      <c r="M1217" s="210" t="n"/>
      <c r="N1217" s="211" t="n"/>
      <c r="O1217" s="263" t="inlineStr">
        <is>
          <t>SBL</t>
        </is>
      </c>
      <c r="Q1217" s="271" t="inlineStr">
        <is>
          <t>RST</t>
        </is>
      </c>
      <c r="R1217" s="282" t="n"/>
    </row>
    <row r="1218" ht="18" customHeight="1" s="305">
      <c r="A1218" s="8" t="n">
        <v>1689</v>
      </c>
      <c r="B1218" s="5" t="n">
        <v>275</v>
      </c>
      <c r="C1218" s="72" t="inlineStr">
        <is>
          <t>X</t>
        </is>
      </c>
      <c r="D1218" s="5" t="n">
        <v>187</v>
      </c>
      <c r="E1218" s="73">
        <f>B1218*D1218/10000</f>
        <v/>
      </c>
      <c r="F1218" s="74">
        <f>B1218/30.48</f>
        <v/>
      </c>
      <c r="G1218" s="74">
        <f>D1218/30.48</f>
        <v/>
      </c>
      <c r="H1218" s="615" t="n"/>
      <c r="J1218" s="48" t="inlineStr">
        <is>
          <t>TRS</t>
        </is>
      </c>
      <c r="K1218" s="51" t="inlineStr">
        <is>
          <t>PAC</t>
        </is>
      </c>
      <c r="M1218" s="210" t="n"/>
      <c r="N1218" s="211" t="n"/>
      <c r="O1218" s="263" t="inlineStr">
        <is>
          <t>SBL</t>
        </is>
      </c>
      <c r="Q1218" s="271" t="inlineStr">
        <is>
          <t>RST</t>
        </is>
      </c>
      <c r="R1218" s="282" t="n"/>
    </row>
    <row r="1219" ht="18" customHeight="1" s="305">
      <c r="A1219" s="8" t="n">
        <v>1694</v>
      </c>
      <c r="B1219" s="5" t="n">
        <v>275</v>
      </c>
      <c r="C1219" s="72" t="inlineStr">
        <is>
          <t>X</t>
        </is>
      </c>
      <c r="D1219" s="5" t="n">
        <v>180</v>
      </c>
      <c r="E1219" s="73">
        <f>B1219*D1219/10000</f>
        <v/>
      </c>
      <c r="F1219" s="74">
        <f>B1219/30.48</f>
        <v/>
      </c>
      <c r="G1219" s="74">
        <f>D1219/30.48</f>
        <v/>
      </c>
      <c r="H1219" s="615" t="n"/>
      <c r="J1219" s="48" t="inlineStr">
        <is>
          <t>TRS</t>
        </is>
      </c>
      <c r="K1219" s="51" t="inlineStr">
        <is>
          <t>PAC</t>
        </is>
      </c>
      <c r="M1219" s="210" t="n"/>
      <c r="N1219" s="211" t="n"/>
      <c r="O1219" s="263" t="inlineStr">
        <is>
          <t>SBL</t>
        </is>
      </c>
      <c r="Q1219" s="271" t="inlineStr">
        <is>
          <t>RST</t>
        </is>
      </c>
      <c r="R1219" s="282" t="n"/>
    </row>
    <row r="1220" ht="18" customHeight="1" s="305">
      <c r="A1220" s="8" t="n">
        <v>1640</v>
      </c>
      <c r="B1220" s="5" t="n">
        <v>330</v>
      </c>
      <c r="C1220" s="72" t="inlineStr">
        <is>
          <t>X</t>
        </is>
      </c>
      <c r="D1220" s="5" t="n">
        <v>105</v>
      </c>
      <c r="E1220" s="73">
        <f>B1220*D1220/10000</f>
        <v/>
      </c>
      <c r="F1220" s="74">
        <f>B1220/30.48</f>
        <v/>
      </c>
      <c r="G1220" s="74">
        <f>D1220/30.48</f>
        <v/>
      </c>
      <c r="H1220" s="615" t="n"/>
      <c r="I1220" s="49" t="inlineStr">
        <is>
          <t>OLD</t>
        </is>
      </c>
      <c r="J1220" s="48" t="inlineStr">
        <is>
          <t>TRS</t>
        </is>
      </c>
      <c r="M1220" s="210" t="n"/>
      <c r="N1220" s="211" t="n"/>
      <c r="O1220" s="263" t="inlineStr">
        <is>
          <t>SBL</t>
        </is>
      </c>
      <c r="Q1220" s="271" t="inlineStr">
        <is>
          <t>RST</t>
        </is>
      </c>
      <c r="R1220" s="282" t="n"/>
    </row>
    <row r="1221" ht="18" customHeight="1" s="305">
      <c r="A1221" s="8" t="n">
        <v>1647</v>
      </c>
      <c r="B1221" s="5" t="n">
        <v>171</v>
      </c>
      <c r="C1221" s="72" t="inlineStr">
        <is>
          <t>X</t>
        </is>
      </c>
      <c r="D1221" s="5" t="n">
        <v>102</v>
      </c>
      <c r="E1221" s="73">
        <f>B1221*D1221/10000</f>
        <v/>
      </c>
      <c r="F1221" s="74">
        <f>B1221/30.48</f>
        <v/>
      </c>
      <c r="G1221" s="74">
        <f>D1221/30.48</f>
        <v/>
      </c>
      <c r="H1221" s="615" t="n"/>
      <c r="I1221" s="49" t="inlineStr">
        <is>
          <t>OLD</t>
        </is>
      </c>
      <c r="J1221" s="48" t="inlineStr">
        <is>
          <t>TRS</t>
        </is>
      </c>
      <c r="K1221" s="51" t="inlineStr">
        <is>
          <t>PAC</t>
        </is>
      </c>
      <c r="L1221" s="105" t="inlineStr">
        <is>
          <t>VR</t>
        </is>
      </c>
      <c r="M1221" s="210" t="n"/>
      <c r="N1221" s="211" t="n"/>
      <c r="O1221" s="263" t="inlineStr">
        <is>
          <t>SBL</t>
        </is>
      </c>
      <c r="Q1221" s="271" t="inlineStr">
        <is>
          <t>RST</t>
        </is>
      </c>
      <c r="R1221" s="282" t="n"/>
    </row>
    <row r="1222" ht="18" customHeight="1" s="305">
      <c r="A1222" s="8" t="n">
        <v>1648</v>
      </c>
      <c r="B1222" s="5" t="n">
        <v>269</v>
      </c>
      <c r="C1222" s="72" t="inlineStr">
        <is>
          <t>X</t>
        </is>
      </c>
      <c r="D1222" s="5" t="n">
        <v>82</v>
      </c>
      <c r="E1222" s="73">
        <f>B1222*D1222/10000</f>
        <v/>
      </c>
      <c r="F1222" s="74">
        <f>B1222/30.48</f>
        <v/>
      </c>
      <c r="G1222" s="74">
        <f>D1222/30.48</f>
        <v/>
      </c>
      <c r="H1222" s="615" t="n"/>
      <c r="I1222" s="49" t="inlineStr">
        <is>
          <t>OLD</t>
        </is>
      </c>
      <c r="J1222" s="48" t="inlineStr">
        <is>
          <t>TRS</t>
        </is>
      </c>
      <c r="K1222" s="51" t="inlineStr">
        <is>
          <t>PAC</t>
        </is>
      </c>
      <c r="L1222" s="105" t="inlineStr">
        <is>
          <t>VR</t>
        </is>
      </c>
      <c r="M1222" s="210" t="n"/>
      <c r="N1222" s="211" t="n"/>
      <c r="O1222" s="263" t="inlineStr">
        <is>
          <t>SBL</t>
        </is>
      </c>
      <c r="Q1222" s="271" t="n"/>
      <c r="R1222" s="282" t="n"/>
    </row>
    <row r="1223" ht="18" customHeight="1" s="305">
      <c r="A1223" s="8" t="n">
        <v>1650</v>
      </c>
      <c r="B1223" s="5" t="n">
        <v>166</v>
      </c>
      <c r="C1223" s="72" t="inlineStr">
        <is>
          <t>X</t>
        </is>
      </c>
      <c r="D1223" s="5" t="n">
        <v>92</v>
      </c>
      <c r="E1223" s="73">
        <f>B1223*D1223/10000</f>
        <v/>
      </c>
      <c r="F1223" s="74">
        <f>B1223/30.48</f>
        <v/>
      </c>
      <c r="G1223" s="74">
        <f>D1223/30.48</f>
        <v/>
      </c>
      <c r="H1223" s="615" t="n"/>
      <c r="I1223" s="49" t="inlineStr">
        <is>
          <t>OLD</t>
        </is>
      </c>
      <c r="J1223" s="48" t="inlineStr">
        <is>
          <t>TRS</t>
        </is>
      </c>
      <c r="K1223" s="51" t="inlineStr">
        <is>
          <t>PAC</t>
        </is>
      </c>
      <c r="L1223" s="105" t="inlineStr">
        <is>
          <t>VR</t>
        </is>
      </c>
      <c r="M1223" s="210" t="n"/>
      <c r="N1223" s="211" t="n"/>
      <c r="O1223" s="263" t="inlineStr">
        <is>
          <t>SBL</t>
        </is>
      </c>
      <c r="Q1223" s="271" t="n"/>
      <c r="R1223" s="282" t="n"/>
    </row>
    <row r="1224" ht="18" customHeight="1" s="305">
      <c r="A1224" s="8" t="n">
        <v>1652</v>
      </c>
      <c r="B1224" s="5" t="n">
        <v>268</v>
      </c>
      <c r="C1224" s="72" t="inlineStr">
        <is>
          <t>X</t>
        </is>
      </c>
      <c r="D1224" s="5" t="n">
        <v>158</v>
      </c>
      <c r="E1224" s="73">
        <f>B1224*D1224/10000</f>
        <v/>
      </c>
      <c r="F1224" s="74">
        <f>B1224/30.48</f>
        <v/>
      </c>
      <c r="G1224" s="74">
        <f>D1224/30.48</f>
        <v/>
      </c>
      <c r="H1224" s="615" t="n"/>
      <c r="I1224" s="49" t="inlineStr">
        <is>
          <t>OLD</t>
        </is>
      </c>
      <c r="J1224" s="48" t="inlineStr">
        <is>
          <t>TRS</t>
        </is>
      </c>
      <c r="K1224" s="51" t="inlineStr">
        <is>
          <t>PAC</t>
        </is>
      </c>
      <c r="M1224" s="210" t="n"/>
      <c r="N1224" s="211" t="n"/>
      <c r="O1224" s="263" t="inlineStr">
        <is>
          <t>SBL</t>
        </is>
      </c>
      <c r="Q1224" s="271" t="inlineStr">
        <is>
          <t>RST</t>
        </is>
      </c>
      <c r="R1224" s="282" t="n"/>
    </row>
    <row r="1225" ht="18" customHeight="1" s="305">
      <c r="A1225" s="8" t="n">
        <v>1655</v>
      </c>
      <c r="B1225" s="5" t="n">
        <v>407</v>
      </c>
      <c r="C1225" s="72" t="inlineStr">
        <is>
          <t>X</t>
        </is>
      </c>
      <c r="D1225" s="5" t="n">
        <v>78</v>
      </c>
      <c r="E1225" s="73">
        <f>B1225*D1225/10000</f>
        <v/>
      </c>
      <c r="F1225" s="74">
        <f>B1225/30.48</f>
        <v/>
      </c>
      <c r="G1225" s="74">
        <f>D1225/30.48</f>
        <v/>
      </c>
      <c r="H1225" s="615" t="n"/>
      <c r="I1225" s="49" t="inlineStr">
        <is>
          <t>OLD</t>
        </is>
      </c>
      <c r="J1225" s="48" t="inlineStr">
        <is>
          <t>TRS</t>
        </is>
      </c>
      <c r="K1225" s="51" t="inlineStr">
        <is>
          <t>PAC</t>
        </is>
      </c>
      <c r="M1225" s="210" t="n"/>
      <c r="N1225" s="211" t="n"/>
      <c r="O1225" s="263" t="inlineStr">
        <is>
          <t>SBL</t>
        </is>
      </c>
      <c r="Q1225" s="271" t="inlineStr">
        <is>
          <t>RST</t>
        </is>
      </c>
      <c r="R1225" s="282" t="n"/>
    </row>
    <row r="1226" ht="18" customHeight="1" s="305">
      <c r="A1226" s="8" t="n">
        <v>1656</v>
      </c>
      <c r="B1226" s="5" t="n">
        <v>305</v>
      </c>
      <c r="C1226" s="72" t="inlineStr">
        <is>
          <t>X</t>
        </is>
      </c>
      <c r="D1226" s="5" t="n">
        <v>203</v>
      </c>
      <c r="E1226" s="73">
        <f>B1226*D1226/10000</f>
        <v/>
      </c>
      <c r="F1226" s="74">
        <f>B1226/30.48</f>
        <v/>
      </c>
      <c r="G1226" s="74">
        <f>D1226/30.48</f>
        <v/>
      </c>
      <c r="H1226" s="615" t="n"/>
      <c r="I1226" s="49" t="inlineStr">
        <is>
          <t>OLD</t>
        </is>
      </c>
      <c r="J1226" s="48" t="inlineStr">
        <is>
          <t>TRS</t>
        </is>
      </c>
      <c r="K1226" s="51" t="inlineStr">
        <is>
          <t>PAC</t>
        </is>
      </c>
      <c r="M1226" s="210" t="n"/>
      <c r="N1226" s="211" t="n"/>
      <c r="O1226" s="263" t="inlineStr">
        <is>
          <t>SBL</t>
        </is>
      </c>
      <c r="Q1226" s="271" t="inlineStr">
        <is>
          <t>RST</t>
        </is>
      </c>
      <c r="R1226" s="282" t="n"/>
    </row>
    <row r="1227" ht="18" customHeight="1" s="305">
      <c r="A1227" s="8" t="n">
        <v>1657</v>
      </c>
      <c r="B1227" s="5" t="n">
        <v>307</v>
      </c>
      <c r="C1227" s="72" t="inlineStr">
        <is>
          <t>X</t>
        </is>
      </c>
      <c r="D1227" s="5" t="n">
        <v>80</v>
      </c>
      <c r="E1227" s="73">
        <f>B1227*D1227/10000</f>
        <v/>
      </c>
      <c r="F1227" s="74">
        <f>B1227/30.48</f>
        <v/>
      </c>
      <c r="G1227" s="74">
        <f>D1227/30.48</f>
        <v/>
      </c>
      <c r="H1227" s="615" t="n"/>
      <c r="I1227" s="49" t="inlineStr">
        <is>
          <t>OLD</t>
        </is>
      </c>
      <c r="J1227" s="48" t="inlineStr">
        <is>
          <t>TRS</t>
        </is>
      </c>
      <c r="K1227" s="51" t="inlineStr">
        <is>
          <t>PAC</t>
        </is>
      </c>
      <c r="L1227" s="105" t="inlineStr">
        <is>
          <t>VR</t>
        </is>
      </c>
      <c r="M1227" s="210" t="n"/>
      <c r="N1227" s="211" t="n"/>
      <c r="O1227" s="263" t="inlineStr">
        <is>
          <t>SBL</t>
        </is>
      </c>
      <c r="Q1227" s="271" t="inlineStr">
        <is>
          <t>RST</t>
        </is>
      </c>
      <c r="R1227" s="282" t="n"/>
    </row>
    <row r="1228" ht="18" customHeight="1" s="305">
      <c r="A1228" s="8" t="n">
        <v>1659</v>
      </c>
      <c r="B1228" s="5" t="n">
        <v>286</v>
      </c>
      <c r="C1228" s="72" t="inlineStr">
        <is>
          <t>X</t>
        </is>
      </c>
      <c r="D1228" s="5" t="n">
        <v>174</v>
      </c>
      <c r="E1228" s="73">
        <f>B1228*D1228/10000</f>
        <v/>
      </c>
      <c r="F1228" s="74">
        <f>B1228/30.48</f>
        <v/>
      </c>
      <c r="G1228" s="74">
        <f>D1228/30.48</f>
        <v/>
      </c>
      <c r="H1228" s="615" t="n"/>
      <c r="I1228" s="49" t="inlineStr">
        <is>
          <t>OLD</t>
        </is>
      </c>
      <c r="J1228" s="48" t="inlineStr">
        <is>
          <t>TRS</t>
        </is>
      </c>
      <c r="K1228" s="51" t="inlineStr">
        <is>
          <t>PAC</t>
        </is>
      </c>
      <c r="M1228" s="210" t="n"/>
      <c r="N1228" s="211" t="n"/>
      <c r="O1228" s="263" t="inlineStr">
        <is>
          <t>SBL</t>
        </is>
      </c>
      <c r="Q1228" s="271" t="inlineStr">
        <is>
          <t>RST</t>
        </is>
      </c>
      <c r="R1228" s="282" t="n"/>
    </row>
    <row r="1229" ht="18" customHeight="1" s="305">
      <c r="A1229" s="8" t="n">
        <v>1632</v>
      </c>
      <c r="B1229" s="5" t="n">
        <v>365</v>
      </c>
      <c r="C1229" s="72" t="inlineStr">
        <is>
          <t>X</t>
        </is>
      </c>
      <c r="D1229" s="5" t="n">
        <v>90</v>
      </c>
      <c r="E1229" s="73">
        <f>B1229*D1229/10000</f>
        <v/>
      </c>
      <c r="F1229" s="74">
        <f>B1229/30.48</f>
        <v/>
      </c>
      <c r="G1229" s="74">
        <f>D1229/30.48</f>
        <v/>
      </c>
      <c r="H1229" s="615" t="n"/>
      <c r="I1229" s="49" t="inlineStr">
        <is>
          <t>OLD</t>
        </is>
      </c>
      <c r="J1229" s="48" t="inlineStr">
        <is>
          <t>TRS</t>
        </is>
      </c>
      <c r="K1229" s="51" t="inlineStr">
        <is>
          <t>PAC</t>
        </is>
      </c>
      <c r="M1229" s="210" t="n"/>
      <c r="N1229" s="211" t="n"/>
      <c r="O1229" s="263" t="inlineStr">
        <is>
          <t>SBL</t>
        </is>
      </c>
      <c r="Q1229" s="271" t="n"/>
      <c r="R1229" s="282" t="n"/>
    </row>
    <row r="1230" ht="18" customHeight="1" s="305">
      <c r="A1230" s="8" t="n">
        <v>1635</v>
      </c>
      <c r="B1230" s="5" t="n">
        <v>264</v>
      </c>
      <c r="C1230" s="72" t="inlineStr">
        <is>
          <t>X</t>
        </is>
      </c>
      <c r="D1230" s="5" t="n">
        <v>163</v>
      </c>
      <c r="E1230" s="73">
        <f>B1230*D1230/10000</f>
        <v/>
      </c>
      <c r="F1230" s="74">
        <f>B1230/30.48</f>
        <v/>
      </c>
      <c r="G1230" s="74">
        <f>D1230/30.48</f>
        <v/>
      </c>
      <c r="H1230" s="615" t="n"/>
      <c r="I1230" s="49" t="inlineStr">
        <is>
          <t>OLD</t>
        </is>
      </c>
      <c r="J1230" s="48" t="inlineStr">
        <is>
          <t>TRS</t>
        </is>
      </c>
      <c r="K1230" s="51" t="inlineStr">
        <is>
          <t>PAC</t>
        </is>
      </c>
      <c r="M1230" s="210" t="n"/>
      <c r="N1230" s="211" t="n"/>
      <c r="O1230" s="263" t="inlineStr">
        <is>
          <t>SBL</t>
        </is>
      </c>
      <c r="Q1230" s="271" t="n"/>
      <c r="R1230" s="282" t="n"/>
    </row>
    <row r="1231" ht="18" customHeight="1" s="305">
      <c r="A1231" s="8" t="n">
        <v>1636</v>
      </c>
      <c r="B1231" s="5" t="n">
        <v>240</v>
      </c>
      <c r="C1231" s="72" t="inlineStr">
        <is>
          <t>X</t>
        </is>
      </c>
      <c r="D1231" s="5" t="n">
        <v>151</v>
      </c>
      <c r="E1231" s="73">
        <f>B1231*D1231/10000</f>
        <v/>
      </c>
      <c r="F1231" s="74">
        <f>B1231/30.48</f>
        <v/>
      </c>
      <c r="G1231" s="74">
        <f>D1231/30.48</f>
        <v/>
      </c>
      <c r="H1231" s="615" t="n"/>
      <c r="I1231" s="49" t="inlineStr">
        <is>
          <t>OLD</t>
        </is>
      </c>
      <c r="J1231" s="48" t="inlineStr">
        <is>
          <t>TRS</t>
        </is>
      </c>
      <c r="K1231" s="51" t="inlineStr">
        <is>
          <t>PAC</t>
        </is>
      </c>
      <c r="M1231" s="210" t="n"/>
      <c r="N1231" s="211" t="n"/>
      <c r="O1231" s="263" t="inlineStr">
        <is>
          <t>SBL</t>
        </is>
      </c>
      <c r="Q1231" s="271" t="inlineStr">
        <is>
          <t>RST</t>
        </is>
      </c>
      <c r="R1231" s="282" t="n"/>
    </row>
    <row r="1232" ht="18" customHeight="1" s="305">
      <c r="A1232" s="8" t="n">
        <v>1638</v>
      </c>
      <c r="B1232" s="5" t="n">
        <v>252</v>
      </c>
      <c r="C1232" s="72" t="inlineStr">
        <is>
          <t>X</t>
        </is>
      </c>
      <c r="D1232" s="5" t="n">
        <v>160</v>
      </c>
      <c r="E1232" s="73">
        <f>B1232*D1232/10000</f>
        <v/>
      </c>
      <c r="F1232" s="74">
        <f>B1232/30.48</f>
        <v/>
      </c>
      <c r="G1232" s="74">
        <f>D1232/30.48</f>
        <v/>
      </c>
      <c r="H1232" s="615" t="n"/>
      <c r="I1232" s="49" t="inlineStr">
        <is>
          <t>OLD</t>
        </is>
      </c>
      <c r="J1232" s="48" t="inlineStr">
        <is>
          <t>TRS</t>
        </is>
      </c>
      <c r="K1232" s="51" t="inlineStr">
        <is>
          <t>PAC</t>
        </is>
      </c>
      <c r="M1232" s="210" t="n"/>
      <c r="N1232" s="211" t="n"/>
      <c r="O1232" s="263" t="inlineStr">
        <is>
          <t>SBL</t>
        </is>
      </c>
      <c r="Q1232" s="271" t="inlineStr">
        <is>
          <t>RST</t>
        </is>
      </c>
      <c r="R1232" s="282" t="n"/>
    </row>
    <row r="1233" ht="18" customHeight="1" s="305">
      <c r="A1233" s="8" t="n">
        <v>1594</v>
      </c>
      <c r="B1233" s="5" t="n">
        <v>343</v>
      </c>
      <c r="C1233" s="72" t="inlineStr">
        <is>
          <t>X</t>
        </is>
      </c>
      <c r="D1233" s="5" t="n">
        <v>243</v>
      </c>
      <c r="E1233" s="73">
        <f>B1233*D1233/10000</f>
        <v/>
      </c>
      <c r="F1233" s="74">
        <f>B1233/30.48</f>
        <v/>
      </c>
      <c r="G1233" s="74">
        <f>D1233/30.48</f>
        <v/>
      </c>
      <c r="H1233" s="615" t="n"/>
      <c r="I1233" s="49" t="inlineStr">
        <is>
          <t>OLD</t>
        </is>
      </c>
      <c r="J1233" s="48" t="inlineStr">
        <is>
          <t>TRS</t>
        </is>
      </c>
      <c r="M1233" s="210" t="n"/>
      <c r="N1233" s="211" t="n"/>
      <c r="O1233" s="263" t="inlineStr">
        <is>
          <t>SBL</t>
        </is>
      </c>
      <c r="Q1233" s="271" t="n"/>
      <c r="R1233" s="282" t="n"/>
    </row>
    <row r="1234" ht="18" customHeight="1" s="305">
      <c r="A1234" s="8" t="n">
        <v>1600</v>
      </c>
      <c r="B1234" s="5" t="n">
        <v>257</v>
      </c>
      <c r="C1234" s="72" t="inlineStr">
        <is>
          <t>X</t>
        </is>
      </c>
      <c r="D1234" s="5" t="n">
        <v>131</v>
      </c>
      <c r="E1234" s="73">
        <f>B1234*D1234/10000</f>
        <v/>
      </c>
      <c r="F1234" s="74">
        <f>B1234/30.48</f>
        <v/>
      </c>
      <c r="G1234" s="74">
        <f>D1234/30.48</f>
        <v/>
      </c>
      <c r="H1234" s="615" t="n"/>
      <c r="I1234" s="49" t="inlineStr">
        <is>
          <t>OLD</t>
        </is>
      </c>
      <c r="J1234" s="48" t="inlineStr">
        <is>
          <t>TRS</t>
        </is>
      </c>
      <c r="K1234" s="51" t="inlineStr">
        <is>
          <t>PAC</t>
        </is>
      </c>
      <c r="M1234" s="210" t="n"/>
      <c r="N1234" s="211" t="n"/>
      <c r="O1234" s="263" t="inlineStr">
        <is>
          <t>SBL</t>
        </is>
      </c>
      <c r="Q1234" s="271" t="inlineStr">
        <is>
          <t>RST</t>
        </is>
      </c>
      <c r="R1234" s="282" t="n"/>
    </row>
    <row r="1235" ht="18" customHeight="1" s="305">
      <c r="A1235" s="8" t="n">
        <v>1601</v>
      </c>
      <c r="B1235" s="5" t="n">
        <v>374</v>
      </c>
      <c r="C1235" s="72" t="inlineStr">
        <is>
          <t>X</t>
        </is>
      </c>
      <c r="D1235" s="5" t="n">
        <v>91</v>
      </c>
      <c r="E1235" s="73">
        <f>B1235*D1235/10000</f>
        <v/>
      </c>
      <c r="F1235" s="74">
        <f>B1235/30.48</f>
        <v/>
      </c>
      <c r="G1235" s="74">
        <f>D1235/30.48</f>
        <v/>
      </c>
      <c r="H1235" s="615" t="n"/>
      <c r="I1235" s="49" t="inlineStr">
        <is>
          <t>OLD</t>
        </is>
      </c>
      <c r="J1235" s="48" t="inlineStr">
        <is>
          <t>TRS</t>
        </is>
      </c>
      <c r="K1235" s="51" t="inlineStr">
        <is>
          <t>PAC</t>
        </is>
      </c>
      <c r="M1235" s="210" t="n"/>
      <c r="N1235" s="211" t="n"/>
      <c r="O1235" s="263" t="inlineStr">
        <is>
          <t>SBL</t>
        </is>
      </c>
      <c r="Q1235" s="271" t="inlineStr">
        <is>
          <t>RST</t>
        </is>
      </c>
      <c r="R1235" s="282" t="n"/>
    </row>
    <row r="1236" ht="18" customHeight="1" s="305">
      <c r="A1236" s="8" t="n">
        <v>1603</v>
      </c>
      <c r="B1236" s="5" t="n">
        <v>303</v>
      </c>
      <c r="C1236" s="72" t="inlineStr">
        <is>
          <t>X</t>
        </is>
      </c>
      <c r="D1236" s="5" t="n">
        <v>207</v>
      </c>
      <c r="E1236" s="73">
        <f>B1236*D1236/10000</f>
        <v/>
      </c>
      <c r="F1236" s="74">
        <f>B1236/30.48</f>
        <v/>
      </c>
      <c r="G1236" s="74">
        <f>D1236/30.48</f>
        <v/>
      </c>
      <c r="H1236" s="615" t="n"/>
      <c r="I1236" s="49" t="inlineStr">
        <is>
          <t>OLD</t>
        </is>
      </c>
      <c r="J1236" s="48" t="inlineStr">
        <is>
          <t>TRS</t>
        </is>
      </c>
      <c r="K1236" s="51" t="inlineStr">
        <is>
          <t>PAC</t>
        </is>
      </c>
      <c r="M1236" s="210" t="n"/>
      <c r="N1236" s="211" t="n"/>
      <c r="O1236" s="263" t="inlineStr">
        <is>
          <t>SBL</t>
        </is>
      </c>
      <c r="Q1236" s="271" t="n"/>
      <c r="R1236" s="282" t="n"/>
    </row>
    <row r="1237" ht="18" customHeight="1" s="305">
      <c r="A1237" s="8" t="n">
        <v>1607</v>
      </c>
      <c r="B1237" s="5" t="n">
        <v>322</v>
      </c>
      <c r="C1237" s="72" t="inlineStr">
        <is>
          <t>X</t>
        </is>
      </c>
      <c r="D1237" s="5" t="n">
        <v>85</v>
      </c>
      <c r="E1237" s="73">
        <f>B1237*D1237/10000</f>
        <v/>
      </c>
      <c r="F1237" s="74">
        <f>B1237/30.48</f>
        <v/>
      </c>
      <c r="G1237" s="74">
        <f>D1237/30.48</f>
        <v/>
      </c>
      <c r="H1237" s="615" t="n"/>
      <c r="I1237" s="49" t="inlineStr">
        <is>
          <t>OLD</t>
        </is>
      </c>
      <c r="J1237" s="48" t="inlineStr">
        <is>
          <t>TRS</t>
        </is>
      </c>
      <c r="K1237" s="51" t="inlineStr">
        <is>
          <t>PAC</t>
        </is>
      </c>
      <c r="M1237" s="210" t="n"/>
      <c r="N1237" s="211" t="n"/>
      <c r="O1237" s="263" t="inlineStr">
        <is>
          <t>SBL</t>
        </is>
      </c>
      <c r="Q1237" s="271" t="inlineStr">
        <is>
          <t>RST</t>
        </is>
      </c>
      <c r="R1237" s="282" t="n"/>
    </row>
    <row r="1238" ht="18" customHeight="1" s="305">
      <c r="A1238" s="8" t="n">
        <v>1608</v>
      </c>
      <c r="B1238" s="5" t="n">
        <v>322</v>
      </c>
      <c r="C1238" s="72" t="inlineStr">
        <is>
          <t>X</t>
        </is>
      </c>
      <c r="D1238" s="5" t="n">
        <v>82</v>
      </c>
      <c r="E1238" s="73">
        <f>B1238*D1238/10000</f>
        <v/>
      </c>
      <c r="F1238" s="74">
        <f>B1238/30.48</f>
        <v/>
      </c>
      <c r="G1238" s="74">
        <f>D1238/30.48</f>
        <v/>
      </c>
      <c r="H1238" s="615" t="n"/>
      <c r="I1238" s="49" t="inlineStr">
        <is>
          <t>OLD</t>
        </is>
      </c>
      <c r="J1238" s="48" t="inlineStr">
        <is>
          <t>TRS</t>
        </is>
      </c>
      <c r="K1238" s="51" t="inlineStr">
        <is>
          <t>PAC</t>
        </is>
      </c>
      <c r="L1238" s="105" t="inlineStr">
        <is>
          <t>VR</t>
        </is>
      </c>
      <c r="M1238" s="210" t="n"/>
      <c r="N1238" s="211" t="n"/>
      <c r="O1238" s="263" t="inlineStr">
        <is>
          <t>SBL</t>
        </is>
      </c>
      <c r="Q1238" s="271" t="inlineStr">
        <is>
          <t>RST</t>
        </is>
      </c>
      <c r="R1238" s="282" t="n"/>
    </row>
    <row r="1239" ht="18" customHeight="1" s="305">
      <c r="A1239" s="8" t="n">
        <v>1609</v>
      </c>
      <c r="B1239" s="5" t="n">
        <v>435</v>
      </c>
      <c r="C1239" s="72" t="inlineStr">
        <is>
          <t>X</t>
        </is>
      </c>
      <c r="D1239" s="5" t="n">
        <v>88</v>
      </c>
      <c r="E1239" s="73">
        <f>B1239*D1239/10000</f>
        <v/>
      </c>
      <c r="F1239" s="74">
        <f>B1239/30.48</f>
        <v/>
      </c>
      <c r="G1239" s="74">
        <f>D1239/30.48</f>
        <v/>
      </c>
      <c r="H1239" s="615" t="n"/>
      <c r="I1239" s="49" t="inlineStr">
        <is>
          <t>OLD</t>
        </is>
      </c>
      <c r="J1239" s="48" t="inlineStr">
        <is>
          <t>TRS</t>
        </is>
      </c>
      <c r="K1239" s="51" t="inlineStr">
        <is>
          <t>PAC</t>
        </is>
      </c>
      <c r="M1239" s="210" t="n"/>
      <c r="N1239" s="211" t="n"/>
      <c r="O1239" s="263" t="inlineStr">
        <is>
          <t>SBL</t>
        </is>
      </c>
      <c r="Q1239" s="271" t="n"/>
      <c r="R1239" s="282" t="n"/>
    </row>
    <row r="1240" ht="18" customHeight="1" s="305">
      <c r="A1240" s="8" t="n">
        <v>1611</v>
      </c>
      <c r="B1240" s="5" t="n">
        <v>316</v>
      </c>
      <c r="C1240" s="72" t="inlineStr">
        <is>
          <t>X</t>
        </is>
      </c>
      <c r="D1240" s="5" t="n">
        <v>85</v>
      </c>
      <c r="E1240" s="73">
        <f>B1240*D1240/10000</f>
        <v/>
      </c>
      <c r="F1240" s="74">
        <f>B1240/30.48</f>
        <v/>
      </c>
      <c r="G1240" s="74">
        <f>D1240/30.48</f>
        <v/>
      </c>
      <c r="H1240" s="615" t="n"/>
      <c r="I1240" s="49" t="inlineStr">
        <is>
          <t>OLD</t>
        </is>
      </c>
      <c r="J1240" s="48" t="inlineStr">
        <is>
          <t>TRS</t>
        </is>
      </c>
      <c r="K1240" s="51" t="inlineStr">
        <is>
          <t>PAC</t>
        </is>
      </c>
      <c r="M1240" s="210" t="n"/>
      <c r="N1240" s="211" t="n"/>
      <c r="O1240" s="263" t="inlineStr">
        <is>
          <t>SBL</t>
        </is>
      </c>
      <c r="Q1240" s="271" t="n"/>
      <c r="R1240" s="282" t="n"/>
    </row>
    <row r="1241" ht="18" customHeight="1" s="305">
      <c r="A1241" s="8" t="n">
        <v>1613</v>
      </c>
      <c r="B1241" s="5" t="n">
        <v>388</v>
      </c>
      <c r="C1241" s="72" t="inlineStr">
        <is>
          <t>X</t>
        </is>
      </c>
      <c r="D1241" s="5" t="n">
        <v>92</v>
      </c>
      <c r="E1241" s="73">
        <f>B1241*D1241/10000</f>
        <v/>
      </c>
      <c r="F1241" s="74">
        <f>B1241/30.48</f>
        <v/>
      </c>
      <c r="G1241" s="74">
        <f>D1241/30.48</f>
        <v/>
      </c>
      <c r="H1241" s="615" t="n"/>
      <c r="I1241" s="49" t="inlineStr">
        <is>
          <t>OLD</t>
        </is>
      </c>
      <c r="J1241" s="48" t="inlineStr">
        <is>
          <t>TRS</t>
        </is>
      </c>
      <c r="K1241" s="51" t="inlineStr">
        <is>
          <t>PAC</t>
        </is>
      </c>
      <c r="M1241" s="210" t="n"/>
      <c r="N1241" s="211" t="n"/>
      <c r="O1241" s="263" t="inlineStr">
        <is>
          <t>SBL</t>
        </is>
      </c>
      <c r="Q1241" s="271" t="inlineStr">
        <is>
          <t>RST</t>
        </is>
      </c>
      <c r="R1241" s="282" t="n"/>
    </row>
    <row r="1242" ht="18" customHeight="1" s="305">
      <c r="A1242" s="8" t="n">
        <v>1617</v>
      </c>
      <c r="B1242" s="5" t="n">
        <v>317</v>
      </c>
      <c r="C1242" s="72" t="inlineStr">
        <is>
          <t>X</t>
        </is>
      </c>
      <c r="D1242" s="5" t="n">
        <v>210</v>
      </c>
      <c r="E1242" s="73">
        <f>B1242*D1242/10000</f>
        <v/>
      </c>
      <c r="F1242" s="74">
        <f>B1242/30.48</f>
        <v/>
      </c>
      <c r="G1242" s="74">
        <f>D1242/30.48</f>
        <v/>
      </c>
      <c r="H1242" s="615" t="n"/>
      <c r="I1242" s="49" t="inlineStr">
        <is>
          <t>OLD</t>
        </is>
      </c>
      <c r="J1242" s="48" t="inlineStr">
        <is>
          <t>?</t>
        </is>
      </c>
      <c r="M1242" s="210" t="n"/>
      <c r="N1242" s="211" t="n"/>
      <c r="O1242" s="263" t="inlineStr">
        <is>
          <t>SBL</t>
        </is>
      </c>
      <c r="Q1242" s="271" t="n"/>
      <c r="R1242" s="282" t="n"/>
    </row>
    <row r="1243" ht="18" customHeight="1" s="305">
      <c r="A1243" s="8" t="n">
        <v>1618</v>
      </c>
      <c r="B1243" s="5" t="n">
        <v>366</v>
      </c>
      <c r="C1243" s="72" t="inlineStr">
        <is>
          <t>X</t>
        </is>
      </c>
      <c r="D1243" s="5" t="n">
        <v>94</v>
      </c>
      <c r="E1243" s="73">
        <f>B1243*D1243/10000</f>
        <v/>
      </c>
      <c r="F1243" s="74">
        <f>B1243/30.48</f>
        <v/>
      </c>
      <c r="G1243" s="74">
        <f>D1243/30.48</f>
        <v/>
      </c>
      <c r="H1243" s="615" t="n"/>
      <c r="I1243" s="49" t="inlineStr">
        <is>
          <t>OLD</t>
        </is>
      </c>
      <c r="J1243" s="48" t="inlineStr">
        <is>
          <t>TRS</t>
        </is>
      </c>
      <c r="K1243" s="51" t="inlineStr">
        <is>
          <t>PAC</t>
        </is>
      </c>
      <c r="M1243" s="210" t="n"/>
      <c r="N1243" s="211" t="n"/>
      <c r="O1243" s="263" t="inlineStr">
        <is>
          <t>SBL</t>
        </is>
      </c>
      <c r="Q1243" s="271" t="n"/>
      <c r="R1243" s="282" t="n"/>
    </row>
    <row r="1244" ht="18" customHeight="1" s="305">
      <c r="A1244" s="8" t="n">
        <v>1623</v>
      </c>
      <c r="B1244" s="5" t="n">
        <v>290</v>
      </c>
      <c r="C1244" s="72" t="inlineStr">
        <is>
          <t>X</t>
        </is>
      </c>
      <c r="D1244" s="5" t="n">
        <v>158</v>
      </c>
      <c r="E1244" s="73">
        <f>B1244*D1244/10000</f>
        <v/>
      </c>
      <c r="F1244" s="74">
        <f>B1244/30.48</f>
        <v/>
      </c>
      <c r="G1244" s="74">
        <f>D1244/30.48</f>
        <v/>
      </c>
      <c r="H1244" s="615" t="n"/>
      <c r="I1244" s="49" t="inlineStr">
        <is>
          <t>OLD</t>
        </is>
      </c>
      <c r="J1244" s="48" t="inlineStr">
        <is>
          <t>TRS</t>
        </is>
      </c>
      <c r="K1244" s="51" t="inlineStr">
        <is>
          <t>PAC</t>
        </is>
      </c>
      <c r="M1244" s="210" t="n"/>
      <c r="N1244" s="211" t="n"/>
      <c r="O1244" s="263" t="inlineStr">
        <is>
          <t>SBL</t>
        </is>
      </c>
      <c r="Q1244" s="271" t="inlineStr">
        <is>
          <t>RST</t>
        </is>
      </c>
      <c r="R1244" s="282" t="n"/>
    </row>
    <row r="1245" ht="18" customHeight="1" s="305">
      <c r="A1245" s="8" t="n">
        <v>1625</v>
      </c>
      <c r="B1245" s="5" t="n">
        <v>281</v>
      </c>
      <c r="C1245" s="72" t="inlineStr">
        <is>
          <t>X</t>
        </is>
      </c>
      <c r="D1245" s="5" t="n">
        <v>180</v>
      </c>
      <c r="E1245" s="73">
        <f>B1245*D1245/10000</f>
        <v/>
      </c>
      <c r="F1245" s="74">
        <f>B1245/30.48</f>
        <v/>
      </c>
      <c r="G1245" s="74">
        <f>D1245/30.48</f>
        <v/>
      </c>
      <c r="H1245" s="615" t="n"/>
      <c r="I1245" s="49" t="inlineStr">
        <is>
          <t>OLD</t>
        </is>
      </c>
      <c r="J1245" s="48" t="inlineStr">
        <is>
          <t>TRS</t>
        </is>
      </c>
      <c r="K1245" s="51" t="inlineStr">
        <is>
          <t>PAC</t>
        </is>
      </c>
      <c r="M1245" s="210" t="n"/>
      <c r="N1245" s="211" t="n"/>
      <c r="O1245" s="263" t="inlineStr">
        <is>
          <t>SBL</t>
        </is>
      </c>
      <c r="Q1245" s="271" t="n"/>
      <c r="R1245" s="282" t="n"/>
    </row>
    <row r="1246" ht="18" customHeight="1" s="305">
      <c r="A1246" s="8" t="n">
        <v>1627</v>
      </c>
      <c r="B1246" s="5" t="n">
        <v>349</v>
      </c>
      <c r="C1246" s="72" t="inlineStr">
        <is>
          <t>X</t>
        </is>
      </c>
      <c r="D1246" s="5" t="n">
        <v>90</v>
      </c>
      <c r="E1246" s="73">
        <f>B1246*D1246/10000</f>
        <v/>
      </c>
      <c r="F1246" s="74">
        <f>B1246/30.48</f>
        <v/>
      </c>
      <c r="G1246" s="74">
        <f>D1246/30.48</f>
        <v/>
      </c>
      <c r="H1246" s="615" t="n"/>
      <c r="I1246" s="49" t="inlineStr">
        <is>
          <t>OLD</t>
        </is>
      </c>
      <c r="J1246" s="48" t="inlineStr">
        <is>
          <t>TRS</t>
        </is>
      </c>
      <c r="K1246" s="51" t="inlineStr">
        <is>
          <t>PAC</t>
        </is>
      </c>
      <c r="L1246" s="105" t="inlineStr">
        <is>
          <t>VR</t>
        </is>
      </c>
      <c r="M1246" s="210" t="n"/>
      <c r="N1246" s="211" t="n"/>
      <c r="O1246" s="263" t="inlineStr">
        <is>
          <t>SBL</t>
        </is>
      </c>
      <c r="Q1246" s="271" t="n"/>
      <c r="R1246" s="282" t="n"/>
    </row>
    <row r="1247" ht="18" customHeight="1" s="305">
      <c r="A1247" s="8" t="n">
        <v>1628</v>
      </c>
      <c r="B1247" s="5" t="n">
        <v>292</v>
      </c>
      <c r="C1247" s="72" t="inlineStr">
        <is>
          <t>X</t>
        </is>
      </c>
      <c r="D1247" s="5" t="n">
        <v>186</v>
      </c>
      <c r="E1247" s="73">
        <f>B1247*D1247/10000</f>
        <v/>
      </c>
      <c r="F1247" s="74">
        <f>B1247/30.48</f>
        <v/>
      </c>
      <c r="G1247" s="74">
        <f>D1247/30.48</f>
        <v/>
      </c>
      <c r="H1247" s="615" t="n"/>
      <c r="I1247" s="49" t="inlineStr">
        <is>
          <t>OLD</t>
        </is>
      </c>
      <c r="J1247" s="48" t="inlineStr">
        <is>
          <t>TRS</t>
        </is>
      </c>
      <c r="K1247" s="51" t="inlineStr">
        <is>
          <t>PAC</t>
        </is>
      </c>
      <c r="M1247" s="210" t="n"/>
      <c r="N1247" s="211" t="n"/>
      <c r="O1247" s="263" t="inlineStr">
        <is>
          <t>SBL</t>
        </is>
      </c>
      <c r="Q1247" s="271" t="inlineStr">
        <is>
          <t>RST</t>
        </is>
      </c>
      <c r="R1247" s="282" t="n"/>
    </row>
    <row r="1248" ht="18" customHeight="1" s="305">
      <c r="A1248" s="8" t="n">
        <v>1696</v>
      </c>
      <c r="B1248" s="5" t="n">
        <v>350</v>
      </c>
      <c r="C1248" s="72" t="inlineStr">
        <is>
          <t>X</t>
        </is>
      </c>
      <c r="D1248" s="5" t="n">
        <v>83</v>
      </c>
      <c r="E1248" s="73">
        <f>B1248*D1248/10000</f>
        <v/>
      </c>
      <c r="F1248" s="74">
        <f>B1248/30.48</f>
        <v/>
      </c>
      <c r="G1248" s="74">
        <f>D1248/30.48</f>
        <v/>
      </c>
      <c r="H1248" s="615" t="n"/>
      <c r="J1248" s="48" t="inlineStr">
        <is>
          <t>TRS</t>
        </is>
      </c>
      <c r="K1248" s="51" t="inlineStr">
        <is>
          <t>PAC</t>
        </is>
      </c>
      <c r="M1248" s="210" t="n"/>
      <c r="N1248" s="211" t="n"/>
      <c r="O1248" s="263" t="inlineStr">
        <is>
          <t>SBL</t>
        </is>
      </c>
      <c r="Q1248" s="271" t="n"/>
      <c r="R1248" s="282" t="n"/>
    </row>
    <row r="1249" ht="18" customHeight="1" s="305">
      <c r="A1249" s="8" t="n">
        <v>1581</v>
      </c>
      <c r="B1249" s="5" t="n">
        <v>348</v>
      </c>
      <c r="C1249" s="72" t="inlineStr">
        <is>
          <t>X</t>
        </is>
      </c>
      <c r="D1249" s="5" t="n">
        <v>88</v>
      </c>
      <c r="E1249" s="73">
        <f>B1249*D1249/10000</f>
        <v/>
      </c>
      <c r="F1249" s="74">
        <f>B1249/30.48</f>
        <v/>
      </c>
      <c r="G1249" s="74">
        <f>D1249/30.48</f>
        <v/>
      </c>
      <c r="H1249" s="615" t="n"/>
      <c r="I1249" s="49" t="inlineStr">
        <is>
          <t>OLD</t>
        </is>
      </c>
      <c r="J1249" s="48" t="inlineStr">
        <is>
          <t>?</t>
        </is>
      </c>
      <c r="K1249" s="51" t="inlineStr">
        <is>
          <t>PAC</t>
        </is>
      </c>
      <c r="M1249" s="210" t="n"/>
      <c r="N1249" s="211" t="n"/>
      <c r="O1249" s="263" t="inlineStr">
        <is>
          <t>SBL</t>
        </is>
      </c>
      <c r="Q1249" s="271" t="n"/>
      <c r="R1249" s="282" t="n"/>
    </row>
    <row r="1250" ht="18" customHeight="1" s="305">
      <c r="A1250" s="8" t="n">
        <v>1585</v>
      </c>
      <c r="B1250" s="5" t="n">
        <v>270</v>
      </c>
      <c r="C1250" s="72" t="inlineStr">
        <is>
          <t>X</t>
        </is>
      </c>
      <c r="D1250" s="5" t="n">
        <v>148</v>
      </c>
      <c r="E1250" s="73">
        <f>B1250*D1250/10000</f>
        <v/>
      </c>
      <c r="F1250" s="74">
        <f>B1250/30.48</f>
        <v/>
      </c>
      <c r="G1250" s="74">
        <f>D1250/30.48</f>
        <v/>
      </c>
      <c r="H1250" s="615" t="n"/>
      <c r="J1250" s="48" t="inlineStr">
        <is>
          <t>TRS</t>
        </is>
      </c>
      <c r="K1250" s="51" t="inlineStr">
        <is>
          <t>PAC</t>
        </is>
      </c>
      <c r="M1250" s="210" t="n"/>
      <c r="N1250" s="211" t="n"/>
      <c r="O1250" s="263" t="inlineStr">
        <is>
          <t>SBL</t>
        </is>
      </c>
      <c r="Q1250" s="271" t="n"/>
      <c r="R1250" s="282" t="n"/>
    </row>
    <row r="1251" ht="18" customHeight="1" s="305">
      <c r="A1251" s="8" t="n">
        <v>1588</v>
      </c>
      <c r="B1251" s="5" t="n">
        <v>364</v>
      </c>
      <c r="C1251" s="72" t="inlineStr">
        <is>
          <t>X</t>
        </is>
      </c>
      <c r="D1251" s="5" t="n">
        <v>90</v>
      </c>
      <c r="E1251" s="73">
        <f>B1251*D1251/10000</f>
        <v/>
      </c>
      <c r="F1251" s="74">
        <f>B1251/30.48</f>
        <v/>
      </c>
      <c r="G1251" s="74">
        <f>D1251/30.48</f>
        <v/>
      </c>
      <c r="H1251" s="615" t="n"/>
      <c r="I1251" s="49" t="inlineStr">
        <is>
          <t>OLD</t>
        </is>
      </c>
      <c r="J1251" s="48" t="inlineStr">
        <is>
          <t>TRS</t>
        </is>
      </c>
      <c r="K1251" s="51" t="inlineStr">
        <is>
          <t>PAC</t>
        </is>
      </c>
      <c r="M1251" s="210" t="n"/>
      <c r="N1251" s="211" t="n"/>
      <c r="O1251" s="263" t="inlineStr">
        <is>
          <t>SBL</t>
        </is>
      </c>
      <c r="Q1251" s="271" t="inlineStr">
        <is>
          <t>RST</t>
        </is>
      </c>
      <c r="R1251" s="282" t="n"/>
    </row>
    <row r="1252" ht="18" customHeight="1" s="305">
      <c r="A1252" s="8" t="n">
        <v>1591</v>
      </c>
      <c r="B1252" s="5" t="n">
        <v>197</v>
      </c>
      <c r="C1252" s="72" t="inlineStr">
        <is>
          <t>X</t>
        </is>
      </c>
      <c r="D1252" s="5" t="n">
        <v>117</v>
      </c>
      <c r="E1252" s="73">
        <f>B1252*D1252/10000</f>
        <v/>
      </c>
      <c r="F1252" s="74">
        <f>B1252/30.48</f>
        <v/>
      </c>
      <c r="G1252" s="74">
        <f>D1252/30.48</f>
        <v/>
      </c>
      <c r="H1252" s="615" t="n"/>
      <c r="I1252" s="49" t="inlineStr">
        <is>
          <t>OLD</t>
        </is>
      </c>
      <c r="J1252" s="48" t="inlineStr">
        <is>
          <t>TRS</t>
        </is>
      </c>
      <c r="K1252" s="51" t="inlineStr">
        <is>
          <t>PAC</t>
        </is>
      </c>
      <c r="M1252" s="210" t="n"/>
      <c r="N1252" s="211" t="n"/>
      <c r="O1252" s="263" t="inlineStr">
        <is>
          <t>SBL</t>
        </is>
      </c>
      <c r="Q1252" s="271" t="inlineStr">
        <is>
          <t>RST</t>
        </is>
      </c>
      <c r="R1252" s="282" t="n"/>
    </row>
    <row r="1253" ht="18" customHeight="1" s="305">
      <c r="A1253" s="8" t="n">
        <v>1697</v>
      </c>
      <c r="B1253" s="5" t="n">
        <v>471</v>
      </c>
      <c r="C1253" s="72" t="inlineStr">
        <is>
          <t>X</t>
        </is>
      </c>
      <c r="D1253" s="5" t="n">
        <v>79</v>
      </c>
      <c r="E1253" s="73">
        <f>B1253*D1253/10000</f>
        <v/>
      </c>
      <c r="F1253" s="74">
        <f>B1253/30.48</f>
        <v/>
      </c>
      <c r="G1253" s="74">
        <f>D1253/30.48</f>
        <v/>
      </c>
      <c r="H1253" s="615" t="n"/>
      <c r="J1253" s="48" t="inlineStr">
        <is>
          <t>TRS</t>
        </is>
      </c>
      <c r="K1253" s="51" t="inlineStr">
        <is>
          <t>PAC</t>
        </is>
      </c>
      <c r="M1253" s="210" t="n"/>
      <c r="N1253" s="211" t="n"/>
      <c r="O1253" s="263" t="inlineStr">
        <is>
          <t>SBL</t>
        </is>
      </c>
      <c r="Q1253" s="271" t="n"/>
      <c r="R1253" s="282" t="n"/>
    </row>
    <row r="1254" ht="18" customHeight="1" s="305">
      <c r="A1254" s="8" t="n">
        <v>1698</v>
      </c>
      <c r="B1254" s="5" t="n">
        <v>256</v>
      </c>
      <c r="C1254" s="72" t="inlineStr">
        <is>
          <t>X</t>
        </is>
      </c>
      <c r="D1254" s="5" t="n">
        <v>95</v>
      </c>
      <c r="E1254" s="73">
        <f>B1254*D1254/10000</f>
        <v/>
      </c>
      <c r="F1254" s="74">
        <f>B1254/30.48</f>
        <v/>
      </c>
      <c r="G1254" s="74">
        <f>D1254/30.48</f>
        <v/>
      </c>
      <c r="H1254" s="615" t="n"/>
      <c r="J1254" s="48" t="inlineStr">
        <is>
          <t>TRS</t>
        </is>
      </c>
      <c r="K1254" s="51" t="inlineStr">
        <is>
          <t>PAC</t>
        </is>
      </c>
      <c r="M1254" s="210" t="n"/>
      <c r="N1254" s="211" t="n"/>
      <c r="O1254" s="263" t="inlineStr">
        <is>
          <t>SBL</t>
        </is>
      </c>
      <c r="Q1254" s="271" t="inlineStr">
        <is>
          <t>RST</t>
        </is>
      </c>
      <c r="R1254" s="282" t="n"/>
    </row>
    <row r="1255" ht="18" customHeight="1" s="305">
      <c r="A1255" s="8" t="n">
        <v>1550</v>
      </c>
      <c r="B1255" s="5" t="n">
        <v>330</v>
      </c>
      <c r="C1255" s="72" t="inlineStr">
        <is>
          <t>X</t>
        </is>
      </c>
      <c r="D1255" s="5" t="n">
        <v>132</v>
      </c>
      <c r="E1255" s="73">
        <f>B1255*D1255/10000</f>
        <v/>
      </c>
      <c r="F1255" s="74">
        <f>B1255/30.48</f>
        <v/>
      </c>
      <c r="G1255" s="74">
        <f>D1255/30.48</f>
        <v/>
      </c>
      <c r="H1255" s="615" t="n"/>
      <c r="I1255" s="49" t="inlineStr">
        <is>
          <t>OLD</t>
        </is>
      </c>
      <c r="J1255" s="48" t="inlineStr">
        <is>
          <t>TRS</t>
        </is>
      </c>
      <c r="K1255" s="51" t="inlineStr">
        <is>
          <t>PAC</t>
        </is>
      </c>
      <c r="M1255" s="210" t="n"/>
      <c r="N1255" s="211" t="n"/>
      <c r="O1255" s="263" t="inlineStr">
        <is>
          <t>SBL</t>
        </is>
      </c>
      <c r="Q1255" s="271" t="inlineStr">
        <is>
          <t>RST</t>
        </is>
      </c>
      <c r="R1255" s="282" t="n"/>
    </row>
    <row r="1256" ht="18" customHeight="1" s="305">
      <c r="A1256" s="8" t="n">
        <v>1552</v>
      </c>
      <c r="B1256" s="5" t="n">
        <v>204</v>
      </c>
      <c r="C1256" s="72" t="inlineStr">
        <is>
          <t>X</t>
        </is>
      </c>
      <c r="D1256" s="5" t="n">
        <v>126</v>
      </c>
      <c r="E1256" s="73">
        <f>B1256*D1256/10000</f>
        <v/>
      </c>
      <c r="F1256" s="74">
        <f>B1256/30.48</f>
        <v/>
      </c>
      <c r="G1256" s="74">
        <f>D1256/30.48</f>
        <v/>
      </c>
      <c r="H1256" s="615" t="n"/>
      <c r="I1256" s="49" t="inlineStr">
        <is>
          <t>OLD</t>
        </is>
      </c>
      <c r="J1256" s="48" t="inlineStr">
        <is>
          <t>TRS</t>
        </is>
      </c>
      <c r="K1256" s="51" t="inlineStr">
        <is>
          <t>PAC</t>
        </is>
      </c>
      <c r="M1256" s="210" t="n"/>
      <c r="N1256" s="211" t="n"/>
      <c r="O1256" s="263" t="inlineStr">
        <is>
          <t>SBL</t>
        </is>
      </c>
      <c r="Q1256" s="271" t="inlineStr">
        <is>
          <t>RST</t>
        </is>
      </c>
      <c r="R1256" s="282" t="n"/>
    </row>
    <row r="1257" ht="18" customHeight="1" s="305">
      <c r="A1257" s="8" t="n">
        <v>1553</v>
      </c>
      <c r="B1257" s="5" t="n">
        <v>380</v>
      </c>
      <c r="C1257" s="72" t="inlineStr">
        <is>
          <t>X</t>
        </is>
      </c>
      <c r="D1257" s="5" t="n">
        <v>90</v>
      </c>
      <c r="E1257" s="73">
        <f>B1257*D1257/10000</f>
        <v/>
      </c>
      <c r="F1257" s="74">
        <f>B1257/30.48</f>
        <v/>
      </c>
      <c r="G1257" s="74">
        <f>D1257/30.48</f>
        <v/>
      </c>
      <c r="H1257" s="615" t="n"/>
      <c r="I1257" s="49" t="inlineStr">
        <is>
          <t>OLD</t>
        </is>
      </c>
      <c r="J1257" s="48" t="inlineStr">
        <is>
          <t>TRS</t>
        </is>
      </c>
      <c r="K1257" s="51" t="inlineStr">
        <is>
          <t>PAC</t>
        </is>
      </c>
      <c r="M1257" s="210" t="n"/>
      <c r="N1257" s="211" t="n"/>
      <c r="O1257" s="263" t="inlineStr">
        <is>
          <t>SBL</t>
        </is>
      </c>
      <c r="Q1257" s="271" t="inlineStr">
        <is>
          <t>RST</t>
        </is>
      </c>
      <c r="R1257" s="282" t="n"/>
    </row>
    <row r="1258" ht="18" customHeight="1" s="305">
      <c r="A1258" s="8" t="n">
        <v>1556</v>
      </c>
      <c r="B1258" s="5" t="n">
        <v>228</v>
      </c>
      <c r="C1258" s="72" t="inlineStr">
        <is>
          <t>X</t>
        </is>
      </c>
      <c r="D1258" s="5" t="n">
        <v>133</v>
      </c>
      <c r="E1258" s="73">
        <f>B1258*D1258/10000</f>
        <v/>
      </c>
      <c r="F1258" s="74">
        <f>B1258/30.48</f>
        <v/>
      </c>
      <c r="G1258" s="74">
        <f>D1258/30.48</f>
        <v/>
      </c>
      <c r="H1258" s="615" t="n"/>
      <c r="J1258" s="48" t="inlineStr">
        <is>
          <t>TRS</t>
        </is>
      </c>
      <c r="K1258" s="51" t="inlineStr">
        <is>
          <t>PAC</t>
        </is>
      </c>
      <c r="M1258" s="210" t="n"/>
      <c r="N1258" s="211" t="n"/>
      <c r="O1258" s="263" t="inlineStr">
        <is>
          <t>SBL</t>
        </is>
      </c>
      <c r="Q1258" s="271" t="inlineStr">
        <is>
          <t>RST</t>
        </is>
      </c>
      <c r="R1258" s="282" t="n"/>
    </row>
    <row r="1259" ht="18" customHeight="1" s="305">
      <c r="A1259" s="8" t="n">
        <v>1561</v>
      </c>
      <c r="B1259" s="5" t="n">
        <v>399</v>
      </c>
      <c r="C1259" s="72" t="inlineStr">
        <is>
          <t>X</t>
        </is>
      </c>
      <c r="D1259" s="5" t="n">
        <v>92</v>
      </c>
      <c r="E1259" s="73">
        <f>B1259*D1259/10000</f>
        <v/>
      </c>
      <c r="F1259" s="74">
        <f>B1259/30.48</f>
        <v/>
      </c>
      <c r="G1259" s="74">
        <f>D1259/30.48</f>
        <v/>
      </c>
      <c r="H1259" s="615" t="n"/>
      <c r="I1259" s="49" t="inlineStr">
        <is>
          <t>OLD</t>
        </is>
      </c>
      <c r="J1259" s="48" t="inlineStr">
        <is>
          <t>TRS</t>
        </is>
      </c>
      <c r="K1259" s="51" t="inlineStr">
        <is>
          <t>PAC</t>
        </is>
      </c>
      <c r="M1259" s="210" t="n"/>
      <c r="N1259" s="211" t="n"/>
      <c r="O1259" s="263" t="inlineStr">
        <is>
          <t>SBL</t>
        </is>
      </c>
      <c r="Q1259" s="271" t="inlineStr">
        <is>
          <t>RST</t>
        </is>
      </c>
      <c r="R1259" s="282" t="n"/>
    </row>
    <row r="1260" ht="18" customHeight="1" s="305">
      <c r="A1260" s="8" t="n">
        <v>1564</v>
      </c>
      <c r="B1260" s="5" t="n">
        <v>264</v>
      </c>
      <c r="C1260" s="72" t="inlineStr">
        <is>
          <t>X</t>
        </is>
      </c>
      <c r="D1260" s="5" t="n">
        <v>163</v>
      </c>
      <c r="E1260" s="73">
        <f>B1260*D1260/10000</f>
        <v/>
      </c>
      <c r="F1260" s="74">
        <f>B1260/30.48</f>
        <v/>
      </c>
      <c r="G1260" s="74">
        <f>D1260/30.48</f>
        <v/>
      </c>
      <c r="H1260" s="615" t="n"/>
      <c r="I1260" s="49" t="inlineStr">
        <is>
          <t>OLD</t>
        </is>
      </c>
      <c r="J1260" s="48" t="inlineStr">
        <is>
          <t>TRS</t>
        </is>
      </c>
      <c r="M1260" s="210" t="n"/>
      <c r="N1260" s="211" t="n"/>
      <c r="O1260" s="263" t="inlineStr">
        <is>
          <t>SBL</t>
        </is>
      </c>
      <c r="Q1260" s="271" t="inlineStr">
        <is>
          <t>RST</t>
        </is>
      </c>
      <c r="R1260" s="282" t="n"/>
    </row>
    <row r="1261" ht="18" customHeight="1" s="305">
      <c r="A1261" s="8" t="n">
        <v>1565</v>
      </c>
      <c r="B1261" s="5" t="n">
        <v>200</v>
      </c>
      <c r="C1261" s="72" t="inlineStr">
        <is>
          <t>X</t>
        </is>
      </c>
      <c r="D1261" s="5" t="n">
        <v>89</v>
      </c>
      <c r="E1261" s="73">
        <f>B1261*D1261/10000</f>
        <v/>
      </c>
      <c r="F1261" s="74">
        <f>B1261/30.48</f>
        <v/>
      </c>
      <c r="G1261" s="74">
        <f>D1261/30.48</f>
        <v/>
      </c>
      <c r="H1261" s="615" t="n"/>
      <c r="I1261" s="49" t="inlineStr">
        <is>
          <t>OLD</t>
        </is>
      </c>
      <c r="J1261" s="48" t="inlineStr">
        <is>
          <t>TRS</t>
        </is>
      </c>
      <c r="K1261" s="51" t="inlineStr">
        <is>
          <t>PAC</t>
        </is>
      </c>
      <c r="M1261" s="210" t="n"/>
      <c r="N1261" s="211" t="n"/>
      <c r="O1261" s="263" t="inlineStr">
        <is>
          <t>SBL</t>
        </is>
      </c>
      <c r="Q1261" s="271" t="inlineStr">
        <is>
          <t>RST</t>
        </is>
      </c>
      <c r="R1261" s="282" t="n"/>
    </row>
    <row r="1262" ht="18" customHeight="1" s="305">
      <c r="A1262" s="8" t="n">
        <v>1566</v>
      </c>
      <c r="B1262" s="5" t="n">
        <v>283</v>
      </c>
      <c r="C1262" s="72" t="inlineStr">
        <is>
          <t>X</t>
        </is>
      </c>
      <c r="D1262" s="5" t="n">
        <v>175</v>
      </c>
      <c r="E1262" s="73">
        <f>B1262*D1262/10000</f>
        <v/>
      </c>
      <c r="F1262" s="74">
        <f>B1262/30.48</f>
        <v/>
      </c>
      <c r="G1262" s="74">
        <f>D1262/30.48</f>
        <v/>
      </c>
      <c r="H1262" s="615" t="n"/>
      <c r="I1262" s="49" t="inlineStr">
        <is>
          <t>OLD</t>
        </is>
      </c>
      <c r="J1262" s="48" t="inlineStr">
        <is>
          <t>TRS</t>
        </is>
      </c>
      <c r="K1262" s="51" t="inlineStr">
        <is>
          <t>PAC</t>
        </is>
      </c>
      <c r="M1262" s="210" t="n"/>
      <c r="N1262" s="211" t="n"/>
      <c r="O1262" s="263" t="inlineStr">
        <is>
          <t>SBL</t>
        </is>
      </c>
      <c r="Q1262" s="271" t="inlineStr">
        <is>
          <t>RST</t>
        </is>
      </c>
      <c r="R1262" s="282" t="n"/>
    </row>
    <row r="1263" ht="18" customHeight="1" s="305">
      <c r="A1263" s="8" t="n">
        <v>1567</v>
      </c>
      <c r="B1263" s="5" t="n">
        <v>274</v>
      </c>
      <c r="C1263" s="72" t="inlineStr">
        <is>
          <t>X</t>
        </is>
      </c>
      <c r="D1263" s="5" t="n">
        <v>100</v>
      </c>
      <c r="E1263" s="73">
        <f>B1263*D1263/10000</f>
        <v/>
      </c>
      <c r="F1263" s="74">
        <f>B1263/30.48</f>
        <v/>
      </c>
      <c r="G1263" s="74">
        <f>D1263/30.48</f>
        <v/>
      </c>
      <c r="H1263" s="615" t="n"/>
      <c r="I1263" s="49" t="inlineStr">
        <is>
          <t>OLD</t>
        </is>
      </c>
      <c r="J1263" s="48" t="inlineStr">
        <is>
          <t>TRS</t>
        </is>
      </c>
      <c r="K1263" s="51" t="inlineStr">
        <is>
          <t>PAC</t>
        </is>
      </c>
      <c r="M1263" s="210" t="n"/>
      <c r="N1263" s="211" t="n"/>
      <c r="O1263" s="263" t="inlineStr">
        <is>
          <t>SBL</t>
        </is>
      </c>
      <c r="Q1263" s="271" t="inlineStr">
        <is>
          <t>RST</t>
        </is>
      </c>
      <c r="R1263" s="282" t="n"/>
    </row>
    <row r="1264" ht="18" customHeight="1" s="305">
      <c r="A1264" s="8" t="n">
        <v>1568</v>
      </c>
      <c r="B1264" s="5" t="n">
        <v>299</v>
      </c>
      <c r="C1264" s="72" t="inlineStr">
        <is>
          <t>X</t>
        </is>
      </c>
      <c r="D1264" s="5" t="n">
        <v>106</v>
      </c>
      <c r="E1264" s="73">
        <f>B1264*D1264/10000</f>
        <v/>
      </c>
      <c r="F1264" s="74">
        <f>B1264/30.48</f>
        <v/>
      </c>
      <c r="G1264" s="74">
        <f>D1264/30.48</f>
        <v/>
      </c>
      <c r="H1264" s="615" t="n"/>
      <c r="I1264" s="49" t="inlineStr">
        <is>
          <t>OLD</t>
        </is>
      </c>
      <c r="J1264" s="48" t="inlineStr">
        <is>
          <t>TRS</t>
        </is>
      </c>
      <c r="K1264" s="51" t="inlineStr">
        <is>
          <t>PAC</t>
        </is>
      </c>
      <c r="M1264" s="210" t="n"/>
      <c r="N1264" s="211" t="n"/>
      <c r="O1264" s="263" t="inlineStr">
        <is>
          <t>SBL</t>
        </is>
      </c>
      <c r="Q1264" s="271" t="inlineStr">
        <is>
          <t>RST</t>
        </is>
      </c>
      <c r="R1264" s="282" t="n"/>
    </row>
    <row r="1265" ht="18" customHeight="1" s="305">
      <c r="A1265" s="8" t="n">
        <v>1570</v>
      </c>
      <c r="B1265" s="5" t="n">
        <v>178</v>
      </c>
      <c r="C1265" s="72" t="inlineStr">
        <is>
          <t>X</t>
        </is>
      </c>
      <c r="D1265" s="5" t="n">
        <v>118</v>
      </c>
      <c r="E1265" s="73">
        <f>B1265*D1265/10000</f>
        <v/>
      </c>
      <c r="F1265" s="74">
        <f>B1265/30.48</f>
        <v/>
      </c>
      <c r="G1265" s="74">
        <f>D1265/30.48</f>
        <v/>
      </c>
      <c r="H1265" s="615" t="n"/>
      <c r="I1265" s="49" t="inlineStr">
        <is>
          <t>OLD</t>
        </is>
      </c>
      <c r="J1265" s="48" t="inlineStr">
        <is>
          <t>TRS</t>
        </is>
      </c>
      <c r="K1265" s="51" t="inlineStr">
        <is>
          <t>PAC</t>
        </is>
      </c>
      <c r="M1265" s="210" t="n"/>
      <c r="N1265" s="211" t="n"/>
      <c r="O1265" s="263" t="inlineStr">
        <is>
          <t>SBL</t>
        </is>
      </c>
      <c r="Q1265" s="271" t="inlineStr">
        <is>
          <t>RST</t>
        </is>
      </c>
      <c r="R1265" s="282" t="n"/>
    </row>
    <row r="1266" ht="18" customHeight="1" s="305">
      <c r="A1266" s="8" t="n">
        <v>1571</v>
      </c>
      <c r="B1266" s="5" t="n">
        <v>332</v>
      </c>
      <c r="C1266" s="72" t="inlineStr">
        <is>
          <t>X</t>
        </is>
      </c>
      <c r="D1266" s="5" t="n">
        <v>84</v>
      </c>
      <c r="E1266" s="73">
        <f>B1266*D1266/10000</f>
        <v/>
      </c>
      <c r="F1266" s="74">
        <f>B1266/30.48</f>
        <v/>
      </c>
      <c r="G1266" s="74">
        <f>D1266/30.48</f>
        <v/>
      </c>
      <c r="H1266" s="615" t="n"/>
      <c r="I1266" s="49" t="inlineStr">
        <is>
          <t>OLD</t>
        </is>
      </c>
      <c r="J1266" s="48" t="inlineStr">
        <is>
          <t>TRS</t>
        </is>
      </c>
      <c r="K1266" s="51" t="inlineStr">
        <is>
          <t>PAC</t>
        </is>
      </c>
      <c r="L1266" s="105" t="inlineStr">
        <is>
          <t>VR</t>
        </is>
      </c>
      <c r="M1266" s="210" t="n"/>
      <c r="N1266" s="211" t="n"/>
      <c r="O1266" s="263" t="inlineStr">
        <is>
          <t>SBL</t>
        </is>
      </c>
      <c r="Q1266" s="271" t="inlineStr">
        <is>
          <t>RST</t>
        </is>
      </c>
      <c r="R1266" s="282" t="n"/>
    </row>
    <row r="1267" ht="18" customHeight="1" s="305">
      <c r="A1267" s="8" t="n">
        <v>1576</v>
      </c>
      <c r="B1267" s="5" t="n">
        <v>229</v>
      </c>
      <c r="C1267" s="72" t="inlineStr">
        <is>
          <t>X</t>
        </is>
      </c>
      <c r="D1267" s="5" t="n">
        <v>114</v>
      </c>
      <c r="E1267" s="73">
        <f>B1267*D1267/10000</f>
        <v/>
      </c>
      <c r="F1267" s="74">
        <f>B1267/30.48</f>
        <v/>
      </c>
      <c r="G1267" s="74">
        <f>D1267/30.48</f>
        <v/>
      </c>
      <c r="H1267" s="615" t="n"/>
      <c r="I1267" s="49" t="inlineStr">
        <is>
          <t>OLD</t>
        </is>
      </c>
      <c r="J1267" s="48" t="inlineStr">
        <is>
          <t>TRS</t>
        </is>
      </c>
      <c r="K1267" s="51" t="inlineStr">
        <is>
          <t>PAC</t>
        </is>
      </c>
      <c r="M1267" s="210" t="n"/>
      <c r="N1267" s="211" t="n"/>
      <c r="O1267" s="263" t="inlineStr">
        <is>
          <t>SBL</t>
        </is>
      </c>
      <c r="Q1267" s="271" t="inlineStr">
        <is>
          <t>RST</t>
        </is>
      </c>
      <c r="R1267" s="282" t="n"/>
    </row>
    <row r="1268" ht="18" customHeight="1" s="305">
      <c r="A1268" s="8" t="n">
        <v>1578</v>
      </c>
      <c r="B1268" s="5" t="n">
        <v>351</v>
      </c>
      <c r="C1268" s="72" t="inlineStr">
        <is>
          <t>X</t>
        </is>
      </c>
      <c r="D1268" s="5" t="n">
        <v>91</v>
      </c>
      <c r="E1268" s="73">
        <f>B1268*D1268/10000</f>
        <v/>
      </c>
      <c r="F1268" s="74">
        <f>B1268/30.48</f>
        <v/>
      </c>
      <c r="G1268" s="74">
        <f>D1268/30.48</f>
        <v/>
      </c>
      <c r="H1268" s="615" t="n"/>
      <c r="I1268" s="49" t="inlineStr">
        <is>
          <t>OLD</t>
        </is>
      </c>
      <c r="J1268" s="48" t="inlineStr">
        <is>
          <t>TRS</t>
        </is>
      </c>
      <c r="K1268" s="51" t="inlineStr">
        <is>
          <t>PAC</t>
        </is>
      </c>
      <c r="M1268" s="210" t="n"/>
      <c r="N1268" s="211" t="n"/>
      <c r="O1268" s="263" t="inlineStr">
        <is>
          <t>SBL</t>
        </is>
      </c>
      <c r="Q1268" s="271" t="inlineStr">
        <is>
          <t>RST</t>
        </is>
      </c>
      <c r="R1268" s="282" t="n"/>
    </row>
    <row r="1269" ht="18" customHeight="1" s="305">
      <c r="A1269" s="8" t="n">
        <v>1585</v>
      </c>
      <c r="B1269" s="5" t="n">
        <v>205</v>
      </c>
      <c r="C1269" s="72" t="inlineStr">
        <is>
          <t>X</t>
        </is>
      </c>
      <c r="D1269" s="5" t="n">
        <v>131</v>
      </c>
      <c r="E1269" s="73">
        <f>B1269*D1269/10000</f>
        <v/>
      </c>
      <c r="F1269" s="74">
        <f>B1269/30.48</f>
        <v/>
      </c>
      <c r="G1269" s="74">
        <f>D1269/30.48</f>
        <v/>
      </c>
      <c r="H1269" s="615" t="n"/>
      <c r="I1269" s="49" t="inlineStr">
        <is>
          <t>OLD</t>
        </is>
      </c>
      <c r="J1269" s="48" t="inlineStr">
        <is>
          <t>TRS</t>
        </is>
      </c>
      <c r="K1269" s="51" t="inlineStr">
        <is>
          <t>PAC</t>
        </is>
      </c>
      <c r="M1269" s="210" t="n"/>
      <c r="N1269" s="211" t="n"/>
      <c r="O1269" s="263" t="inlineStr">
        <is>
          <t>SBL</t>
        </is>
      </c>
      <c r="Q1269" s="271" t="n"/>
      <c r="R1269" s="282" t="n"/>
    </row>
    <row r="1270" ht="18" customHeight="1" s="305">
      <c r="A1270" s="8" t="n">
        <v>1521</v>
      </c>
      <c r="B1270" s="5" t="n">
        <v>372</v>
      </c>
      <c r="C1270" s="72" t="inlineStr">
        <is>
          <t>X</t>
        </is>
      </c>
      <c r="D1270" s="5" t="n">
        <v>82</v>
      </c>
      <c r="E1270" s="73">
        <f>B1270*D1270/10000</f>
        <v/>
      </c>
      <c r="F1270" s="74">
        <f>B1270/30.48</f>
        <v/>
      </c>
      <c r="G1270" s="74">
        <f>D1270/30.48</f>
        <v/>
      </c>
      <c r="H1270" s="615" t="n"/>
      <c r="I1270" s="49" t="inlineStr">
        <is>
          <t>OLD</t>
        </is>
      </c>
      <c r="J1270" s="48" t="inlineStr">
        <is>
          <t>TRS</t>
        </is>
      </c>
      <c r="K1270" s="51" t="inlineStr">
        <is>
          <t>PAC</t>
        </is>
      </c>
      <c r="M1270" s="210" t="n"/>
      <c r="N1270" s="211" t="n"/>
      <c r="O1270" s="263" t="inlineStr">
        <is>
          <t>SBL</t>
        </is>
      </c>
      <c r="Q1270" s="271" t="inlineStr">
        <is>
          <t>RST</t>
        </is>
      </c>
      <c r="R1270" s="282" t="n"/>
    </row>
    <row r="1271" ht="18" customHeight="1" s="305">
      <c r="A1271" s="8" t="n">
        <v>1522</v>
      </c>
      <c r="B1271" s="5" t="n">
        <v>317</v>
      </c>
      <c r="C1271" s="72" t="inlineStr">
        <is>
          <t>X</t>
        </is>
      </c>
      <c r="D1271" s="5" t="n">
        <v>85</v>
      </c>
      <c r="E1271" s="73">
        <f>B1271*D1271/10000</f>
        <v/>
      </c>
      <c r="F1271" s="74">
        <f>B1271/30.48</f>
        <v/>
      </c>
      <c r="G1271" s="74">
        <f>D1271/30.48</f>
        <v/>
      </c>
      <c r="H1271" s="615" t="n"/>
      <c r="I1271" s="49" t="inlineStr">
        <is>
          <t>OLD</t>
        </is>
      </c>
      <c r="J1271" s="48" t="inlineStr">
        <is>
          <t>TRS</t>
        </is>
      </c>
      <c r="K1271" s="51" t="inlineStr">
        <is>
          <t>PAC</t>
        </is>
      </c>
      <c r="M1271" s="210" t="n"/>
      <c r="N1271" s="211" t="n"/>
      <c r="O1271" s="263" t="inlineStr">
        <is>
          <t>SBL</t>
        </is>
      </c>
      <c r="Q1271" s="271" t="inlineStr">
        <is>
          <t>RST</t>
        </is>
      </c>
      <c r="R1271" s="282" t="n"/>
    </row>
    <row r="1272" ht="18" customHeight="1" s="305">
      <c r="A1272" s="8" t="n">
        <v>1527</v>
      </c>
      <c r="B1272" s="5" t="n">
        <v>269</v>
      </c>
      <c r="C1272" s="72" t="inlineStr">
        <is>
          <t>X</t>
        </is>
      </c>
      <c r="D1272" s="5" t="n">
        <v>214</v>
      </c>
      <c r="E1272" s="73">
        <f>B1272*D1272/10000</f>
        <v/>
      </c>
      <c r="F1272" s="74">
        <f>B1272/30.48</f>
        <v/>
      </c>
      <c r="G1272" s="74">
        <f>D1272/30.48</f>
        <v/>
      </c>
      <c r="H1272" s="615" t="n"/>
      <c r="I1272" s="49" t="inlineStr">
        <is>
          <t>OLD</t>
        </is>
      </c>
      <c r="J1272" s="48" t="inlineStr">
        <is>
          <t>TRS</t>
        </is>
      </c>
      <c r="K1272" s="51" t="inlineStr">
        <is>
          <t>PAC</t>
        </is>
      </c>
      <c r="M1272" s="210" t="n"/>
      <c r="N1272" s="211" t="n"/>
      <c r="O1272" s="263" t="inlineStr">
        <is>
          <t>SBL</t>
        </is>
      </c>
      <c r="Q1272" s="271" t="n"/>
      <c r="R1272" s="282" t="n"/>
    </row>
    <row r="1273" ht="18" customHeight="1" s="305">
      <c r="A1273" s="8" t="n">
        <v>1408</v>
      </c>
      <c r="B1273" s="5" t="n">
        <v>202</v>
      </c>
      <c r="C1273" s="72" t="inlineStr">
        <is>
          <t>X</t>
        </is>
      </c>
      <c r="D1273" s="5" t="n">
        <v>280</v>
      </c>
      <c r="E1273" s="73">
        <f>B1273*D1273/10000</f>
        <v/>
      </c>
      <c r="F1273" s="74">
        <f>B1273/30.48</f>
        <v/>
      </c>
      <c r="G1273" s="74">
        <f>D1273/30.48</f>
        <v/>
      </c>
      <c r="H1273" s="615" t="n"/>
      <c r="I1273" s="49" t="inlineStr">
        <is>
          <t>OLD</t>
        </is>
      </c>
      <c r="J1273" s="48" t="inlineStr">
        <is>
          <t>TRS</t>
        </is>
      </c>
      <c r="K1273" s="51" t="inlineStr">
        <is>
          <t>PAC</t>
        </is>
      </c>
      <c r="L1273" s="105" t="inlineStr">
        <is>
          <t>VR</t>
        </is>
      </c>
      <c r="M1273" s="210" t="n"/>
      <c r="N1273" s="211" t="n"/>
      <c r="O1273" s="263" t="inlineStr">
        <is>
          <t>SBL</t>
        </is>
      </c>
      <c r="Q1273" s="271" t="inlineStr">
        <is>
          <t>RST</t>
        </is>
      </c>
      <c r="R1273" s="282" t="n"/>
    </row>
    <row r="1274" ht="18" customHeight="1" s="305">
      <c r="A1274" s="8" t="n">
        <v>1409</v>
      </c>
      <c r="B1274" s="5" t="n">
        <v>192</v>
      </c>
      <c r="C1274" s="72" t="inlineStr">
        <is>
          <t>X</t>
        </is>
      </c>
      <c r="D1274" s="5" t="n">
        <v>304</v>
      </c>
      <c r="E1274" s="73">
        <f>B1274*D1274/10000</f>
        <v/>
      </c>
      <c r="F1274" s="74">
        <f>B1274/30.48</f>
        <v/>
      </c>
      <c r="G1274" s="74">
        <f>D1274/30.48</f>
        <v/>
      </c>
      <c r="H1274" s="615" t="n"/>
      <c r="J1274" s="48" t="inlineStr">
        <is>
          <t>TRS</t>
        </is>
      </c>
      <c r="K1274" s="51" t="inlineStr">
        <is>
          <t>PAC</t>
        </is>
      </c>
      <c r="M1274" s="210" t="n"/>
      <c r="N1274" s="211" t="n"/>
      <c r="O1274" s="263" t="inlineStr">
        <is>
          <t>SBL</t>
        </is>
      </c>
      <c r="Q1274" s="271" t="inlineStr">
        <is>
          <t>RST</t>
        </is>
      </c>
      <c r="R1274" s="282" t="n"/>
    </row>
    <row r="1275" ht="18" customHeight="1" s="305">
      <c r="A1275" s="8" t="n">
        <v>1413</v>
      </c>
      <c r="B1275" s="5" t="n">
        <v>178</v>
      </c>
      <c r="C1275" s="72" t="inlineStr">
        <is>
          <t>X</t>
        </is>
      </c>
      <c r="D1275" s="5" t="n">
        <v>272</v>
      </c>
      <c r="E1275" s="73">
        <f>B1275*D1275/10000</f>
        <v/>
      </c>
      <c r="F1275" s="74">
        <f>B1275/30.48</f>
        <v/>
      </c>
      <c r="G1275" s="74">
        <f>D1275/30.48</f>
        <v/>
      </c>
      <c r="H1275" s="615" t="n"/>
      <c r="J1275" s="48" t="inlineStr">
        <is>
          <t>TRS</t>
        </is>
      </c>
      <c r="K1275" s="51" t="inlineStr">
        <is>
          <t>PAC</t>
        </is>
      </c>
      <c r="L1275" s="105" t="inlineStr">
        <is>
          <t>VR</t>
        </is>
      </c>
      <c r="M1275" s="210" t="n"/>
      <c r="N1275" s="211" t="n"/>
      <c r="O1275" s="263" t="inlineStr">
        <is>
          <t>SBL</t>
        </is>
      </c>
      <c r="Q1275" s="271" t="inlineStr">
        <is>
          <t>RST</t>
        </is>
      </c>
      <c r="R1275" s="282" t="n"/>
    </row>
    <row r="1276" ht="18" customHeight="1" s="305">
      <c r="A1276" s="8" t="n">
        <v>1422</v>
      </c>
      <c r="B1276" s="5" t="n">
        <v>178</v>
      </c>
      <c r="C1276" s="72" t="inlineStr">
        <is>
          <t>X</t>
        </is>
      </c>
      <c r="D1276" s="5" t="n">
        <v>260</v>
      </c>
      <c r="E1276" s="73">
        <f>B1276*D1276/10000</f>
        <v/>
      </c>
      <c r="F1276" s="74">
        <f>B1276/30.48</f>
        <v/>
      </c>
      <c r="G1276" s="74">
        <f>D1276/30.48</f>
        <v/>
      </c>
      <c r="H1276" s="615" t="n"/>
      <c r="J1276" s="48" t="inlineStr">
        <is>
          <t>TRS</t>
        </is>
      </c>
      <c r="K1276" s="51" t="inlineStr">
        <is>
          <t>PAC</t>
        </is>
      </c>
      <c r="M1276" s="210" t="n"/>
      <c r="N1276" s="211" t="n"/>
      <c r="O1276" s="263" t="inlineStr">
        <is>
          <t>SBL</t>
        </is>
      </c>
      <c r="Q1276" s="271" t="inlineStr">
        <is>
          <t>RST</t>
        </is>
      </c>
      <c r="R1276" s="282" t="n"/>
    </row>
    <row r="1277" ht="18" customHeight="1" s="305">
      <c r="A1277" s="8" t="n">
        <v>1423</v>
      </c>
      <c r="B1277" s="5" t="n">
        <v>180</v>
      </c>
      <c r="C1277" s="72" t="inlineStr">
        <is>
          <t>X</t>
        </is>
      </c>
      <c r="D1277" s="5" t="n">
        <v>314</v>
      </c>
      <c r="E1277" s="73">
        <f>B1277*D1277/10000</f>
        <v/>
      </c>
      <c r="F1277" s="74">
        <f>B1277/30.48</f>
        <v/>
      </c>
      <c r="G1277" s="74">
        <f>D1277/30.48</f>
        <v/>
      </c>
      <c r="H1277" s="615" t="n"/>
      <c r="I1277" s="49" t="inlineStr">
        <is>
          <t>OLD</t>
        </is>
      </c>
      <c r="J1277" s="48" t="inlineStr">
        <is>
          <t>TRS</t>
        </is>
      </c>
      <c r="K1277" s="51" t="inlineStr">
        <is>
          <t>PAC</t>
        </is>
      </c>
      <c r="L1277" s="105" t="inlineStr">
        <is>
          <t>VR</t>
        </is>
      </c>
      <c r="M1277" s="210" t="n"/>
      <c r="N1277" s="211" t="n"/>
      <c r="O1277" s="263" t="inlineStr">
        <is>
          <t>SBL</t>
        </is>
      </c>
      <c r="Q1277" s="271" t="inlineStr">
        <is>
          <t>RST</t>
        </is>
      </c>
      <c r="R1277" s="282" t="n"/>
    </row>
    <row r="1278" ht="18" customHeight="1" s="305">
      <c r="A1278" s="8" t="n">
        <v>1424</v>
      </c>
      <c r="B1278" s="5" t="n">
        <v>175</v>
      </c>
      <c r="C1278" s="72" t="inlineStr">
        <is>
          <t>X</t>
        </is>
      </c>
      <c r="D1278" s="5" t="n">
        <v>288</v>
      </c>
      <c r="E1278" s="73">
        <f>B1278*D1278/10000</f>
        <v/>
      </c>
      <c r="F1278" s="74">
        <f>B1278/30.48</f>
        <v/>
      </c>
      <c r="G1278" s="74">
        <f>D1278/30.48</f>
        <v/>
      </c>
      <c r="H1278" s="615" t="n"/>
      <c r="I1278" s="49" t="inlineStr">
        <is>
          <t>OLD</t>
        </is>
      </c>
      <c r="J1278" s="48" t="inlineStr">
        <is>
          <t>TRS</t>
        </is>
      </c>
      <c r="K1278" s="51" t="inlineStr">
        <is>
          <t>PAC</t>
        </is>
      </c>
      <c r="M1278" s="210" t="n"/>
      <c r="N1278" s="211" t="n"/>
      <c r="O1278" s="263" t="inlineStr">
        <is>
          <t>SBL</t>
        </is>
      </c>
      <c r="Q1278" s="271" t="inlineStr">
        <is>
          <t>RST</t>
        </is>
      </c>
      <c r="R1278" s="282" t="n"/>
    </row>
    <row r="1279" ht="18" customHeight="1" s="305">
      <c r="A1279" s="8" t="n">
        <v>1426</v>
      </c>
      <c r="B1279" s="5" t="n">
        <v>225</v>
      </c>
      <c r="C1279" s="72" t="inlineStr">
        <is>
          <t>X</t>
        </is>
      </c>
      <c r="D1279" s="5" t="n">
        <v>308</v>
      </c>
      <c r="E1279" s="73">
        <f>B1279*D1279/10000</f>
        <v/>
      </c>
      <c r="F1279" s="74">
        <f>B1279/30.48</f>
        <v/>
      </c>
      <c r="G1279" s="74">
        <f>D1279/30.48</f>
        <v/>
      </c>
      <c r="H1279" s="615" t="n"/>
      <c r="I1279" s="49" t="inlineStr">
        <is>
          <t>OLD</t>
        </is>
      </c>
      <c r="J1279" s="48" t="inlineStr">
        <is>
          <t>TRS</t>
        </is>
      </c>
      <c r="L1279" s="105" t="inlineStr">
        <is>
          <t>VR</t>
        </is>
      </c>
      <c r="M1279" s="210" t="n"/>
      <c r="N1279" s="211" t="n"/>
      <c r="O1279" s="263" t="inlineStr">
        <is>
          <t>SBL</t>
        </is>
      </c>
      <c r="Q1279" s="271" t="inlineStr">
        <is>
          <t>RST</t>
        </is>
      </c>
      <c r="R1279" s="282" t="n"/>
    </row>
    <row r="1280" ht="18" customHeight="1" s="305">
      <c r="A1280" s="8" t="n">
        <v>1427</v>
      </c>
      <c r="B1280" s="5" t="n">
        <v>214</v>
      </c>
      <c r="C1280" s="72" t="inlineStr">
        <is>
          <t>X</t>
        </is>
      </c>
      <c r="D1280" s="5" t="n">
        <v>294</v>
      </c>
      <c r="E1280" s="73">
        <f>B1280*D1280/10000</f>
        <v/>
      </c>
      <c r="F1280" s="74">
        <f>B1280/30.48</f>
        <v/>
      </c>
      <c r="G1280" s="74">
        <f>D1280/30.48</f>
        <v/>
      </c>
      <c r="H1280" s="615" t="n"/>
      <c r="I1280" s="49" t="inlineStr">
        <is>
          <t>OLD</t>
        </is>
      </c>
      <c r="J1280" s="48" t="inlineStr">
        <is>
          <t>TRS</t>
        </is>
      </c>
      <c r="L1280" s="105" t="inlineStr">
        <is>
          <t>VR</t>
        </is>
      </c>
      <c r="M1280" s="210" t="n"/>
      <c r="N1280" s="211" t="n"/>
      <c r="O1280" s="263" t="inlineStr">
        <is>
          <t>SBL</t>
        </is>
      </c>
      <c r="Q1280" s="271" t="inlineStr">
        <is>
          <t>RST</t>
        </is>
      </c>
      <c r="R1280" s="282" t="n"/>
    </row>
    <row r="1281" ht="18" customHeight="1" s="305">
      <c r="A1281" s="8" t="n">
        <v>1428</v>
      </c>
      <c r="B1281" s="5" t="n">
        <v>168</v>
      </c>
      <c r="C1281" s="72" t="inlineStr">
        <is>
          <t>X</t>
        </is>
      </c>
      <c r="D1281" s="5" t="n">
        <v>276</v>
      </c>
      <c r="E1281" s="73">
        <f>B1281*D1281/10000</f>
        <v/>
      </c>
      <c r="F1281" s="74">
        <f>B1281/30.48</f>
        <v/>
      </c>
      <c r="G1281" s="74">
        <f>D1281/30.48</f>
        <v/>
      </c>
      <c r="H1281" s="615" t="n"/>
      <c r="I1281" s="49" t="inlineStr">
        <is>
          <t>OLD</t>
        </is>
      </c>
      <c r="J1281" s="48" t="inlineStr">
        <is>
          <t>TRS</t>
        </is>
      </c>
      <c r="K1281" s="51" t="inlineStr">
        <is>
          <t>PAC</t>
        </is>
      </c>
      <c r="M1281" s="210" t="n"/>
      <c r="N1281" s="211" t="n"/>
      <c r="O1281" s="263" t="inlineStr">
        <is>
          <t>SBL</t>
        </is>
      </c>
      <c r="Q1281" s="271" t="inlineStr">
        <is>
          <t>RST</t>
        </is>
      </c>
      <c r="R1281" s="282" t="n"/>
    </row>
    <row r="1282" ht="18" customHeight="1" s="305">
      <c r="A1282" s="8" t="n">
        <v>1430</v>
      </c>
      <c r="B1282" s="5" t="n">
        <v>77</v>
      </c>
      <c r="C1282" s="72" t="inlineStr">
        <is>
          <t>X</t>
        </is>
      </c>
      <c r="D1282" s="5" t="n">
        <v>335</v>
      </c>
      <c r="E1282" s="73">
        <f>B1282*D1282/10000</f>
        <v/>
      </c>
      <c r="F1282" s="74">
        <f>B1282/30.48</f>
        <v/>
      </c>
      <c r="G1282" s="74">
        <f>D1282/30.48</f>
        <v/>
      </c>
      <c r="H1282" s="615" t="n"/>
      <c r="I1282" s="49" t="inlineStr">
        <is>
          <t>OLD</t>
        </is>
      </c>
      <c r="J1282" s="48" t="inlineStr">
        <is>
          <t>TRS</t>
        </is>
      </c>
      <c r="K1282" s="51" t="inlineStr">
        <is>
          <t>PAC</t>
        </is>
      </c>
      <c r="L1282" s="105" t="inlineStr">
        <is>
          <t>VR</t>
        </is>
      </c>
      <c r="M1282" s="210" t="n"/>
      <c r="N1282" s="211" t="n"/>
      <c r="O1282" s="263" t="inlineStr">
        <is>
          <t>SBL</t>
        </is>
      </c>
      <c r="Q1282" s="271" t="inlineStr">
        <is>
          <t>RST</t>
        </is>
      </c>
      <c r="R1282" s="282" t="n"/>
    </row>
    <row r="1283" ht="18" customHeight="1" s="305">
      <c r="A1283" s="8" t="n">
        <v>1431</v>
      </c>
      <c r="B1283" s="5" t="n">
        <v>218</v>
      </c>
      <c r="C1283" s="72" t="inlineStr">
        <is>
          <t>X</t>
        </is>
      </c>
      <c r="D1283" s="5" t="n">
        <v>332</v>
      </c>
      <c r="E1283" s="73">
        <f>B1283*D1283/10000</f>
        <v/>
      </c>
      <c r="F1283" s="74">
        <f>B1283/30.48</f>
        <v/>
      </c>
      <c r="G1283" s="74">
        <f>D1283/30.48</f>
        <v/>
      </c>
      <c r="H1283" s="615" t="n"/>
      <c r="I1283" s="49" t="inlineStr">
        <is>
          <t>OLD</t>
        </is>
      </c>
      <c r="J1283" s="48" t="inlineStr">
        <is>
          <t>TRS</t>
        </is>
      </c>
      <c r="K1283" s="51" t="inlineStr">
        <is>
          <t>PAC</t>
        </is>
      </c>
      <c r="L1283" s="105" t="inlineStr">
        <is>
          <t>VR</t>
        </is>
      </c>
      <c r="M1283" s="210" t="n"/>
      <c r="N1283" s="211" t="n"/>
      <c r="O1283" s="263" t="inlineStr">
        <is>
          <t>SBL</t>
        </is>
      </c>
      <c r="Q1283" s="271" t="inlineStr">
        <is>
          <t>RST</t>
        </is>
      </c>
      <c r="R1283" s="282" t="n"/>
    </row>
    <row r="1284" ht="18" customHeight="1" s="305">
      <c r="A1284" s="8" t="n">
        <v>1435</v>
      </c>
      <c r="B1284" s="5" t="n">
        <v>127</v>
      </c>
      <c r="C1284" s="72" t="inlineStr">
        <is>
          <t>X</t>
        </is>
      </c>
      <c r="D1284" s="5" t="n">
        <v>227</v>
      </c>
      <c r="E1284" s="73">
        <f>B1284*D1284/10000</f>
        <v/>
      </c>
      <c r="F1284" s="74">
        <f>B1284/30.48</f>
        <v/>
      </c>
      <c r="G1284" s="74">
        <f>D1284/30.48</f>
        <v/>
      </c>
      <c r="H1284" s="615" t="n"/>
      <c r="I1284" s="49" t="inlineStr">
        <is>
          <t>OLD</t>
        </is>
      </c>
      <c r="J1284" s="48" t="inlineStr">
        <is>
          <t>TRS</t>
        </is>
      </c>
      <c r="K1284" s="51" t="inlineStr">
        <is>
          <t>PAC</t>
        </is>
      </c>
      <c r="L1284" s="105" t="inlineStr">
        <is>
          <t>VR</t>
        </is>
      </c>
      <c r="M1284" s="210" t="n"/>
      <c r="N1284" s="211" t="n"/>
      <c r="O1284" s="263" t="inlineStr">
        <is>
          <t>SBL</t>
        </is>
      </c>
      <c r="Q1284" s="271" t="inlineStr">
        <is>
          <t>RST</t>
        </is>
      </c>
      <c r="R1284" s="282" t="n"/>
    </row>
    <row r="1285" ht="18" customHeight="1" s="305">
      <c r="A1285" s="8" t="n">
        <v>1438</v>
      </c>
      <c r="B1285" s="5" t="n">
        <v>95</v>
      </c>
      <c r="C1285" s="72" t="inlineStr">
        <is>
          <t>X</t>
        </is>
      </c>
      <c r="D1285" s="5" t="n">
        <v>314</v>
      </c>
      <c r="E1285" s="73">
        <f>B1285*D1285/10000</f>
        <v/>
      </c>
      <c r="F1285" s="74">
        <f>B1285/30.48</f>
        <v/>
      </c>
      <c r="G1285" s="74">
        <f>D1285/30.48</f>
        <v/>
      </c>
      <c r="H1285" s="615" t="n"/>
      <c r="I1285" s="49" t="inlineStr">
        <is>
          <t>OLD</t>
        </is>
      </c>
      <c r="J1285" s="48" t="inlineStr">
        <is>
          <t>TRS</t>
        </is>
      </c>
      <c r="K1285" s="51" t="inlineStr">
        <is>
          <t>PAC</t>
        </is>
      </c>
      <c r="L1285" s="105" t="inlineStr">
        <is>
          <t>VR</t>
        </is>
      </c>
      <c r="M1285" s="210" t="n"/>
      <c r="N1285" s="211" t="n"/>
      <c r="O1285" s="263" t="inlineStr">
        <is>
          <t>SBL</t>
        </is>
      </c>
      <c r="Q1285" s="271" t="inlineStr">
        <is>
          <t>RST</t>
        </is>
      </c>
      <c r="R1285" s="282" t="n"/>
    </row>
    <row r="1286" ht="18" customHeight="1" s="305">
      <c r="A1286" s="8" t="n">
        <v>1448</v>
      </c>
      <c r="B1286" s="5" t="n">
        <v>173</v>
      </c>
      <c r="C1286" s="72" t="inlineStr">
        <is>
          <t>X</t>
        </is>
      </c>
      <c r="D1286" s="5" t="n">
        <v>260</v>
      </c>
      <c r="E1286" s="73">
        <f>B1286*D1286/10000</f>
        <v/>
      </c>
      <c r="F1286" s="74">
        <f>B1286/30.48</f>
        <v/>
      </c>
      <c r="G1286" s="74">
        <f>D1286/30.48</f>
        <v/>
      </c>
      <c r="H1286" s="615" t="n"/>
      <c r="I1286" s="49" t="inlineStr">
        <is>
          <t>OLD</t>
        </is>
      </c>
      <c r="J1286" s="48" t="inlineStr">
        <is>
          <t>TRS</t>
        </is>
      </c>
      <c r="K1286" s="51" t="inlineStr">
        <is>
          <t>PAC</t>
        </is>
      </c>
      <c r="L1286" s="105" t="inlineStr">
        <is>
          <t>VR</t>
        </is>
      </c>
      <c r="M1286" s="210" t="n"/>
      <c r="N1286" s="211" t="n"/>
      <c r="O1286" s="263" t="inlineStr">
        <is>
          <t>SBL</t>
        </is>
      </c>
      <c r="Q1286" s="271" t="inlineStr">
        <is>
          <t>RST</t>
        </is>
      </c>
      <c r="R1286" s="282" t="n"/>
    </row>
    <row r="1287" ht="18" customHeight="1" s="305">
      <c r="A1287" s="8" t="n">
        <v>1451</v>
      </c>
      <c r="B1287" s="5" t="n">
        <v>191</v>
      </c>
      <c r="C1287" s="72" t="inlineStr">
        <is>
          <t>X</t>
        </is>
      </c>
      <c r="D1287" s="5" t="n">
        <v>338</v>
      </c>
      <c r="E1287" s="73">
        <f>B1287*D1287/10000</f>
        <v/>
      </c>
      <c r="F1287" s="74">
        <f>B1287/30.48</f>
        <v/>
      </c>
      <c r="G1287" s="74">
        <f>D1287/30.48</f>
        <v/>
      </c>
      <c r="H1287" s="615" t="n"/>
      <c r="J1287" s="48" t="inlineStr">
        <is>
          <t>TRS</t>
        </is>
      </c>
      <c r="K1287" s="51" t="inlineStr">
        <is>
          <t>PAC</t>
        </is>
      </c>
      <c r="L1287" s="105" t="inlineStr">
        <is>
          <t>VR</t>
        </is>
      </c>
      <c r="M1287" s="210" t="n"/>
      <c r="N1287" s="211" t="n"/>
      <c r="O1287" s="263" t="inlineStr">
        <is>
          <t>SBL</t>
        </is>
      </c>
      <c r="Q1287" s="271" t="inlineStr">
        <is>
          <t>RST</t>
        </is>
      </c>
      <c r="R1287" s="282" t="n"/>
    </row>
    <row r="1288" ht="18" customHeight="1" s="305">
      <c r="A1288" s="8" t="n">
        <v>1454</v>
      </c>
      <c r="B1288" s="5" t="n">
        <v>191</v>
      </c>
      <c r="C1288" s="72" t="inlineStr">
        <is>
          <t>X</t>
        </is>
      </c>
      <c r="D1288" s="5" t="n">
        <v>299</v>
      </c>
      <c r="E1288" s="73">
        <f>B1288*D1288/10000</f>
        <v/>
      </c>
      <c r="F1288" s="74">
        <f>B1288/30.48</f>
        <v/>
      </c>
      <c r="G1288" s="74">
        <f>D1288/30.48</f>
        <v/>
      </c>
      <c r="H1288" s="615" t="n"/>
      <c r="I1288" s="49" t="inlineStr">
        <is>
          <t>OLD</t>
        </is>
      </c>
      <c r="J1288" s="48" t="inlineStr">
        <is>
          <t>TRS</t>
        </is>
      </c>
      <c r="K1288" s="51" t="inlineStr">
        <is>
          <t>PAC</t>
        </is>
      </c>
      <c r="L1288" s="105" t="inlineStr">
        <is>
          <t>VR</t>
        </is>
      </c>
      <c r="M1288" s="210" t="n"/>
      <c r="N1288" s="211" t="n"/>
      <c r="O1288" s="263" t="inlineStr">
        <is>
          <t>SBL</t>
        </is>
      </c>
      <c r="Q1288" s="271" t="n"/>
      <c r="R1288" s="282" t="n"/>
    </row>
    <row r="1289" ht="18" customHeight="1" s="305">
      <c r="A1289" s="8" t="n">
        <v>1459</v>
      </c>
      <c r="B1289" s="5" t="n">
        <v>185</v>
      </c>
      <c r="C1289" s="72" t="inlineStr">
        <is>
          <t>X</t>
        </is>
      </c>
      <c r="D1289" s="5" t="n">
        <v>266</v>
      </c>
      <c r="E1289" s="73">
        <f>B1289*D1289/10000</f>
        <v/>
      </c>
      <c r="F1289" s="74">
        <f>B1289/30.48</f>
        <v/>
      </c>
      <c r="G1289" s="74">
        <f>D1289/30.48</f>
        <v/>
      </c>
      <c r="H1289" s="615" t="n"/>
      <c r="I1289" s="49" t="inlineStr">
        <is>
          <t>OLD</t>
        </is>
      </c>
      <c r="J1289" s="48" t="inlineStr">
        <is>
          <t>TRS</t>
        </is>
      </c>
      <c r="K1289" s="51" t="inlineStr">
        <is>
          <t>PAC</t>
        </is>
      </c>
      <c r="L1289" s="105" t="inlineStr">
        <is>
          <t>VR</t>
        </is>
      </c>
      <c r="M1289" s="210" t="n"/>
      <c r="N1289" s="211" t="n"/>
      <c r="O1289" s="263" t="inlineStr">
        <is>
          <t>SBL</t>
        </is>
      </c>
      <c r="Q1289" s="271" t="inlineStr">
        <is>
          <t>RST</t>
        </is>
      </c>
      <c r="R1289" s="282" t="n"/>
    </row>
    <row r="1290" ht="18" customHeight="1" s="305">
      <c r="A1290" s="8" t="n">
        <v>1462</v>
      </c>
      <c r="B1290" s="5" t="n">
        <v>83</v>
      </c>
      <c r="C1290" s="72" t="inlineStr">
        <is>
          <t>X</t>
        </is>
      </c>
      <c r="D1290" s="5" t="n">
        <v>287</v>
      </c>
      <c r="E1290" s="73">
        <f>B1290*D1290/10000</f>
        <v/>
      </c>
      <c r="F1290" s="74">
        <f>B1290/30.48</f>
        <v/>
      </c>
      <c r="G1290" s="74">
        <f>D1290/30.48</f>
        <v/>
      </c>
      <c r="H1290" s="615" t="n"/>
      <c r="I1290" s="49" t="inlineStr">
        <is>
          <t>OLD</t>
        </is>
      </c>
      <c r="J1290" s="48" t="inlineStr">
        <is>
          <t>TRS</t>
        </is>
      </c>
      <c r="K1290" s="51" t="inlineStr">
        <is>
          <t>PAC</t>
        </is>
      </c>
      <c r="L1290" s="105" t="inlineStr">
        <is>
          <t>VR</t>
        </is>
      </c>
      <c r="M1290" s="210" t="n"/>
      <c r="N1290" s="211" t="n"/>
      <c r="O1290" s="263" t="inlineStr">
        <is>
          <t>SBL</t>
        </is>
      </c>
      <c r="Q1290" s="271" t="inlineStr">
        <is>
          <t>RST</t>
        </is>
      </c>
      <c r="R1290" s="282" t="n"/>
    </row>
    <row r="1291" ht="18" customHeight="1" s="305">
      <c r="A1291" s="8" t="n">
        <v>1465</v>
      </c>
      <c r="B1291" s="5" t="n">
        <v>84</v>
      </c>
      <c r="C1291" s="72" t="inlineStr">
        <is>
          <t>X</t>
        </is>
      </c>
      <c r="D1291" s="5" t="n">
        <v>263</v>
      </c>
      <c r="E1291" s="73">
        <f>B1291*D1291/10000</f>
        <v/>
      </c>
      <c r="F1291" s="74">
        <f>B1291/30.48</f>
        <v/>
      </c>
      <c r="G1291" s="74">
        <f>D1291/30.48</f>
        <v/>
      </c>
      <c r="H1291" s="615" t="n"/>
      <c r="I1291" s="49" t="inlineStr">
        <is>
          <t>OLD</t>
        </is>
      </c>
      <c r="J1291" s="48" t="inlineStr">
        <is>
          <t>TRS</t>
        </is>
      </c>
      <c r="K1291" s="51" t="inlineStr">
        <is>
          <t>PAC</t>
        </is>
      </c>
      <c r="L1291" s="105" t="inlineStr">
        <is>
          <t>VR</t>
        </is>
      </c>
      <c r="M1291" s="210" t="n"/>
      <c r="N1291" s="211" t="n"/>
      <c r="O1291" s="263" t="inlineStr">
        <is>
          <t>SBL</t>
        </is>
      </c>
      <c r="Q1291" s="271" t="inlineStr">
        <is>
          <t>RST</t>
        </is>
      </c>
      <c r="R1291" s="282" t="n"/>
    </row>
    <row r="1292" ht="18" customHeight="1" s="305">
      <c r="A1292" s="8" t="n">
        <v>1467</v>
      </c>
      <c r="B1292" s="5" t="n">
        <v>90</v>
      </c>
      <c r="C1292" s="72" t="inlineStr">
        <is>
          <t>X</t>
        </is>
      </c>
      <c r="D1292" s="5" t="n">
        <v>358</v>
      </c>
      <c r="E1292" s="73">
        <f>B1292*D1292/10000</f>
        <v/>
      </c>
      <c r="F1292" s="74">
        <f>B1292/30.48</f>
        <v/>
      </c>
      <c r="G1292" s="74">
        <f>D1292/30.48</f>
        <v/>
      </c>
      <c r="H1292" s="615" t="n"/>
      <c r="I1292" s="49" t="inlineStr">
        <is>
          <t>OLD</t>
        </is>
      </c>
      <c r="J1292" s="48" t="inlineStr">
        <is>
          <t>TRS</t>
        </is>
      </c>
      <c r="K1292" s="51" t="inlineStr">
        <is>
          <t>PAC</t>
        </is>
      </c>
      <c r="L1292" s="105" t="inlineStr">
        <is>
          <t>VR</t>
        </is>
      </c>
      <c r="M1292" s="210" t="n"/>
      <c r="N1292" s="211" t="n"/>
      <c r="O1292" s="263" t="inlineStr">
        <is>
          <t>SBL</t>
        </is>
      </c>
      <c r="Q1292" s="271" t="inlineStr">
        <is>
          <t>RST</t>
        </is>
      </c>
      <c r="R1292" s="282" t="n"/>
    </row>
    <row r="1293" ht="18" customHeight="1" s="305">
      <c r="A1293" s="8" t="n">
        <v>1468</v>
      </c>
      <c r="B1293" s="5" t="n">
        <v>198</v>
      </c>
      <c r="C1293" s="72" t="inlineStr">
        <is>
          <t>X</t>
        </is>
      </c>
      <c r="D1293" s="5" t="n">
        <v>281</v>
      </c>
      <c r="E1293" s="73">
        <f>B1293*D1293/10000</f>
        <v/>
      </c>
      <c r="F1293" s="74">
        <f>B1293/30.48</f>
        <v/>
      </c>
      <c r="G1293" s="74">
        <f>D1293/30.48</f>
        <v/>
      </c>
      <c r="H1293" s="615" t="n"/>
      <c r="I1293" s="49" t="inlineStr">
        <is>
          <t>OLD</t>
        </is>
      </c>
      <c r="J1293" s="48" t="inlineStr">
        <is>
          <t>TRS</t>
        </is>
      </c>
      <c r="K1293" s="51" t="inlineStr">
        <is>
          <t>PAC</t>
        </is>
      </c>
      <c r="L1293" s="105" t="inlineStr">
        <is>
          <t>VR</t>
        </is>
      </c>
      <c r="M1293" s="210" t="n"/>
      <c r="N1293" s="211" t="n"/>
      <c r="O1293" s="263" t="inlineStr">
        <is>
          <t>SBL</t>
        </is>
      </c>
      <c r="Q1293" s="271" t="n"/>
      <c r="R1293" s="282" t="n"/>
    </row>
    <row r="1294" ht="18" customHeight="1" s="305">
      <c r="A1294" s="8" t="n">
        <v>1470</v>
      </c>
      <c r="B1294" s="5" t="n">
        <v>201</v>
      </c>
      <c r="C1294" s="72" t="inlineStr">
        <is>
          <t>X</t>
        </is>
      </c>
      <c r="D1294" s="5" t="n">
        <v>268</v>
      </c>
      <c r="E1294" s="73">
        <f>B1294*D1294/10000</f>
        <v/>
      </c>
      <c r="F1294" s="74">
        <f>B1294/30.48</f>
        <v/>
      </c>
      <c r="G1294" s="74">
        <f>D1294/30.48</f>
        <v/>
      </c>
      <c r="H1294" s="615" t="n"/>
      <c r="I1294" s="49" t="inlineStr">
        <is>
          <t>OLD</t>
        </is>
      </c>
      <c r="J1294" s="48" t="inlineStr">
        <is>
          <t>TRS</t>
        </is>
      </c>
      <c r="K1294" s="51" t="inlineStr">
        <is>
          <t>PAC</t>
        </is>
      </c>
      <c r="L1294" s="105" t="inlineStr">
        <is>
          <t>VR</t>
        </is>
      </c>
      <c r="M1294" s="210" t="n"/>
      <c r="N1294" s="211" t="n"/>
      <c r="O1294" s="263" t="inlineStr">
        <is>
          <t>SBL</t>
        </is>
      </c>
      <c r="Q1294" s="271" t="n"/>
      <c r="R1294" s="282" t="n"/>
    </row>
    <row r="1295" ht="18" customHeight="1" s="305">
      <c r="A1295" s="8" t="n">
        <v>1471</v>
      </c>
      <c r="B1295" s="5" t="n">
        <v>220</v>
      </c>
      <c r="C1295" s="72" t="inlineStr">
        <is>
          <t>X</t>
        </is>
      </c>
      <c r="D1295" s="5" t="n">
        <v>334</v>
      </c>
      <c r="E1295" s="73">
        <f>B1295*D1295/10000</f>
        <v/>
      </c>
      <c r="F1295" s="74">
        <f>B1295/30.48</f>
        <v/>
      </c>
      <c r="G1295" s="74">
        <f>D1295/30.48</f>
        <v/>
      </c>
      <c r="H1295" s="615" t="n"/>
      <c r="I1295" s="49" t="inlineStr">
        <is>
          <t>OLD</t>
        </is>
      </c>
      <c r="J1295" s="48" t="inlineStr">
        <is>
          <t>TRS</t>
        </is>
      </c>
      <c r="K1295" s="51" t="inlineStr">
        <is>
          <t>PAC</t>
        </is>
      </c>
      <c r="L1295" s="105" t="inlineStr">
        <is>
          <t>VR</t>
        </is>
      </c>
      <c r="M1295" s="210" t="n"/>
      <c r="N1295" s="211" t="n"/>
      <c r="O1295" s="263" t="inlineStr">
        <is>
          <t>SBL</t>
        </is>
      </c>
      <c r="Q1295" s="271" t="n"/>
      <c r="R1295" s="282" t="n"/>
    </row>
    <row r="1296" ht="18" customHeight="1" s="305">
      <c r="A1296" s="8" t="n">
        <v>1473</v>
      </c>
      <c r="B1296" s="5" t="n">
        <v>91</v>
      </c>
      <c r="C1296" s="72" t="inlineStr">
        <is>
          <t>X</t>
        </is>
      </c>
      <c r="D1296" s="5" t="n">
        <v>380</v>
      </c>
      <c r="E1296" s="73">
        <f>B1296*D1296/10000</f>
        <v/>
      </c>
      <c r="F1296" s="74">
        <f>B1296/30.48</f>
        <v/>
      </c>
      <c r="G1296" s="74">
        <f>D1296/30.48</f>
        <v/>
      </c>
      <c r="H1296" s="615" t="n"/>
      <c r="I1296" s="49" t="inlineStr">
        <is>
          <t>OLD</t>
        </is>
      </c>
      <c r="J1296" s="48" t="inlineStr">
        <is>
          <t>TRS</t>
        </is>
      </c>
      <c r="K1296" s="51" t="inlineStr">
        <is>
          <t>PAC</t>
        </is>
      </c>
      <c r="L1296" s="105" t="inlineStr">
        <is>
          <t>VR</t>
        </is>
      </c>
      <c r="M1296" s="210" t="n"/>
      <c r="N1296" s="211" t="n"/>
      <c r="O1296" s="263" t="inlineStr">
        <is>
          <t>SBL</t>
        </is>
      </c>
      <c r="Q1296" s="271" t="inlineStr">
        <is>
          <t>RST</t>
        </is>
      </c>
      <c r="R1296" s="282" t="n"/>
    </row>
    <row r="1297" ht="18" customHeight="1" s="305">
      <c r="A1297" s="8" t="n">
        <v>1474</v>
      </c>
      <c r="B1297" s="5" t="n">
        <v>176</v>
      </c>
      <c r="C1297" s="72" t="inlineStr">
        <is>
          <t>X</t>
        </is>
      </c>
      <c r="D1297" s="5" t="n">
        <v>284</v>
      </c>
      <c r="E1297" s="73">
        <f>B1297*D1297/10000</f>
        <v/>
      </c>
      <c r="F1297" s="74">
        <f>B1297/30.48</f>
        <v/>
      </c>
      <c r="G1297" s="74">
        <f>D1297/30.48</f>
        <v/>
      </c>
      <c r="H1297" s="615" t="n"/>
      <c r="I1297" s="49" t="inlineStr">
        <is>
          <t>OLD</t>
        </is>
      </c>
      <c r="J1297" s="48" t="inlineStr">
        <is>
          <t>TRS</t>
        </is>
      </c>
      <c r="K1297" s="51" t="inlineStr">
        <is>
          <t>PAC</t>
        </is>
      </c>
      <c r="L1297" s="105" t="inlineStr">
        <is>
          <t>VR</t>
        </is>
      </c>
      <c r="M1297" s="210" t="n"/>
      <c r="N1297" s="211" t="n"/>
      <c r="O1297" s="263" t="inlineStr">
        <is>
          <t>SBL</t>
        </is>
      </c>
      <c r="Q1297" s="271" t="inlineStr">
        <is>
          <t>RST</t>
        </is>
      </c>
      <c r="R1297" s="282" t="n"/>
    </row>
    <row r="1298" ht="18" customHeight="1" s="305">
      <c r="A1298" s="8" t="n">
        <v>1475</v>
      </c>
      <c r="B1298" s="5" t="n">
        <v>85</v>
      </c>
      <c r="C1298" s="72" t="inlineStr">
        <is>
          <t>X</t>
        </is>
      </c>
      <c r="D1298" s="5" t="n">
        <v>289</v>
      </c>
      <c r="E1298" s="73">
        <f>B1298*D1298/10000</f>
        <v/>
      </c>
      <c r="F1298" s="74">
        <f>B1298/30.48</f>
        <v/>
      </c>
      <c r="G1298" s="74">
        <f>D1298/30.48</f>
        <v/>
      </c>
      <c r="H1298" s="615" t="n"/>
      <c r="I1298" s="49" t="inlineStr">
        <is>
          <t>OLD</t>
        </is>
      </c>
      <c r="J1298" s="48" t="inlineStr">
        <is>
          <t>TRS</t>
        </is>
      </c>
      <c r="K1298" s="51" t="inlineStr">
        <is>
          <t>PAC</t>
        </is>
      </c>
      <c r="L1298" s="105" t="inlineStr">
        <is>
          <t>VR</t>
        </is>
      </c>
      <c r="M1298" s="210" t="n"/>
      <c r="N1298" s="211" t="n"/>
      <c r="O1298" s="263" t="inlineStr">
        <is>
          <t>SBL</t>
        </is>
      </c>
      <c r="Q1298" s="271" t="inlineStr">
        <is>
          <t>RST</t>
        </is>
      </c>
      <c r="R1298" s="282" t="n"/>
    </row>
    <row r="1299" ht="18" customHeight="1" s="305">
      <c r="A1299" s="8" t="n">
        <v>1478</v>
      </c>
      <c r="B1299" s="5" t="n">
        <v>182</v>
      </c>
      <c r="C1299" s="72" t="inlineStr">
        <is>
          <t>X</t>
        </is>
      </c>
      <c r="D1299" s="5" t="n">
        <v>298</v>
      </c>
      <c r="E1299" s="73">
        <f>B1299*D1299/10000</f>
        <v/>
      </c>
      <c r="F1299" s="74">
        <f>B1299/30.48</f>
        <v/>
      </c>
      <c r="G1299" s="74">
        <f>D1299/30.48</f>
        <v/>
      </c>
      <c r="H1299" s="615" t="n"/>
      <c r="I1299" s="49" t="inlineStr">
        <is>
          <t>OLD</t>
        </is>
      </c>
      <c r="J1299" s="48" t="inlineStr">
        <is>
          <t>TRS</t>
        </is>
      </c>
      <c r="K1299" s="51" t="inlineStr">
        <is>
          <t>PAC</t>
        </is>
      </c>
      <c r="L1299" s="105" t="inlineStr">
        <is>
          <t>VR</t>
        </is>
      </c>
      <c r="M1299" s="210" t="n"/>
      <c r="N1299" s="211" t="n"/>
      <c r="O1299" s="263" t="inlineStr">
        <is>
          <t>SBL</t>
        </is>
      </c>
      <c r="Q1299" s="271" t="n"/>
      <c r="R1299" s="282" t="n"/>
    </row>
    <row r="1300" ht="18" customHeight="1" s="305">
      <c r="A1300" s="8" t="n">
        <v>1479</v>
      </c>
      <c r="B1300" s="5" t="n">
        <v>218</v>
      </c>
      <c r="C1300" s="72" t="inlineStr">
        <is>
          <t>X</t>
        </is>
      </c>
      <c r="D1300" s="5" t="n">
        <v>318</v>
      </c>
      <c r="E1300" s="73">
        <f>B1300*D1300/10000</f>
        <v/>
      </c>
      <c r="F1300" s="74">
        <f>B1300/30.48</f>
        <v/>
      </c>
      <c r="G1300" s="74">
        <f>D1300/30.48</f>
        <v/>
      </c>
      <c r="H1300" s="615" t="n"/>
      <c r="I1300" s="49" t="inlineStr">
        <is>
          <t>OLD</t>
        </is>
      </c>
      <c r="J1300" s="48" t="inlineStr">
        <is>
          <t>TRS</t>
        </is>
      </c>
      <c r="K1300" s="51" t="inlineStr">
        <is>
          <t>PAC</t>
        </is>
      </c>
      <c r="L1300" s="105" t="inlineStr">
        <is>
          <t>VR</t>
        </is>
      </c>
      <c r="M1300" s="210" t="n"/>
      <c r="N1300" s="211" t="n"/>
      <c r="O1300" s="263" t="inlineStr">
        <is>
          <t>SBL</t>
        </is>
      </c>
      <c r="Q1300" s="271" t="n"/>
      <c r="R1300" s="282" t="n"/>
    </row>
    <row r="1301" ht="18" customHeight="1" s="305">
      <c r="A1301" s="8" t="n">
        <v>1480</v>
      </c>
      <c r="B1301" s="5" t="n">
        <v>93</v>
      </c>
      <c r="C1301" s="72" t="inlineStr">
        <is>
          <t>X</t>
        </is>
      </c>
      <c r="D1301" s="5" t="n">
        <v>397</v>
      </c>
      <c r="E1301" s="73">
        <f>B1301*D1301/10000</f>
        <v/>
      </c>
      <c r="F1301" s="74">
        <f>B1301/30.48</f>
        <v/>
      </c>
      <c r="G1301" s="74">
        <f>D1301/30.48</f>
        <v/>
      </c>
      <c r="H1301" s="615" t="n"/>
      <c r="I1301" s="49" t="inlineStr">
        <is>
          <t>OLD</t>
        </is>
      </c>
      <c r="J1301" s="48" t="inlineStr">
        <is>
          <t>TRS</t>
        </is>
      </c>
      <c r="K1301" s="51" t="inlineStr">
        <is>
          <t>PAC</t>
        </is>
      </c>
      <c r="L1301" s="105" t="inlineStr">
        <is>
          <t>VR</t>
        </is>
      </c>
      <c r="M1301" s="210" t="n"/>
      <c r="N1301" s="211" t="n"/>
      <c r="O1301" s="263" t="inlineStr">
        <is>
          <t>SBL</t>
        </is>
      </c>
      <c r="Q1301" s="271" t="inlineStr">
        <is>
          <t>RST</t>
        </is>
      </c>
      <c r="R1301" s="282" t="n"/>
    </row>
    <row r="1302" ht="18" customHeight="1" s="305">
      <c r="A1302" s="8" t="n">
        <v>1482</v>
      </c>
      <c r="B1302" s="5" t="n">
        <v>82</v>
      </c>
      <c r="C1302" s="72" t="inlineStr">
        <is>
          <t>X</t>
        </is>
      </c>
      <c r="D1302" s="5" t="n">
        <v>325</v>
      </c>
      <c r="E1302" s="73">
        <f>B1302*D1302/10000</f>
        <v/>
      </c>
      <c r="F1302" s="74">
        <f>B1302/30.48</f>
        <v/>
      </c>
      <c r="G1302" s="74">
        <f>D1302/30.48</f>
        <v/>
      </c>
      <c r="H1302" s="615" t="n"/>
      <c r="I1302" s="49" t="inlineStr">
        <is>
          <t>OLD</t>
        </is>
      </c>
      <c r="J1302" s="48" t="inlineStr">
        <is>
          <t>TRS</t>
        </is>
      </c>
      <c r="K1302" s="51" t="inlineStr">
        <is>
          <t>PAC</t>
        </is>
      </c>
      <c r="L1302" s="105" t="inlineStr">
        <is>
          <t>VR</t>
        </is>
      </c>
      <c r="M1302" s="210" t="n"/>
      <c r="N1302" s="211" t="n"/>
      <c r="O1302" s="263" t="inlineStr">
        <is>
          <t>SBL</t>
        </is>
      </c>
      <c r="Q1302" s="271" t="inlineStr">
        <is>
          <t>RST</t>
        </is>
      </c>
      <c r="R1302" s="282" t="n"/>
    </row>
    <row r="1303" ht="18" customHeight="1" s="305">
      <c r="A1303" s="8" t="n">
        <v>1487</v>
      </c>
      <c r="B1303" s="5" t="n">
        <v>96</v>
      </c>
      <c r="C1303" s="72" t="inlineStr">
        <is>
          <t>X</t>
        </is>
      </c>
      <c r="D1303" s="5" t="n">
        <v>307</v>
      </c>
      <c r="E1303" s="73">
        <f>B1303*D1303/10000</f>
        <v/>
      </c>
      <c r="F1303" s="74">
        <f>B1303/30.48</f>
        <v/>
      </c>
      <c r="G1303" s="74">
        <f>D1303/30.48</f>
        <v/>
      </c>
      <c r="H1303" s="615" t="n"/>
      <c r="I1303" s="49" t="inlineStr">
        <is>
          <t>OLD</t>
        </is>
      </c>
      <c r="J1303" s="48" t="inlineStr">
        <is>
          <t>TRS</t>
        </is>
      </c>
      <c r="K1303" s="51" t="inlineStr">
        <is>
          <t>PAC</t>
        </is>
      </c>
      <c r="L1303" s="105" t="inlineStr">
        <is>
          <t>VR</t>
        </is>
      </c>
      <c r="M1303" s="210" t="n"/>
      <c r="N1303" s="211" t="n"/>
      <c r="O1303" s="263" t="inlineStr">
        <is>
          <t>SBL</t>
        </is>
      </c>
      <c r="Q1303" s="271" t="inlineStr">
        <is>
          <t>RST</t>
        </is>
      </c>
      <c r="R1303" s="282" t="n"/>
    </row>
    <row r="1304" ht="18" customHeight="1" s="305">
      <c r="A1304" s="8" t="n">
        <v>1488</v>
      </c>
      <c r="B1304" s="5" t="n">
        <v>90</v>
      </c>
      <c r="C1304" s="72" t="inlineStr">
        <is>
          <t>X</t>
        </is>
      </c>
      <c r="D1304" s="5" t="n">
        <v>349</v>
      </c>
      <c r="E1304" s="73">
        <f>B1304*D1304/10000</f>
        <v/>
      </c>
      <c r="F1304" s="74">
        <f>B1304/30.48</f>
        <v/>
      </c>
      <c r="G1304" s="74">
        <f>D1304/30.48</f>
        <v/>
      </c>
      <c r="H1304" s="615" t="n"/>
      <c r="I1304" s="49" t="inlineStr">
        <is>
          <t>OLD</t>
        </is>
      </c>
      <c r="J1304" s="48" t="inlineStr">
        <is>
          <t>TRS</t>
        </is>
      </c>
      <c r="K1304" s="51" t="inlineStr">
        <is>
          <t>PAC</t>
        </is>
      </c>
      <c r="M1304" s="210" t="n"/>
      <c r="N1304" s="211" t="n"/>
      <c r="O1304" s="263" t="inlineStr">
        <is>
          <t>SBL</t>
        </is>
      </c>
      <c r="Q1304" s="271" t="inlineStr">
        <is>
          <t>RST</t>
        </is>
      </c>
      <c r="R1304" s="282" t="n"/>
    </row>
    <row r="1305" ht="18" customHeight="1" s="305">
      <c r="A1305" s="8" t="n">
        <v>1490</v>
      </c>
      <c r="B1305" s="5" t="n">
        <v>91</v>
      </c>
      <c r="C1305" s="72" t="inlineStr">
        <is>
          <t>X</t>
        </is>
      </c>
      <c r="D1305" s="5" t="n">
        <v>279</v>
      </c>
      <c r="E1305" s="73">
        <f>B1305*D1305/10000</f>
        <v/>
      </c>
      <c r="F1305" s="74">
        <f>B1305/30.48</f>
        <v/>
      </c>
      <c r="G1305" s="74">
        <f>D1305/30.48</f>
        <v/>
      </c>
      <c r="H1305" s="615" t="n"/>
      <c r="I1305" s="49" t="inlineStr">
        <is>
          <t>OLD</t>
        </is>
      </c>
      <c r="J1305" s="48" t="inlineStr">
        <is>
          <t>TRS</t>
        </is>
      </c>
      <c r="L1305" s="105" t="inlineStr">
        <is>
          <t>VR</t>
        </is>
      </c>
      <c r="M1305" s="210" t="n"/>
      <c r="N1305" s="211" t="n"/>
      <c r="O1305" s="263" t="inlineStr">
        <is>
          <t>SBL</t>
        </is>
      </c>
      <c r="Q1305" s="271" t="inlineStr">
        <is>
          <t>RST</t>
        </is>
      </c>
      <c r="R1305" s="282" t="n"/>
    </row>
    <row r="1306" ht="18" customHeight="1" s="305">
      <c r="A1306" s="8" t="n">
        <v>1492</v>
      </c>
      <c r="B1306" s="5" t="n">
        <v>201</v>
      </c>
      <c r="C1306" s="72" t="inlineStr">
        <is>
          <t>X</t>
        </is>
      </c>
      <c r="D1306" s="5" t="n">
        <v>335</v>
      </c>
      <c r="E1306" s="73">
        <f>B1306*D1306/10000</f>
        <v/>
      </c>
      <c r="F1306" s="74">
        <f>B1306/30.48</f>
        <v/>
      </c>
      <c r="G1306" s="74">
        <f>D1306/30.48</f>
        <v/>
      </c>
      <c r="H1306" s="615" t="n"/>
      <c r="I1306" s="49" t="inlineStr">
        <is>
          <t>OLD</t>
        </is>
      </c>
      <c r="J1306" s="48" t="inlineStr">
        <is>
          <t>TRS</t>
        </is>
      </c>
      <c r="L1306" s="105" t="inlineStr">
        <is>
          <t>VR</t>
        </is>
      </c>
      <c r="M1306" s="210" t="n"/>
      <c r="N1306" s="211" t="n"/>
      <c r="O1306" s="263" t="inlineStr">
        <is>
          <t>SBL</t>
        </is>
      </c>
      <c r="Q1306" s="271" t="n"/>
      <c r="R1306" s="282" t="n"/>
    </row>
    <row r="1307" ht="18" customHeight="1" s="305">
      <c r="A1307" s="8" t="n">
        <v>1493</v>
      </c>
      <c r="B1307" s="5" t="n">
        <v>117</v>
      </c>
      <c r="C1307" s="72" t="inlineStr">
        <is>
          <t>X</t>
        </is>
      </c>
      <c r="D1307" s="5" t="n">
        <v>220</v>
      </c>
      <c r="E1307" s="73">
        <f>B1307*D1307/10000</f>
        <v/>
      </c>
      <c r="F1307" s="74">
        <f>B1307/30.48</f>
        <v/>
      </c>
      <c r="G1307" s="74">
        <f>D1307/30.48</f>
        <v/>
      </c>
      <c r="H1307" s="615" t="n"/>
      <c r="I1307" s="49" t="inlineStr">
        <is>
          <t>OLD</t>
        </is>
      </c>
      <c r="J1307" s="48" t="inlineStr">
        <is>
          <t>TRS</t>
        </is>
      </c>
      <c r="K1307" s="51" t="inlineStr">
        <is>
          <t>PAC</t>
        </is>
      </c>
      <c r="L1307" s="105" t="inlineStr">
        <is>
          <t>VR</t>
        </is>
      </c>
      <c r="M1307" s="210" t="n"/>
      <c r="N1307" s="211" t="n"/>
      <c r="O1307" s="263" t="inlineStr">
        <is>
          <t>SBL</t>
        </is>
      </c>
      <c r="Q1307" s="271" t="inlineStr">
        <is>
          <t>RST</t>
        </is>
      </c>
      <c r="R1307" s="282" t="n"/>
    </row>
    <row r="1308" ht="18" customHeight="1" s="305">
      <c r="A1308" s="8" t="n">
        <v>1494</v>
      </c>
      <c r="B1308" s="5" t="n">
        <v>200</v>
      </c>
      <c r="C1308" s="72" t="inlineStr">
        <is>
          <t>X</t>
        </is>
      </c>
      <c r="D1308" s="5" t="n">
        <v>260</v>
      </c>
      <c r="E1308" s="73">
        <f>B1308*D1308/10000</f>
        <v/>
      </c>
      <c r="F1308" s="74">
        <f>B1308/30.48</f>
        <v/>
      </c>
      <c r="G1308" s="74">
        <f>D1308/30.48</f>
        <v/>
      </c>
      <c r="H1308" s="615" t="n"/>
      <c r="I1308" s="49" t="inlineStr">
        <is>
          <t>OLD</t>
        </is>
      </c>
      <c r="J1308" s="48" t="inlineStr">
        <is>
          <t>TRS</t>
        </is>
      </c>
      <c r="K1308" s="51" t="inlineStr">
        <is>
          <t>PAC</t>
        </is>
      </c>
      <c r="L1308" s="105" t="inlineStr">
        <is>
          <t>VR</t>
        </is>
      </c>
      <c r="M1308" s="210" t="n"/>
      <c r="N1308" s="211" t="n"/>
      <c r="O1308" s="263" t="inlineStr">
        <is>
          <t>SBL</t>
        </is>
      </c>
      <c r="Q1308" s="271" t="n"/>
      <c r="R1308" s="282" t="n"/>
    </row>
    <row r="1309" ht="18" customHeight="1" s="305">
      <c r="A1309" s="8" t="n">
        <v>1495</v>
      </c>
      <c r="B1309" s="5" t="n">
        <v>149</v>
      </c>
      <c r="C1309" s="72" t="inlineStr">
        <is>
          <t>X</t>
        </is>
      </c>
      <c r="D1309" s="5" t="n">
        <v>230</v>
      </c>
      <c r="E1309" s="73">
        <f>B1309*D1309/10000</f>
        <v/>
      </c>
      <c r="F1309" s="74">
        <f>B1309/30.48</f>
        <v/>
      </c>
      <c r="G1309" s="74">
        <f>D1309/30.48</f>
        <v/>
      </c>
      <c r="H1309" s="615" t="n"/>
      <c r="J1309" s="48" t="inlineStr">
        <is>
          <t>TRS</t>
        </is>
      </c>
      <c r="K1309" s="51" t="inlineStr">
        <is>
          <t>PAC</t>
        </is>
      </c>
      <c r="M1309" s="210" t="n"/>
      <c r="N1309" s="211" t="n"/>
      <c r="O1309" s="263" t="inlineStr">
        <is>
          <t>SBL</t>
        </is>
      </c>
      <c r="Q1309" s="271" t="inlineStr">
        <is>
          <t>RST</t>
        </is>
      </c>
      <c r="R1309" s="282" t="n"/>
    </row>
    <row r="1310" ht="18" customHeight="1" s="305">
      <c r="A1310" s="8" t="n">
        <v>1496</v>
      </c>
      <c r="B1310" s="5" t="n">
        <v>123</v>
      </c>
      <c r="C1310" s="72" t="inlineStr">
        <is>
          <t>X</t>
        </is>
      </c>
      <c r="D1310" s="5" t="n">
        <v>243</v>
      </c>
      <c r="E1310" s="73">
        <f>B1310*D1310/10000</f>
        <v/>
      </c>
      <c r="F1310" s="74">
        <f>B1310/30.48</f>
        <v/>
      </c>
      <c r="G1310" s="74">
        <f>D1310/30.48</f>
        <v/>
      </c>
      <c r="H1310" s="615" t="n"/>
      <c r="I1310" s="49" t="inlineStr">
        <is>
          <t>OLD</t>
        </is>
      </c>
      <c r="J1310" s="48" t="inlineStr">
        <is>
          <t>TRS</t>
        </is>
      </c>
      <c r="L1310" s="105" t="inlineStr">
        <is>
          <t>VR</t>
        </is>
      </c>
      <c r="M1310" s="210" t="n"/>
      <c r="N1310" s="211" t="n"/>
      <c r="O1310" s="263" t="inlineStr">
        <is>
          <t>SBL</t>
        </is>
      </c>
      <c r="Q1310" s="271" t="inlineStr">
        <is>
          <t>RST</t>
        </is>
      </c>
      <c r="R1310" s="282" t="n"/>
    </row>
    <row r="1311" ht="18" customHeight="1" s="305">
      <c r="A1311" s="8" t="n">
        <v>1497</v>
      </c>
      <c r="B1311" s="5" t="n">
        <v>128</v>
      </c>
      <c r="C1311" s="72" t="inlineStr">
        <is>
          <t>X</t>
        </is>
      </c>
      <c r="D1311" s="5" t="n">
        <v>206</v>
      </c>
      <c r="E1311" s="73">
        <f>B1311*D1311/10000</f>
        <v/>
      </c>
      <c r="F1311" s="74">
        <f>B1311/30.48</f>
        <v/>
      </c>
      <c r="G1311" s="74">
        <f>D1311/30.48</f>
        <v/>
      </c>
      <c r="H1311" s="615" t="n"/>
      <c r="I1311" s="49" t="inlineStr">
        <is>
          <t>OLD</t>
        </is>
      </c>
      <c r="J1311" s="48" t="inlineStr">
        <is>
          <t>TRS</t>
        </is>
      </c>
      <c r="K1311" s="51" t="inlineStr">
        <is>
          <t>PAC</t>
        </is>
      </c>
      <c r="L1311" s="105" t="inlineStr">
        <is>
          <t>VR</t>
        </is>
      </c>
      <c r="M1311" s="210" t="n"/>
      <c r="N1311" s="211" t="n"/>
      <c r="O1311" s="263" t="inlineStr">
        <is>
          <t>SBL</t>
        </is>
      </c>
      <c r="Q1311" s="271" t="inlineStr">
        <is>
          <t>RST</t>
        </is>
      </c>
      <c r="R1311" s="282" t="n"/>
    </row>
    <row r="1312" ht="18" customHeight="1" s="305">
      <c r="A1312" s="8" t="n">
        <v>1498</v>
      </c>
      <c r="B1312" s="5" t="n">
        <v>200</v>
      </c>
      <c r="C1312" s="72" t="inlineStr">
        <is>
          <t>X</t>
        </is>
      </c>
      <c r="D1312" s="5" t="n">
        <v>300</v>
      </c>
      <c r="E1312" s="73">
        <f>B1312*D1312/10000</f>
        <v/>
      </c>
      <c r="F1312" s="74">
        <f>B1312/30.48</f>
        <v/>
      </c>
      <c r="G1312" s="74">
        <f>D1312/30.48</f>
        <v/>
      </c>
      <c r="H1312" s="615" t="n"/>
      <c r="I1312" s="49" t="inlineStr">
        <is>
          <t>OLD</t>
        </is>
      </c>
      <c r="J1312" s="48" t="inlineStr">
        <is>
          <t>TRS</t>
        </is>
      </c>
      <c r="K1312" s="51" t="inlineStr">
        <is>
          <t>PAC</t>
        </is>
      </c>
      <c r="L1312" s="105" t="inlineStr">
        <is>
          <t>VR</t>
        </is>
      </c>
      <c r="M1312" s="210" t="n"/>
      <c r="N1312" s="211" t="n"/>
      <c r="O1312" s="263" t="inlineStr">
        <is>
          <t>SBL</t>
        </is>
      </c>
      <c r="Q1312" s="271" t="n"/>
      <c r="R1312" s="282" t="n"/>
    </row>
    <row r="1313" ht="18" customHeight="1" s="305">
      <c r="A1313" s="8" t="n">
        <v>1499</v>
      </c>
      <c r="B1313" s="5" t="n">
        <v>214</v>
      </c>
      <c r="C1313" s="72" t="inlineStr">
        <is>
          <t>X</t>
        </is>
      </c>
      <c r="D1313" s="5" t="n">
        <v>316</v>
      </c>
      <c r="E1313" s="73">
        <f>B1313*D1313/10000</f>
        <v/>
      </c>
      <c r="F1313" s="74">
        <f>B1313/30.48</f>
        <v/>
      </c>
      <c r="G1313" s="74">
        <f>D1313/30.48</f>
        <v/>
      </c>
      <c r="H1313" s="615" t="n"/>
      <c r="I1313" s="49" t="inlineStr">
        <is>
          <t>OLD</t>
        </is>
      </c>
      <c r="J1313" s="48" t="inlineStr">
        <is>
          <t>TRS</t>
        </is>
      </c>
      <c r="L1313" s="105" t="inlineStr">
        <is>
          <t>VR</t>
        </is>
      </c>
      <c r="M1313" s="210" t="n"/>
      <c r="N1313" s="211" t="n"/>
      <c r="O1313" s="263" t="inlineStr">
        <is>
          <t>SBL</t>
        </is>
      </c>
      <c r="Q1313" s="271" t="n"/>
      <c r="R1313" s="282" t="n"/>
    </row>
    <row r="1314" ht="18" customHeight="1" s="305">
      <c r="A1314" s="8" t="n">
        <v>1500</v>
      </c>
      <c r="B1314" s="5" t="n">
        <v>111</v>
      </c>
      <c r="C1314" s="72" t="inlineStr">
        <is>
          <t>X</t>
        </is>
      </c>
      <c r="D1314" s="5" t="n">
        <v>207</v>
      </c>
      <c r="E1314" s="73">
        <f>B1314*D1314/10000</f>
        <v/>
      </c>
      <c r="F1314" s="74">
        <f>B1314/30.48</f>
        <v/>
      </c>
      <c r="G1314" s="74">
        <f>D1314/30.48</f>
        <v/>
      </c>
      <c r="H1314" s="615" t="n"/>
      <c r="I1314" s="49" t="inlineStr">
        <is>
          <t>OLD</t>
        </is>
      </c>
      <c r="J1314" s="48" t="inlineStr">
        <is>
          <t>TRS</t>
        </is>
      </c>
      <c r="K1314" s="51" t="inlineStr">
        <is>
          <t>PAC</t>
        </is>
      </c>
      <c r="L1314" s="105" t="inlineStr">
        <is>
          <t>VR</t>
        </is>
      </c>
      <c r="M1314" s="210" t="n"/>
      <c r="N1314" s="211" t="n"/>
      <c r="O1314" s="263" t="inlineStr">
        <is>
          <t>SBL</t>
        </is>
      </c>
      <c r="Q1314" s="271" t="inlineStr">
        <is>
          <t>RST</t>
        </is>
      </c>
      <c r="R1314" s="282" t="n"/>
    </row>
    <row r="1315" ht="18" customHeight="1" s="305">
      <c r="A1315" s="8" t="n">
        <v>1502</v>
      </c>
      <c r="B1315" s="5" t="n">
        <v>182</v>
      </c>
      <c r="C1315" s="72" t="inlineStr">
        <is>
          <t>X</t>
        </is>
      </c>
      <c r="D1315" s="5" t="n">
        <v>300</v>
      </c>
      <c r="E1315" s="73">
        <f>B1315*D1315/10000</f>
        <v/>
      </c>
      <c r="F1315" s="74">
        <f>B1315/30.48</f>
        <v/>
      </c>
      <c r="G1315" s="74">
        <f>D1315/30.48</f>
        <v/>
      </c>
      <c r="H1315" s="615" t="n"/>
      <c r="I1315" s="49" t="inlineStr">
        <is>
          <t>OLD</t>
        </is>
      </c>
      <c r="J1315" s="48" t="inlineStr">
        <is>
          <t>TRS</t>
        </is>
      </c>
      <c r="L1315" s="105" t="inlineStr">
        <is>
          <t>VR</t>
        </is>
      </c>
      <c r="M1315" s="210" t="n"/>
      <c r="N1315" s="211" t="n"/>
      <c r="O1315" s="263" t="inlineStr">
        <is>
          <t>SBL</t>
        </is>
      </c>
      <c r="Q1315" s="271" t="inlineStr">
        <is>
          <t>RST</t>
        </is>
      </c>
      <c r="R1315" s="282" t="n"/>
    </row>
    <row r="1316" ht="18" customHeight="1" s="305">
      <c r="A1316" s="8" t="n">
        <v>1504</v>
      </c>
      <c r="B1316" s="5" t="n">
        <v>174</v>
      </c>
      <c r="C1316" s="72" t="inlineStr">
        <is>
          <t>X</t>
        </is>
      </c>
      <c r="D1316" s="5" t="n">
        <v>240</v>
      </c>
      <c r="E1316" s="73">
        <f>B1316*D1316/10000</f>
        <v/>
      </c>
      <c r="F1316" s="74">
        <f>B1316/30.48</f>
        <v/>
      </c>
      <c r="G1316" s="74">
        <f>D1316/30.48</f>
        <v/>
      </c>
      <c r="H1316" s="615" t="n"/>
      <c r="I1316" s="49" t="inlineStr">
        <is>
          <t>OLD</t>
        </is>
      </c>
      <c r="J1316" s="48" t="inlineStr">
        <is>
          <t>TRS</t>
        </is>
      </c>
      <c r="K1316" s="51" t="inlineStr">
        <is>
          <t>PAC</t>
        </is>
      </c>
      <c r="M1316" s="210" t="n"/>
      <c r="N1316" s="211" t="n"/>
      <c r="O1316" s="263" t="inlineStr">
        <is>
          <t>SBL</t>
        </is>
      </c>
      <c r="Q1316" s="271" t="inlineStr">
        <is>
          <t>RST</t>
        </is>
      </c>
      <c r="R1316" s="282" t="n"/>
    </row>
    <row r="1317" ht="18" customHeight="1" s="305">
      <c r="A1317" s="8" t="n">
        <v>1507</v>
      </c>
      <c r="B1317" s="5" t="n">
        <v>108</v>
      </c>
      <c r="C1317" s="72" t="inlineStr">
        <is>
          <t>X</t>
        </is>
      </c>
      <c r="D1317" s="5" t="n">
        <v>397</v>
      </c>
      <c r="E1317" s="73">
        <f>B1317*D1317/10000</f>
        <v/>
      </c>
      <c r="F1317" s="74">
        <f>B1317/30.48</f>
        <v/>
      </c>
      <c r="G1317" s="74">
        <f>D1317/30.48</f>
        <v/>
      </c>
      <c r="H1317" s="615" t="n"/>
      <c r="I1317" s="49" t="inlineStr">
        <is>
          <t>OLD</t>
        </is>
      </c>
      <c r="J1317" s="48" t="inlineStr">
        <is>
          <t>TRS</t>
        </is>
      </c>
      <c r="K1317" s="51" t="inlineStr">
        <is>
          <t>PAC</t>
        </is>
      </c>
      <c r="L1317" s="105" t="inlineStr">
        <is>
          <t>VR</t>
        </is>
      </c>
      <c r="M1317" s="210" t="n"/>
      <c r="N1317" s="211" t="n"/>
      <c r="O1317" s="263" t="inlineStr">
        <is>
          <t>SBL</t>
        </is>
      </c>
      <c r="Q1317" s="271" t="inlineStr">
        <is>
          <t>RST</t>
        </is>
      </c>
      <c r="R1317" s="282" t="n"/>
    </row>
    <row r="1318" ht="18" customHeight="1" s="305">
      <c r="A1318" s="8" t="n">
        <v>1508</v>
      </c>
      <c r="B1318" s="5" t="n">
        <v>116</v>
      </c>
      <c r="C1318" s="72" t="inlineStr">
        <is>
          <t>X</t>
        </is>
      </c>
      <c r="D1318" s="5" t="n">
        <v>324</v>
      </c>
      <c r="E1318" s="73">
        <f>B1318*D1318/10000</f>
        <v/>
      </c>
      <c r="F1318" s="74">
        <f>B1318/30.48</f>
        <v/>
      </c>
      <c r="G1318" s="74">
        <f>D1318/30.48</f>
        <v/>
      </c>
      <c r="H1318" s="615" t="n"/>
      <c r="I1318" s="49" t="inlineStr">
        <is>
          <t>OLD</t>
        </is>
      </c>
      <c r="J1318" s="48" t="inlineStr">
        <is>
          <t>TRS</t>
        </is>
      </c>
      <c r="L1318" s="105" t="inlineStr">
        <is>
          <t>VR</t>
        </is>
      </c>
      <c r="M1318" s="210" t="n"/>
      <c r="N1318" s="211" t="n"/>
      <c r="O1318" s="263" t="inlineStr">
        <is>
          <t>SBL</t>
        </is>
      </c>
      <c r="Q1318" s="271" t="inlineStr">
        <is>
          <t>RST</t>
        </is>
      </c>
      <c r="R1318" s="282" t="n"/>
    </row>
    <row r="1319" ht="18" customHeight="1" s="305">
      <c r="A1319" s="8" t="n">
        <v>1510</v>
      </c>
      <c r="B1319" s="5" t="n">
        <v>118</v>
      </c>
      <c r="C1319" s="72" t="inlineStr">
        <is>
          <t>X</t>
        </is>
      </c>
      <c r="D1319" s="5" t="n">
        <v>213</v>
      </c>
      <c r="E1319" s="73">
        <f>B1319*D1319/10000</f>
        <v/>
      </c>
      <c r="F1319" s="74">
        <f>B1319/30.48</f>
        <v/>
      </c>
      <c r="G1319" s="74">
        <f>D1319/30.48</f>
        <v/>
      </c>
      <c r="H1319" s="615" t="n"/>
      <c r="I1319" s="49" t="inlineStr">
        <is>
          <t>OLD</t>
        </is>
      </c>
      <c r="J1319" s="48" t="inlineStr">
        <is>
          <t>TRS</t>
        </is>
      </c>
      <c r="L1319" s="105" t="inlineStr">
        <is>
          <t>VR</t>
        </is>
      </c>
      <c r="M1319" s="210" t="n"/>
      <c r="N1319" s="211" t="n"/>
      <c r="O1319" s="263" t="inlineStr">
        <is>
          <t>SBL</t>
        </is>
      </c>
      <c r="Q1319" s="271" t="inlineStr">
        <is>
          <t>RST</t>
        </is>
      </c>
      <c r="R1319" s="282" t="n"/>
    </row>
    <row r="1320" ht="18" customHeight="1" s="305">
      <c r="A1320" s="8" t="n">
        <v>1511</v>
      </c>
      <c r="B1320" s="5" t="n">
        <v>91</v>
      </c>
      <c r="C1320" s="72" t="inlineStr">
        <is>
          <t>X</t>
        </is>
      </c>
      <c r="D1320" s="5" t="n">
        <v>387</v>
      </c>
      <c r="E1320" s="73">
        <f>B1320*D1320/10000</f>
        <v/>
      </c>
      <c r="F1320" s="74">
        <f>B1320/30.48</f>
        <v/>
      </c>
      <c r="G1320" s="74">
        <f>D1320/30.48</f>
        <v/>
      </c>
      <c r="H1320" s="615" t="n"/>
      <c r="I1320" s="49" t="inlineStr">
        <is>
          <t>OLD</t>
        </is>
      </c>
      <c r="J1320" s="48" t="inlineStr">
        <is>
          <t>TRS</t>
        </is>
      </c>
      <c r="L1320" s="105" t="inlineStr">
        <is>
          <t>VR</t>
        </is>
      </c>
      <c r="M1320" s="210" t="n"/>
      <c r="N1320" s="211" t="n"/>
      <c r="O1320" s="263" t="inlineStr">
        <is>
          <t>SBL</t>
        </is>
      </c>
      <c r="Q1320" s="271" t="inlineStr">
        <is>
          <t>RST</t>
        </is>
      </c>
      <c r="R1320" s="282" t="n"/>
    </row>
    <row r="1321" ht="18" customHeight="1" s="305">
      <c r="A1321" s="8" t="n">
        <v>1708</v>
      </c>
      <c r="B1321" s="5" t="n">
        <v>291</v>
      </c>
      <c r="C1321" s="72" t="inlineStr">
        <is>
          <t>X</t>
        </is>
      </c>
      <c r="D1321" s="5" t="n">
        <v>373</v>
      </c>
      <c r="E1321" s="73">
        <f>B1321*D1321/10000</f>
        <v/>
      </c>
      <c r="F1321" s="74">
        <f>B1321/30.48</f>
        <v/>
      </c>
      <c r="G1321" s="74">
        <f>D1321/30.48</f>
        <v/>
      </c>
      <c r="H1321" s="615" t="n"/>
      <c r="J1321" s="48" t="inlineStr">
        <is>
          <t>TRS</t>
        </is>
      </c>
      <c r="K1321" s="51" t="inlineStr">
        <is>
          <t>PAC</t>
        </is>
      </c>
      <c r="M1321" s="210" t="n"/>
      <c r="N1321" s="211" t="n"/>
      <c r="O1321" s="263" t="n"/>
      <c r="Q1321" s="271" t="n"/>
      <c r="R1321" s="282" t="n"/>
    </row>
    <row r="1322" ht="18" customHeight="1" s="305">
      <c r="A1322" s="8" t="n">
        <v>1718</v>
      </c>
      <c r="B1322" s="5" t="n">
        <v>282</v>
      </c>
      <c r="C1322" s="72" t="inlineStr">
        <is>
          <t>X</t>
        </is>
      </c>
      <c r="D1322" s="5" t="n">
        <v>320</v>
      </c>
      <c r="E1322" s="73">
        <f>B1322*D1322/10000</f>
        <v/>
      </c>
      <c r="F1322" s="74">
        <f>B1322/30.48</f>
        <v/>
      </c>
      <c r="G1322" s="74">
        <f>D1322/30.48</f>
        <v/>
      </c>
      <c r="H1322" s="615" t="n"/>
      <c r="J1322" s="48" t="inlineStr">
        <is>
          <t>TRS</t>
        </is>
      </c>
      <c r="K1322" s="51" t="inlineStr">
        <is>
          <t>PAC</t>
        </is>
      </c>
      <c r="M1322" s="210" t="n"/>
      <c r="N1322" s="211" t="n"/>
      <c r="O1322" s="263" t="n"/>
      <c r="Q1322" s="271" t="n"/>
      <c r="R1322" s="282" t="n"/>
    </row>
    <row r="1323" ht="18" customHeight="1" s="305">
      <c r="A1323" s="8" t="n">
        <v>1381</v>
      </c>
      <c r="B1323" s="5" t="n">
        <v>108</v>
      </c>
      <c r="C1323" s="72" t="inlineStr">
        <is>
          <t>X</t>
        </is>
      </c>
      <c r="D1323" s="5" t="n">
        <v>210</v>
      </c>
      <c r="E1323" s="73">
        <f>B1323*D1323/10000</f>
        <v/>
      </c>
      <c r="F1323" s="74">
        <f>B1323/30.48</f>
        <v/>
      </c>
      <c r="G1323" s="74">
        <f>D1323/30.48</f>
        <v/>
      </c>
      <c r="H1323" s="615" t="n"/>
      <c r="I1323" s="49" t="inlineStr">
        <is>
          <t>OLD</t>
        </is>
      </c>
      <c r="J1323" s="48" t="inlineStr">
        <is>
          <t>TRS</t>
        </is>
      </c>
      <c r="K1323" s="51" t="inlineStr">
        <is>
          <t>PAC</t>
        </is>
      </c>
      <c r="L1323" s="105" t="inlineStr">
        <is>
          <t>VR</t>
        </is>
      </c>
      <c r="M1323" s="210" t="n"/>
      <c r="N1323" s="211" t="n"/>
      <c r="O1323" s="263" t="inlineStr">
        <is>
          <t>SBL</t>
        </is>
      </c>
      <c r="Q1323" s="271" t="inlineStr">
        <is>
          <t>RST</t>
        </is>
      </c>
      <c r="R1323" s="282" t="n"/>
    </row>
    <row r="1324" ht="18" customHeight="1" s="305">
      <c r="A1324" s="8" t="n">
        <v>1385</v>
      </c>
      <c r="B1324" s="5" t="n">
        <v>197</v>
      </c>
      <c r="C1324" s="72" t="inlineStr">
        <is>
          <t>X</t>
        </is>
      </c>
      <c r="D1324" s="5" t="n">
        <v>306</v>
      </c>
      <c r="E1324" s="73">
        <f>B1324*D1324/10000</f>
        <v/>
      </c>
      <c r="F1324" s="74">
        <f>B1324/30.48</f>
        <v/>
      </c>
      <c r="G1324" s="74">
        <f>D1324/30.48</f>
        <v/>
      </c>
      <c r="H1324" s="615" t="n"/>
      <c r="I1324" s="49" t="inlineStr">
        <is>
          <t>OLD</t>
        </is>
      </c>
      <c r="J1324" s="48" t="inlineStr">
        <is>
          <t>TRS</t>
        </is>
      </c>
      <c r="K1324" s="51" t="inlineStr">
        <is>
          <t>PAC</t>
        </is>
      </c>
      <c r="M1324" s="210" t="n"/>
      <c r="N1324" s="211" t="n"/>
      <c r="O1324" s="263" t="inlineStr">
        <is>
          <t>SBL</t>
        </is>
      </c>
      <c r="Q1324" s="271" t="inlineStr">
        <is>
          <t>RST</t>
        </is>
      </c>
      <c r="R1324" s="282" t="n"/>
    </row>
    <row r="1325" ht="18" customHeight="1" s="305">
      <c r="A1325" s="8" t="n">
        <v>1389</v>
      </c>
      <c r="B1325" s="5" t="n">
        <v>90</v>
      </c>
      <c r="C1325" s="72" t="inlineStr">
        <is>
          <t>X</t>
        </is>
      </c>
      <c r="D1325" s="5" t="n">
        <v>354</v>
      </c>
      <c r="E1325" s="73">
        <f>B1325*D1325/10000</f>
        <v/>
      </c>
      <c r="F1325" s="74">
        <f>B1325/30.48</f>
        <v/>
      </c>
      <c r="G1325" s="74">
        <f>D1325/30.48</f>
        <v/>
      </c>
      <c r="H1325" s="615" t="n"/>
      <c r="I1325" s="49" t="inlineStr">
        <is>
          <t>OLD</t>
        </is>
      </c>
      <c r="J1325" s="48" t="inlineStr">
        <is>
          <t>TRS</t>
        </is>
      </c>
      <c r="K1325" s="51" t="inlineStr">
        <is>
          <t>PAC</t>
        </is>
      </c>
      <c r="L1325" s="105" t="inlineStr">
        <is>
          <t>VR</t>
        </is>
      </c>
      <c r="M1325" s="210" t="n"/>
      <c r="N1325" s="211" t="n"/>
      <c r="O1325" s="263" t="inlineStr">
        <is>
          <t>SBL</t>
        </is>
      </c>
      <c r="Q1325" s="271" t="inlineStr">
        <is>
          <t>RST</t>
        </is>
      </c>
      <c r="R1325" s="282" t="n"/>
    </row>
    <row r="1326" ht="18" customHeight="1" s="305">
      <c r="A1326" s="8" t="n">
        <v>1390</v>
      </c>
      <c r="B1326" s="5" t="n">
        <v>88</v>
      </c>
      <c r="C1326" s="72" t="inlineStr">
        <is>
          <t>X</t>
        </is>
      </c>
      <c r="D1326" s="5" t="n">
        <v>355</v>
      </c>
      <c r="E1326" s="73">
        <f>B1326*D1326/10000</f>
        <v/>
      </c>
      <c r="F1326" s="74">
        <f>B1326/30.48</f>
        <v/>
      </c>
      <c r="G1326" s="74">
        <f>D1326/30.48</f>
        <v/>
      </c>
      <c r="H1326" s="615" t="n"/>
      <c r="I1326" s="49" t="inlineStr">
        <is>
          <t>OLD</t>
        </is>
      </c>
      <c r="J1326" s="48" t="inlineStr">
        <is>
          <t>TRS</t>
        </is>
      </c>
      <c r="K1326" s="51" t="inlineStr">
        <is>
          <t>PAC</t>
        </is>
      </c>
      <c r="L1326" s="105" t="inlineStr">
        <is>
          <t>VR</t>
        </is>
      </c>
      <c r="M1326" s="210" t="n"/>
      <c r="N1326" s="211" t="n"/>
      <c r="O1326" s="263" t="inlineStr">
        <is>
          <t>SBL</t>
        </is>
      </c>
      <c r="Q1326" s="271" t="inlineStr">
        <is>
          <t>RST</t>
        </is>
      </c>
      <c r="R1326" s="282" t="n"/>
    </row>
    <row r="1327" ht="18" customHeight="1" s="305">
      <c r="A1327" s="8" t="n">
        <v>1391</v>
      </c>
      <c r="B1327" s="5" t="n">
        <v>85</v>
      </c>
      <c r="C1327" s="72" t="inlineStr">
        <is>
          <t>X</t>
        </is>
      </c>
      <c r="D1327" s="5" t="n">
        <v>301</v>
      </c>
      <c r="E1327" s="73">
        <f>B1327*D1327/10000</f>
        <v/>
      </c>
      <c r="F1327" s="74">
        <f>B1327/30.48</f>
        <v/>
      </c>
      <c r="G1327" s="74">
        <f>D1327/30.48</f>
        <v/>
      </c>
      <c r="H1327" s="615" t="n"/>
      <c r="I1327" s="49" t="inlineStr">
        <is>
          <t>OLD</t>
        </is>
      </c>
      <c r="J1327" s="48" t="inlineStr">
        <is>
          <t>TRS</t>
        </is>
      </c>
      <c r="K1327" s="51" t="inlineStr">
        <is>
          <t>PAC</t>
        </is>
      </c>
      <c r="L1327" s="105" t="inlineStr">
        <is>
          <t>VR</t>
        </is>
      </c>
      <c r="M1327" s="210" t="n"/>
      <c r="N1327" s="211" t="n"/>
      <c r="O1327" s="263" t="inlineStr">
        <is>
          <t>SBL</t>
        </is>
      </c>
      <c r="Q1327" s="271" t="inlineStr">
        <is>
          <t>RST</t>
        </is>
      </c>
      <c r="R1327" s="282" t="n"/>
    </row>
    <row r="1328" ht="18" customHeight="1" s="305">
      <c r="A1328" s="8" t="n">
        <v>1393</v>
      </c>
      <c r="B1328" s="5" t="n">
        <v>146</v>
      </c>
      <c r="C1328" s="72" t="inlineStr">
        <is>
          <t>X</t>
        </is>
      </c>
      <c r="D1328" s="5" t="n">
        <v>255</v>
      </c>
      <c r="E1328" s="73">
        <f>B1328*D1328/10000</f>
        <v/>
      </c>
      <c r="F1328" s="74">
        <f>B1328/30.48</f>
        <v/>
      </c>
      <c r="G1328" s="74">
        <f>D1328/30.48</f>
        <v/>
      </c>
      <c r="H1328" s="615" t="n"/>
      <c r="I1328" s="49" t="inlineStr">
        <is>
          <t>OLD</t>
        </is>
      </c>
      <c r="J1328" s="48" t="inlineStr">
        <is>
          <t>TRS</t>
        </is>
      </c>
      <c r="K1328" s="51" t="inlineStr">
        <is>
          <t>PAC</t>
        </is>
      </c>
      <c r="L1328" s="105" t="inlineStr">
        <is>
          <t>VR</t>
        </is>
      </c>
      <c r="M1328" s="210" t="n"/>
      <c r="N1328" s="211" t="n"/>
      <c r="O1328" s="263" t="inlineStr">
        <is>
          <t>SBL</t>
        </is>
      </c>
      <c r="Q1328" s="271" t="inlineStr">
        <is>
          <t>RST</t>
        </is>
      </c>
      <c r="R1328" s="282" t="n"/>
    </row>
    <row r="1329" ht="18" customHeight="1" s="305">
      <c r="A1329" s="8" t="n">
        <v>1397</v>
      </c>
      <c r="B1329" s="5" t="n">
        <v>199</v>
      </c>
      <c r="C1329" s="72" t="inlineStr">
        <is>
          <t>X</t>
        </is>
      </c>
      <c r="D1329" s="5" t="n">
        <v>305</v>
      </c>
      <c r="E1329" s="73">
        <f>B1329*D1329/10000</f>
        <v/>
      </c>
      <c r="F1329" s="74">
        <f>B1329/30.48</f>
        <v/>
      </c>
      <c r="G1329" s="74">
        <f>D1329/30.48</f>
        <v/>
      </c>
      <c r="H1329" s="615" t="n"/>
      <c r="I1329" s="49" t="inlineStr">
        <is>
          <t>OLD</t>
        </is>
      </c>
      <c r="J1329" s="48" t="inlineStr">
        <is>
          <t>TRS</t>
        </is>
      </c>
      <c r="K1329" s="51" t="inlineStr">
        <is>
          <t>PAC</t>
        </is>
      </c>
      <c r="L1329" s="105" t="inlineStr">
        <is>
          <t>VR</t>
        </is>
      </c>
      <c r="M1329" s="210" t="n"/>
      <c r="N1329" s="211" t="n"/>
      <c r="O1329" s="263" t="inlineStr">
        <is>
          <t>SBL</t>
        </is>
      </c>
      <c r="Q1329" s="271" t="inlineStr">
        <is>
          <t>RST</t>
        </is>
      </c>
      <c r="R1329" s="282" t="n"/>
    </row>
    <row r="1330" ht="18" customHeight="1" s="305">
      <c r="A1330" s="8" t="n">
        <v>1398</v>
      </c>
      <c r="B1330" s="5" t="n">
        <v>181</v>
      </c>
      <c r="C1330" s="72" t="inlineStr">
        <is>
          <t>X</t>
        </is>
      </c>
      <c r="D1330" s="5" t="n">
        <v>298</v>
      </c>
      <c r="E1330" s="73">
        <f>B1330*D1330/10000</f>
        <v/>
      </c>
      <c r="F1330" s="74">
        <f>B1330/30.48</f>
        <v/>
      </c>
      <c r="G1330" s="74">
        <f>D1330/30.48</f>
        <v/>
      </c>
      <c r="H1330" s="615" t="n"/>
      <c r="J1330" s="48" t="inlineStr">
        <is>
          <t>TRS</t>
        </is>
      </c>
      <c r="K1330" s="51" t="inlineStr">
        <is>
          <t>PAC</t>
        </is>
      </c>
      <c r="M1330" s="210" t="n"/>
      <c r="N1330" s="211" t="n"/>
      <c r="O1330" s="263" t="inlineStr">
        <is>
          <t>SBL</t>
        </is>
      </c>
      <c r="Q1330" s="271" t="inlineStr">
        <is>
          <t>RST</t>
        </is>
      </c>
      <c r="R1330" s="282" t="n"/>
    </row>
    <row r="1331" ht="18" customHeight="1" s="305">
      <c r="A1331" s="8" t="n">
        <v>1401</v>
      </c>
      <c r="B1331" s="5" t="n">
        <v>95</v>
      </c>
      <c r="C1331" s="72" t="inlineStr">
        <is>
          <t>X</t>
        </is>
      </c>
      <c r="D1331" s="5" t="n">
        <v>207</v>
      </c>
      <c r="E1331" s="73">
        <f>B1331*D1331/10000</f>
        <v/>
      </c>
      <c r="F1331" s="74">
        <f>B1331/30.48</f>
        <v/>
      </c>
      <c r="G1331" s="74">
        <f>D1331/30.48</f>
        <v/>
      </c>
      <c r="H1331" s="615" t="n"/>
      <c r="I1331" s="49" t="inlineStr">
        <is>
          <t>OLD</t>
        </is>
      </c>
      <c r="J1331" s="48" t="inlineStr">
        <is>
          <t>TRS</t>
        </is>
      </c>
      <c r="K1331" s="51" t="inlineStr">
        <is>
          <t>PAC</t>
        </is>
      </c>
      <c r="L1331" s="105" t="inlineStr">
        <is>
          <t>VR</t>
        </is>
      </c>
      <c r="M1331" s="210" t="n"/>
      <c r="N1331" s="211" t="n"/>
      <c r="O1331" s="263" t="inlineStr">
        <is>
          <t>SBL</t>
        </is>
      </c>
      <c r="Q1331" s="271" t="inlineStr">
        <is>
          <t>RST</t>
        </is>
      </c>
      <c r="R1331" s="282" t="n"/>
    </row>
    <row r="1332" ht="18" customHeight="1" s="305">
      <c r="A1332" s="8" t="n">
        <v>1403</v>
      </c>
      <c r="B1332" s="5" t="n">
        <v>97</v>
      </c>
      <c r="C1332" s="72" t="inlineStr">
        <is>
          <t>X</t>
        </is>
      </c>
      <c r="D1332" s="5" t="n">
        <v>332</v>
      </c>
      <c r="E1332" s="73">
        <f>B1332*D1332/10000</f>
        <v/>
      </c>
      <c r="F1332" s="74">
        <f>B1332/30.48</f>
        <v/>
      </c>
      <c r="G1332" s="74">
        <f>D1332/30.48</f>
        <v/>
      </c>
      <c r="H1332" s="615" t="n"/>
      <c r="I1332" s="49" t="inlineStr">
        <is>
          <t>OLD</t>
        </is>
      </c>
      <c r="J1332" s="48" t="inlineStr">
        <is>
          <t>TRS</t>
        </is>
      </c>
      <c r="L1332" s="105" t="inlineStr">
        <is>
          <t>VR</t>
        </is>
      </c>
      <c r="M1332" s="210" t="n"/>
      <c r="N1332" s="211" t="n"/>
      <c r="O1332" s="263" t="inlineStr">
        <is>
          <t>SBL</t>
        </is>
      </c>
      <c r="Q1332" s="271" t="inlineStr">
        <is>
          <t>RST</t>
        </is>
      </c>
      <c r="R1332" s="282" t="n"/>
    </row>
    <row r="1333" ht="18" customHeight="1" s="305">
      <c r="A1333" s="8" t="n">
        <v>1404</v>
      </c>
      <c r="B1333" s="5" t="n">
        <v>92</v>
      </c>
      <c r="C1333" s="72" t="inlineStr">
        <is>
          <t>X</t>
        </is>
      </c>
      <c r="D1333" s="5" t="n">
        <v>401</v>
      </c>
      <c r="E1333" s="73">
        <f>B1333*D1333/10000</f>
        <v/>
      </c>
      <c r="F1333" s="74">
        <f>B1333/30.48</f>
        <v/>
      </c>
      <c r="G1333" s="74">
        <f>D1333/30.48</f>
        <v/>
      </c>
      <c r="H1333" s="615" t="n"/>
      <c r="I1333" s="49" t="inlineStr">
        <is>
          <t>OLD</t>
        </is>
      </c>
      <c r="J1333" s="48" t="inlineStr">
        <is>
          <t>TRS</t>
        </is>
      </c>
      <c r="K1333" s="51" t="inlineStr">
        <is>
          <t>PAC</t>
        </is>
      </c>
      <c r="L1333" s="105" t="inlineStr">
        <is>
          <t>VR</t>
        </is>
      </c>
      <c r="M1333" s="210" t="n"/>
      <c r="N1333" s="211" t="n"/>
      <c r="O1333" s="263" t="inlineStr">
        <is>
          <t>SBL</t>
        </is>
      </c>
      <c r="Q1333" s="271" t="inlineStr">
        <is>
          <t>RST</t>
        </is>
      </c>
      <c r="R1333" s="282" t="n"/>
    </row>
    <row r="1334" ht="18" customHeight="1" s="305">
      <c r="A1334" s="8" t="n">
        <v>1406</v>
      </c>
      <c r="B1334" s="5" t="n">
        <v>190</v>
      </c>
      <c r="C1334" s="72" t="inlineStr">
        <is>
          <t>X</t>
        </is>
      </c>
      <c r="D1334" s="5" t="n">
        <v>288</v>
      </c>
      <c r="E1334" s="73">
        <f>B1334*D1334/10000</f>
        <v/>
      </c>
      <c r="F1334" s="74">
        <f>B1334/30.48</f>
        <v/>
      </c>
      <c r="G1334" s="74">
        <f>D1334/30.48</f>
        <v/>
      </c>
      <c r="H1334" s="615" t="n"/>
      <c r="I1334" s="49" t="inlineStr">
        <is>
          <t>OLD</t>
        </is>
      </c>
      <c r="J1334" s="48" t="inlineStr">
        <is>
          <t>TRS</t>
        </is>
      </c>
      <c r="K1334" s="51" t="inlineStr">
        <is>
          <t>PAC</t>
        </is>
      </c>
      <c r="M1334" s="210" t="n"/>
      <c r="N1334" s="211" t="n"/>
      <c r="O1334" s="263" t="inlineStr">
        <is>
          <t>SBL</t>
        </is>
      </c>
      <c r="Q1334" s="271" t="inlineStr">
        <is>
          <t>RST</t>
        </is>
      </c>
      <c r="R1334" s="282" t="n"/>
    </row>
    <row r="1335" ht="18" customHeight="1" s="305">
      <c r="A1335" s="8" t="n">
        <v>1532</v>
      </c>
      <c r="B1335" s="5" t="n">
        <v>223</v>
      </c>
      <c r="C1335" s="72" t="inlineStr">
        <is>
          <t>X</t>
        </is>
      </c>
      <c r="D1335" s="5" t="n">
        <v>108</v>
      </c>
      <c r="E1335" s="73">
        <f>B1335*D1335/10000</f>
        <v/>
      </c>
      <c r="F1335" s="74">
        <f>B1335/30.48</f>
        <v/>
      </c>
      <c r="G1335" s="74">
        <f>D1335/30.48</f>
        <v/>
      </c>
      <c r="H1335" s="615" t="n"/>
      <c r="I1335" s="49" t="inlineStr">
        <is>
          <t>OLD</t>
        </is>
      </c>
      <c r="J1335" s="48" t="inlineStr">
        <is>
          <t>TRS</t>
        </is>
      </c>
      <c r="K1335" s="51" t="inlineStr">
        <is>
          <t>PAC</t>
        </is>
      </c>
      <c r="L1335" s="105" t="inlineStr">
        <is>
          <t>VR</t>
        </is>
      </c>
      <c r="M1335" s="210" t="n"/>
      <c r="N1335" s="211" t="n"/>
      <c r="O1335" s="263" t="inlineStr">
        <is>
          <t>SBL</t>
        </is>
      </c>
      <c r="Q1335" s="271" t="inlineStr">
        <is>
          <t>RST</t>
        </is>
      </c>
      <c r="R1335" s="282" t="n"/>
    </row>
    <row r="1336" ht="18" customHeight="1" s="305">
      <c r="A1336" s="8" t="n">
        <v>1535</v>
      </c>
      <c r="B1336" s="5" t="n">
        <v>251</v>
      </c>
      <c r="C1336" s="72" t="inlineStr">
        <is>
          <t>X</t>
        </is>
      </c>
      <c r="D1336" s="5" t="n">
        <v>138</v>
      </c>
      <c r="E1336" s="73">
        <f>B1336*D1336/10000</f>
        <v/>
      </c>
      <c r="F1336" s="74">
        <f>B1336/30.48</f>
        <v/>
      </c>
      <c r="G1336" s="74">
        <f>D1336/30.48</f>
        <v/>
      </c>
      <c r="H1336" s="615" t="n"/>
      <c r="I1336" s="49" t="inlineStr">
        <is>
          <t>OLD</t>
        </is>
      </c>
      <c r="J1336" s="48" t="inlineStr">
        <is>
          <t>TRS</t>
        </is>
      </c>
      <c r="K1336" s="51" t="inlineStr">
        <is>
          <t>PAC</t>
        </is>
      </c>
      <c r="L1336" s="105" t="inlineStr">
        <is>
          <t>VR</t>
        </is>
      </c>
      <c r="M1336" s="210" t="n"/>
      <c r="N1336" s="211" t="n"/>
      <c r="O1336" s="263" t="inlineStr">
        <is>
          <t>SBL</t>
        </is>
      </c>
      <c r="Q1336" s="271" t="inlineStr">
        <is>
          <t>RST</t>
        </is>
      </c>
      <c r="R1336" s="282" t="n"/>
    </row>
    <row r="1337" ht="18" customHeight="1" s="305">
      <c r="A1337" s="8" t="n">
        <v>1536</v>
      </c>
      <c r="B1337" s="5" t="n">
        <v>282</v>
      </c>
      <c r="C1337" s="72" t="inlineStr">
        <is>
          <t>X</t>
        </is>
      </c>
      <c r="D1337" s="5" t="n">
        <v>94</v>
      </c>
      <c r="E1337" s="73">
        <f>B1337*D1337/10000</f>
        <v/>
      </c>
      <c r="F1337" s="74">
        <f>B1337/30.48</f>
        <v/>
      </c>
      <c r="G1337" s="74">
        <f>D1337/30.48</f>
        <v/>
      </c>
      <c r="H1337" s="615" t="n"/>
      <c r="I1337" s="49" t="inlineStr">
        <is>
          <t>OLD</t>
        </is>
      </c>
      <c r="J1337" s="48" t="inlineStr">
        <is>
          <t>TRS</t>
        </is>
      </c>
      <c r="K1337" s="51" t="inlineStr">
        <is>
          <t>PAC</t>
        </is>
      </c>
      <c r="L1337" s="105" t="inlineStr">
        <is>
          <t>VR</t>
        </is>
      </c>
      <c r="M1337" s="210" t="n"/>
      <c r="N1337" s="211" t="n"/>
      <c r="O1337" s="263" t="inlineStr">
        <is>
          <t>SBL</t>
        </is>
      </c>
      <c r="Q1337" s="271" t="inlineStr">
        <is>
          <t>RST</t>
        </is>
      </c>
      <c r="R1337" s="282" t="n"/>
    </row>
    <row r="1338" ht="18" customHeight="1" s="305">
      <c r="A1338" s="8" t="n">
        <v>1541</v>
      </c>
      <c r="B1338" s="5" t="n">
        <v>294</v>
      </c>
      <c r="C1338" s="72" t="inlineStr">
        <is>
          <t>X</t>
        </is>
      </c>
      <c r="D1338" s="5" t="n">
        <v>79</v>
      </c>
      <c r="E1338" s="73">
        <f>B1338*D1338/10000</f>
        <v/>
      </c>
      <c r="F1338" s="74">
        <f>B1338/30.48</f>
        <v/>
      </c>
      <c r="G1338" s="74">
        <f>D1338/30.48</f>
        <v/>
      </c>
      <c r="H1338" s="615" t="n"/>
      <c r="I1338" s="49" t="inlineStr">
        <is>
          <t>OLD</t>
        </is>
      </c>
      <c r="J1338" s="48" t="inlineStr">
        <is>
          <t>TRS</t>
        </is>
      </c>
      <c r="K1338" s="51" t="inlineStr">
        <is>
          <t>PAC</t>
        </is>
      </c>
      <c r="L1338" s="105" t="inlineStr">
        <is>
          <t>VR</t>
        </is>
      </c>
      <c r="M1338" s="210" t="n"/>
      <c r="N1338" s="211" t="n"/>
      <c r="O1338" s="263" t="inlineStr">
        <is>
          <t>SBL</t>
        </is>
      </c>
      <c r="Q1338" s="271" t="inlineStr">
        <is>
          <t>RST</t>
        </is>
      </c>
      <c r="R1338" s="282" t="n"/>
    </row>
    <row r="1339" ht="18" customHeight="1" s="305">
      <c r="A1339" s="8" t="n">
        <v>1542</v>
      </c>
      <c r="B1339" s="5" t="n">
        <v>307</v>
      </c>
      <c r="C1339" s="72" t="inlineStr">
        <is>
          <t>X</t>
        </is>
      </c>
      <c r="D1339" s="5" t="n">
        <v>99</v>
      </c>
      <c r="E1339" s="73">
        <f>B1339*D1339/10000</f>
        <v/>
      </c>
      <c r="F1339" s="74">
        <f>B1339/30.48</f>
        <v/>
      </c>
      <c r="G1339" s="74">
        <f>D1339/30.48</f>
        <v/>
      </c>
      <c r="H1339" s="615" t="n"/>
      <c r="I1339" s="49" t="inlineStr">
        <is>
          <t>OLD</t>
        </is>
      </c>
      <c r="J1339" s="48" t="inlineStr">
        <is>
          <t>TRS</t>
        </is>
      </c>
      <c r="K1339" s="51" t="inlineStr">
        <is>
          <t>PAC</t>
        </is>
      </c>
      <c r="M1339" s="210" t="n"/>
      <c r="N1339" s="211" t="n"/>
      <c r="O1339" s="263" t="inlineStr">
        <is>
          <t>SBL</t>
        </is>
      </c>
      <c r="Q1339" s="271" t="inlineStr">
        <is>
          <t>RST</t>
        </is>
      </c>
      <c r="R1339" s="282" t="n"/>
    </row>
    <row r="1340" ht="18" customHeight="1" s="305">
      <c r="A1340" s="8" t="n">
        <v>1544</v>
      </c>
      <c r="B1340" s="5" t="n">
        <v>218</v>
      </c>
      <c r="C1340" s="72" t="inlineStr">
        <is>
          <t>X</t>
        </is>
      </c>
      <c r="D1340" s="5" t="n">
        <v>134</v>
      </c>
      <c r="E1340" s="73">
        <f>B1340*D1340/10000</f>
        <v/>
      </c>
      <c r="F1340" s="74">
        <f>B1340/30.48</f>
        <v/>
      </c>
      <c r="G1340" s="74">
        <f>D1340/30.48</f>
        <v/>
      </c>
      <c r="H1340" s="615" t="n"/>
      <c r="I1340" s="49" t="inlineStr">
        <is>
          <t>OLD</t>
        </is>
      </c>
      <c r="J1340" s="48" t="inlineStr">
        <is>
          <t>TRS</t>
        </is>
      </c>
      <c r="K1340" s="51" t="inlineStr">
        <is>
          <t>PAC</t>
        </is>
      </c>
      <c r="M1340" s="210" t="n"/>
      <c r="N1340" s="211" t="n"/>
      <c r="O1340" s="263" t="inlineStr">
        <is>
          <t>SBL</t>
        </is>
      </c>
      <c r="Q1340" s="271" t="inlineStr">
        <is>
          <t>RST</t>
        </is>
      </c>
      <c r="R1340" s="282" t="n"/>
    </row>
    <row r="1341" ht="18" customHeight="1" s="305">
      <c r="A1341" s="8" t="n">
        <v>1545</v>
      </c>
      <c r="B1341" s="5" t="n">
        <v>211</v>
      </c>
      <c r="C1341" s="72" t="inlineStr">
        <is>
          <t>X</t>
        </is>
      </c>
      <c r="D1341" s="5" t="n">
        <v>131</v>
      </c>
      <c r="E1341" s="73">
        <f>B1341*D1341/10000</f>
        <v/>
      </c>
      <c r="F1341" s="74">
        <f>B1341/30.48</f>
        <v/>
      </c>
      <c r="G1341" s="74">
        <f>D1341/30.48</f>
        <v/>
      </c>
      <c r="H1341" s="615" t="n"/>
      <c r="I1341" s="49" t="inlineStr">
        <is>
          <t>OLD</t>
        </is>
      </c>
      <c r="J1341" s="48" t="inlineStr">
        <is>
          <t>TRS</t>
        </is>
      </c>
      <c r="K1341" s="51" t="inlineStr">
        <is>
          <t>PAC</t>
        </is>
      </c>
      <c r="M1341" s="210" t="n"/>
      <c r="N1341" s="211" t="n"/>
      <c r="O1341" s="263" t="inlineStr">
        <is>
          <t>SBL</t>
        </is>
      </c>
      <c r="Q1341" s="271" t="inlineStr">
        <is>
          <t>RST</t>
        </is>
      </c>
      <c r="R1341" s="282" t="n"/>
    </row>
    <row r="1342" ht="18" customHeight="1" s="305">
      <c r="A1342" s="8" t="n">
        <v>1549</v>
      </c>
      <c r="B1342" s="5" t="n">
        <v>334</v>
      </c>
      <c r="C1342" s="72" t="inlineStr">
        <is>
          <t>X</t>
        </is>
      </c>
      <c r="D1342" s="5" t="n">
        <v>111</v>
      </c>
      <c r="E1342" s="73">
        <f>B1342*D1342/10000</f>
        <v/>
      </c>
      <c r="F1342" s="74">
        <f>B1342/30.48</f>
        <v/>
      </c>
      <c r="G1342" s="74">
        <f>D1342/30.48</f>
        <v/>
      </c>
      <c r="H1342" s="615" t="n"/>
      <c r="I1342" s="49" t="inlineStr">
        <is>
          <t>OLD</t>
        </is>
      </c>
      <c r="J1342" s="48" t="inlineStr">
        <is>
          <t>TRS</t>
        </is>
      </c>
      <c r="K1342" s="51" t="inlineStr">
        <is>
          <t>PAC</t>
        </is>
      </c>
      <c r="M1342" s="210" t="n"/>
      <c r="N1342" s="211" t="n"/>
      <c r="O1342" s="263" t="inlineStr">
        <is>
          <t>SBL</t>
        </is>
      </c>
      <c r="Q1342" s="271" t="inlineStr">
        <is>
          <t>RST</t>
        </is>
      </c>
      <c r="R1342" s="282" t="n"/>
    </row>
    <row r="1343" ht="18" customHeight="1" s="305">
      <c r="A1343" s="8" t="n">
        <v>1353</v>
      </c>
      <c r="B1343" s="5" t="n">
        <v>85</v>
      </c>
      <c r="C1343" s="72" t="inlineStr">
        <is>
          <t>X</t>
        </is>
      </c>
      <c r="D1343" s="5" t="n">
        <v>284</v>
      </c>
      <c r="E1343" s="73">
        <f>B1343*D1343/10000</f>
        <v/>
      </c>
      <c r="F1343" s="74">
        <f>B1343/30.48</f>
        <v/>
      </c>
      <c r="G1343" s="74">
        <f>D1343/30.48</f>
        <v/>
      </c>
      <c r="H1343" s="615" t="n"/>
      <c r="I1343" s="49" t="inlineStr">
        <is>
          <t>OLD</t>
        </is>
      </c>
      <c r="J1343" s="48" t="inlineStr">
        <is>
          <t>TRS</t>
        </is>
      </c>
      <c r="K1343" s="51" t="inlineStr">
        <is>
          <t>PAC</t>
        </is>
      </c>
      <c r="M1343" s="210" t="n"/>
      <c r="N1343" s="211" t="n"/>
      <c r="O1343" s="263" t="inlineStr">
        <is>
          <t>SBL</t>
        </is>
      </c>
      <c r="Q1343" s="271" t="n"/>
      <c r="R1343" s="282" t="n"/>
    </row>
    <row r="1344" ht="18" customHeight="1" s="305">
      <c r="A1344" s="8" t="n">
        <v>1358</v>
      </c>
      <c r="B1344" s="5" t="n">
        <v>88</v>
      </c>
      <c r="C1344" s="72" t="inlineStr">
        <is>
          <t>X</t>
        </is>
      </c>
      <c r="D1344" s="5" t="n">
        <v>326</v>
      </c>
      <c r="E1344" s="73">
        <f>B1344*D1344/10000</f>
        <v/>
      </c>
      <c r="F1344" s="74">
        <f>B1344/30.48</f>
        <v/>
      </c>
      <c r="G1344" s="74">
        <f>D1344/30.48</f>
        <v/>
      </c>
      <c r="H1344" s="615" t="n"/>
      <c r="I1344" s="49" t="inlineStr">
        <is>
          <t>OLD</t>
        </is>
      </c>
      <c r="J1344" s="48" t="inlineStr">
        <is>
          <t>TRS</t>
        </is>
      </c>
      <c r="K1344" s="51" t="inlineStr">
        <is>
          <t>PAC</t>
        </is>
      </c>
      <c r="L1344" s="105" t="inlineStr">
        <is>
          <t>VR</t>
        </is>
      </c>
      <c r="M1344" s="210" t="n"/>
      <c r="N1344" s="211" t="n"/>
      <c r="O1344" s="263" t="inlineStr">
        <is>
          <t>SBL</t>
        </is>
      </c>
      <c r="Q1344" s="271" t="inlineStr">
        <is>
          <t>RST</t>
        </is>
      </c>
      <c r="R1344" s="282" t="n"/>
    </row>
    <row r="1345" ht="18" customHeight="1" s="305">
      <c r="A1345" s="8" t="n">
        <v>1359</v>
      </c>
      <c r="B1345" s="5" t="n">
        <v>90</v>
      </c>
      <c r="C1345" s="72" t="inlineStr">
        <is>
          <t>X</t>
        </is>
      </c>
      <c r="D1345" s="5" t="n">
        <v>370</v>
      </c>
      <c r="E1345" s="73">
        <f>B1345*D1345/10000</f>
        <v/>
      </c>
      <c r="F1345" s="74">
        <f>B1345/30.48</f>
        <v/>
      </c>
      <c r="G1345" s="74">
        <f>D1345/30.48</f>
        <v/>
      </c>
      <c r="H1345" s="615" t="n"/>
      <c r="I1345" s="49" t="inlineStr">
        <is>
          <t>OLD</t>
        </is>
      </c>
      <c r="J1345" s="48" t="inlineStr">
        <is>
          <t>TRS</t>
        </is>
      </c>
      <c r="K1345" s="51" t="inlineStr">
        <is>
          <t>PAC</t>
        </is>
      </c>
      <c r="L1345" s="105" t="inlineStr">
        <is>
          <t>VR</t>
        </is>
      </c>
      <c r="M1345" s="210" t="n"/>
      <c r="N1345" s="211" t="n"/>
      <c r="O1345" s="263" t="inlineStr">
        <is>
          <t>SBL</t>
        </is>
      </c>
      <c r="Q1345" s="271" t="inlineStr">
        <is>
          <t>RST</t>
        </is>
      </c>
      <c r="R1345" s="282" t="n"/>
    </row>
    <row r="1346" ht="18" customHeight="1" s="305">
      <c r="A1346" s="8" t="n">
        <v>1362</v>
      </c>
      <c r="B1346" s="5" t="n">
        <v>115</v>
      </c>
      <c r="C1346" s="72" t="inlineStr">
        <is>
          <t>X</t>
        </is>
      </c>
      <c r="D1346" s="5" t="n">
        <v>213</v>
      </c>
      <c r="E1346" s="73">
        <f>B1346*D1346/10000</f>
        <v/>
      </c>
      <c r="F1346" s="74">
        <f>B1346/30.48</f>
        <v/>
      </c>
      <c r="G1346" s="74">
        <f>D1346/30.48</f>
        <v/>
      </c>
      <c r="H1346" s="615" t="n"/>
      <c r="I1346" s="49" t="inlineStr">
        <is>
          <t>OLD</t>
        </is>
      </c>
      <c r="J1346" s="48" t="inlineStr">
        <is>
          <t>TRS</t>
        </is>
      </c>
      <c r="K1346" s="51" t="inlineStr">
        <is>
          <t>PAC</t>
        </is>
      </c>
      <c r="M1346" s="210" t="n"/>
      <c r="N1346" s="211" t="n"/>
      <c r="O1346" s="263" t="inlineStr">
        <is>
          <t>SBL</t>
        </is>
      </c>
      <c r="Q1346" s="271" t="inlineStr">
        <is>
          <t>RST</t>
        </is>
      </c>
      <c r="R1346" s="282" t="n"/>
    </row>
    <row r="1347" ht="18" customHeight="1" s="305">
      <c r="A1347" s="8" t="n">
        <v>1363</v>
      </c>
      <c r="B1347" s="5" t="n">
        <v>85</v>
      </c>
      <c r="C1347" s="72" t="inlineStr">
        <is>
          <t>X</t>
        </is>
      </c>
      <c r="D1347" s="5" t="n">
        <v>368</v>
      </c>
      <c r="E1347" s="73">
        <f>B1347*D1347/10000</f>
        <v/>
      </c>
      <c r="F1347" s="74">
        <f>B1347/30.48</f>
        <v/>
      </c>
      <c r="G1347" s="74">
        <f>D1347/30.48</f>
        <v/>
      </c>
      <c r="H1347" s="615" t="n"/>
      <c r="I1347" s="49" t="inlineStr">
        <is>
          <t>OLD</t>
        </is>
      </c>
      <c r="J1347" s="48" t="inlineStr">
        <is>
          <t>TRS</t>
        </is>
      </c>
      <c r="K1347" s="51" t="inlineStr">
        <is>
          <t>PAC</t>
        </is>
      </c>
      <c r="L1347" s="105" t="inlineStr">
        <is>
          <t>VR</t>
        </is>
      </c>
      <c r="M1347" s="210" t="n"/>
      <c r="N1347" s="211" t="n"/>
      <c r="O1347" s="263" t="inlineStr">
        <is>
          <t>SBL</t>
        </is>
      </c>
      <c r="Q1347" s="271" t="inlineStr">
        <is>
          <t>RST</t>
        </is>
      </c>
      <c r="R1347" s="282" t="n"/>
    </row>
    <row r="1348" ht="18" customHeight="1" s="305">
      <c r="A1348" s="8" t="n">
        <v>1367</v>
      </c>
      <c r="B1348" s="5" t="n">
        <v>83</v>
      </c>
      <c r="C1348" s="72" t="inlineStr">
        <is>
          <t>X</t>
        </is>
      </c>
      <c r="D1348" s="5" t="n">
        <v>362</v>
      </c>
      <c r="E1348" s="73">
        <f>B1348*D1348/10000</f>
        <v/>
      </c>
      <c r="F1348" s="74">
        <f>B1348/30.48</f>
        <v/>
      </c>
      <c r="G1348" s="74">
        <f>D1348/30.48</f>
        <v/>
      </c>
      <c r="H1348" s="615" t="n"/>
      <c r="I1348" s="49" t="inlineStr">
        <is>
          <t>OLD</t>
        </is>
      </c>
      <c r="J1348" s="48" t="inlineStr">
        <is>
          <t>TRS</t>
        </is>
      </c>
      <c r="K1348" s="51" t="inlineStr">
        <is>
          <t>PAC</t>
        </is>
      </c>
      <c r="M1348" s="210" t="n"/>
      <c r="N1348" s="211" t="n"/>
      <c r="O1348" s="263" t="inlineStr">
        <is>
          <t>SBL</t>
        </is>
      </c>
      <c r="Q1348" s="271" t="inlineStr">
        <is>
          <t>RST</t>
        </is>
      </c>
      <c r="R1348" s="282" t="n"/>
    </row>
    <row r="1349" ht="18" customHeight="1" s="305">
      <c r="A1349" s="8" t="n">
        <v>1368</v>
      </c>
      <c r="B1349" s="5" t="n">
        <v>170</v>
      </c>
      <c r="C1349" s="72" t="inlineStr">
        <is>
          <t>X</t>
        </is>
      </c>
      <c r="D1349" s="5" t="n">
        <v>9</v>
      </c>
      <c r="E1349" s="73">
        <f>B1349*D1349/10000</f>
        <v/>
      </c>
      <c r="F1349" s="74">
        <f>B1349/30.48</f>
        <v/>
      </c>
      <c r="G1349" s="74">
        <f>D1349/30.48</f>
        <v/>
      </c>
      <c r="H1349" s="615" t="n"/>
      <c r="I1349" s="49" t="inlineStr">
        <is>
          <t>OLD</t>
        </is>
      </c>
      <c r="J1349" s="48" t="inlineStr">
        <is>
          <t>TRS</t>
        </is>
      </c>
      <c r="K1349" s="51" t="inlineStr">
        <is>
          <t>PAC</t>
        </is>
      </c>
      <c r="L1349" s="105" t="inlineStr">
        <is>
          <t>VR</t>
        </is>
      </c>
      <c r="M1349" s="210" t="n"/>
      <c r="N1349" s="211" t="n"/>
      <c r="O1349" s="263" t="inlineStr">
        <is>
          <t>SBL</t>
        </is>
      </c>
      <c r="Q1349" s="271" t="inlineStr">
        <is>
          <t>RST</t>
        </is>
      </c>
      <c r="R1349" s="282" t="n"/>
    </row>
    <row r="1350" ht="18" customHeight="1" s="305">
      <c r="A1350" s="8" t="n">
        <v>1370</v>
      </c>
      <c r="B1350" s="5" t="n">
        <v>85</v>
      </c>
      <c r="C1350" s="72" t="inlineStr">
        <is>
          <t>X</t>
        </is>
      </c>
      <c r="D1350" s="5" t="n">
        <v>286</v>
      </c>
      <c r="E1350" s="73">
        <f>B1350*D1350/10000</f>
        <v/>
      </c>
      <c r="F1350" s="74">
        <f>B1350/30.48</f>
        <v/>
      </c>
      <c r="G1350" s="74">
        <f>D1350/30.48</f>
        <v/>
      </c>
      <c r="H1350" s="615" t="n"/>
      <c r="I1350" s="49" t="inlineStr">
        <is>
          <t>OLD</t>
        </is>
      </c>
      <c r="J1350" s="48" t="inlineStr">
        <is>
          <t>TRS</t>
        </is>
      </c>
      <c r="K1350" s="51" t="inlineStr">
        <is>
          <t>PAC</t>
        </is>
      </c>
      <c r="L1350" s="105" t="inlineStr">
        <is>
          <t>VR</t>
        </is>
      </c>
      <c r="M1350" s="210" t="n"/>
      <c r="N1350" s="211" t="n"/>
      <c r="O1350" s="263" t="inlineStr">
        <is>
          <t>SBL</t>
        </is>
      </c>
      <c r="Q1350" s="271" t="inlineStr">
        <is>
          <t>RST</t>
        </is>
      </c>
      <c r="R1350" s="282" t="n"/>
    </row>
    <row r="1351" ht="18" customHeight="1" s="305">
      <c r="A1351" s="8" t="n">
        <v>1373</v>
      </c>
      <c r="B1351" s="5" t="n">
        <v>88</v>
      </c>
      <c r="C1351" s="72" t="inlineStr">
        <is>
          <t>X</t>
        </is>
      </c>
      <c r="D1351" s="5" t="n">
        <v>385</v>
      </c>
      <c r="E1351" s="73">
        <f>B1351*D1351/10000</f>
        <v/>
      </c>
      <c r="F1351" s="74">
        <f>B1351/30.48</f>
        <v/>
      </c>
      <c r="G1351" s="74">
        <f>D1351/30.48</f>
        <v/>
      </c>
      <c r="H1351" s="615" t="n"/>
      <c r="I1351" s="49" t="inlineStr">
        <is>
          <t>OLD</t>
        </is>
      </c>
      <c r="J1351" s="48" t="inlineStr">
        <is>
          <t>TRS</t>
        </is>
      </c>
      <c r="K1351" s="51" t="inlineStr">
        <is>
          <t>PAC</t>
        </is>
      </c>
      <c r="M1351" s="210" t="n"/>
      <c r="N1351" s="211" t="n"/>
      <c r="O1351" s="263" t="inlineStr">
        <is>
          <t>SBL</t>
        </is>
      </c>
      <c r="Q1351" s="271" t="inlineStr">
        <is>
          <t>RST</t>
        </is>
      </c>
      <c r="R1351" s="282" t="n"/>
    </row>
    <row r="1352" ht="18" customHeight="1" s="305">
      <c r="A1352" s="8" t="n">
        <v>1374</v>
      </c>
      <c r="B1352" s="5" t="n">
        <v>196</v>
      </c>
      <c r="C1352" s="72" t="inlineStr">
        <is>
          <t>X</t>
        </is>
      </c>
      <c r="D1352" s="5" t="n">
        <v>280</v>
      </c>
      <c r="E1352" s="73">
        <f>B1352*D1352/10000</f>
        <v/>
      </c>
      <c r="F1352" s="74">
        <f>B1352/30.48</f>
        <v/>
      </c>
      <c r="G1352" s="74">
        <f>D1352/30.48</f>
        <v/>
      </c>
      <c r="H1352" s="615" t="n"/>
      <c r="I1352" s="49" t="inlineStr">
        <is>
          <t>OLD</t>
        </is>
      </c>
      <c r="J1352" s="48" t="inlineStr">
        <is>
          <t>TRS</t>
        </is>
      </c>
      <c r="K1352" s="51" t="inlineStr">
        <is>
          <t>PAC</t>
        </is>
      </c>
      <c r="L1352" s="105" t="inlineStr">
        <is>
          <t>VR</t>
        </is>
      </c>
      <c r="M1352" s="210" t="n"/>
      <c r="N1352" s="211" t="n"/>
      <c r="O1352" s="263" t="inlineStr">
        <is>
          <t>SBL</t>
        </is>
      </c>
      <c r="Q1352" s="271" t="inlineStr">
        <is>
          <t>RST</t>
        </is>
      </c>
      <c r="R1352" s="282" t="n"/>
    </row>
    <row r="1353" ht="18" customHeight="1" s="305">
      <c r="A1353" s="8" t="n">
        <v>1378</v>
      </c>
      <c r="B1353" s="5" t="n">
        <v>111</v>
      </c>
      <c r="C1353" s="72" t="inlineStr">
        <is>
          <t>X</t>
        </is>
      </c>
      <c r="D1353" s="5" t="n">
        <v>242</v>
      </c>
      <c r="E1353" s="73">
        <f>B1353*D1353/10000</f>
        <v/>
      </c>
      <c r="F1353" s="74">
        <f>B1353/30.48</f>
        <v/>
      </c>
      <c r="G1353" s="74">
        <f>D1353/30.48</f>
        <v/>
      </c>
      <c r="H1353" s="615" t="n"/>
      <c r="I1353" s="49" t="inlineStr">
        <is>
          <t>OLD</t>
        </is>
      </c>
      <c r="J1353" s="48" t="inlineStr">
        <is>
          <t>TRS</t>
        </is>
      </c>
      <c r="K1353" s="51" t="inlineStr">
        <is>
          <t>PAC</t>
        </is>
      </c>
      <c r="L1353" s="105" t="inlineStr">
        <is>
          <t>VR</t>
        </is>
      </c>
      <c r="M1353" s="210" t="n"/>
      <c r="N1353" s="211" t="n"/>
      <c r="O1353" s="263" t="inlineStr">
        <is>
          <t>SBL</t>
        </is>
      </c>
      <c r="Q1353" s="271" t="inlineStr">
        <is>
          <t>RST</t>
        </is>
      </c>
      <c r="R1353" s="282" t="n"/>
    </row>
    <row r="1354" ht="18" customHeight="1" s="305">
      <c r="A1354" s="8" t="n">
        <v>1379</v>
      </c>
      <c r="B1354" s="5" t="n">
        <v>83</v>
      </c>
      <c r="C1354" s="72" t="inlineStr">
        <is>
          <t>X</t>
        </is>
      </c>
      <c r="D1354" s="5" t="n">
        <v>390</v>
      </c>
      <c r="E1354" s="73">
        <f>B1354*D1354/10000</f>
        <v/>
      </c>
      <c r="F1354" s="74">
        <f>B1354/30.48</f>
        <v/>
      </c>
      <c r="G1354" s="74">
        <f>D1354/30.48</f>
        <v/>
      </c>
      <c r="H1354" s="615" t="n"/>
      <c r="I1354" s="49" t="inlineStr">
        <is>
          <t>OLD</t>
        </is>
      </c>
      <c r="J1354" s="48" t="inlineStr">
        <is>
          <t>TRS</t>
        </is>
      </c>
      <c r="K1354" s="51" t="inlineStr">
        <is>
          <t>PAC</t>
        </is>
      </c>
      <c r="L1354" s="105" t="inlineStr">
        <is>
          <t>VR</t>
        </is>
      </c>
      <c r="M1354" s="210" t="n"/>
      <c r="N1354" s="211" t="n"/>
      <c r="O1354" s="263" t="inlineStr">
        <is>
          <t>SBL</t>
        </is>
      </c>
      <c r="Q1354" s="271" t="inlineStr">
        <is>
          <t>RST</t>
        </is>
      </c>
      <c r="R1354" s="282" t="n"/>
    </row>
    <row r="1355" ht="18" customHeight="1" s="305">
      <c r="A1355" s="8" t="n">
        <v>1380</v>
      </c>
      <c r="B1355" s="5" t="n">
        <v>210</v>
      </c>
      <c r="C1355" s="72" t="inlineStr">
        <is>
          <t>X</t>
        </is>
      </c>
      <c r="D1355" s="5" t="n">
        <v>318</v>
      </c>
      <c r="E1355" s="73">
        <f>B1355*D1355/10000</f>
        <v/>
      </c>
      <c r="F1355" s="74">
        <f>B1355/30.48</f>
        <v/>
      </c>
      <c r="G1355" s="74">
        <f>D1355/30.48</f>
        <v/>
      </c>
      <c r="H1355" s="615" t="n"/>
      <c r="I1355" s="49" t="inlineStr">
        <is>
          <t>OLD</t>
        </is>
      </c>
      <c r="J1355" s="48" t="inlineStr">
        <is>
          <t>TRS</t>
        </is>
      </c>
      <c r="K1355" s="51" t="inlineStr">
        <is>
          <t>PAC</t>
        </is>
      </c>
      <c r="M1355" s="210" t="n"/>
      <c r="N1355" s="211" t="n"/>
      <c r="O1355" s="263" t="inlineStr">
        <is>
          <t>SBL</t>
        </is>
      </c>
      <c r="Q1355" s="271" t="inlineStr">
        <is>
          <t>RST</t>
        </is>
      </c>
      <c r="R1355" s="282" t="n"/>
    </row>
    <row r="1356" ht="18" customHeight="1" s="305">
      <c r="A1356" s="8" t="n">
        <v>1334</v>
      </c>
      <c r="B1356" s="5" t="n">
        <v>89</v>
      </c>
      <c r="C1356" s="72" t="inlineStr">
        <is>
          <t>X</t>
        </is>
      </c>
      <c r="D1356" s="5" t="n">
        <v>303</v>
      </c>
      <c r="E1356" s="73">
        <f>B1356*D1356/10000</f>
        <v/>
      </c>
      <c r="F1356" s="74">
        <f>B1356/30.48</f>
        <v/>
      </c>
      <c r="G1356" s="74">
        <f>D1356/30.48</f>
        <v/>
      </c>
      <c r="H1356" s="615" t="n"/>
      <c r="I1356" s="49" t="inlineStr">
        <is>
          <t>OLD</t>
        </is>
      </c>
      <c r="J1356" s="48" t="inlineStr">
        <is>
          <t>TRS</t>
        </is>
      </c>
      <c r="K1356" s="51" t="inlineStr">
        <is>
          <t>PAC</t>
        </is>
      </c>
      <c r="L1356" s="105" t="inlineStr">
        <is>
          <t>VR</t>
        </is>
      </c>
      <c r="M1356" s="210" t="n"/>
      <c r="N1356" s="211" t="n"/>
      <c r="O1356" s="263" t="inlineStr">
        <is>
          <t>SBL</t>
        </is>
      </c>
      <c r="Q1356" s="271" t="inlineStr">
        <is>
          <t>RST</t>
        </is>
      </c>
      <c r="R1356" s="282" t="n"/>
    </row>
    <row r="1357" ht="18" customHeight="1" s="305">
      <c r="A1357" s="8" t="n">
        <v>1336</v>
      </c>
      <c r="B1357" s="5" t="n">
        <v>87</v>
      </c>
      <c r="C1357" s="72" t="inlineStr">
        <is>
          <t>X</t>
        </is>
      </c>
      <c r="D1357" s="5" t="n">
        <v>359</v>
      </c>
      <c r="E1357" s="73">
        <f>B1357*D1357/10000</f>
        <v/>
      </c>
      <c r="F1357" s="74">
        <f>B1357/30.48</f>
        <v/>
      </c>
      <c r="G1357" s="74">
        <f>D1357/30.48</f>
        <v/>
      </c>
      <c r="H1357" s="615" t="n"/>
      <c r="I1357" s="49" t="inlineStr">
        <is>
          <t>OLD</t>
        </is>
      </c>
      <c r="J1357" s="48" t="inlineStr">
        <is>
          <t>TRS</t>
        </is>
      </c>
      <c r="K1357" s="51" t="inlineStr">
        <is>
          <t>PAC</t>
        </is>
      </c>
      <c r="M1357" s="210" t="n"/>
      <c r="N1357" s="211" t="n"/>
      <c r="O1357" s="263" t="inlineStr">
        <is>
          <t>SBL</t>
        </is>
      </c>
      <c r="Q1357" s="271" t="inlineStr">
        <is>
          <t>RST</t>
        </is>
      </c>
      <c r="R1357" s="282" t="n"/>
    </row>
    <row r="1358" ht="18" customHeight="1" s="305">
      <c r="A1358" s="8" t="n">
        <v>1337</v>
      </c>
      <c r="B1358" s="5" t="n">
        <v>78</v>
      </c>
      <c r="C1358" s="72" t="inlineStr">
        <is>
          <t>X</t>
        </is>
      </c>
      <c r="D1358" s="5" t="n">
        <v>169</v>
      </c>
      <c r="E1358" s="73">
        <f>B1358*D1358/10000</f>
        <v/>
      </c>
      <c r="F1358" s="74">
        <f>B1358/30.48</f>
        <v/>
      </c>
      <c r="G1358" s="74">
        <f>D1358/30.48</f>
        <v/>
      </c>
      <c r="H1358" s="615" t="n"/>
      <c r="I1358" s="49" t="inlineStr">
        <is>
          <t>OLD</t>
        </is>
      </c>
      <c r="J1358" s="48" t="inlineStr">
        <is>
          <t>TRS</t>
        </is>
      </c>
      <c r="K1358" s="51" t="inlineStr">
        <is>
          <t>PAC</t>
        </is>
      </c>
      <c r="M1358" s="210" t="n"/>
      <c r="N1358" s="211" t="n"/>
      <c r="O1358" s="263" t="inlineStr">
        <is>
          <t>SBL</t>
        </is>
      </c>
      <c r="Q1358" s="271" t="inlineStr">
        <is>
          <t>RST</t>
        </is>
      </c>
      <c r="R1358" s="282" t="n"/>
    </row>
    <row r="1359" ht="19.5" customHeight="1" s="305">
      <c r="A1359" s="8" t="n">
        <v>1340</v>
      </c>
      <c r="B1359" s="5" t="n">
        <v>125</v>
      </c>
      <c r="C1359" s="72" t="inlineStr">
        <is>
          <t>X</t>
        </is>
      </c>
      <c r="D1359" s="5" t="n">
        <v>224</v>
      </c>
      <c r="E1359" s="73">
        <f>B1359*D1359/10000</f>
        <v/>
      </c>
      <c r="F1359" s="74">
        <f>B1359/30.48</f>
        <v/>
      </c>
      <c r="G1359" s="74">
        <f>D1359/30.48</f>
        <v/>
      </c>
      <c r="H1359" s="615" t="n"/>
      <c r="I1359" s="49" t="inlineStr">
        <is>
          <t>OLD</t>
        </is>
      </c>
      <c r="J1359" s="48" t="inlineStr">
        <is>
          <t>TRS</t>
        </is>
      </c>
      <c r="K1359" s="51" t="inlineStr">
        <is>
          <t>PAC</t>
        </is>
      </c>
      <c r="L1359" s="105" t="inlineStr">
        <is>
          <t>VR</t>
        </is>
      </c>
      <c r="M1359" s="210" t="n"/>
      <c r="N1359" s="211" t="n"/>
      <c r="O1359" s="263" t="inlineStr">
        <is>
          <t>SBL</t>
        </is>
      </c>
      <c r="Q1359" s="271" t="inlineStr">
        <is>
          <t>RST</t>
        </is>
      </c>
      <c r="R1359" s="282" t="n"/>
    </row>
    <row r="1360" ht="18" customHeight="1" s="305">
      <c r="A1360" s="8" t="n">
        <v>1341</v>
      </c>
      <c r="B1360" s="5" t="n">
        <v>213</v>
      </c>
      <c r="C1360" s="72" t="inlineStr">
        <is>
          <t>X</t>
        </is>
      </c>
      <c r="D1360" s="5" t="n">
        <v>320</v>
      </c>
      <c r="E1360" s="73">
        <f>B1360*D1360/10000</f>
        <v/>
      </c>
      <c r="F1360" s="74">
        <f>B1360/30.48</f>
        <v/>
      </c>
      <c r="G1360" s="74">
        <f>D1360/30.48</f>
        <v/>
      </c>
      <c r="H1360" s="615" t="n"/>
      <c r="J1360" s="48" t="inlineStr">
        <is>
          <t>TRS</t>
        </is>
      </c>
      <c r="K1360" s="51" t="inlineStr">
        <is>
          <t>PAC</t>
        </is>
      </c>
      <c r="M1360" s="210" t="n"/>
      <c r="N1360" s="211" t="n"/>
      <c r="O1360" s="263" t="n"/>
      <c r="Q1360" s="271" t="n"/>
      <c r="R1360" s="282" t="n"/>
    </row>
    <row r="1361" ht="18" customHeight="1" s="305">
      <c r="A1361" s="8" t="n">
        <v>1347</v>
      </c>
      <c r="B1361" s="5" t="n">
        <v>166</v>
      </c>
      <c r="C1361" s="72" t="inlineStr">
        <is>
          <t>X</t>
        </is>
      </c>
      <c r="D1361" s="5" t="n">
        <v>268</v>
      </c>
      <c r="E1361" s="73">
        <f>B1361*D1361/10000</f>
        <v/>
      </c>
      <c r="F1361" s="74">
        <f>B1361/30.48</f>
        <v/>
      </c>
      <c r="G1361" s="74">
        <f>D1361/30.48</f>
        <v/>
      </c>
      <c r="H1361" s="615" t="n"/>
      <c r="I1361" s="49" t="inlineStr">
        <is>
          <t>OLD</t>
        </is>
      </c>
      <c r="J1361" s="48" t="inlineStr">
        <is>
          <t>TRS</t>
        </is>
      </c>
      <c r="K1361" s="51" t="inlineStr">
        <is>
          <t>PAC</t>
        </is>
      </c>
      <c r="L1361" s="105" t="inlineStr">
        <is>
          <t>VR</t>
        </is>
      </c>
      <c r="M1361" s="210" t="n"/>
      <c r="N1361" s="211" t="n"/>
      <c r="O1361" s="263" t="inlineStr">
        <is>
          <t>SBL</t>
        </is>
      </c>
      <c r="Q1361" s="271" t="inlineStr">
        <is>
          <t>RST</t>
        </is>
      </c>
      <c r="R1361" s="282" t="n"/>
    </row>
    <row r="1362" ht="18" customHeight="1" s="305">
      <c r="A1362" s="8" t="n">
        <v>1349</v>
      </c>
      <c r="B1362" s="5" t="n">
        <v>173</v>
      </c>
      <c r="C1362" s="72" t="inlineStr">
        <is>
          <t>X</t>
        </is>
      </c>
      <c r="D1362" s="5" t="n">
        <v>286</v>
      </c>
      <c r="E1362" s="73">
        <f>B1362*D1362/10000</f>
        <v/>
      </c>
      <c r="F1362" s="74">
        <f>B1362/30.48</f>
        <v/>
      </c>
      <c r="G1362" s="74">
        <f>D1362/30.48</f>
        <v/>
      </c>
      <c r="H1362" s="615" t="n"/>
      <c r="I1362" s="49" t="inlineStr">
        <is>
          <t>OLD</t>
        </is>
      </c>
      <c r="J1362" s="48" t="inlineStr">
        <is>
          <t>TRS</t>
        </is>
      </c>
      <c r="K1362" s="51" t="inlineStr">
        <is>
          <t>PAC</t>
        </is>
      </c>
      <c r="L1362" s="105" t="inlineStr">
        <is>
          <t>VR</t>
        </is>
      </c>
      <c r="M1362" s="210" t="n"/>
      <c r="N1362" s="211" t="n"/>
      <c r="O1362" s="263" t="inlineStr">
        <is>
          <t>SBL</t>
        </is>
      </c>
      <c r="Q1362" s="271" t="inlineStr">
        <is>
          <t>RST</t>
        </is>
      </c>
      <c r="R1362" s="282" t="n"/>
    </row>
    <row r="1363" ht="18" customHeight="1" s="305">
      <c r="A1363" s="8" t="n">
        <v>1350</v>
      </c>
      <c r="B1363" s="5" t="n">
        <v>121</v>
      </c>
      <c r="C1363" s="72" t="inlineStr">
        <is>
          <t>X</t>
        </is>
      </c>
      <c r="D1363" s="5" t="n">
        <v>401</v>
      </c>
      <c r="E1363" s="73">
        <f>B1363*D1363/10000</f>
        <v/>
      </c>
      <c r="F1363" s="74">
        <f>B1363/30.48</f>
        <v/>
      </c>
      <c r="G1363" s="74">
        <f>D1363/30.48</f>
        <v/>
      </c>
      <c r="H1363" s="615" t="n"/>
      <c r="I1363" s="49" t="inlineStr">
        <is>
          <t>OLD</t>
        </is>
      </c>
      <c r="J1363" s="48" t="inlineStr">
        <is>
          <t>TRS</t>
        </is>
      </c>
      <c r="K1363" s="51" t="inlineStr">
        <is>
          <t>PAC</t>
        </is>
      </c>
      <c r="L1363" s="105" t="inlineStr">
        <is>
          <t>VR</t>
        </is>
      </c>
      <c r="M1363" s="210" t="n"/>
      <c r="N1363" s="211" t="n"/>
      <c r="O1363" s="263" t="inlineStr">
        <is>
          <t>SBL</t>
        </is>
      </c>
      <c r="Q1363" s="271" t="inlineStr">
        <is>
          <t>RST</t>
        </is>
      </c>
      <c r="R1363" s="282" t="n"/>
    </row>
    <row r="1364" ht="18" customHeight="1" s="305">
      <c r="A1364" s="8" t="n">
        <v>1731</v>
      </c>
      <c r="B1364" s="5" t="n">
        <v>303</v>
      </c>
      <c r="C1364" s="72" t="inlineStr">
        <is>
          <t>X</t>
        </is>
      </c>
      <c r="D1364" s="5" t="n">
        <v>408</v>
      </c>
      <c r="E1364" s="73">
        <f>B1364*D1364/10000</f>
        <v/>
      </c>
      <c r="F1364" s="74">
        <f>B1364/30.48</f>
        <v/>
      </c>
      <c r="G1364" s="74">
        <f>D1364/30.48</f>
        <v/>
      </c>
      <c r="H1364" s="615" t="n"/>
      <c r="J1364" s="48" t="inlineStr">
        <is>
          <t>TRS</t>
        </is>
      </c>
      <c r="K1364" s="51" t="inlineStr">
        <is>
          <t>PAC</t>
        </is>
      </c>
      <c r="M1364" s="210" t="n"/>
      <c r="N1364" s="211" t="n"/>
      <c r="O1364" s="263" t="n"/>
      <c r="Q1364" s="271" t="n"/>
      <c r="R1364" s="282" t="n"/>
    </row>
    <row r="1365" ht="18" customHeight="1" s="305">
      <c r="A1365" s="8" t="n">
        <v>1755</v>
      </c>
      <c r="B1365" s="5" t="n">
        <v>211</v>
      </c>
      <c r="C1365" s="72" t="inlineStr">
        <is>
          <t>X</t>
        </is>
      </c>
      <c r="D1365" s="5" t="n">
        <v>311</v>
      </c>
      <c r="E1365" s="73">
        <f>B1365*D1365/10000</f>
        <v/>
      </c>
      <c r="F1365" s="74">
        <f>B1365/30.48</f>
        <v/>
      </c>
      <c r="G1365" s="74">
        <f>D1365/30.48</f>
        <v/>
      </c>
      <c r="H1365" s="615" t="n"/>
      <c r="J1365" s="48" t="inlineStr">
        <is>
          <t>TRS</t>
        </is>
      </c>
      <c r="K1365" s="51" t="inlineStr">
        <is>
          <t>PAC</t>
        </is>
      </c>
      <c r="L1365" s="105" t="inlineStr">
        <is>
          <t>VR</t>
        </is>
      </c>
      <c r="M1365" s="210" t="n"/>
      <c r="N1365" s="211" t="n"/>
      <c r="O1365" s="263" t="inlineStr">
        <is>
          <t>SBL</t>
        </is>
      </c>
      <c r="Q1365" s="271" t="n"/>
      <c r="R1365" s="282" t="n"/>
    </row>
    <row r="1366" ht="18" customHeight="1" s="305">
      <c r="A1366" s="8" t="n">
        <v>1751</v>
      </c>
      <c r="B1366" s="5" t="n">
        <v>285</v>
      </c>
      <c r="C1366" s="72" t="inlineStr">
        <is>
          <t>X</t>
        </is>
      </c>
      <c r="D1366" s="5" t="n">
        <v>379</v>
      </c>
      <c r="E1366" s="73">
        <f>B1366*D1366/10000</f>
        <v/>
      </c>
      <c r="F1366" s="74">
        <f>B1366/30.48</f>
        <v/>
      </c>
      <c r="G1366" s="74">
        <f>D1366/30.48</f>
        <v/>
      </c>
      <c r="H1366" s="615" t="n"/>
      <c r="J1366" s="48" t="inlineStr">
        <is>
          <t>TRS</t>
        </is>
      </c>
      <c r="K1366" s="51" t="inlineStr">
        <is>
          <t>PAC</t>
        </is>
      </c>
      <c r="M1366" s="210" t="n"/>
      <c r="N1366" s="211" t="n"/>
      <c r="O1366" s="263" t="n"/>
      <c r="Q1366" s="271" t="n"/>
      <c r="R1366" s="282" t="n"/>
    </row>
    <row r="1367" ht="18" customHeight="1" s="305">
      <c r="A1367" s="8" t="n">
        <v>1750</v>
      </c>
      <c r="B1367" s="5" t="n">
        <v>163</v>
      </c>
      <c r="C1367" s="72" t="inlineStr">
        <is>
          <t>X</t>
        </is>
      </c>
      <c r="D1367" s="5" t="n">
        <v>262</v>
      </c>
      <c r="E1367" s="73">
        <f>B1367*D1367/10000</f>
        <v/>
      </c>
      <c r="F1367" s="74">
        <f>B1367/30.48</f>
        <v/>
      </c>
      <c r="G1367" s="74">
        <f>D1367/30.48</f>
        <v/>
      </c>
      <c r="H1367" s="615" t="n"/>
      <c r="J1367" s="48" t="inlineStr">
        <is>
          <t>TRS</t>
        </is>
      </c>
      <c r="K1367" s="51" t="inlineStr">
        <is>
          <t>PAC</t>
        </is>
      </c>
      <c r="M1367" s="210" t="n"/>
      <c r="N1367" s="211" t="n"/>
      <c r="O1367" s="263" t="n"/>
      <c r="P1367" s="261" t="inlineStr">
        <is>
          <t>wvn</t>
        </is>
      </c>
      <c r="Q1367" s="271" t="n"/>
      <c r="R1367" s="282" t="inlineStr">
        <is>
          <t>wvn</t>
        </is>
      </c>
    </row>
    <row r="1368" ht="18" customHeight="1" s="305">
      <c r="A1368" s="8" t="n">
        <v>1742</v>
      </c>
      <c r="B1368" s="5" t="n">
        <v>299</v>
      </c>
      <c r="C1368" s="72" t="inlineStr">
        <is>
          <t>X</t>
        </is>
      </c>
      <c r="D1368" s="5" t="n">
        <v>385</v>
      </c>
      <c r="E1368" s="73">
        <f>B1368*D1368/10000</f>
        <v/>
      </c>
      <c r="F1368" s="74">
        <f>B1368/30.48</f>
        <v/>
      </c>
      <c r="G1368" s="74">
        <f>D1368/30.48</f>
        <v/>
      </c>
      <c r="H1368" s="615" t="n"/>
      <c r="J1368" s="48" t="inlineStr">
        <is>
          <t>TRS</t>
        </is>
      </c>
      <c r="K1368" s="51" t="inlineStr">
        <is>
          <t>PAC</t>
        </is>
      </c>
      <c r="M1368" s="210" t="n"/>
      <c r="N1368" s="211" t="n"/>
      <c r="O1368" s="263" t="n"/>
      <c r="Q1368" s="271" t="n"/>
      <c r="R1368" s="282" t="n"/>
    </row>
    <row r="1369" ht="18" customHeight="1" s="305">
      <c r="A1369" s="8" t="n">
        <v>1738</v>
      </c>
      <c r="B1369" s="5" t="n">
        <v>229</v>
      </c>
      <c r="C1369" s="72" t="inlineStr">
        <is>
          <t>X</t>
        </is>
      </c>
      <c r="D1369" s="5" t="n">
        <v>345</v>
      </c>
      <c r="E1369" s="73">
        <f>B1369*D1369/10000</f>
        <v/>
      </c>
      <c r="F1369" s="74">
        <f>B1369/30.48</f>
        <v/>
      </c>
      <c r="G1369" s="74">
        <f>D1369/30.48</f>
        <v/>
      </c>
      <c r="H1369" s="615" t="n"/>
      <c r="J1369" s="48" t="inlineStr">
        <is>
          <t>TRS</t>
        </is>
      </c>
      <c r="K1369" s="51" t="inlineStr">
        <is>
          <t>PAC</t>
        </is>
      </c>
      <c r="M1369" s="210" t="n"/>
      <c r="N1369" s="211" t="n"/>
      <c r="O1369" s="263" t="n"/>
      <c r="P1369" s="261" t="inlineStr">
        <is>
          <t>wvn</t>
        </is>
      </c>
      <c r="Q1369" s="271" t="n"/>
      <c r="R1369" s="282" t="inlineStr">
        <is>
          <t>wvn</t>
        </is>
      </c>
    </row>
    <row r="1370" ht="18" customHeight="1" s="305">
      <c r="A1370" s="8" t="n">
        <v>1733</v>
      </c>
      <c r="B1370" s="5" t="n">
        <v>288</v>
      </c>
      <c r="C1370" s="72" t="inlineStr">
        <is>
          <t>X</t>
        </is>
      </c>
      <c r="D1370" s="5" t="n">
        <v>384</v>
      </c>
      <c r="E1370" s="73">
        <f>B1370*D1370/10000</f>
        <v/>
      </c>
      <c r="F1370" s="74">
        <f>B1370/30.48</f>
        <v/>
      </c>
      <c r="G1370" s="74">
        <f>D1370/30.48</f>
        <v/>
      </c>
      <c r="H1370" s="615" t="n"/>
      <c r="J1370" s="48" t="inlineStr">
        <is>
          <t>TRS</t>
        </is>
      </c>
      <c r="K1370" s="51" t="inlineStr">
        <is>
          <t>PAC</t>
        </is>
      </c>
      <c r="M1370" s="210" t="n"/>
      <c r="N1370" s="211" t="n"/>
      <c r="O1370" s="263" t="n"/>
      <c r="Q1370" s="271" t="n"/>
      <c r="R1370" s="282" t="n"/>
    </row>
    <row r="1371" ht="18" customHeight="1" s="305">
      <c r="A1371" s="8" t="n">
        <v>1745</v>
      </c>
      <c r="B1371" s="5" t="n">
        <v>227</v>
      </c>
      <c r="C1371" s="72" t="inlineStr">
        <is>
          <t>X</t>
        </is>
      </c>
      <c r="D1371" s="5" t="n">
        <v>332</v>
      </c>
      <c r="E1371" s="73">
        <f>B1371*D1371/10000</f>
        <v/>
      </c>
      <c r="F1371" s="74">
        <f>B1371/30.48</f>
        <v/>
      </c>
      <c r="G1371" s="74">
        <f>D1371/30.48</f>
        <v/>
      </c>
      <c r="H1371" s="615" t="n"/>
      <c r="J1371" s="48" t="inlineStr">
        <is>
          <t>TRS</t>
        </is>
      </c>
      <c r="M1371" s="210" t="n"/>
      <c r="N1371" s="211" t="n"/>
      <c r="O1371" s="263" t="n"/>
      <c r="Q1371" s="271" t="n"/>
      <c r="R1371" s="282" t="n"/>
    </row>
    <row r="1372" ht="18" customHeight="1" s="305">
      <c r="A1372" s="8" t="n">
        <v>1766</v>
      </c>
      <c r="B1372" s="5" t="n">
        <v>281</v>
      </c>
      <c r="C1372" s="72" t="inlineStr">
        <is>
          <t>X</t>
        </is>
      </c>
      <c r="D1372" s="5" t="n">
        <v>380</v>
      </c>
      <c r="E1372" s="73">
        <f>B1372*D1372/10000</f>
        <v/>
      </c>
      <c r="F1372" s="74">
        <f>B1372/30.48</f>
        <v/>
      </c>
      <c r="G1372" s="74">
        <f>D1372/30.48</f>
        <v/>
      </c>
      <c r="H1372" s="615" t="n"/>
      <c r="J1372" s="48" t="inlineStr">
        <is>
          <t>TRS</t>
        </is>
      </c>
      <c r="K1372" s="51" t="inlineStr">
        <is>
          <t>PAC</t>
        </is>
      </c>
      <c r="M1372" s="210" t="n"/>
      <c r="N1372" s="211" t="n"/>
      <c r="O1372" s="263" t="n"/>
      <c r="P1372" s="261" t="inlineStr">
        <is>
          <t>wvn</t>
        </is>
      </c>
      <c r="Q1372" s="271" t="n"/>
      <c r="R1372" s="282" t="inlineStr">
        <is>
          <t>wvn</t>
        </is>
      </c>
    </row>
    <row r="1373" ht="18" customHeight="1" s="305">
      <c r="A1373" s="8" t="n">
        <v>1767</v>
      </c>
      <c r="B1373" s="5" t="n">
        <v>285</v>
      </c>
      <c r="C1373" s="72" t="inlineStr">
        <is>
          <t>X</t>
        </is>
      </c>
      <c r="D1373" s="5" t="n">
        <v>377</v>
      </c>
      <c r="E1373" s="73">
        <f>B1373*D1373/10000</f>
        <v/>
      </c>
      <c r="F1373" s="74">
        <f>B1373/30.48</f>
        <v/>
      </c>
      <c r="G1373" s="74">
        <f>D1373/30.48</f>
        <v/>
      </c>
      <c r="H1373" s="615" t="n"/>
      <c r="J1373" s="48" t="inlineStr">
        <is>
          <t>TRS</t>
        </is>
      </c>
      <c r="K1373" s="51" t="inlineStr">
        <is>
          <t>PAC</t>
        </is>
      </c>
      <c r="M1373" s="210" t="n"/>
      <c r="N1373" s="211" t="n"/>
      <c r="O1373" s="263" t="n"/>
      <c r="Q1373" s="271" t="n"/>
      <c r="R1373" s="282" t="n"/>
    </row>
    <row r="1374" ht="18" customHeight="1" s="305">
      <c r="A1374" s="8" t="inlineStr">
        <is>
          <t>B 176</t>
        </is>
      </c>
      <c r="B1374" s="5" t="n">
        <v>205</v>
      </c>
      <c r="C1374" s="72" t="inlineStr">
        <is>
          <t>X</t>
        </is>
      </c>
      <c r="D1374" s="5" t="n">
        <v>315</v>
      </c>
      <c r="E1374" s="73">
        <f>B1374*D1374/10000</f>
        <v/>
      </c>
      <c r="F1374" s="74">
        <f>B1374/30.48</f>
        <v/>
      </c>
      <c r="G1374" s="74">
        <f>D1374/30.48</f>
        <v/>
      </c>
      <c r="H1374" s="615" t="n"/>
      <c r="M1374" s="210" t="n"/>
      <c r="N1374" s="211" t="n"/>
      <c r="O1374" s="340" t="inlineStr">
        <is>
          <t>SBL</t>
        </is>
      </c>
      <c r="Q1374" s="271" t="n"/>
      <c r="R1374" s="282" t="n"/>
    </row>
    <row r="1375" ht="18" customHeight="1" s="305">
      <c r="A1375" s="8" t="n">
        <v>1769</v>
      </c>
      <c r="B1375" s="5" t="n">
        <v>240</v>
      </c>
      <c r="C1375" s="72" t="inlineStr">
        <is>
          <t>X</t>
        </is>
      </c>
      <c r="D1375" s="5" t="n">
        <v>370</v>
      </c>
      <c r="E1375" s="73">
        <f>B1375*D1375/10000</f>
        <v/>
      </c>
      <c r="F1375" s="74">
        <f>B1375/30.48</f>
        <v/>
      </c>
      <c r="G1375" s="74">
        <f>D1375/30.48</f>
        <v/>
      </c>
      <c r="H1375" s="615" t="n"/>
      <c r="J1375" s="48" t="inlineStr">
        <is>
          <t>TRS</t>
        </is>
      </c>
      <c r="K1375" s="51" t="inlineStr">
        <is>
          <t>PAC</t>
        </is>
      </c>
      <c r="M1375" s="210" t="n"/>
      <c r="N1375" s="211" t="n"/>
      <c r="O1375" s="340" t="inlineStr">
        <is>
          <t>SBL</t>
        </is>
      </c>
      <c r="Q1375" s="271" t="n"/>
      <c r="R1375" s="282" t="n"/>
    </row>
    <row r="1376" ht="18" customHeight="1" s="305">
      <c r="A1376" s="8" t="n">
        <v>1772</v>
      </c>
      <c r="B1376" s="5" t="n">
        <v>204</v>
      </c>
      <c r="C1376" s="72" t="inlineStr">
        <is>
          <t>X</t>
        </is>
      </c>
      <c r="D1376" s="5" t="n">
        <v>303</v>
      </c>
      <c r="E1376" s="73">
        <f>B1376*D1376/10000</f>
        <v/>
      </c>
      <c r="F1376" s="74">
        <f>B1376/30.48</f>
        <v/>
      </c>
      <c r="G1376" s="74">
        <f>D1376/30.48</f>
        <v/>
      </c>
      <c r="H1376" s="615" t="n"/>
      <c r="I1376" s="49" t="inlineStr">
        <is>
          <t>OLD</t>
        </is>
      </c>
      <c r="J1376" s="48" t="inlineStr">
        <is>
          <t>TRS</t>
        </is>
      </c>
      <c r="K1376" s="51" t="inlineStr">
        <is>
          <t>PAC</t>
        </is>
      </c>
      <c r="M1376" s="210" t="n"/>
      <c r="N1376" s="211" t="n"/>
      <c r="O1376" s="340" t="inlineStr">
        <is>
          <t>SBL</t>
        </is>
      </c>
      <c r="Q1376" s="271" t="n"/>
      <c r="R1376" s="282" t="n"/>
    </row>
    <row r="1377" ht="18" customHeight="1" s="305">
      <c r="A1377" s="8" t="n">
        <v>1773</v>
      </c>
      <c r="B1377" s="100" t="n">
        <v>200</v>
      </c>
      <c r="C1377" s="72" t="inlineStr">
        <is>
          <t>X</t>
        </is>
      </c>
      <c r="D1377" s="5" t="n">
        <v>297</v>
      </c>
      <c r="E1377" s="73">
        <f>B1377*D1377/10000</f>
        <v/>
      </c>
      <c r="F1377" s="74">
        <f>B1377/30.48</f>
        <v/>
      </c>
      <c r="G1377" s="74">
        <f>D1377/30.48</f>
        <v/>
      </c>
      <c r="H1377" s="615" t="n"/>
      <c r="J1377" s="48" t="inlineStr">
        <is>
          <t>TRS</t>
        </is>
      </c>
      <c r="K1377" s="51" t="inlineStr">
        <is>
          <t>PAC</t>
        </is>
      </c>
      <c r="M1377" s="210" t="n"/>
      <c r="N1377" s="211" t="n"/>
      <c r="O1377" s="340" t="inlineStr">
        <is>
          <t>SBL</t>
        </is>
      </c>
      <c r="Q1377" s="271" t="inlineStr">
        <is>
          <t>RST</t>
        </is>
      </c>
      <c r="R1377" s="282" t="n"/>
    </row>
    <row r="1378" ht="18" customHeight="1" s="305">
      <c r="A1378" s="8" t="n">
        <v>1774</v>
      </c>
      <c r="B1378" s="5" t="n">
        <v>129</v>
      </c>
      <c r="C1378" s="72" t="inlineStr">
        <is>
          <t>X</t>
        </is>
      </c>
      <c r="D1378" s="5" t="n">
        <v>227</v>
      </c>
      <c r="E1378" s="73">
        <f>B1378*D1378/10000</f>
        <v/>
      </c>
      <c r="F1378" s="74">
        <f>B1378/30.48</f>
        <v/>
      </c>
      <c r="G1378" s="74">
        <f>D1378/30.48</f>
        <v/>
      </c>
      <c r="H1378" s="615" t="n"/>
      <c r="J1378" s="48" t="inlineStr">
        <is>
          <t>TRS</t>
        </is>
      </c>
      <c r="K1378" s="51" t="inlineStr">
        <is>
          <t>PAC</t>
        </is>
      </c>
      <c r="M1378" s="210" t="n"/>
      <c r="N1378" s="211" t="n"/>
      <c r="O1378" s="340" t="inlineStr">
        <is>
          <t>SBL</t>
        </is>
      </c>
      <c r="Q1378" s="271" t="inlineStr">
        <is>
          <t>RST</t>
        </is>
      </c>
      <c r="R1378" s="282" t="n"/>
    </row>
    <row r="1379" ht="18" customHeight="1" s="305">
      <c r="A1379" s="8" t="n">
        <v>1775</v>
      </c>
      <c r="B1379" s="5" t="n">
        <v>203</v>
      </c>
      <c r="C1379" s="72" t="inlineStr">
        <is>
          <t>X</t>
        </is>
      </c>
      <c r="D1379" s="5" t="n">
        <v>300</v>
      </c>
      <c r="E1379" s="73">
        <f>B1379*D1379/10000</f>
        <v/>
      </c>
      <c r="F1379" s="74">
        <f>B1379/30.48</f>
        <v/>
      </c>
      <c r="G1379" s="74">
        <f>D1379/30.48</f>
        <v/>
      </c>
      <c r="H1379" s="615" t="n"/>
      <c r="J1379" s="48" t="inlineStr">
        <is>
          <t>TRS</t>
        </is>
      </c>
      <c r="K1379" s="51" t="inlineStr">
        <is>
          <t>PAC</t>
        </is>
      </c>
      <c r="M1379" s="210" t="n"/>
      <c r="N1379" s="211" t="n"/>
      <c r="O1379" s="340" t="inlineStr">
        <is>
          <t>SBL</t>
        </is>
      </c>
      <c r="Q1379" s="271" t="n"/>
      <c r="R1379" s="282" t="n"/>
    </row>
    <row r="1380" ht="18" customHeight="1" s="305">
      <c r="A1380" s="8" t="n">
        <v>1776</v>
      </c>
      <c r="B1380" s="5" t="n">
        <v>87</v>
      </c>
      <c r="C1380" s="72" t="inlineStr">
        <is>
          <t>X</t>
        </is>
      </c>
      <c r="D1380" s="5" t="n">
        <v>373</v>
      </c>
      <c r="E1380" s="73">
        <f>B1380*D1380/10000</f>
        <v/>
      </c>
      <c r="F1380" s="74">
        <f>B1380/30.48</f>
        <v/>
      </c>
      <c r="G1380" s="74">
        <f>D1380/30.48</f>
        <v/>
      </c>
      <c r="H1380" s="615" t="n"/>
      <c r="J1380" s="48" t="inlineStr">
        <is>
          <t>TRS</t>
        </is>
      </c>
      <c r="K1380" s="51" t="inlineStr">
        <is>
          <t>PAC</t>
        </is>
      </c>
      <c r="M1380" s="210" t="n"/>
      <c r="N1380" s="211" t="n"/>
      <c r="O1380" s="340" t="inlineStr">
        <is>
          <t>SBL</t>
        </is>
      </c>
      <c r="Q1380" s="271" t="inlineStr">
        <is>
          <t>RST</t>
        </is>
      </c>
      <c r="R1380" s="282" t="n"/>
    </row>
    <row r="1381" ht="18" customHeight="1" s="305">
      <c r="A1381" s="8" t="n">
        <v>1777</v>
      </c>
      <c r="B1381" s="5" t="n">
        <v>187</v>
      </c>
      <c r="C1381" s="72" t="inlineStr">
        <is>
          <t>X</t>
        </is>
      </c>
      <c r="D1381" s="5" t="n">
        <v>293</v>
      </c>
      <c r="E1381" s="73">
        <f>B1381*D1381/10000</f>
        <v/>
      </c>
      <c r="F1381" s="74">
        <f>B1381/30.48</f>
        <v/>
      </c>
      <c r="G1381" s="74">
        <f>D1381/30.48</f>
        <v/>
      </c>
      <c r="H1381" s="615" t="n"/>
      <c r="J1381" s="48" t="inlineStr">
        <is>
          <t>TRS</t>
        </is>
      </c>
      <c r="K1381" s="51" t="inlineStr">
        <is>
          <t>PAC</t>
        </is>
      </c>
      <c r="M1381" s="210" t="n"/>
      <c r="N1381" s="211" t="n"/>
      <c r="O1381" s="340" t="inlineStr">
        <is>
          <t>SBL</t>
        </is>
      </c>
      <c r="Q1381" s="271" t="inlineStr">
        <is>
          <t>RST</t>
        </is>
      </c>
      <c r="R1381" s="282" t="n"/>
    </row>
    <row r="1382" ht="18" customHeight="1" s="305">
      <c r="A1382" s="8" t="n">
        <v>1778</v>
      </c>
      <c r="B1382" s="5" t="n">
        <v>113</v>
      </c>
      <c r="C1382" s="72" t="inlineStr">
        <is>
          <t>X</t>
        </is>
      </c>
      <c r="D1382" s="5" t="n">
        <v>214</v>
      </c>
      <c r="E1382" s="73">
        <f>B1382*D1382/10000</f>
        <v/>
      </c>
      <c r="F1382" s="74">
        <f>B1382/30.48</f>
        <v/>
      </c>
      <c r="G1382" s="74">
        <f>D1382/30.48</f>
        <v/>
      </c>
      <c r="H1382" s="615" t="n"/>
      <c r="J1382" s="48" t="inlineStr">
        <is>
          <t>TRS</t>
        </is>
      </c>
      <c r="K1382" s="51" t="inlineStr">
        <is>
          <t>PAC</t>
        </is>
      </c>
      <c r="M1382" s="210" t="n"/>
      <c r="N1382" s="211" t="n"/>
      <c r="O1382" s="340" t="inlineStr">
        <is>
          <t>SBL</t>
        </is>
      </c>
      <c r="Q1382" s="271" t="inlineStr">
        <is>
          <t>RST</t>
        </is>
      </c>
      <c r="R1382" s="282" t="n"/>
    </row>
    <row r="1383" ht="18" customHeight="1" s="305">
      <c r="A1383" s="8" t="n">
        <v>1781</v>
      </c>
      <c r="B1383" s="5" t="n">
        <v>198</v>
      </c>
      <c r="C1383" s="72" t="inlineStr">
        <is>
          <t>X</t>
        </is>
      </c>
      <c r="D1383" s="5" t="n">
        <v>302</v>
      </c>
      <c r="E1383" s="73">
        <f>B1383*D1383/10000</f>
        <v/>
      </c>
      <c r="F1383" s="74">
        <f>B1383/30.48</f>
        <v/>
      </c>
      <c r="G1383" s="74">
        <f>D1383/30.48</f>
        <v/>
      </c>
      <c r="H1383" s="615" t="n"/>
      <c r="J1383" s="48" t="inlineStr">
        <is>
          <t>TRS</t>
        </is>
      </c>
      <c r="K1383" s="51" t="inlineStr">
        <is>
          <t>PAC</t>
        </is>
      </c>
      <c r="M1383" s="210" t="n"/>
      <c r="N1383" s="211" t="n"/>
      <c r="O1383" s="340" t="inlineStr">
        <is>
          <t>SBL</t>
        </is>
      </c>
      <c r="Q1383" s="271" t="n"/>
      <c r="R1383" s="282" t="n"/>
    </row>
    <row r="1384" ht="18" customHeight="1" s="305">
      <c r="A1384" s="8" t="n">
        <v>1784</v>
      </c>
      <c r="B1384" s="5" t="n">
        <v>90</v>
      </c>
      <c r="C1384" s="72" t="inlineStr">
        <is>
          <t>X</t>
        </is>
      </c>
      <c r="D1384" s="5" t="n">
        <v>354</v>
      </c>
      <c r="E1384" s="73">
        <f>B1384*D1384/10000</f>
        <v/>
      </c>
      <c r="F1384" s="74">
        <f>B1384/30.48</f>
        <v/>
      </c>
      <c r="G1384" s="74">
        <f>D1384/30.48</f>
        <v/>
      </c>
      <c r="H1384" s="615" t="n"/>
      <c r="J1384" s="48" t="inlineStr">
        <is>
          <t>TRS</t>
        </is>
      </c>
      <c r="K1384" s="51" t="inlineStr">
        <is>
          <t>PAC</t>
        </is>
      </c>
      <c r="M1384" s="210" t="n"/>
      <c r="N1384" s="211" t="n"/>
      <c r="O1384" s="340" t="inlineStr">
        <is>
          <t>SBL</t>
        </is>
      </c>
      <c r="Q1384" s="271" t="n"/>
      <c r="R1384" s="282" t="n"/>
    </row>
    <row r="1385" ht="18" customHeight="1" s="305">
      <c r="A1385" s="8" t="n">
        <v>1785</v>
      </c>
      <c r="B1385" s="5" t="n">
        <v>209</v>
      </c>
      <c r="C1385" s="72" t="inlineStr">
        <is>
          <t>X</t>
        </is>
      </c>
      <c r="D1385" s="5" t="n">
        <v>304</v>
      </c>
      <c r="E1385" s="73">
        <f>B1385*D1385/10000</f>
        <v/>
      </c>
      <c r="F1385" s="74">
        <f>B1385/30.48</f>
        <v/>
      </c>
      <c r="G1385" s="74">
        <f>D1385/30.48</f>
        <v/>
      </c>
      <c r="H1385" s="615" t="n"/>
      <c r="J1385" s="48" t="inlineStr">
        <is>
          <t>TRS</t>
        </is>
      </c>
      <c r="K1385" s="51" t="inlineStr">
        <is>
          <t>PAC</t>
        </is>
      </c>
      <c r="M1385" s="210" t="n"/>
      <c r="N1385" s="211" t="n"/>
      <c r="O1385" s="340" t="inlineStr">
        <is>
          <t>SBL</t>
        </is>
      </c>
      <c r="Q1385" s="271" t="n"/>
      <c r="R1385" s="282" t="n"/>
    </row>
    <row r="1386" ht="18" customHeight="1" s="305">
      <c r="A1386" s="8" t="n">
        <v>1787</v>
      </c>
      <c r="B1386" s="5" t="n">
        <v>164</v>
      </c>
      <c r="C1386" s="72" t="inlineStr">
        <is>
          <t>X</t>
        </is>
      </c>
      <c r="D1386" s="5" t="n">
        <v>282</v>
      </c>
      <c r="E1386" s="73">
        <f>B1386*D1386/10000</f>
        <v/>
      </c>
      <c r="F1386" s="74">
        <f>B1386/30.48</f>
        <v/>
      </c>
      <c r="G1386" s="74">
        <f>D1386/30.48</f>
        <v/>
      </c>
      <c r="H1386" s="615" t="n"/>
      <c r="J1386" s="48" t="inlineStr">
        <is>
          <t>TRS</t>
        </is>
      </c>
      <c r="K1386" s="51" t="inlineStr">
        <is>
          <t>PAC</t>
        </is>
      </c>
      <c r="M1386" s="210" t="n"/>
      <c r="N1386" s="211" t="n"/>
      <c r="O1386" s="340" t="inlineStr">
        <is>
          <t>SBL</t>
        </is>
      </c>
      <c r="Q1386" s="271" t="inlineStr">
        <is>
          <t>RST</t>
        </is>
      </c>
      <c r="R1386" s="282" t="n"/>
    </row>
    <row r="1387" ht="18" customHeight="1" s="305">
      <c r="A1387" s="8" t="n">
        <v>1788</v>
      </c>
      <c r="B1387" s="5" t="n">
        <v>197</v>
      </c>
      <c r="C1387" s="72" t="inlineStr">
        <is>
          <t>X</t>
        </is>
      </c>
      <c r="D1387" s="5" t="n">
        <v>314</v>
      </c>
      <c r="E1387" s="73">
        <f>B1387*D1387/10000</f>
        <v/>
      </c>
      <c r="F1387" s="74">
        <f>B1387/30.48</f>
        <v/>
      </c>
      <c r="G1387" s="74">
        <f>D1387/30.48</f>
        <v/>
      </c>
      <c r="H1387" s="615" t="inlineStr">
        <is>
          <t>tamir</t>
        </is>
      </c>
      <c r="J1387" s="48" t="inlineStr">
        <is>
          <t>TRS</t>
        </is>
      </c>
      <c r="K1387" s="51" t="inlineStr">
        <is>
          <t>PAC</t>
        </is>
      </c>
      <c r="M1387" s="210" t="n"/>
      <c r="N1387" s="211" t="n"/>
      <c r="O1387" s="340" t="inlineStr">
        <is>
          <t>SBL</t>
        </is>
      </c>
      <c r="Q1387" s="271" t="inlineStr">
        <is>
          <t>RST</t>
        </is>
      </c>
      <c r="R1387" s="282" t="n"/>
    </row>
    <row r="1388" ht="18" customHeight="1" s="305">
      <c r="A1388" s="8" t="n">
        <v>1791</v>
      </c>
      <c r="B1388" s="5" t="n">
        <v>146</v>
      </c>
      <c r="C1388" s="72" t="inlineStr">
        <is>
          <t>X</t>
        </is>
      </c>
      <c r="D1388" s="5" t="n">
        <v>255</v>
      </c>
      <c r="E1388" s="73">
        <f>B1388*D1388/10000</f>
        <v/>
      </c>
      <c r="F1388" s="74">
        <f>B1388/30.48</f>
        <v/>
      </c>
      <c r="G1388" s="74">
        <f>D1388/30.48</f>
        <v/>
      </c>
      <c r="H1388" s="615" t="n"/>
      <c r="J1388" s="48" t="inlineStr">
        <is>
          <t>TRS</t>
        </is>
      </c>
      <c r="K1388" s="51" t="inlineStr">
        <is>
          <t>PAC</t>
        </is>
      </c>
      <c r="M1388" s="210" t="n"/>
      <c r="N1388" s="211" t="n"/>
      <c r="O1388" s="340" t="inlineStr">
        <is>
          <t>SBL</t>
        </is>
      </c>
      <c r="Q1388" s="271" t="inlineStr">
        <is>
          <t>RST</t>
        </is>
      </c>
      <c r="R1388" s="282" t="n"/>
    </row>
    <row r="1389" ht="18" customHeight="1" s="305">
      <c r="A1389" s="8" t="n">
        <v>1794</v>
      </c>
      <c r="B1389" s="5" t="n">
        <v>207</v>
      </c>
      <c r="C1389" s="72" t="inlineStr">
        <is>
          <t>X</t>
        </is>
      </c>
      <c r="D1389" s="5" t="n">
        <v>307</v>
      </c>
      <c r="E1389" s="73">
        <f>B1389*D1389/10000</f>
        <v/>
      </c>
      <c r="F1389" s="74">
        <f>B1389/30.48</f>
        <v/>
      </c>
      <c r="G1389" s="74">
        <f>D1389/30.48</f>
        <v/>
      </c>
      <c r="H1389" s="615" t="n"/>
      <c r="J1389" s="48" t="inlineStr">
        <is>
          <t>TRS</t>
        </is>
      </c>
      <c r="K1389" s="51" t="inlineStr">
        <is>
          <t>PAC</t>
        </is>
      </c>
      <c r="M1389" s="210" t="n"/>
      <c r="N1389" s="211" t="n"/>
      <c r="O1389" s="340" t="inlineStr">
        <is>
          <t>SBL</t>
        </is>
      </c>
      <c r="Q1389" s="271" t="n"/>
      <c r="R1389" s="282" t="n"/>
    </row>
    <row r="1390" ht="18" customHeight="1" s="305">
      <c r="A1390" s="8" t="n">
        <v>1795</v>
      </c>
      <c r="B1390" s="5" t="n">
        <v>199</v>
      </c>
      <c r="C1390" s="72" t="inlineStr">
        <is>
          <t>X</t>
        </is>
      </c>
      <c r="D1390" s="5" t="n">
        <v>317</v>
      </c>
      <c r="E1390" s="73">
        <f>B1390*D1390/10000</f>
        <v/>
      </c>
      <c r="F1390" s="74">
        <f>B1390/30.48</f>
        <v/>
      </c>
      <c r="G1390" s="74">
        <f>D1390/30.48</f>
        <v/>
      </c>
      <c r="H1390" s="615" t="n"/>
      <c r="J1390" s="48" t="inlineStr">
        <is>
          <t>TRS</t>
        </is>
      </c>
      <c r="M1390" s="210" t="n"/>
      <c r="N1390" s="211" t="n"/>
      <c r="O1390" s="340" t="inlineStr">
        <is>
          <t>SBL</t>
        </is>
      </c>
      <c r="Q1390" s="271" t="n"/>
      <c r="R1390" s="282" t="n"/>
    </row>
    <row r="1391" ht="18" customHeight="1" s="305">
      <c r="A1391" s="8" t="n">
        <v>1796</v>
      </c>
      <c r="B1391" s="5" t="n">
        <v>191</v>
      </c>
      <c r="C1391" s="72" t="inlineStr">
        <is>
          <t>X</t>
        </is>
      </c>
      <c r="D1391" s="5" t="n">
        <v>314</v>
      </c>
      <c r="E1391" s="73">
        <f>B1391*D1391/10000</f>
        <v/>
      </c>
      <c r="F1391" s="74">
        <f>B1391/30.48</f>
        <v/>
      </c>
      <c r="G1391" s="74">
        <f>D1391/30.48</f>
        <v/>
      </c>
      <c r="H1391" s="615" t="n"/>
      <c r="J1391" s="48" t="inlineStr">
        <is>
          <t>TRS</t>
        </is>
      </c>
      <c r="K1391" s="51" t="inlineStr">
        <is>
          <t>PAC</t>
        </is>
      </c>
      <c r="M1391" s="210" t="n"/>
      <c r="N1391" s="211" t="n"/>
      <c r="O1391" s="340" t="inlineStr">
        <is>
          <t>SBL</t>
        </is>
      </c>
      <c r="Q1391" s="271" t="n"/>
      <c r="R1391" s="282" t="n"/>
    </row>
    <row r="1392" ht="18" customHeight="1" s="305">
      <c r="A1392" s="8" t="n">
        <v>1797</v>
      </c>
      <c r="B1392" s="5" t="n">
        <v>195</v>
      </c>
      <c r="C1392" s="72" t="inlineStr">
        <is>
          <t>X</t>
        </is>
      </c>
      <c r="D1392" s="5" t="n">
        <v>310</v>
      </c>
      <c r="E1392" s="73">
        <f>B1392*D1392/10000</f>
        <v/>
      </c>
      <c r="F1392" s="74">
        <f>B1392/30.48</f>
        <v/>
      </c>
      <c r="G1392" s="74">
        <f>D1392/30.48</f>
        <v/>
      </c>
      <c r="H1392" s="615" t="n"/>
      <c r="J1392" s="48" t="inlineStr">
        <is>
          <t>TRS</t>
        </is>
      </c>
      <c r="K1392" s="51" t="inlineStr">
        <is>
          <t>PAC</t>
        </is>
      </c>
      <c r="M1392" s="210" t="n"/>
      <c r="N1392" s="211" t="n"/>
      <c r="O1392" s="340" t="inlineStr">
        <is>
          <t>SBL</t>
        </is>
      </c>
      <c r="Q1392" s="271" t="n"/>
      <c r="R1392" s="282" t="n"/>
    </row>
    <row r="1393" ht="18" customHeight="1" s="305">
      <c r="A1393" s="8" t="n">
        <v>1799</v>
      </c>
      <c r="B1393" s="5" t="n">
        <v>201</v>
      </c>
      <c r="C1393" s="72" t="inlineStr">
        <is>
          <t>X</t>
        </is>
      </c>
      <c r="D1393" s="5" t="n">
        <v>299</v>
      </c>
      <c r="E1393" s="73">
        <f>B1393*D1393/10000</f>
        <v/>
      </c>
      <c r="F1393" s="74">
        <f>B1393/30.48</f>
        <v/>
      </c>
      <c r="G1393" s="74">
        <f>D1393/30.48</f>
        <v/>
      </c>
      <c r="H1393" s="615" t="n"/>
      <c r="J1393" s="48" t="inlineStr">
        <is>
          <t>TRS</t>
        </is>
      </c>
      <c r="M1393" s="210" t="n"/>
      <c r="N1393" s="211" t="n"/>
      <c r="O1393" s="340" t="inlineStr">
        <is>
          <t>SBL</t>
        </is>
      </c>
      <c r="Q1393" s="271" t="inlineStr">
        <is>
          <t>RST</t>
        </is>
      </c>
      <c r="R1393" s="282" t="n"/>
    </row>
    <row r="1394" ht="18" customHeight="1" s="305">
      <c r="A1394" s="8" t="n">
        <v>1800</v>
      </c>
      <c r="B1394" s="5" t="n">
        <v>169</v>
      </c>
      <c r="C1394" s="72" t="inlineStr">
        <is>
          <t>X</t>
        </is>
      </c>
      <c r="D1394" s="5" t="n">
        <v>280</v>
      </c>
      <c r="E1394" s="73">
        <f>B1394*D1394/10000</f>
        <v/>
      </c>
      <c r="F1394" s="74">
        <f>B1394/30.48</f>
        <v/>
      </c>
      <c r="G1394" s="74">
        <f>D1394/30.48</f>
        <v/>
      </c>
      <c r="H1394" s="615" t="n"/>
      <c r="J1394" s="48" t="inlineStr">
        <is>
          <t>TRS</t>
        </is>
      </c>
      <c r="K1394" s="51" t="inlineStr">
        <is>
          <t>PAC</t>
        </is>
      </c>
      <c r="M1394" s="210" t="n"/>
      <c r="N1394" s="211" t="n"/>
      <c r="O1394" s="340" t="inlineStr">
        <is>
          <t>SBL</t>
        </is>
      </c>
      <c r="Q1394" s="271" t="inlineStr">
        <is>
          <t>RST</t>
        </is>
      </c>
      <c r="R1394" s="282" t="n"/>
    </row>
    <row r="1395" ht="18" customHeight="1" s="305">
      <c r="A1395" s="8" t="n">
        <v>1801</v>
      </c>
      <c r="B1395" s="5" t="n">
        <v>164</v>
      </c>
      <c r="C1395" s="72" t="inlineStr">
        <is>
          <t>X</t>
        </is>
      </c>
      <c r="D1395" s="5" t="n">
        <v>286</v>
      </c>
      <c r="E1395" s="73">
        <f>B1395*D1395/10000</f>
        <v/>
      </c>
      <c r="F1395" s="74">
        <f>B1395/30.48</f>
        <v/>
      </c>
      <c r="G1395" s="74">
        <f>D1395/30.48</f>
        <v/>
      </c>
      <c r="H1395" s="615" t="n"/>
      <c r="J1395" s="48" t="inlineStr">
        <is>
          <t>TRS</t>
        </is>
      </c>
      <c r="K1395" s="51" t="inlineStr">
        <is>
          <t>PAC</t>
        </is>
      </c>
      <c r="M1395" s="210" t="n"/>
      <c r="N1395" s="211" t="n"/>
      <c r="O1395" s="340" t="inlineStr">
        <is>
          <t>SBL</t>
        </is>
      </c>
      <c r="Q1395" s="271" t="inlineStr">
        <is>
          <t>RST</t>
        </is>
      </c>
      <c r="R1395" s="282" t="n"/>
    </row>
    <row r="1396" ht="18" customHeight="1" s="305">
      <c r="A1396" s="8" t="n">
        <v>1802</v>
      </c>
      <c r="B1396" s="5" t="n">
        <v>165</v>
      </c>
      <c r="C1396" s="72" t="inlineStr">
        <is>
          <t>X</t>
        </is>
      </c>
      <c r="D1396" s="5" t="n">
        <v>278</v>
      </c>
      <c r="E1396" s="73">
        <f>B1396*D1396/10000</f>
        <v/>
      </c>
      <c r="F1396" s="74">
        <f>B1396/30.48</f>
        <v/>
      </c>
      <c r="G1396" s="74">
        <f>D1396/30.48</f>
        <v/>
      </c>
      <c r="H1396" s="615" t="n"/>
      <c r="J1396" s="48" t="inlineStr">
        <is>
          <t>TRS</t>
        </is>
      </c>
      <c r="K1396" s="51" t="inlineStr">
        <is>
          <t>PAC</t>
        </is>
      </c>
      <c r="M1396" s="210" t="n"/>
      <c r="N1396" s="211" t="n"/>
      <c r="O1396" s="340" t="inlineStr">
        <is>
          <t>SBL</t>
        </is>
      </c>
      <c r="Q1396" s="271" t="inlineStr">
        <is>
          <t>RST</t>
        </is>
      </c>
      <c r="R1396" s="282" t="n"/>
    </row>
    <row r="1397" ht="18" customHeight="1" s="305">
      <c r="A1397" s="8" t="n">
        <v>1803</v>
      </c>
      <c r="B1397" s="5" t="n">
        <v>120</v>
      </c>
      <c r="C1397" s="72" t="inlineStr">
        <is>
          <t>X</t>
        </is>
      </c>
      <c r="D1397" s="5" t="n">
        <v>201</v>
      </c>
      <c r="E1397" s="73">
        <f>B1397*D1397/10000</f>
        <v/>
      </c>
      <c r="F1397" s="74">
        <f>B1397/30.48</f>
        <v/>
      </c>
      <c r="G1397" s="74">
        <f>D1397/30.48</f>
        <v/>
      </c>
      <c r="H1397" s="615" t="n"/>
      <c r="J1397" s="48" t="inlineStr">
        <is>
          <t>TRS</t>
        </is>
      </c>
      <c r="K1397" s="51" t="inlineStr">
        <is>
          <t>PAC</t>
        </is>
      </c>
      <c r="M1397" s="210" t="n"/>
      <c r="N1397" s="211" t="n"/>
      <c r="O1397" s="340" t="inlineStr">
        <is>
          <t>SBL</t>
        </is>
      </c>
      <c r="Q1397" s="271" t="inlineStr">
        <is>
          <t>RST</t>
        </is>
      </c>
      <c r="R1397" s="282" t="n"/>
    </row>
    <row r="1398" ht="18" customHeight="1" s="305">
      <c r="A1398" s="8" t="n">
        <v>1805</v>
      </c>
      <c r="B1398" s="5" t="n">
        <v>161</v>
      </c>
      <c r="C1398" s="72" t="inlineStr">
        <is>
          <t>X</t>
        </is>
      </c>
      <c r="D1398" s="5" t="n">
        <v>257</v>
      </c>
      <c r="E1398" s="73">
        <f>B1398*D1398/10000</f>
        <v/>
      </c>
      <c r="F1398" s="74">
        <f>B1398/30.48</f>
        <v/>
      </c>
      <c r="G1398" s="74">
        <f>D1398/30.48</f>
        <v/>
      </c>
      <c r="H1398" s="615" t="n"/>
      <c r="J1398" s="48" t="inlineStr">
        <is>
          <t>TRS</t>
        </is>
      </c>
      <c r="K1398" s="51" t="inlineStr">
        <is>
          <t>PAC</t>
        </is>
      </c>
      <c r="M1398" s="210" t="n"/>
      <c r="N1398" s="211" t="n"/>
      <c r="O1398" s="340" t="inlineStr">
        <is>
          <t>SBL</t>
        </is>
      </c>
      <c r="Q1398" s="271" t="inlineStr">
        <is>
          <t>RST</t>
        </is>
      </c>
      <c r="R1398" s="282" t="n"/>
    </row>
    <row r="1399" ht="18" customHeight="1" s="305">
      <c r="A1399" s="8" t="n">
        <v>1807</v>
      </c>
      <c r="B1399" s="5" t="n">
        <v>150</v>
      </c>
      <c r="C1399" s="72" t="inlineStr">
        <is>
          <t>X</t>
        </is>
      </c>
      <c r="D1399" s="5" t="n">
        <v>273</v>
      </c>
      <c r="E1399" s="73">
        <f>B1399*D1399/10000</f>
        <v/>
      </c>
      <c r="F1399" s="74">
        <f>B1399/30.48</f>
        <v/>
      </c>
      <c r="G1399" s="74">
        <f>D1399/30.48</f>
        <v/>
      </c>
      <c r="H1399" s="615" t="n"/>
      <c r="J1399" s="48" t="inlineStr">
        <is>
          <t>TRS</t>
        </is>
      </c>
      <c r="K1399" s="51" t="inlineStr">
        <is>
          <t>PAC</t>
        </is>
      </c>
      <c r="M1399" s="210" t="n"/>
      <c r="N1399" s="211" t="n"/>
      <c r="O1399" s="340" t="inlineStr">
        <is>
          <t>SBL</t>
        </is>
      </c>
      <c r="Q1399" s="271" t="inlineStr">
        <is>
          <t>RST</t>
        </is>
      </c>
      <c r="R1399" s="282" t="n"/>
    </row>
    <row r="1400" ht="18" customHeight="1" s="305">
      <c r="A1400" s="8" t="n">
        <v>1809</v>
      </c>
      <c r="B1400" s="5" t="n">
        <v>114</v>
      </c>
      <c r="C1400" s="72" t="inlineStr">
        <is>
          <t>X</t>
        </is>
      </c>
      <c r="D1400" s="5" t="n">
        <v>216</v>
      </c>
      <c r="E1400" s="73">
        <f>B1400*D1400/10000</f>
        <v/>
      </c>
      <c r="F1400" s="74">
        <f>B1400/30.48</f>
        <v/>
      </c>
      <c r="G1400" s="74">
        <f>D1400/30.48</f>
        <v/>
      </c>
      <c r="H1400" s="615" t="n"/>
      <c r="J1400" s="48" t="inlineStr">
        <is>
          <t>TRS</t>
        </is>
      </c>
      <c r="K1400" s="51" t="inlineStr">
        <is>
          <t>PAC</t>
        </is>
      </c>
      <c r="M1400" s="210" t="n"/>
      <c r="N1400" s="211" t="n"/>
      <c r="O1400" s="340" t="inlineStr">
        <is>
          <t>SBL</t>
        </is>
      </c>
      <c r="Q1400" s="271" t="inlineStr">
        <is>
          <t>RST</t>
        </is>
      </c>
      <c r="R1400" s="282" t="n"/>
    </row>
    <row r="1401" ht="18" customHeight="1" s="305">
      <c r="A1401" s="8" t="n">
        <v>1810</v>
      </c>
      <c r="B1401" s="5" t="n">
        <v>85</v>
      </c>
      <c r="C1401" s="72" t="inlineStr">
        <is>
          <t>X</t>
        </is>
      </c>
      <c r="D1401" s="5" t="n">
        <v>294</v>
      </c>
      <c r="E1401" s="73">
        <f>B1401*D1401/10000</f>
        <v/>
      </c>
      <c r="F1401" s="74">
        <f>B1401/30.48</f>
        <v/>
      </c>
      <c r="G1401" s="74">
        <f>D1401/30.48</f>
        <v/>
      </c>
      <c r="H1401" s="615" t="n"/>
      <c r="J1401" s="48" t="inlineStr">
        <is>
          <t>TRS</t>
        </is>
      </c>
      <c r="K1401" s="51" t="inlineStr">
        <is>
          <t>PAC</t>
        </is>
      </c>
      <c r="M1401" s="210" t="n"/>
      <c r="N1401" s="211" t="n"/>
      <c r="O1401" s="340" t="inlineStr">
        <is>
          <t>SBL</t>
        </is>
      </c>
      <c r="R1401" s="282" t="n"/>
    </row>
    <row r="1402" ht="18" customHeight="1" s="305">
      <c r="A1402" s="8" t="n">
        <v>1812</v>
      </c>
      <c r="B1402" s="5" t="n">
        <v>66</v>
      </c>
      <c r="C1402" s="72" t="inlineStr">
        <is>
          <t>X</t>
        </is>
      </c>
      <c r="D1402" s="5" t="n">
        <v>291</v>
      </c>
      <c r="E1402" s="73">
        <f>B1402*D1402/10000</f>
        <v/>
      </c>
      <c r="F1402" s="74">
        <f>B1402/30.48</f>
        <v/>
      </c>
      <c r="G1402" s="74">
        <f>D1402/30.48</f>
        <v/>
      </c>
      <c r="H1402" s="615" t="n"/>
      <c r="J1402" s="48" t="inlineStr">
        <is>
          <t>TRS</t>
        </is>
      </c>
      <c r="K1402" s="51" t="inlineStr">
        <is>
          <t>PAC</t>
        </is>
      </c>
      <c r="M1402" s="210" t="n"/>
      <c r="N1402" s="211" t="n"/>
      <c r="O1402" s="340" t="inlineStr">
        <is>
          <t>SBL</t>
        </is>
      </c>
      <c r="Q1402" s="271" t="n"/>
      <c r="R1402" s="282" t="n"/>
    </row>
    <row r="1403" ht="18" customHeight="1" s="305">
      <c r="A1403" s="8" t="n">
        <v>1813</v>
      </c>
      <c r="B1403" s="5" t="n">
        <v>145</v>
      </c>
      <c r="C1403" s="72" t="inlineStr">
        <is>
          <t>X</t>
        </is>
      </c>
      <c r="D1403" s="5" t="n">
        <v>236</v>
      </c>
      <c r="E1403" s="73">
        <f>B1403*D1403/10000</f>
        <v/>
      </c>
      <c r="F1403" s="74">
        <f>B1403/30.48</f>
        <v/>
      </c>
      <c r="G1403" s="74">
        <f>D1403/30.48</f>
        <v/>
      </c>
      <c r="H1403" s="615" t="n"/>
      <c r="J1403" s="48" t="inlineStr">
        <is>
          <t>TRS</t>
        </is>
      </c>
      <c r="K1403" s="51" t="inlineStr">
        <is>
          <t>PAC</t>
        </is>
      </c>
      <c r="M1403" s="210" t="n"/>
      <c r="N1403" s="211" t="n"/>
      <c r="O1403" s="340" t="inlineStr">
        <is>
          <t>SBL</t>
        </is>
      </c>
      <c r="Q1403" s="271" t="inlineStr">
        <is>
          <t>RST</t>
        </is>
      </c>
      <c r="R1403" s="282" t="n"/>
    </row>
    <row r="1404" ht="18" customHeight="1" s="305">
      <c r="A1404" s="8" t="n">
        <v>1814</v>
      </c>
      <c r="B1404" s="5" t="n">
        <v>177</v>
      </c>
      <c r="C1404" s="72" t="inlineStr">
        <is>
          <t>X</t>
        </is>
      </c>
      <c r="D1404" s="5" t="n">
        <v>314</v>
      </c>
      <c r="E1404" s="73">
        <f>B1404*D1404/10000</f>
        <v/>
      </c>
      <c r="F1404" s="74">
        <f>B1404/30.48</f>
        <v/>
      </c>
      <c r="G1404" s="74">
        <f>D1404/30.48</f>
        <v/>
      </c>
      <c r="H1404" s="615" t="n"/>
      <c r="J1404" s="48" t="inlineStr">
        <is>
          <t>TRS</t>
        </is>
      </c>
      <c r="K1404" s="51" t="inlineStr">
        <is>
          <t>PAC</t>
        </is>
      </c>
      <c r="M1404" s="210" t="n"/>
      <c r="N1404" s="211" t="n"/>
      <c r="O1404" s="340" t="inlineStr">
        <is>
          <t>SBL</t>
        </is>
      </c>
      <c r="Q1404" s="271" t="inlineStr">
        <is>
          <t>RST</t>
        </is>
      </c>
      <c r="R1404" s="282" t="n"/>
    </row>
    <row r="1405" ht="18" customHeight="1" s="305">
      <c r="A1405" s="8" t="n">
        <v>1815</v>
      </c>
      <c r="B1405" s="5" t="n">
        <v>207</v>
      </c>
      <c r="C1405" s="72" t="inlineStr">
        <is>
          <t>X</t>
        </is>
      </c>
      <c r="D1405" s="5" t="n">
        <v>324</v>
      </c>
      <c r="E1405" s="73">
        <f>B1405*D1405/10000</f>
        <v/>
      </c>
      <c r="F1405" s="74">
        <f>B1405/30.48</f>
        <v/>
      </c>
      <c r="G1405" s="74">
        <f>D1405/30.48</f>
        <v/>
      </c>
      <c r="H1405" s="615" t="n"/>
      <c r="J1405" s="48" t="inlineStr">
        <is>
          <t>TRS</t>
        </is>
      </c>
      <c r="K1405" s="51" t="inlineStr">
        <is>
          <t>PAC</t>
        </is>
      </c>
      <c r="M1405" s="210" t="n"/>
      <c r="N1405" s="211" t="n"/>
      <c r="O1405" s="340" t="inlineStr">
        <is>
          <t>SBL</t>
        </is>
      </c>
      <c r="Q1405" s="271" t="n"/>
      <c r="R1405" s="282" t="n"/>
    </row>
    <row r="1406" ht="18" customHeight="1" s="305">
      <c r="A1406" s="8" t="n">
        <v>1816</v>
      </c>
      <c r="B1406" s="5" t="n">
        <v>177</v>
      </c>
      <c r="C1406" s="72" t="inlineStr">
        <is>
          <t>X</t>
        </is>
      </c>
      <c r="D1406" s="5" t="n">
        <v>253</v>
      </c>
      <c r="E1406" s="73">
        <f>B1406*D1406/10000</f>
        <v/>
      </c>
      <c r="F1406" s="74">
        <f>B1406/30.48</f>
        <v/>
      </c>
      <c r="G1406" s="74">
        <f>D1406/30.48</f>
        <v/>
      </c>
      <c r="H1406" s="615" t="n"/>
      <c r="J1406" s="48" t="inlineStr">
        <is>
          <t>TRS</t>
        </is>
      </c>
      <c r="K1406" s="51" t="inlineStr">
        <is>
          <t>PAC</t>
        </is>
      </c>
      <c r="M1406" s="210" t="n"/>
      <c r="N1406" s="211" t="n"/>
      <c r="O1406" s="340" t="inlineStr">
        <is>
          <t>SBL</t>
        </is>
      </c>
      <c r="Q1406" s="271" t="inlineStr">
        <is>
          <t>RST</t>
        </is>
      </c>
      <c r="R1406" s="282" t="n"/>
    </row>
    <row r="1407" ht="18" customHeight="1" s="305">
      <c r="A1407" s="8" t="n">
        <v>1817</v>
      </c>
      <c r="B1407" s="5" t="n">
        <v>208</v>
      </c>
      <c r="C1407" s="72" t="inlineStr">
        <is>
          <t>X</t>
        </is>
      </c>
      <c r="D1407" s="5" t="n">
        <v>312</v>
      </c>
      <c r="E1407" s="73">
        <f>B1407*D1407/10000</f>
        <v/>
      </c>
      <c r="F1407" s="74">
        <f>B1407/30.48</f>
        <v/>
      </c>
      <c r="G1407" s="74">
        <f>D1407/30.48</f>
        <v/>
      </c>
      <c r="H1407" s="615" t="n"/>
      <c r="J1407" s="48" t="inlineStr">
        <is>
          <t>TRS</t>
        </is>
      </c>
      <c r="K1407" s="51" t="inlineStr">
        <is>
          <t>PAC</t>
        </is>
      </c>
      <c r="M1407" s="210" t="n"/>
      <c r="N1407" s="211" t="n"/>
      <c r="O1407" s="340" t="inlineStr">
        <is>
          <t>SBL</t>
        </is>
      </c>
      <c r="Q1407" s="271" t="n"/>
      <c r="R1407" s="282" t="n"/>
    </row>
    <row r="1408" ht="18" customHeight="1" s="305">
      <c r="A1408" s="8" t="n">
        <v>1819</v>
      </c>
      <c r="B1408" s="5" t="n">
        <v>176</v>
      </c>
      <c r="C1408" s="72" t="inlineStr">
        <is>
          <t>X</t>
        </is>
      </c>
      <c r="D1408" s="5" t="n">
        <v>276</v>
      </c>
      <c r="E1408" s="73">
        <f>B1408*D1408/10000</f>
        <v/>
      </c>
      <c r="F1408" s="74">
        <f>B1408/30.48</f>
        <v/>
      </c>
      <c r="G1408" s="74">
        <f>D1408/30.48</f>
        <v/>
      </c>
      <c r="H1408" s="615" t="n"/>
      <c r="J1408" s="48" t="inlineStr">
        <is>
          <t>TRS</t>
        </is>
      </c>
      <c r="K1408" s="51" t="inlineStr">
        <is>
          <t>PAC</t>
        </is>
      </c>
      <c r="M1408" s="210" t="n"/>
      <c r="N1408" s="211" t="n"/>
      <c r="O1408" s="340" t="inlineStr">
        <is>
          <t>SBL</t>
        </is>
      </c>
      <c r="Q1408" s="271" t="inlineStr">
        <is>
          <t>RST</t>
        </is>
      </c>
      <c r="R1408" s="282" t="n"/>
    </row>
    <row r="1409" ht="18" customHeight="1" s="305">
      <c r="A1409" s="8" t="n">
        <v>1822</v>
      </c>
      <c r="B1409" s="5" t="n">
        <v>193</v>
      </c>
      <c r="C1409" s="72" t="inlineStr">
        <is>
          <t>X</t>
        </is>
      </c>
      <c r="D1409" s="5" t="n">
        <v>298</v>
      </c>
      <c r="E1409" s="73">
        <f>B1409*D1409/10000</f>
        <v/>
      </c>
      <c r="F1409" s="74">
        <f>B1409/30.48</f>
        <v/>
      </c>
      <c r="G1409" s="74">
        <f>D1409/30.48</f>
        <v/>
      </c>
      <c r="H1409" s="615" t="n"/>
      <c r="J1409" s="48" t="inlineStr">
        <is>
          <t>TRS</t>
        </is>
      </c>
      <c r="K1409" s="51" t="inlineStr">
        <is>
          <t>PAC</t>
        </is>
      </c>
      <c r="M1409" s="210" t="n"/>
      <c r="N1409" s="211" t="n"/>
      <c r="O1409" s="340" t="inlineStr">
        <is>
          <t>SBL</t>
        </is>
      </c>
      <c r="Q1409" s="271" t="inlineStr">
        <is>
          <t>RST</t>
        </is>
      </c>
      <c r="R1409" s="282" t="n"/>
    </row>
    <row r="1410" ht="18" customHeight="1" s="305">
      <c r="A1410" s="8" t="n">
        <v>1823</v>
      </c>
      <c r="B1410" s="5" t="n">
        <v>224</v>
      </c>
      <c r="C1410" s="72" t="inlineStr">
        <is>
          <t>X</t>
        </is>
      </c>
      <c r="D1410" s="5" t="n">
        <v>326</v>
      </c>
      <c r="E1410" s="73">
        <f>B1410*D1410/10000</f>
        <v/>
      </c>
      <c r="F1410" s="74">
        <f>B1410/30.48</f>
        <v/>
      </c>
      <c r="G1410" s="74">
        <f>D1410/30.48</f>
        <v/>
      </c>
      <c r="H1410" s="615" t="n"/>
      <c r="J1410" s="48" t="inlineStr">
        <is>
          <t>TRS</t>
        </is>
      </c>
      <c r="K1410" s="51" t="inlineStr">
        <is>
          <t>PAC</t>
        </is>
      </c>
      <c r="M1410" s="210" t="n"/>
      <c r="N1410" s="211" t="n"/>
      <c r="O1410" s="340" t="inlineStr">
        <is>
          <t>SBL</t>
        </is>
      </c>
      <c r="Q1410" s="271" t="n"/>
      <c r="R1410" s="282" t="n"/>
    </row>
    <row r="1411" ht="18" customHeight="1" s="305">
      <c r="A1411" s="8" t="n">
        <v>1824</v>
      </c>
      <c r="B1411" s="5" t="n">
        <v>217</v>
      </c>
      <c r="C1411" s="72" t="inlineStr">
        <is>
          <t>X</t>
        </is>
      </c>
      <c r="D1411" s="5" t="n">
        <v>350</v>
      </c>
      <c r="E1411" s="73">
        <f>B1411*D1411/10000</f>
        <v/>
      </c>
      <c r="F1411" s="74">
        <f>B1411/30.48</f>
        <v/>
      </c>
      <c r="G1411" s="74">
        <f>D1411/30.48</f>
        <v/>
      </c>
      <c r="H1411" s="615" t="n"/>
      <c r="J1411" s="48" t="inlineStr">
        <is>
          <t>TRS</t>
        </is>
      </c>
      <c r="K1411" s="51" t="inlineStr">
        <is>
          <t>PAC</t>
        </is>
      </c>
      <c r="M1411" s="210" t="n"/>
      <c r="N1411" s="211" t="n"/>
      <c r="O1411" s="340" t="inlineStr">
        <is>
          <t>SBL</t>
        </is>
      </c>
      <c r="Q1411" s="271" t="n"/>
      <c r="R1411" s="282" t="n"/>
    </row>
    <row r="1412" ht="18" customHeight="1" s="305">
      <c r="A1412" s="8" t="n">
        <v>1827</v>
      </c>
      <c r="B1412" s="5" t="n">
        <v>77</v>
      </c>
      <c r="C1412" s="72" t="inlineStr">
        <is>
          <t>X</t>
        </is>
      </c>
      <c r="D1412" s="5" t="n">
        <v>201</v>
      </c>
      <c r="E1412" s="73">
        <f>B1412*D1412/10000</f>
        <v/>
      </c>
      <c r="F1412" s="74">
        <f>B1412/30.48</f>
        <v/>
      </c>
      <c r="G1412" s="74">
        <f>D1412/30.48</f>
        <v/>
      </c>
      <c r="H1412" s="615" t="n"/>
      <c r="I1412" s="49" t="inlineStr">
        <is>
          <t>OLD</t>
        </is>
      </c>
      <c r="J1412" s="48" t="inlineStr">
        <is>
          <t>TRS</t>
        </is>
      </c>
      <c r="K1412" s="51" t="inlineStr">
        <is>
          <t>PAC</t>
        </is>
      </c>
      <c r="M1412" s="210" t="n"/>
      <c r="N1412" s="211" t="n"/>
      <c r="O1412" s="340" t="inlineStr">
        <is>
          <t>SBL</t>
        </is>
      </c>
      <c r="Q1412" s="271" t="n"/>
      <c r="R1412" s="282" t="n"/>
    </row>
    <row r="1413" ht="18" customHeight="1" s="305">
      <c r="A1413" s="8" t="n">
        <v>1828</v>
      </c>
      <c r="B1413" s="5" t="n">
        <v>115</v>
      </c>
      <c r="C1413" s="72" t="inlineStr">
        <is>
          <t>X</t>
        </is>
      </c>
      <c r="D1413" s="5" t="n">
        <v>208</v>
      </c>
      <c r="E1413" s="73">
        <f>B1413*D1413/10000</f>
        <v/>
      </c>
      <c r="F1413" s="74">
        <f>B1413/30.48</f>
        <v/>
      </c>
      <c r="G1413" s="74">
        <f>D1413/30.48</f>
        <v/>
      </c>
      <c r="H1413" s="615" t="n"/>
      <c r="J1413" s="48" t="inlineStr">
        <is>
          <t>TRS</t>
        </is>
      </c>
      <c r="K1413" s="51" t="inlineStr">
        <is>
          <t>PAC</t>
        </is>
      </c>
      <c r="M1413" s="210" t="n"/>
      <c r="N1413" s="211" t="n"/>
      <c r="O1413" s="340" t="inlineStr">
        <is>
          <t>SBL</t>
        </is>
      </c>
      <c r="Q1413" s="271" t="inlineStr">
        <is>
          <t>RST</t>
        </is>
      </c>
      <c r="R1413" s="282" t="n"/>
    </row>
    <row r="1414" ht="18" customHeight="1" s="305">
      <c r="A1414" s="8" t="n">
        <v>1832</v>
      </c>
      <c r="B1414" s="5" t="n">
        <v>189</v>
      </c>
      <c r="C1414" s="72" t="inlineStr">
        <is>
          <t>X</t>
        </is>
      </c>
      <c r="D1414" s="5" t="n">
        <v>272</v>
      </c>
      <c r="E1414" s="73">
        <f>B1414*D1414/10000</f>
        <v/>
      </c>
      <c r="F1414" s="74">
        <f>B1414/30.48</f>
        <v/>
      </c>
      <c r="G1414" s="74">
        <f>D1414/30.48</f>
        <v/>
      </c>
      <c r="H1414" s="615" t="n"/>
      <c r="J1414" s="48" t="inlineStr">
        <is>
          <t>TRS</t>
        </is>
      </c>
      <c r="K1414" s="51" t="inlineStr">
        <is>
          <t>PAC</t>
        </is>
      </c>
      <c r="M1414" s="210" t="n"/>
      <c r="N1414" s="211" t="n"/>
      <c r="O1414" s="340" t="inlineStr">
        <is>
          <t>SBL</t>
        </is>
      </c>
      <c r="Q1414" s="271" t="n"/>
      <c r="R1414" s="282" t="n"/>
    </row>
    <row r="1415" ht="18" customHeight="1" s="305">
      <c r="A1415" s="8" t="n">
        <v>1834</v>
      </c>
      <c r="B1415" s="5" t="n">
        <v>171</v>
      </c>
      <c r="C1415" s="72" t="inlineStr">
        <is>
          <t>X</t>
        </is>
      </c>
      <c r="D1415" s="5" t="n">
        <v>280</v>
      </c>
      <c r="E1415" s="73">
        <f>B1415*D1415/10000</f>
        <v/>
      </c>
      <c r="F1415" s="74">
        <f>B1415/30.48</f>
        <v/>
      </c>
      <c r="G1415" s="74">
        <f>D1415/30.48</f>
        <v/>
      </c>
      <c r="H1415" s="615" t="n"/>
      <c r="J1415" s="48" t="inlineStr">
        <is>
          <t>TRS</t>
        </is>
      </c>
      <c r="K1415" s="51" t="inlineStr">
        <is>
          <t>PAC</t>
        </is>
      </c>
      <c r="M1415" s="210" t="n"/>
      <c r="N1415" s="211" t="n"/>
      <c r="O1415" s="340" t="inlineStr">
        <is>
          <t>SBL</t>
        </is>
      </c>
      <c r="Q1415" s="271" t="inlineStr">
        <is>
          <t>RST</t>
        </is>
      </c>
      <c r="R1415" s="282" t="n"/>
    </row>
    <row r="1416" ht="18" customHeight="1" s="305">
      <c r="A1416" s="8" t="n">
        <v>1838</v>
      </c>
      <c r="B1416" s="5" t="n">
        <v>203</v>
      </c>
      <c r="C1416" s="72" t="inlineStr">
        <is>
          <t>X</t>
        </is>
      </c>
      <c r="D1416" s="5" t="n">
        <v>290</v>
      </c>
      <c r="E1416" s="73">
        <f>B1416*D1416/10000</f>
        <v/>
      </c>
      <c r="F1416" s="74">
        <f>B1416/30.48</f>
        <v/>
      </c>
      <c r="G1416" s="74">
        <f>D1416/30.48</f>
        <v/>
      </c>
      <c r="H1416" s="615" t="n"/>
      <c r="J1416" s="48" t="inlineStr">
        <is>
          <t>TRS</t>
        </is>
      </c>
      <c r="K1416" s="51" t="inlineStr">
        <is>
          <t>PAC</t>
        </is>
      </c>
      <c r="M1416" s="210" t="n"/>
      <c r="N1416" s="211" t="n"/>
      <c r="O1416" s="340" t="inlineStr">
        <is>
          <t>SBL</t>
        </is>
      </c>
      <c r="Q1416" s="271" t="n"/>
      <c r="R1416" s="282" t="n"/>
    </row>
    <row r="1417" ht="18" customHeight="1" s="305">
      <c r="A1417" s="8" t="n">
        <v>1844</v>
      </c>
      <c r="B1417" s="5" t="n">
        <v>85</v>
      </c>
      <c r="C1417" s="72" t="inlineStr">
        <is>
          <t>X</t>
        </is>
      </c>
      <c r="D1417" s="5" t="n">
        <v>324</v>
      </c>
      <c r="E1417" s="73">
        <f>B1417*D1417/10000</f>
        <v/>
      </c>
      <c r="F1417" s="74">
        <f>B1417/30.48</f>
        <v/>
      </c>
      <c r="G1417" s="74">
        <f>D1417/30.48</f>
        <v/>
      </c>
      <c r="H1417" s="615" t="n"/>
      <c r="J1417" s="48" t="inlineStr">
        <is>
          <t>TRS</t>
        </is>
      </c>
      <c r="K1417" s="51" t="inlineStr">
        <is>
          <t>PAC</t>
        </is>
      </c>
      <c r="M1417" s="210" t="n"/>
      <c r="N1417" s="211" t="n"/>
      <c r="O1417" s="340" t="inlineStr">
        <is>
          <t>SBL</t>
        </is>
      </c>
      <c r="Q1417" s="271" t="n"/>
      <c r="R1417" s="282" t="n"/>
    </row>
    <row r="1418" ht="18" customHeight="1" s="305">
      <c r="A1418" s="8" t="n">
        <v>1845</v>
      </c>
      <c r="B1418" s="5" t="n">
        <v>75</v>
      </c>
      <c r="C1418" s="72" t="inlineStr">
        <is>
          <t>X</t>
        </is>
      </c>
      <c r="D1418" s="5" t="n">
        <v>311</v>
      </c>
      <c r="E1418" s="73">
        <f>B1418*D1418/10000</f>
        <v/>
      </c>
      <c r="F1418" s="74">
        <f>B1418/30.48</f>
        <v/>
      </c>
      <c r="G1418" s="74">
        <f>D1418/30.48</f>
        <v/>
      </c>
      <c r="H1418" s="615" t="n"/>
      <c r="J1418" s="48" t="inlineStr">
        <is>
          <t>TRS</t>
        </is>
      </c>
      <c r="K1418" s="51" t="inlineStr">
        <is>
          <t>PAC</t>
        </is>
      </c>
      <c r="M1418" s="210" t="n"/>
      <c r="N1418" s="211" t="n"/>
      <c r="O1418" s="340" t="inlineStr">
        <is>
          <t>SBL</t>
        </is>
      </c>
      <c r="Q1418" s="271" t="n"/>
      <c r="R1418" s="282" t="n"/>
    </row>
    <row r="1419" ht="18" customHeight="1" s="305">
      <c r="A1419" s="8" t="n">
        <v>1847</v>
      </c>
      <c r="B1419" s="5" t="n">
        <v>59</v>
      </c>
      <c r="C1419" s="72" t="inlineStr">
        <is>
          <t>X</t>
        </is>
      </c>
      <c r="D1419" s="5" t="n">
        <v>332</v>
      </c>
      <c r="E1419" s="73">
        <f>B1419*D1419/10000</f>
        <v/>
      </c>
      <c r="F1419" s="74">
        <f>B1419/30.48</f>
        <v/>
      </c>
      <c r="G1419" s="74">
        <f>D1419/30.48</f>
        <v/>
      </c>
      <c r="H1419" s="615" t="n"/>
      <c r="I1419" s="49" t="inlineStr">
        <is>
          <t>OLD</t>
        </is>
      </c>
      <c r="J1419" s="48" t="inlineStr">
        <is>
          <t>TRS</t>
        </is>
      </c>
      <c r="K1419" s="51" t="inlineStr">
        <is>
          <t>PAC</t>
        </is>
      </c>
      <c r="L1419" s="105" t="inlineStr">
        <is>
          <t>VR</t>
        </is>
      </c>
      <c r="M1419" s="210" t="n"/>
      <c r="N1419" s="211" t="n"/>
      <c r="O1419" s="340" t="inlineStr">
        <is>
          <t>SBL</t>
        </is>
      </c>
      <c r="Q1419" s="271" t="inlineStr">
        <is>
          <t>RST</t>
        </is>
      </c>
      <c r="R1419" s="282" t="n"/>
    </row>
    <row r="1420" ht="18" customHeight="1" s="305">
      <c r="A1420" s="8" t="n">
        <v>1848</v>
      </c>
      <c r="B1420" s="5" t="n">
        <v>79</v>
      </c>
      <c r="C1420" s="72" t="inlineStr">
        <is>
          <t>X</t>
        </is>
      </c>
      <c r="D1420" s="5" t="n">
        <v>267</v>
      </c>
      <c r="E1420" s="73">
        <f>B1420*D1420/10000</f>
        <v/>
      </c>
      <c r="F1420" s="74">
        <f>B1420/30.48</f>
        <v/>
      </c>
      <c r="G1420" s="74">
        <f>D1420/30.48</f>
        <v/>
      </c>
      <c r="H1420" s="615" t="n"/>
      <c r="I1420" s="49" t="inlineStr">
        <is>
          <t>OLD</t>
        </is>
      </c>
      <c r="J1420" s="48" t="inlineStr">
        <is>
          <t>TRS</t>
        </is>
      </c>
      <c r="K1420" s="51" t="inlineStr">
        <is>
          <t>PAC</t>
        </is>
      </c>
      <c r="L1420" s="105" t="inlineStr">
        <is>
          <t>VR</t>
        </is>
      </c>
      <c r="M1420" s="210" t="n"/>
      <c r="N1420" s="211" t="n"/>
      <c r="O1420" s="340" t="inlineStr">
        <is>
          <t>SBL</t>
        </is>
      </c>
      <c r="Q1420" s="271" t="inlineStr">
        <is>
          <t>RST</t>
        </is>
      </c>
      <c r="R1420" s="282" t="n"/>
    </row>
    <row r="1421" ht="18" customHeight="1" s="305">
      <c r="A1421" s="8" t="n">
        <v>1849</v>
      </c>
      <c r="B1421" s="5" t="n">
        <v>90</v>
      </c>
      <c r="C1421" s="72" t="inlineStr">
        <is>
          <t>X</t>
        </is>
      </c>
      <c r="D1421" s="5" t="n">
        <v>353</v>
      </c>
      <c r="E1421" s="73">
        <f>B1421*D1421/10000</f>
        <v/>
      </c>
      <c r="F1421" s="74">
        <f>B1421/30.48</f>
        <v/>
      </c>
      <c r="G1421" s="74">
        <f>D1421/30.48</f>
        <v/>
      </c>
      <c r="H1421" s="615" t="n"/>
      <c r="J1421" s="48" t="inlineStr">
        <is>
          <t>TRS</t>
        </is>
      </c>
      <c r="K1421" s="51" t="inlineStr">
        <is>
          <t>PAC</t>
        </is>
      </c>
      <c r="L1421" s="105" t="inlineStr">
        <is>
          <t>VR</t>
        </is>
      </c>
      <c r="M1421" s="210" t="n"/>
      <c r="N1421" s="211" t="n"/>
      <c r="O1421" s="340" t="inlineStr">
        <is>
          <t>SBL</t>
        </is>
      </c>
      <c r="Q1421" s="271" t="inlineStr">
        <is>
          <t>RST</t>
        </is>
      </c>
      <c r="R1421" s="282" t="n"/>
    </row>
    <row r="1422" ht="18" customHeight="1" s="305">
      <c r="A1422" s="8" t="n">
        <v>1851</v>
      </c>
      <c r="B1422" s="5" t="n">
        <v>97</v>
      </c>
      <c r="C1422" s="72" t="inlineStr">
        <is>
          <t>X</t>
        </is>
      </c>
      <c r="D1422" s="5" t="n">
        <v>105</v>
      </c>
      <c r="E1422" s="73">
        <f>B1422*D1422/10000</f>
        <v/>
      </c>
      <c r="F1422" s="74">
        <f>B1422/30.48</f>
        <v/>
      </c>
      <c r="G1422" s="74">
        <f>D1422/30.48</f>
        <v/>
      </c>
      <c r="H1422" s="615" t="n"/>
      <c r="I1422" s="49" t="inlineStr">
        <is>
          <t>OLD</t>
        </is>
      </c>
      <c r="J1422" s="48" t="inlineStr">
        <is>
          <t>TRS</t>
        </is>
      </c>
      <c r="K1422" s="51" t="inlineStr">
        <is>
          <t>PAC</t>
        </is>
      </c>
      <c r="L1422" s="105" t="inlineStr">
        <is>
          <t>VR</t>
        </is>
      </c>
      <c r="M1422" s="210" t="n"/>
      <c r="N1422" s="211" t="n"/>
      <c r="O1422" s="340" t="inlineStr">
        <is>
          <t>SBL</t>
        </is>
      </c>
      <c r="Q1422" s="271" t="inlineStr">
        <is>
          <t>RST</t>
        </is>
      </c>
      <c r="R1422" s="282" t="n"/>
    </row>
    <row r="1423" ht="18" customHeight="1" s="305">
      <c r="A1423" s="8" t="n">
        <v>1858</v>
      </c>
      <c r="B1423" s="5" t="n">
        <v>212</v>
      </c>
      <c r="C1423" s="72" t="inlineStr">
        <is>
          <t>X</t>
        </is>
      </c>
      <c r="D1423" s="5" t="n">
        <v>275</v>
      </c>
      <c r="E1423" s="73">
        <f>B1423*D1423/10000</f>
        <v/>
      </c>
      <c r="F1423" s="74">
        <f>B1423/30.48</f>
        <v/>
      </c>
      <c r="G1423" s="74">
        <f>D1423/30.48</f>
        <v/>
      </c>
      <c r="H1423" s="615" t="n"/>
      <c r="J1423" s="48" t="inlineStr">
        <is>
          <t>TRS</t>
        </is>
      </c>
      <c r="K1423" s="51" t="inlineStr">
        <is>
          <t>PAC</t>
        </is>
      </c>
      <c r="L1423" s="105" t="inlineStr">
        <is>
          <t>VR</t>
        </is>
      </c>
      <c r="M1423" s="210" t="n"/>
      <c r="N1423" s="211" t="n"/>
      <c r="O1423" s="340" t="inlineStr">
        <is>
          <t>SBL</t>
        </is>
      </c>
      <c r="Q1423" s="271" t="n"/>
      <c r="R1423" s="282" t="n"/>
    </row>
    <row r="1424" ht="18" customHeight="1" s="305">
      <c r="A1424" s="8" t="n">
        <v>1859</v>
      </c>
      <c r="B1424" s="5" t="n">
        <v>196</v>
      </c>
      <c r="C1424" s="72" t="inlineStr">
        <is>
          <t>X</t>
        </is>
      </c>
      <c r="D1424" s="5" t="n">
        <v>304</v>
      </c>
      <c r="E1424" s="73">
        <f>B1424*D1424/10000</f>
        <v/>
      </c>
      <c r="F1424" s="74">
        <f>B1424/30.48</f>
        <v/>
      </c>
      <c r="G1424" s="74">
        <f>D1424/30.48</f>
        <v/>
      </c>
      <c r="H1424" s="615" t="n"/>
      <c r="J1424" s="48" t="inlineStr">
        <is>
          <t>TRS</t>
        </is>
      </c>
      <c r="K1424" s="51" t="inlineStr">
        <is>
          <t>PAC</t>
        </is>
      </c>
      <c r="L1424" s="105" t="inlineStr">
        <is>
          <t>VR</t>
        </is>
      </c>
      <c r="M1424" s="210" t="n"/>
      <c r="N1424" s="211" t="n"/>
      <c r="O1424" s="340" t="inlineStr">
        <is>
          <t>SBL</t>
        </is>
      </c>
      <c r="Q1424" s="271" t="inlineStr">
        <is>
          <t>RST</t>
        </is>
      </c>
      <c r="R1424" s="282" t="n"/>
    </row>
    <row r="1425" ht="18" customHeight="1" s="305">
      <c r="A1425" s="8" t="n">
        <v>1861</v>
      </c>
      <c r="B1425" s="5" t="n">
        <v>196</v>
      </c>
      <c r="C1425" s="72" t="inlineStr">
        <is>
          <t>X</t>
        </is>
      </c>
      <c r="D1425" s="5" t="n">
        <v>297</v>
      </c>
      <c r="E1425" s="73">
        <f>B1425*D1425/10000</f>
        <v/>
      </c>
      <c r="F1425" s="74">
        <f>B1425/30.48</f>
        <v/>
      </c>
      <c r="G1425" s="74">
        <f>D1425/30.48</f>
        <v/>
      </c>
      <c r="H1425" s="615" t="n"/>
      <c r="J1425" s="48" t="inlineStr">
        <is>
          <t>TRS</t>
        </is>
      </c>
      <c r="K1425" s="51" t="inlineStr">
        <is>
          <t>PAC</t>
        </is>
      </c>
      <c r="L1425" s="105" t="inlineStr">
        <is>
          <t>VR</t>
        </is>
      </c>
      <c r="M1425" s="210" t="n"/>
      <c r="N1425" s="211" t="n"/>
      <c r="O1425" s="340" t="inlineStr">
        <is>
          <t>SBL</t>
        </is>
      </c>
      <c r="Q1425" s="271" t="inlineStr">
        <is>
          <t>RST</t>
        </is>
      </c>
      <c r="R1425" s="282" t="n"/>
    </row>
    <row r="1426" ht="18" customHeight="1" s="305">
      <c r="A1426" s="8" t="n">
        <v>1862</v>
      </c>
      <c r="B1426" s="5" t="n">
        <v>208</v>
      </c>
      <c r="C1426" s="72" t="inlineStr">
        <is>
          <t>X</t>
        </is>
      </c>
      <c r="D1426" s="5" t="n">
        <v>306</v>
      </c>
      <c r="E1426" s="73">
        <f>B1426*D1426/10000</f>
        <v/>
      </c>
      <c r="F1426" s="74">
        <f>B1426/30.48</f>
        <v/>
      </c>
      <c r="G1426" s="74">
        <f>D1426/30.48</f>
        <v/>
      </c>
      <c r="H1426" s="615" t="n"/>
      <c r="J1426" s="48" t="inlineStr">
        <is>
          <t>TRS</t>
        </is>
      </c>
      <c r="K1426" s="51" t="inlineStr">
        <is>
          <t>PAC</t>
        </is>
      </c>
      <c r="L1426" s="105" t="inlineStr">
        <is>
          <t>VR</t>
        </is>
      </c>
      <c r="M1426" s="210" t="n"/>
      <c r="N1426" s="211" t="n"/>
      <c r="O1426" s="340" t="inlineStr">
        <is>
          <t>SBL</t>
        </is>
      </c>
      <c r="Q1426" s="271" t="n"/>
      <c r="R1426" s="282" t="n"/>
    </row>
    <row r="1427" ht="18" customHeight="1" s="305">
      <c r="A1427" s="8" t="n">
        <v>1863</v>
      </c>
      <c r="B1427" s="5" t="n">
        <v>165</v>
      </c>
      <c r="C1427" s="72" t="inlineStr">
        <is>
          <t>X</t>
        </is>
      </c>
      <c r="D1427" s="5" t="n">
        <v>257</v>
      </c>
      <c r="E1427" s="73">
        <f>B1427*D1427/10000</f>
        <v/>
      </c>
      <c r="F1427" s="74">
        <f>B1427/30.48</f>
        <v/>
      </c>
      <c r="G1427" s="74">
        <f>D1427/30.48</f>
        <v/>
      </c>
      <c r="H1427" s="615" t="n"/>
      <c r="J1427" s="48" t="inlineStr">
        <is>
          <t>TRS</t>
        </is>
      </c>
      <c r="L1427" s="105" t="inlineStr">
        <is>
          <t>VR</t>
        </is>
      </c>
      <c r="M1427" s="210" t="n"/>
      <c r="N1427" s="211" t="n"/>
      <c r="O1427" s="340" t="inlineStr">
        <is>
          <t>SBL</t>
        </is>
      </c>
      <c r="Q1427" s="271" t="inlineStr">
        <is>
          <t>RST</t>
        </is>
      </c>
      <c r="R1427" s="282" t="n"/>
    </row>
    <row r="1428" ht="18" customHeight="1" s="305">
      <c r="A1428" s="8" t="n">
        <v>1866</v>
      </c>
      <c r="B1428" s="5" t="n">
        <v>78</v>
      </c>
      <c r="C1428" s="72" t="inlineStr">
        <is>
          <t>X</t>
        </is>
      </c>
      <c r="D1428" s="5" t="n">
        <v>191</v>
      </c>
      <c r="E1428" s="73">
        <f>B1428*D1428/10000</f>
        <v/>
      </c>
      <c r="F1428" s="74">
        <f>B1428/30.48</f>
        <v/>
      </c>
      <c r="G1428" s="74">
        <f>D1428/30.48</f>
        <v/>
      </c>
      <c r="H1428" s="615" t="n"/>
      <c r="I1428" s="49" t="inlineStr">
        <is>
          <t>OLD</t>
        </is>
      </c>
      <c r="J1428" s="48" t="inlineStr">
        <is>
          <t>TRS</t>
        </is>
      </c>
      <c r="K1428" s="51" t="inlineStr">
        <is>
          <t>PAC</t>
        </is>
      </c>
      <c r="M1428" s="210" t="n"/>
      <c r="N1428" s="211" t="n"/>
      <c r="O1428" s="340" t="inlineStr">
        <is>
          <t>SBL</t>
        </is>
      </c>
      <c r="Q1428" s="271" t="inlineStr">
        <is>
          <t>RST</t>
        </is>
      </c>
      <c r="R1428" s="282" t="n"/>
    </row>
    <row r="1429" ht="18" customHeight="1" s="305">
      <c r="A1429" s="8" t="n">
        <v>1867</v>
      </c>
      <c r="B1429" s="5" t="n">
        <v>83</v>
      </c>
      <c r="C1429" s="72" t="inlineStr">
        <is>
          <t>X</t>
        </is>
      </c>
      <c r="D1429" s="5" t="n">
        <v>304</v>
      </c>
      <c r="E1429" s="73">
        <f>B1429*D1429/10000</f>
        <v/>
      </c>
      <c r="F1429" s="74">
        <f>B1429/30.48</f>
        <v/>
      </c>
      <c r="G1429" s="74">
        <f>D1429/30.48</f>
        <v/>
      </c>
      <c r="H1429" s="615" t="n"/>
      <c r="I1429" s="49" t="inlineStr">
        <is>
          <t>OLD</t>
        </is>
      </c>
      <c r="J1429" s="48" t="inlineStr">
        <is>
          <t>TRS</t>
        </is>
      </c>
      <c r="K1429" s="51" t="inlineStr">
        <is>
          <t>PAC</t>
        </is>
      </c>
      <c r="M1429" s="210" t="n"/>
      <c r="N1429" s="211" t="n"/>
      <c r="O1429" s="340" t="inlineStr">
        <is>
          <t>SBL</t>
        </is>
      </c>
      <c r="Q1429" s="271" t="inlineStr">
        <is>
          <t>RST</t>
        </is>
      </c>
      <c r="R1429" s="282" t="n"/>
    </row>
    <row r="1430" ht="18" customHeight="1" s="305">
      <c r="A1430" s="8" t="n">
        <v>1869</v>
      </c>
      <c r="B1430" s="5" t="n">
        <v>70</v>
      </c>
      <c r="C1430" s="72" t="inlineStr">
        <is>
          <t>X</t>
        </is>
      </c>
      <c r="D1430" s="5" t="n">
        <v>95</v>
      </c>
      <c r="E1430" s="73">
        <f>B1430*D1430/10000</f>
        <v/>
      </c>
      <c r="F1430" s="74">
        <f>B1430/30.48</f>
        <v/>
      </c>
      <c r="G1430" s="74">
        <f>D1430/30.48</f>
        <v/>
      </c>
      <c r="H1430" s="615" t="n"/>
      <c r="I1430" s="49" t="inlineStr">
        <is>
          <t>OLD</t>
        </is>
      </c>
      <c r="J1430" s="48" t="inlineStr">
        <is>
          <t>TRS</t>
        </is>
      </c>
      <c r="K1430" s="51" t="inlineStr">
        <is>
          <t>PAC</t>
        </is>
      </c>
      <c r="L1430" s="105" t="inlineStr">
        <is>
          <t>VR</t>
        </is>
      </c>
      <c r="M1430" s="210" t="n"/>
      <c r="N1430" s="211" t="n"/>
      <c r="O1430" s="340" t="inlineStr">
        <is>
          <t>SBL</t>
        </is>
      </c>
      <c r="Q1430" s="271" t="inlineStr">
        <is>
          <t>RST</t>
        </is>
      </c>
      <c r="R1430" s="282" t="n"/>
    </row>
    <row r="1431" ht="18" customHeight="1" s="305">
      <c r="A1431" s="8" t="n">
        <v>1874</v>
      </c>
      <c r="B1431" s="5" t="n">
        <v>141</v>
      </c>
      <c r="C1431" s="72" t="inlineStr">
        <is>
          <t>X</t>
        </is>
      </c>
      <c r="D1431" s="5" t="n">
        <v>236</v>
      </c>
      <c r="E1431" s="73">
        <f>B1431*D1431/10000</f>
        <v/>
      </c>
      <c r="F1431" s="74">
        <f>B1431/30.48</f>
        <v/>
      </c>
      <c r="G1431" s="74">
        <f>D1431/30.48</f>
        <v/>
      </c>
      <c r="H1431" s="615" t="n"/>
      <c r="J1431" s="48" t="inlineStr">
        <is>
          <t>TRS</t>
        </is>
      </c>
      <c r="K1431" s="51" t="inlineStr">
        <is>
          <t>PAC</t>
        </is>
      </c>
      <c r="L1431" s="105" t="inlineStr">
        <is>
          <t>VR</t>
        </is>
      </c>
      <c r="M1431" s="210" t="n"/>
      <c r="N1431" s="211" t="n"/>
      <c r="O1431" s="340" t="inlineStr">
        <is>
          <t>SBL</t>
        </is>
      </c>
      <c r="Q1431" s="271" t="inlineStr">
        <is>
          <t>RST</t>
        </is>
      </c>
      <c r="R1431" s="282" t="n"/>
    </row>
    <row r="1432" ht="18" customHeight="1" s="305">
      <c r="A1432" s="8" t="n">
        <v>1875</v>
      </c>
      <c r="B1432" s="5" t="n">
        <v>74</v>
      </c>
      <c r="C1432" s="72" t="inlineStr">
        <is>
          <t>X</t>
        </is>
      </c>
      <c r="D1432" s="5" t="n">
        <v>333</v>
      </c>
      <c r="E1432" s="73">
        <f>B1432*D1432/10000</f>
        <v/>
      </c>
      <c r="F1432" s="74">
        <f>B1432/30.48</f>
        <v/>
      </c>
      <c r="G1432" s="74">
        <f>D1432/30.48</f>
        <v/>
      </c>
      <c r="H1432" s="615" t="n"/>
      <c r="J1432" s="48" t="inlineStr">
        <is>
          <t>TRS</t>
        </is>
      </c>
      <c r="K1432" s="51" t="inlineStr">
        <is>
          <t>PAC</t>
        </is>
      </c>
      <c r="M1432" s="210" t="n"/>
      <c r="N1432" s="211" t="n"/>
      <c r="O1432" s="340" t="inlineStr">
        <is>
          <t>SBL</t>
        </is>
      </c>
      <c r="Q1432" s="271" t="inlineStr">
        <is>
          <t>RST</t>
        </is>
      </c>
      <c r="R1432" s="282" t="n"/>
    </row>
    <row r="1433" ht="18" customHeight="1" s="305">
      <c r="A1433" s="8" t="n">
        <v>1877</v>
      </c>
      <c r="B1433" s="5" t="n">
        <v>156</v>
      </c>
      <c r="C1433" s="72" t="inlineStr">
        <is>
          <t>X</t>
        </is>
      </c>
      <c r="D1433" s="5" t="n">
        <v>256</v>
      </c>
      <c r="E1433" s="73">
        <f>B1433*D1433/10000</f>
        <v/>
      </c>
      <c r="F1433" s="74">
        <f>B1433/30.48</f>
        <v/>
      </c>
      <c r="G1433" s="74">
        <f>D1433/30.48</f>
        <v/>
      </c>
      <c r="H1433" s="615" t="n"/>
      <c r="J1433" s="48" t="inlineStr">
        <is>
          <t>TRS</t>
        </is>
      </c>
      <c r="K1433" s="51" t="inlineStr">
        <is>
          <t>PAC</t>
        </is>
      </c>
      <c r="L1433" s="105" t="inlineStr">
        <is>
          <t>VR</t>
        </is>
      </c>
      <c r="M1433" s="210" t="n"/>
      <c r="N1433" s="211" t="n"/>
      <c r="O1433" s="340" t="inlineStr">
        <is>
          <t>SBL</t>
        </is>
      </c>
      <c r="Q1433" s="271" t="inlineStr">
        <is>
          <t>RST</t>
        </is>
      </c>
      <c r="R1433" s="282" t="n"/>
    </row>
    <row r="1434" ht="18" customHeight="1" s="305">
      <c r="A1434" s="8" t="n">
        <v>1880</v>
      </c>
      <c r="B1434" s="5" t="n">
        <v>65</v>
      </c>
      <c r="C1434" s="72" t="inlineStr">
        <is>
          <t>X</t>
        </is>
      </c>
      <c r="D1434" s="5" t="n">
        <v>83</v>
      </c>
      <c r="E1434" s="73">
        <f>B1434*D1434/10000</f>
        <v/>
      </c>
      <c r="F1434" s="74">
        <f>B1434/30.48</f>
        <v/>
      </c>
      <c r="G1434" s="74">
        <f>D1434/30.48</f>
        <v/>
      </c>
      <c r="H1434" s="615" t="n"/>
      <c r="I1434" s="49" t="inlineStr">
        <is>
          <t>OLD</t>
        </is>
      </c>
      <c r="J1434" s="48" t="inlineStr">
        <is>
          <t>TRS</t>
        </is>
      </c>
      <c r="K1434" s="51" t="inlineStr">
        <is>
          <t>PAC</t>
        </is>
      </c>
      <c r="L1434" s="105" t="inlineStr">
        <is>
          <t>VR</t>
        </is>
      </c>
      <c r="M1434" s="210" t="n"/>
      <c r="N1434" s="211" t="n"/>
      <c r="O1434" s="340" t="inlineStr">
        <is>
          <t>SBL</t>
        </is>
      </c>
      <c r="Q1434" s="271" t="inlineStr">
        <is>
          <t>RST</t>
        </is>
      </c>
      <c r="R1434" s="282" t="n"/>
    </row>
    <row r="1435" ht="18" customHeight="1" s="305">
      <c r="A1435" s="8" t="n">
        <v>1881</v>
      </c>
      <c r="B1435" s="5" t="n">
        <v>63</v>
      </c>
      <c r="C1435" s="72" t="inlineStr">
        <is>
          <t>X</t>
        </is>
      </c>
      <c r="D1435" s="5" t="n">
        <v>113</v>
      </c>
      <c r="E1435" s="73">
        <f>B1435*D1435/10000</f>
        <v/>
      </c>
      <c r="F1435" s="74">
        <f>B1435/30.48</f>
        <v/>
      </c>
      <c r="G1435" s="74">
        <f>D1435/30.48</f>
        <v/>
      </c>
      <c r="H1435" s="615" t="n"/>
      <c r="J1435" s="48" t="inlineStr">
        <is>
          <t>TRS</t>
        </is>
      </c>
      <c r="K1435" s="51" t="inlineStr">
        <is>
          <t>PAC</t>
        </is>
      </c>
      <c r="M1435" s="210" t="n"/>
      <c r="N1435" s="211" t="n"/>
      <c r="O1435" s="340" t="inlineStr">
        <is>
          <t>SBL</t>
        </is>
      </c>
      <c r="Q1435" s="271" t="inlineStr">
        <is>
          <t>RST</t>
        </is>
      </c>
      <c r="R1435" s="282" t="n"/>
    </row>
    <row r="1436" ht="18" customHeight="1" s="305">
      <c r="A1436" s="8" t="n">
        <v>1882</v>
      </c>
      <c r="B1436" s="5" t="n">
        <v>80</v>
      </c>
      <c r="C1436" s="72" t="inlineStr">
        <is>
          <t>X</t>
        </is>
      </c>
      <c r="D1436" s="5" t="n">
        <v>200</v>
      </c>
      <c r="E1436" s="73">
        <f>B1436*D1436/10000</f>
        <v/>
      </c>
      <c r="F1436" s="74">
        <f>B1436/30.48</f>
        <v/>
      </c>
      <c r="G1436" s="74">
        <f>D1436/30.48</f>
        <v/>
      </c>
      <c r="H1436" s="615" t="n"/>
      <c r="J1436" s="48" t="inlineStr">
        <is>
          <t>TRS</t>
        </is>
      </c>
      <c r="K1436" s="51" t="inlineStr">
        <is>
          <t>PAC</t>
        </is>
      </c>
      <c r="M1436" s="210" t="n"/>
      <c r="N1436" s="211" t="n"/>
      <c r="O1436" s="340" t="inlineStr">
        <is>
          <t>SBL</t>
        </is>
      </c>
      <c r="Q1436" s="271" t="inlineStr">
        <is>
          <t>RST</t>
        </is>
      </c>
      <c r="R1436" s="282" t="n"/>
    </row>
    <row r="1437" ht="18" customHeight="1" s="305">
      <c r="A1437" s="8" t="n">
        <v>1887</v>
      </c>
      <c r="B1437" s="5" t="n">
        <v>163</v>
      </c>
      <c r="C1437" s="72" t="inlineStr">
        <is>
          <t>X</t>
        </is>
      </c>
      <c r="D1437" s="5" t="n">
        <v>274</v>
      </c>
      <c r="E1437" s="73">
        <f>B1437*D1437/10000</f>
        <v/>
      </c>
      <c r="F1437" s="74">
        <f>B1437/30.48</f>
        <v/>
      </c>
      <c r="G1437" s="74">
        <f>D1437/30.48</f>
        <v/>
      </c>
      <c r="H1437" s="615" t="n"/>
      <c r="J1437" s="48" t="inlineStr">
        <is>
          <t>TRS</t>
        </is>
      </c>
      <c r="K1437" s="51" t="inlineStr">
        <is>
          <t>PAC</t>
        </is>
      </c>
      <c r="L1437" s="105" t="inlineStr">
        <is>
          <t>VR</t>
        </is>
      </c>
      <c r="M1437" s="210" t="n"/>
      <c r="N1437" s="211" t="n"/>
      <c r="O1437" s="340" t="inlineStr">
        <is>
          <t>SBL</t>
        </is>
      </c>
      <c r="Q1437" s="271" t="inlineStr">
        <is>
          <t>RST</t>
        </is>
      </c>
      <c r="R1437" s="282" t="n"/>
    </row>
    <row r="1438" ht="18" customHeight="1" s="305">
      <c r="A1438" s="8" t="n">
        <v>1890</v>
      </c>
      <c r="B1438" s="5" t="n">
        <v>205</v>
      </c>
      <c r="C1438" s="72" t="inlineStr">
        <is>
          <t>X</t>
        </is>
      </c>
      <c r="D1438" s="5" t="n">
        <v>304</v>
      </c>
      <c r="E1438" s="73">
        <f>B1438*D1438/10000</f>
        <v/>
      </c>
      <c r="F1438" s="74">
        <f>B1438/30.48</f>
        <v/>
      </c>
      <c r="G1438" s="74">
        <f>D1438/30.48</f>
        <v/>
      </c>
      <c r="H1438" s="615" t="n"/>
      <c r="J1438" s="48" t="inlineStr">
        <is>
          <t>TRS</t>
        </is>
      </c>
      <c r="K1438" s="51" t="inlineStr">
        <is>
          <t>PAC</t>
        </is>
      </c>
      <c r="L1438" s="105" t="inlineStr">
        <is>
          <t>VR</t>
        </is>
      </c>
      <c r="M1438" s="210" t="n"/>
      <c r="N1438" s="211" t="n"/>
      <c r="O1438" s="340" t="inlineStr">
        <is>
          <t>SBL</t>
        </is>
      </c>
      <c r="Q1438" s="271" t="inlineStr">
        <is>
          <t>RST</t>
        </is>
      </c>
      <c r="R1438" s="282" t="n"/>
    </row>
    <row r="1439" ht="18" customHeight="1" s="305">
      <c r="A1439" s="8" t="n">
        <v>1891</v>
      </c>
      <c r="B1439" s="5" t="n">
        <v>152</v>
      </c>
      <c r="C1439" s="72" t="inlineStr">
        <is>
          <t>X</t>
        </is>
      </c>
      <c r="D1439" s="5" t="n">
        <v>253</v>
      </c>
      <c r="E1439" s="73">
        <f>B1439*D1439/10000</f>
        <v/>
      </c>
      <c r="F1439" s="74">
        <f>B1439/30.48</f>
        <v/>
      </c>
      <c r="G1439" s="74">
        <f>D1439/30.48</f>
        <v/>
      </c>
      <c r="H1439" s="615" t="n"/>
      <c r="J1439" s="48" t="inlineStr">
        <is>
          <t>TRS</t>
        </is>
      </c>
      <c r="K1439" s="51" t="inlineStr">
        <is>
          <t>PAC</t>
        </is>
      </c>
      <c r="L1439" s="105" t="inlineStr">
        <is>
          <t>VR</t>
        </is>
      </c>
      <c r="M1439" s="210" t="n"/>
      <c r="N1439" s="211" t="n"/>
      <c r="O1439" s="340" t="inlineStr">
        <is>
          <t>SBL</t>
        </is>
      </c>
      <c r="Q1439" s="271" t="inlineStr">
        <is>
          <t>RST</t>
        </is>
      </c>
      <c r="R1439" s="282" t="n"/>
    </row>
    <row r="1440" ht="18" customHeight="1" s="305">
      <c r="A1440" s="8" t="n">
        <v>1892</v>
      </c>
      <c r="B1440" s="5" t="n">
        <v>270</v>
      </c>
      <c r="C1440" s="72" t="inlineStr">
        <is>
          <t>X</t>
        </is>
      </c>
      <c r="D1440" s="5" t="n">
        <v>358</v>
      </c>
      <c r="E1440" s="73">
        <f>B1440*D1440/10000</f>
        <v/>
      </c>
      <c r="F1440" s="74">
        <f>B1440/30.48</f>
        <v/>
      </c>
      <c r="G1440" s="74">
        <f>D1440/30.48</f>
        <v/>
      </c>
      <c r="H1440" s="615" t="n"/>
      <c r="J1440" s="48" t="inlineStr">
        <is>
          <t>TRS</t>
        </is>
      </c>
      <c r="K1440" s="51" t="inlineStr">
        <is>
          <t>PAC</t>
        </is>
      </c>
      <c r="L1440" s="105" t="inlineStr">
        <is>
          <t>VR</t>
        </is>
      </c>
      <c r="M1440" s="210" t="n"/>
      <c r="N1440" s="211" t="n"/>
      <c r="O1440" s="340" t="inlineStr">
        <is>
          <t>SBL</t>
        </is>
      </c>
      <c r="Q1440" s="271" t="n"/>
      <c r="R1440" s="282" t="n"/>
    </row>
    <row r="1441" ht="18" customHeight="1" s="305">
      <c r="A1441" s="8" t="n">
        <v>1893</v>
      </c>
      <c r="B1441" s="5" t="n">
        <v>83</v>
      </c>
      <c r="C1441" s="72" t="inlineStr">
        <is>
          <t>X</t>
        </is>
      </c>
      <c r="D1441" s="5" t="n">
        <v>315</v>
      </c>
      <c r="E1441" s="73">
        <f>B1441*D1441/10000</f>
        <v/>
      </c>
      <c r="F1441" s="74">
        <f>B1441/30.48</f>
        <v/>
      </c>
      <c r="G1441" s="74">
        <f>D1441/30.48</f>
        <v/>
      </c>
      <c r="H1441" s="615" t="n"/>
      <c r="J1441" s="48" t="inlineStr">
        <is>
          <t>TRS</t>
        </is>
      </c>
      <c r="K1441" s="51" t="inlineStr">
        <is>
          <t>PAC</t>
        </is>
      </c>
      <c r="M1441" s="210" t="n"/>
      <c r="N1441" s="211" t="n"/>
      <c r="O1441" s="340" t="inlineStr">
        <is>
          <t>SBL</t>
        </is>
      </c>
      <c r="Q1441" s="271" t="inlineStr">
        <is>
          <t>RST</t>
        </is>
      </c>
      <c r="R1441" s="282" t="n"/>
    </row>
    <row r="1442" ht="18" customHeight="1" s="305">
      <c r="A1442" s="8" t="n">
        <v>1894</v>
      </c>
      <c r="B1442" s="5" t="n">
        <v>115</v>
      </c>
      <c r="C1442" s="72" t="inlineStr">
        <is>
          <t>X</t>
        </is>
      </c>
      <c r="D1442" s="5" t="n">
        <v>185</v>
      </c>
      <c r="E1442" s="73">
        <f>B1442*D1442/10000</f>
        <v/>
      </c>
      <c r="F1442" s="74">
        <f>B1442/30.48</f>
        <v/>
      </c>
      <c r="G1442" s="74">
        <f>D1442/30.48</f>
        <v/>
      </c>
      <c r="H1442" s="615" t="n"/>
      <c r="J1442" s="48" t="inlineStr">
        <is>
          <t>TRS</t>
        </is>
      </c>
      <c r="K1442" s="51" t="inlineStr">
        <is>
          <t>PAC</t>
        </is>
      </c>
      <c r="M1442" s="210" t="n"/>
      <c r="N1442" s="211" t="n"/>
      <c r="O1442" s="340" t="inlineStr">
        <is>
          <t>SBL</t>
        </is>
      </c>
      <c r="Q1442" s="271" t="inlineStr">
        <is>
          <t>RST</t>
        </is>
      </c>
      <c r="R1442" s="282" t="n"/>
    </row>
    <row r="1443" ht="18" customHeight="1" s="305">
      <c r="A1443" s="8" t="n">
        <v>1899</v>
      </c>
      <c r="B1443" s="5" t="n">
        <v>88</v>
      </c>
      <c r="C1443" s="72" t="inlineStr">
        <is>
          <t>X</t>
        </is>
      </c>
      <c r="D1443" s="5" t="n">
        <v>388</v>
      </c>
      <c r="E1443" s="73">
        <f>B1443*D1443/10000</f>
        <v/>
      </c>
      <c r="F1443" s="74">
        <f>B1443/30.48</f>
        <v/>
      </c>
      <c r="G1443" s="74">
        <f>D1443/30.48</f>
        <v/>
      </c>
      <c r="H1443" s="615" t="n"/>
      <c r="I1443" s="49" t="inlineStr">
        <is>
          <t>OLD</t>
        </is>
      </c>
      <c r="J1443" s="48" t="inlineStr">
        <is>
          <t>TRS</t>
        </is>
      </c>
      <c r="K1443" s="51" t="inlineStr">
        <is>
          <t>PAC</t>
        </is>
      </c>
      <c r="M1443" s="210" t="n"/>
      <c r="N1443" s="211" t="n"/>
      <c r="O1443" s="340" t="inlineStr">
        <is>
          <t>SBL</t>
        </is>
      </c>
      <c r="Q1443" s="271" t="inlineStr">
        <is>
          <t>RST</t>
        </is>
      </c>
      <c r="R1443" s="282" t="n"/>
    </row>
    <row r="1444" ht="18" customHeight="1" s="305">
      <c r="A1444" s="8" t="n">
        <v>1901</v>
      </c>
      <c r="B1444" s="5" t="n">
        <v>65</v>
      </c>
      <c r="C1444" s="72" t="inlineStr">
        <is>
          <t>X</t>
        </is>
      </c>
      <c r="D1444" s="5" t="n">
        <v>273</v>
      </c>
      <c r="E1444" s="73">
        <f>B1444*D1444/10000</f>
        <v/>
      </c>
      <c r="F1444" s="74">
        <f>B1444/30.48</f>
        <v/>
      </c>
      <c r="G1444" s="74">
        <f>D1444/30.48</f>
        <v/>
      </c>
      <c r="H1444" s="615" t="n"/>
      <c r="J1444" s="48" t="inlineStr">
        <is>
          <t>TRS</t>
        </is>
      </c>
      <c r="K1444" s="51" t="inlineStr">
        <is>
          <t>PAC</t>
        </is>
      </c>
      <c r="M1444" s="210" t="n"/>
      <c r="N1444" s="211" t="n"/>
      <c r="O1444" s="340" t="inlineStr">
        <is>
          <t>SBL</t>
        </is>
      </c>
      <c r="Q1444" s="271" t="inlineStr">
        <is>
          <t>RST</t>
        </is>
      </c>
      <c r="R1444" s="282" t="n"/>
    </row>
    <row r="1445" ht="18" customHeight="1" s="305">
      <c r="A1445" s="8" t="n">
        <v>1902</v>
      </c>
      <c r="B1445" s="5" t="n">
        <v>75</v>
      </c>
      <c r="C1445" s="72" t="inlineStr">
        <is>
          <t>X</t>
        </is>
      </c>
      <c r="D1445" s="5" t="n">
        <v>283</v>
      </c>
      <c r="E1445" s="73">
        <f>B1445*D1445/10000</f>
        <v/>
      </c>
      <c r="F1445" s="74">
        <f>B1445/30.48</f>
        <v/>
      </c>
      <c r="G1445" s="74">
        <f>D1445/30.48</f>
        <v/>
      </c>
      <c r="H1445" s="615" t="n"/>
      <c r="J1445" s="48" t="inlineStr">
        <is>
          <t>TRS</t>
        </is>
      </c>
      <c r="K1445" s="51" t="inlineStr">
        <is>
          <t>PAC</t>
        </is>
      </c>
      <c r="M1445" s="210" t="n"/>
      <c r="N1445" s="211" t="n"/>
      <c r="O1445" s="340" t="inlineStr">
        <is>
          <t>SBL</t>
        </is>
      </c>
      <c r="Q1445" s="271" t="inlineStr">
        <is>
          <t>RST</t>
        </is>
      </c>
      <c r="R1445" s="282" t="n"/>
    </row>
    <row r="1446" ht="18" customHeight="1" s="305">
      <c r="A1446" s="8" t="n">
        <v>1913</v>
      </c>
      <c r="B1446" s="5" t="n">
        <v>190</v>
      </c>
      <c r="C1446" s="72" t="inlineStr">
        <is>
          <t>X</t>
        </is>
      </c>
      <c r="D1446" s="5" t="n">
        <v>289</v>
      </c>
      <c r="E1446" s="73">
        <f>B1446*D1446/10000</f>
        <v/>
      </c>
      <c r="F1446" s="74">
        <f>B1446/30.48</f>
        <v/>
      </c>
      <c r="G1446" s="74">
        <f>D1446/30.48</f>
        <v/>
      </c>
      <c r="H1446" s="615" t="n"/>
      <c r="J1446" s="48" t="inlineStr">
        <is>
          <t>TRS</t>
        </is>
      </c>
      <c r="K1446" s="51" t="inlineStr">
        <is>
          <t>PAC</t>
        </is>
      </c>
      <c r="L1446" s="105" t="inlineStr">
        <is>
          <t>VR</t>
        </is>
      </c>
      <c r="M1446" s="210" t="n"/>
      <c r="N1446" s="211" t="n"/>
      <c r="O1446" s="340" t="inlineStr">
        <is>
          <t>SBL</t>
        </is>
      </c>
      <c r="Q1446" s="271" t="inlineStr">
        <is>
          <t>RST</t>
        </is>
      </c>
      <c r="R1446" s="282" t="n"/>
    </row>
    <row r="1447" ht="18" customHeight="1" s="305">
      <c r="A1447" s="8" t="n">
        <v>1915</v>
      </c>
      <c r="B1447" s="5" t="n">
        <v>113</v>
      </c>
      <c r="C1447" s="72" t="inlineStr">
        <is>
          <t>X</t>
        </is>
      </c>
      <c r="D1447" s="5" t="n">
        <v>230</v>
      </c>
      <c r="E1447" s="73">
        <f>B1447*D1447/10000</f>
        <v/>
      </c>
      <c r="F1447" s="74">
        <f>B1447/30.48</f>
        <v/>
      </c>
      <c r="G1447" s="74">
        <f>D1447/30.48</f>
        <v/>
      </c>
      <c r="H1447" s="615" t="n"/>
      <c r="J1447" s="48" t="inlineStr">
        <is>
          <t>TRS</t>
        </is>
      </c>
      <c r="K1447" s="51" t="inlineStr">
        <is>
          <t>PAC</t>
        </is>
      </c>
      <c r="L1447" s="105" t="inlineStr">
        <is>
          <t>VR</t>
        </is>
      </c>
      <c r="M1447" s="210" t="n"/>
      <c r="N1447" s="211" t="n"/>
      <c r="O1447" s="340" t="inlineStr">
        <is>
          <t>SBL</t>
        </is>
      </c>
      <c r="Q1447" s="271" t="inlineStr">
        <is>
          <t>RST</t>
        </is>
      </c>
      <c r="R1447" s="282" t="n"/>
    </row>
    <row r="1448" ht="18" customHeight="1" s="305">
      <c r="A1448" s="8" t="n">
        <v>1916</v>
      </c>
      <c r="B1448" s="5" t="n">
        <v>163</v>
      </c>
      <c r="C1448" s="72" t="inlineStr">
        <is>
          <t>X</t>
        </is>
      </c>
      <c r="D1448" s="5" t="n">
        <v>206</v>
      </c>
      <c r="E1448" s="73">
        <f>B1448*D1448/10000</f>
        <v/>
      </c>
      <c r="F1448" s="74">
        <f>B1448/30.48</f>
        <v/>
      </c>
      <c r="G1448" s="74">
        <f>D1448/30.48</f>
        <v/>
      </c>
      <c r="H1448" s="615" t="n"/>
      <c r="J1448" s="48" t="inlineStr">
        <is>
          <t>TRS</t>
        </is>
      </c>
      <c r="K1448" s="51" t="inlineStr">
        <is>
          <t>PAC</t>
        </is>
      </c>
      <c r="L1448" s="105" t="inlineStr">
        <is>
          <t>VR</t>
        </is>
      </c>
      <c r="M1448" s="210" t="n"/>
      <c r="N1448" s="211" t="n"/>
      <c r="O1448" s="340" t="inlineStr">
        <is>
          <t>SBL</t>
        </is>
      </c>
      <c r="Q1448" s="271" t="inlineStr">
        <is>
          <t>RST</t>
        </is>
      </c>
      <c r="R1448" s="282" t="n"/>
    </row>
    <row r="1449" ht="18" customHeight="1" s="305">
      <c r="A1449" s="8" t="n">
        <v>1917</v>
      </c>
      <c r="B1449" s="5" t="n">
        <v>80</v>
      </c>
      <c r="C1449" s="72" t="inlineStr">
        <is>
          <t>X</t>
        </is>
      </c>
      <c r="D1449" s="5" t="n">
        <v>309</v>
      </c>
      <c r="E1449" s="73">
        <f>B1449*D1449/10000</f>
        <v/>
      </c>
      <c r="F1449" s="74">
        <f>B1449/30.48</f>
        <v/>
      </c>
      <c r="G1449" s="74">
        <f>D1449/30.48</f>
        <v/>
      </c>
      <c r="H1449" s="615" t="n"/>
      <c r="J1449" s="48" t="inlineStr">
        <is>
          <t>TRS</t>
        </is>
      </c>
      <c r="K1449" s="51" t="inlineStr">
        <is>
          <t>PAC</t>
        </is>
      </c>
      <c r="L1449" s="105" t="inlineStr">
        <is>
          <t>VR</t>
        </is>
      </c>
      <c r="M1449" s="210" t="n"/>
      <c r="N1449" s="211" t="n"/>
      <c r="O1449" s="340" t="inlineStr">
        <is>
          <t>SBL</t>
        </is>
      </c>
      <c r="Q1449" s="271" t="n"/>
      <c r="R1449" s="282" t="n"/>
    </row>
    <row r="1450" ht="18" customHeight="1" s="305">
      <c r="A1450" s="8" t="n">
        <v>1918</v>
      </c>
      <c r="B1450" s="5" t="n">
        <v>226</v>
      </c>
      <c r="C1450" s="72" t="inlineStr">
        <is>
          <t>X</t>
        </is>
      </c>
      <c r="D1450" s="5" t="n">
        <v>334</v>
      </c>
      <c r="E1450" s="73">
        <f>B1450*D1450/10000</f>
        <v/>
      </c>
      <c r="F1450" s="74">
        <f>B1450/30.48</f>
        <v/>
      </c>
      <c r="G1450" s="74">
        <f>D1450/30.48</f>
        <v/>
      </c>
      <c r="H1450" s="615" t="n"/>
      <c r="J1450" s="48" t="inlineStr">
        <is>
          <t>TRS</t>
        </is>
      </c>
      <c r="K1450" s="51" t="inlineStr">
        <is>
          <t>PAC</t>
        </is>
      </c>
      <c r="L1450" s="105" t="inlineStr">
        <is>
          <t>VR</t>
        </is>
      </c>
      <c r="M1450" s="210" t="n"/>
      <c r="N1450" s="211" t="n"/>
      <c r="O1450" s="340" t="inlineStr">
        <is>
          <t>SBL</t>
        </is>
      </c>
      <c r="Q1450" s="271" t="n"/>
      <c r="R1450" s="282" t="n"/>
    </row>
    <row r="1451" ht="18" customHeight="1" s="305">
      <c r="A1451" s="8" t="n">
        <v>1925</v>
      </c>
      <c r="B1451" s="5" t="n">
        <v>161</v>
      </c>
      <c r="C1451" s="72" t="inlineStr">
        <is>
          <t>X</t>
        </is>
      </c>
      <c r="D1451" s="5" t="n">
        <v>256</v>
      </c>
      <c r="E1451" s="73">
        <f>B1451*D1451/10000</f>
        <v/>
      </c>
      <c r="F1451" s="74">
        <f>B1451/30.48</f>
        <v/>
      </c>
      <c r="G1451" s="74">
        <f>D1451/30.48</f>
        <v/>
      </c>
      <c r="H1451" s="615" t="n"/>
      <c r="J1451" s="48" t="inlineStr">
        <is>
          <t>TRS</t>
        </is>
      </c>
      <c r="K1451" s="51" t="inlineStr">
        <is>
          <t>PAC</t>
        </is>
      </c>
      <c r="L1451" s="105" t="inlineStr">
        <is>
          <t>VR</t>
        </is>
      </c>
      <c r="M1451" s="210" t="n"/>
      <c r="N1451" s="211" t="n"/>
      <c r="O1451" s="340" t="inlineStr">
        <is>
          <t>SBL</t>
        </is>
      </c>
      <c r="Q1451" s="271" t="inlineStr">
        <is>
          <t>RST</t>
        </is>
      </c>
      <c r="R1451" s="282" t="n"/>
    </row>
    <row r="1452" ht="18" customHeight="1" s="305">
      <c r="A1452" s="8" t="n">
        <v>1926</v>
      </c>
      <c r="B1452" s="5" t="n">
        <v>82</v>
      </c>
      <c r="C1452" s="72" t="inlineStr">
        <is>
          <t>X</t>
        </is>
      </c>
      <c r="D1452" s="5" t="n">
        <v>327</v>
      </c>
      <c r="E1452" s="73">
        <f>B1452*D1452/10000</f>
        <v/>
      </c>
      <c r="F1452" s="74">
        <f>B1452/30.48</f>
        <v/>
      </c>
      <c r="G1452" s="74">
        <f>D1452/30.48</f>
        <v/>
      </c>
      <c r="H1452" s="615" t="n"/>
      <c r="J1452" s="48" t="inlineStr">
        <is>
          <t>TRS</t>
        </is>
      </c>
      <c r="K1452" s="51" t="inlineStr">
        <is>
          <t>PAC</t>
        </is>
      </c>
      <c r="L1452" s="105" t="inlineStr">
        <is>
          <t>VR</t>
        </is>
      </c>
      <c r="M1452" s="210" t="n"/>
      <c r="N1452" s="211" t="n"/>
      <c r="O1452" s="340" t="inlineStr">
        <is>
          <t>SBL</t>
        </is>
      </c>
      <c r="Q1452" s="271" t="n"/>
      <c r="R1452" s="282" t="n"/>
    </row>
    <row r="1453" ht="18" customHeight="1" s="305">
      <c r="A1453" s="8" t="n">
        <v>1929</v>
      </c>
      <c r="B1453" s="5" t="n">
        <v>89</v>
      </c>
      <c r="C1453" s="72" t="inlineStr">
        <is>
          <t>X</t>
        </is>
      </c>
      <c r="D1453" s="5" t="n">
        <v>372</v>
      </c>
      <c r="E1453" s="73">
        <f>B1453*D1453/10000</f>
        <v/>
      </c>
      <c r="F1453" s="74">
        <f>B1453/30.48</f>
        <v/>
      </c>
      <c r="G1453" s="74">
        <f>D1453/30.48</f>
        <v/>
      </c>
      <c r="H1453" s="615" t="n"/>
      <c r="J1453" s="48" t="inlineStr">
        <is>
          <t>TRS</t>
        </is>
      </c>
      <c r="K1453" s="51" t="inlineStr">
        <is>
          <t>PAC</t>
        </is>
      </c>
      <c r="L1453" s="105" t="inlineStr">
        <is>
          <t>VR</t>
        </is>
      </c>
      <c r="M1453" s="210" t="n"/>
      <c r="N1453" s="211" t="n"/>
      <c r="O1453" s="340" t="inlineStr">
        <is>
          <t>SBL</t>
        </is>
      </c>
      <c r="Q1453" s="271" t="inlineStr">
        <is>
          <t>RST</t>
        </is>
      </c>
      <c r="R1453" s="282" t="n"/>
    </row>
    <row r="1454" ht="18" customHeight="1" s="305">
      <c r="A1454" s="8" t="n">
        <v>1930</v>
      </c>
      <c r="B1454" s="5" t="n">
        <v>89</v>
      </c>
      <c r="C1454" s="72" t="inlineStr">
        <is>
          <t>X</t>
        </is>
      </c>
      <c r="D1454" s="5" t="n">
        <v>337</v>
      </c>
      <c r="E1454" s="73">
        <f>B1454*D1454/10000</f>
        <v/>
      </c>
      <c r="F1454" s="74">
        <f>B1454/30.48</f>
        <v/>
      </c>
      <c r="G1454" s="74">
        <f>D1454/30.48</f>
        <v/>
      </c>
      <c r="H1454" s="615" t="n"/>
      <c r="J1454" s="48" t="inlineStr">
        <is>
          <t>TRS</t>
        </is>
      </c>
      <c r="K1454" s="51" t="inlineStr">
        <is>
          <t>PAC</t>
        </is>
      </c>
      <c r="L1454" s="105" t="inlineStr">
        <is>
          <t>VR</t>
        </is>
      </c>
      <c r="M1454" s="210" t="n"/>
      <c r="N1454" s="211" t="n"/>
      <c r="O1454" s="340" t="inlineStr">
        <is>
          <t>SBL</t>
        </is>
      </c>
      <c r="Q1454" s="271" t="n"/>
      <c r="R1454" s="282" t="n"/>
    </row>
    <row r="1455" ht="18" customHeight="1" s="305">
      <c r="A1455" s="8" t="n">
        <v>1932</v>
      </c>
      <c r="B1455" s="5" t="n">
        <v>84</v>
      </c>
      <c r="C1455" s="72" t="inlineStr">
        <is>
          <t>X</t>
        </is>
      </c>
      <c r="D1455" s="5" t="n">
        <v>219</v>
      </c>
      <c r="E1455" s="73">
        <f>B1455*D1455/10000</f>
        <v/>
      </c>
      <c r="F1455" s="74">
        <f>B1455/30.48</f>
        <v/>
      </c>
      <c r="G1455" s="74">
        <f>D1455/30.48</f>
        <v/>
      </c>
      <c r="H1455" s="615" t="n"/>
      <c r="J1455" s="48" t="inlineStr">
        <is>
          <t>TRS</t>
        </is>
      </c>
      <c r="K1455" s="51" t="inlineStr">
        <is>
          <t>PAC</t>
        </is>
      </c>
      <c r="L1455" s="105" t="inlineStr">
        <is>
          <t>VR</t>
        </is>
      </c>
      <c r="M1455" s="210" t="n"/>
      <c r="N1455" s="211" t="n"/>
      <c r="O1455" s="340" t="inlineStr">
        <is>
          <t>SBL</t>
        </is>
      </c>
      <c r="Q1455" s="271" t="inlineStr">
        <is>
          <t>RST</t>
        </is>
      </c>
      <c r="R1455" s="282" t="n"/>
    </row>
    <row r="1456" ht="18" customHeight="1" s="305">
      <c r="A1456" s="8" t="n">
        <v>1933</v>
      </c>
      <c r="B1456" s="5" t="n">
        <v>87</v>
      </c>
      <c r="C1456" s="72" t="inlineStr">
        <is>
          <t>X</t>
        </is>
      </c>
      <c r="D1456" s="5" t="n">
        <v>323</v>
      </c>
      <c r="E1456" s="73">
        <f>B1456*D1456/10000</f>
        <v/>
      </c>
      <c r="F1456" s="74">
        <f>B1456/30.48</f>
        <v/>
      </c>
      <c r="G1456" s="74">
        <f>D1456/30.48</f>
        <v/>
      </c>
      <c r="H1456" s="615" t="n"/>
      <c r="J1456" s="48" t="inlineStr">
        <is>
          <t>TRS</t>
        </is>
      </c>
      <c r="K1456" s="51" t="inlineStr">
        <is>
          <t>PAC</t>
        </is>
      </c>
      <c r="L1456" s="105" t="inlineStr">
        <is>
          <t>VR</t>
        </is>
      </c>
      <c r="M1456" s="210" t="n"/>
      <c r="N1456" s="211" t="n"/>
      <c r="O1456" s="340" t="inlineStr">
        <is>
          <t>SBL</t>
        </is>
      </c>
      <c r="Q1456" s="271" t="n"/>
      <c r="R1456" s="282" t="n"/>
    </row>
    <row r="1457" ht="18" customHeight="1" s="305">
      <c r="A1457" s="8" t="n">
        <v>1935</v>
      </c>
      <c r="B1457" s="5" t="n">
        <v>91</v>
      </c>
      <c r="C1457" s="72" t="inlineStr">
        <is>
          <t>X</t>
        </is>
      </c>
      <c r="D1457" s="5" t="n">
        <v>365</v>
      </c>
      <c r="E1457" s="73">
        <f>B1457*D1457/10000</f>
        <v/>
      </c>
      <c r="F1457" s="74">
        <f>B1457/30.48</f>
        <v/>
      </c>
      <c r="G1457" s="74">
        <f>D1457/30.48</f>
        <v/>
      </c>
      <c r="H1457" s="615" t="n"/>
      <c r="J1457" s="48" t="inlineStr">
        <is>
          <t>TRS</t>
        </is>
      </c>
      <c r="K1457" s="51" t="inlineStr">
        <is>
          <t>PAC</t>
        </is>
      </c>
      <c r="L1457" s="105" t="inlineStr">
        <is>
          <t>VR</t>
        </is>
      </c>
      <c r="M1457" s="210" t="n"/>
      <c r="N1457" s="211" t="n"/>
      <c r="O1457" s="340" t="inlineStr">
        <is>
          <t>SBL</t>
        </is>
      </c>
      <c r="Q1457" s="271" t="n"/>
      <c r="R1457" s="282" t="n"/>
    </row>
    <row r="1458" ht="18" customHeight="1" s="305">
      <c r="A1458" s="8" t="n">
        <v>1936</v>
      </c>
      <c r="B1458" s="5" t="n">
        <v>67</v>
      </c>
      <c r="C1458" s="72" t="inlineStr">
        <is>
          <t>X</t>
        </is>
      </c>
      <c r="D1458" s="5" t="n">
        <v>115</v>
      </c>
      <c r="E1458" s="73">
        <f>B1458*D1458/10000</f>
        <v/>
      </c>
      <c r="F1458" s="74">
        <f>B1458/30.48</f>
        <v/>
      </c>
      <c r="G1458" s="74">
        <f>D1458/30.48</f>
        <v/>
      </c>
      <c r="H1458" s="615" t="n"/>
      <c r="J1458" s="48" t="inlineStr">
        <is>
          <t>TRS</t>
        </is>
      </c>
      <c r="K1458" s="51" t="inlineStr">
        <is>
          <t>PAC</t>
        </is>
      </c>
      <c r="L1458" s="105" t="inlineStr">
        <is>
          <t>VR</t>
        </is>
      </c>
      <c r="M1458" s="210" t="n"/>
      <c r="N1458" s="211" t="n"/>
      <c r="O1458" s="340" t="inlineStr">
        <is>
          <t>SBL</t>
        </is>
      </c>
      <c r="Q1458" s="271" t="inlineStr">
        <is>
          <t>RST</t>
        </is>
      </c>
      <c r="R1458" s="282" t="n"/>
    </row>
    <row r="1459" ht="18" customHeight="1" s="305">
      <c r="A1459" s="8" t="n">
        <v>1937</v>
      </c>
      <c r="B1459" s="5" t="n">
        <v>208</v>
      </c>
      <c r="C1459" s="72" t="inlineStr">
        <is>
          <t>X</t>
        </is>
      </c>
      <c r="D1459" s="5" t="n">
        <v>297</v>
      </c>
      <c r="E1459" s="73">
        <f>B1459*D1459/10000</f>
        <v/>
      </c>
      <c r="F1459" s="74">
        <f>B1459/30.48</f>
        <v/>
      </c>
      <c r="G1459" s="74">
        <f>D1459/30.48</f>
        <v/>
      </c>
      <c r="H1459" s="615" t="n"/>
      <c r="J1459" s="48" t="inlineStr">
        <is>
          <t>TRS</t>
        </is>
      </c>
      <c r="K1459" s="51" t="inlineStr">
        <is>
          <t>PAC</t>
        </is>
      </c>
      <c r="L1459" s="105" t="inlineStr">
        <is>
          <t>VR</t>
        </is>
      </c>
      <c r="M1459" s="210" t="n"/>
      <c r="N1459" s="211" t="n"/>
      <c r="O1459" s="340" t="inlineStr">
        <is>
          <t>SBL</t>
        </is>
      </c>
      <c r="Q1459" s="271" t="inlineStr">
        <is>
          <t>RST</t>
        </is>
      </c>
      <c r="R1459" s="282" t="n"/>
    </row>
    <row r="1460" ht="18" customHeight="1" s="305">
      <c r="A1460" s="8" t="n">
        <v>1940</v>
      </c>
      <c r="B1460" s="5" t="n">
        <v>78</v>
      </c>
      <c r="C1460" s="72" t="inlineStr">
        <is>
          <t>X</t>
        </is>
      </c>
      <c r="D1460" s="5" t="n">
        <v>312</v>
      </c>
      <c r="E1460" s="73">
        <f>B1460*D1460/10000</f>
        <v/>
      </c>
      <c r="F1460" s="74">
        <f>B1460/30.48</f>
        <v/>
      </c>
      <c r="G1460" s="74">
        <f>D1460/30.48</f>
        <v/>
      </c>
      <c r="H1460" s="615" t="n"/>
      <c r="J1460" s="48" t="inlineStr">
        <is>
          <t>TRS</t>
        </is>
      </c>
      <c r="K1460" s="51" t="inlineStr">
        <is>
          <t>PAC</t>
        </is>
      </c>
      <c r="L1460" s="105" t="inlineStr">
        <is>
          <t>VR</t>
        </is>
      </c>
      <c r="M1460" s="210" t="n"/>
      <c r="N1460" s="211" t="n"/>
      <c r="O1460" s="340" t="inlineStr">
        <is>
          <t>SBL</t>
        </is>
      </c>
      <c r="Q1460" s="271" t="n"/>
      <c r="R1460" s="282" t="n"/>
    </row>
    <row r="1461" ht="18" customHeight="1" s="305">
      <c r="A1461" s="8" t="n">
        <v>1947</v>
      </c>
      <c r="B1461" s="5" t="n">
        <v>188</v>
      </c>
      <c r="C1461" s="72" t="inlineStr">
        <is>
          <t>X</t>
        </is>
      </c>
      <c r="D1461" s="5" t="n">
        <v>293</v>
      </c>
      <c r="E1461" s="73">
        <f>B1461*D1461/10000</f>
        <v/>
      </c>
      <c r="F1461" s="74">
        <f>B1461/30.48</f>
        <v/>
      </c>
      <c r="G1461" s="74">
        <f>D1461/30.48</f>
        <v/>
      </c>
      <c r="H1461" s="615" t="n"/>
      <c r="J1461" s="48" t="inlineStr">
        <is>
          <t>TRS</t>
        </is>
      </c>
      <c r="K1461" s="51" t="inlineStr">
        <is>
          <t>PAC</t>
        </is>
      </c>
      <c r="L1461" s="105" t="inlineStr">
        <is>
          <t>VR</t>
        </is>
      </c>
      <c r="M1461" s="210" t="n"/>
      <c r="N1461" s="211" t="n"/>
      <c r="O1461" s="340" t="inlineStr">
        <is>
          <t>SBL</t>
        </is>
      </c>
      <c r="Q1461" s="271" t="inlineStr">
        <is>
          <t>RST</t>
        </is>
      </c>
      <c r="R1461" s="282" t="n"/>
    </row>
    <row r="1462" ht="18" customHeight="1" s="305">
      <c r="A1462" s="8" t="n">
        <v>1949</v>
      </c>
      <c r="B1462" s="5" t="n">
        <v>80</v>
      </c>
      <c r="C1462" s="72" t="inlineStr">
        <is>
          <t>X</t>
        </is>
      </c>
      <c r="D1462" s="5" t="n">
        <v>132</v>
      </c>
      <c r="E1462" s="73">
        <f>B1462*D1462/10000</f>
        <v/>
      </c>
      <c r="F1462" s="74">
        <f>B1462/30.48</f>
        <v/>
      </c>
      <c r="G1462" s="74">
        <f>D1462/30.48</f>
        <v/>
      </c>
      <c r="H1462" s="615" t="n"/>
      <c r="K1462" s="51" t="inlineStr">
        <is>
          <t>PAC</t>
        </is>
      </c>
      <c r="M1462" s="210" t="n"/>
      <c r="N1462" s="211" t="n"/>
      <c r="O1462" s="340" t="inlineStr">
        <is>
          <t>SBL</t>
        </is>
      </c>
      <c r="Q1462" s="271" t="inlineStr">
        <is>
          <t>RST</t>
        </is>
      </c>
      <c r="R1462" s="282" t="n"/>
    </row>
    <row r="1463" ht="18" customHeight="1" s="305">
      <c r="A1463" s="8" t="n">
        <v>1951</v>
      </c>
      <c r="B1463" s="5" t="n">
        <v>80</v>
      </c>
      <c r="C1463" s="72" t="inlineStr">
        <is>
          <t>X</t>
        </is>
      </c>
      <c r="D1463" s="5" t="n">
        <v>264</v>
      </c>
      <c r="E1463" s="73">
        <f>B1463*D1463/10000</f>
        <v/>
      </c>
      <c r="F1463" s="74">
        <f>B1463/30.48</f>
        <v/>
      </c>
      <c r="G1463" s="74">
        <f>D1463/30.48</f>
        <v/>
      </c>
      <c r="H1463" s="615" t="n"/>
      <c r="K1463" s="51" t="inlineStr">
        <is>
          <t>PAC</t>
        </is>
      </c>
      <c r="M1463" s="210" t="n"/>
      <c r="N1463" s="211" t="n"/>
      <c r="O1463" s="340" t="inlineStr">
        <is>
          <t>SBL</t>
        </is>
      </c>
      <c r="Q1463" s="271" t="n"/>
      <c r="R1463" s="282" t="n"/>
    </row>
    <row r="1464" ht="18" customHeight="1" s="305">
      <c r="A1464" s="8" t="n">
        <v>1953</v>
      </c>
      <c r="B1464" s="5" t="n">
        <v>120</v>
      </c>
      <c r="C1464" s="72" t="inlineStr">
        <is>
          <t>X</t>
        </is>
      </c>
      <c r="D1464" s="5" t="n">
        <v>210</v>
      </c>
      <c r="E1464" s="73">
        <f>B1464*D1464/10000</f>
        <v/>
      </c>
      <c r="F1464" s="74">
        <f>B1464/30.48</f>
        <v/>
      </c>
      <c r="G1464" s="74">
        <f>D1464/30.48</f>
        <v/>
      </c>
      <c r="H1464" s="615" t="n"/>
      <c r="J1464" s="48" t="inlineStr">
        <is>
          <t>TRS</t>
        </is>
      </c>
      <c r="K1464" s="51" t="inlineStr">
        <is>
          <t>PAC</t>
        </is>
      </c>
      <c r="M1464" s="210" t="n"/>
      <c r="N1464" s="211" t="n"/>
      <c r="O1464" s="340" t="inlineStr">
        <is>
          <t>SBL</t>
        </is>
      </c>
      <c r="Q1464" s="271" t="inlineStr">
        <is>
          <t>RST</t>
        </is>
      </c>
      <c r="R1464" s="282" t="n"/>
    </row>
    <row r="1465" ht="18" customHeight="1" s="305">
      <c r="A1465" s="8" t="n">
        <v>1957</v>
      </c>
      <c r="B1465" s="5" t="n">
        <v>118</v>
      </c>
      <c r="C1465" s="72" t="inlineStr">
        <is>
          <t>X</t>
        </is>
      </c>
      <c r="D1465" s="5" t="n">
        <v>203</v>
      </c>
      <c r="E1465" s="73">
        <f>B1465*D1465/10000</f>
        <v/>
      </c>
      <c r="F1465" s="74">
        <f>B1465/30.48</f>
        <v/>
      </c>
      <c r="G1465" s="74">
        <f>D1465/30.48</f>
        <v/>
      </c>
      <c r="H1465" s="615" t="n"/>
      <c r="J1465" s="48" t="inlineStr">
        <is>
          <t>TRS</t>
        </is>
      </c>
      <c r="K1465" s="51" t="inlineStr">
        <is>
          <t>PAC</t>
        </is>
      </c>
      <c r="M1465" s="210" t="n"/>
      <c r="N1465" s="211" t="n"/>
      <c r="O1465" s="340" t="inlineStr">
        <is>
          <t>SBL</t>
        </is>
      </c>
      <c r="Q1465" s="271" t="n"/>
      <c r="R1465" s="282" t="n"/>
    </row>
    <row r="1466" ht="18" customHeight="1" s="305">
      <c r="A1466" s="8" t="n">
        <v>1958</v>
      </c>
      <c r="B1466" s="5" t="n">
        <v>112</v>
      </c>
      <c r="C1466" s="72" t="inlineStr">
        <is>
          <t>X</t>
        </is>
      </c>
      <c r="D1466" s="5" t="n">
        <v>195</v>
      </c>
      <c r="E1466" s="73">
        <f>B1466*D1466/10000</f>
        <v/>
      </c>
      <c r="F1466" s="74">
        <f>B1466/30.48</f>
        <v/>
      </c>
      <c r="G1466" s="74">
        <f>D1466/30.48</f>
        <v/>
      </c>
      <c r="H1466" s="615" t="n"/>
      <c r="J1466" s="48" t="inlineStr">
        <is>
          <t>TRS</t>
        </is>
      </c>
      <c r="K1466" s="51" t="inlineStr">
        <is>
          <t>PAC</t>
        </is>
      </c>
      <c r="L1466" s="105" t="inlineStr">
        <is>
          <t>VR</t>
        </is>
      </c>
      <c r="M1466" s="210" t="n"/>
      <c r="N1466" s="211" t="n"/>
      <c r="O1466" s="340" t="inlineStr">
        <is>
          <t>SBL</t>
        </is>
      </c>
      <c r="Q1466" s="271" t="inlineStr">
        <is>
          <t>RST</t>
        </is>
      </c>
      <c r="R1466" s="282" t="n"/>
    </row>
    <row r="1467" ht="18" customHeight="1" s="305">
      <c r="A1467" s="8" t="n">
        <v>1960</v>
      </c>
      <c r="B1467" s="5" t="n">
        <v>116</v>
      </c>
      <c r="C1467" s="72" t="inlineStr">
        <is>
          <t>X</t>
        </is>
      </c>
      <c r="D1467" s="5" t="n">
        <v>179</v>
      </c>
      <c r="E1467" s="73">
        <f>B1467*D1467/10000</f>
        <v/>
      </c>
      <c r="F1467" s="74">
        <f>B1467/30.48</f>
        <v/>
      </c>
      <c r="G1467" s="74">
        <f>D1467/30.48</f>
        <v/>
      </c>
      <c r="H1467" s="615" t="n"/>
      <c r="J1467" s="48" t="inlineStr">
        <is>
          <t>TRS</t>
        </is>
      </c>
      <c r="K1467" s="51" t="inlineStr">
        <is>
          <t>PAC</t>
        </is>
      </c>
      <c r="M1467" s="210" t="n"/>
      <c r="N1467" s="211" t="n"/>
      <c r="O1467" s="340" t="inlineStr">
        <is>
          <t>SBL</t>
        </is>
      </c>
      <c r="Q1467" s="271" t="inlineStr">
        <is>
          <t>RST</t>
        </is>
      </c>
      <c r="R1467" s="282" t="n"/>
    </row>
    <row r="1468" ht="18" customHeight="1" s="305">
      <c r="A1468" s="8" t="n">
        <v>1965</v>
      </c>
      <c r="B1468" s="5" t="n">
        <v>214</v>
      </c>
      <c r="C1468" s="72" t="inlineStr">
        <is>
          <t>X</t>
        </is>
      </c>
      <c r="D1468" s="5" t="n">
        <v>305</v>
      </c>
      <c r="E1468" s="73">
        <f>B1468*D1468/10000</f>
        <v/>
      </c>
      <c r="F1468" s="74">
        <f>B1468/30.48</f>
        <v/>
      </c>
      <c r="G1468" s="74">
        <f>D1468/30.48</f>
        <v/>
      </c>
      <c r="H1468" s="615" t="n"/>
      <c r="J1468" s="48" t="inlineStr">
        <is>
          <t>TRS</t>
        </is>
      </c>
      <c r="K1468" s="51" t="inlineStr">
        <is>
          <t>PAC</t>
        </is>
      </c>
      <c r="L1468" s="105" t="inlineStr">
        <is>
          <t>VR</t>
        </is>
      </c>
      <c r="M1468" s="210" t="n"/>
      <c r="N1468" s="211" t="n"/>
      <c r="O1468" s="340" t="inlineStr">
        <is>
          <t>SBL</t>
        </is>
      </c>
      <c r="Q1468" s="271" t="inlineStr">
        <is>
          <t>RST</t>
        </is>
      </c>
      <c r="R1468" s="282" t="n"/>
    </row>
    <row r="1469" ht="18" customHeight="1" s="305">
      <c r="A1469" s="8" t="n">
        <v>1967</v>
      </c>
      <c r="B1469" s="5" t="n">
        <v>200</v>
      </c>
      <c r="C1469" s="72" t="inlineStr">
        <is>
          <t>X</t>
        </is>
      </c>
      <c r="D1469" s="5" t="n">
        <v>292</v>
      </c>
      <c r="E1469" s="73">
        <f>B1469*D1469/10000</f>
        <v/>
      </c>
      <c r="F1469" s="74">
        <f>B1469/30.48</f>
        <v/>
      </c>
      <c r="G1469" s="74">
        <f>D1469/30.48</f>
        <v/>
      </c>
      <c r="H1469" s="615" t="n"/>
      <c r="J1469" s="48" t="inlineStr">
        <is>
          <t>TRS</t>
        </is>
      </c>
      <c r="K1469" s="51" t="inlineStr">
        <is>
          <t>PAC</t>
        </is>
      </c>
      <c r="L1469" s="105" t="inlineStr">
        <is>
          <t>VR</t>
        </is>
      </c>
      <c r="M1469" s="210" t="n"/>
      <c r="N1469" s="211" t="n"/>
      <c r="O1469" s="340" t="inlineStr">
        <is>
          <t>SBL</t>
        </is>
      </c>
      <c r="Q1469" s="271" t="inlineStr">
        <is>
          <t>RST</t>
        </is>
      </c>
      <c r="R1469" s="282" t="n"/>
    </row>
    <row r="1470" ht="18" customHeight="1" s="305">
      <c r="A1470" s="8" t="n">
        <v>1968</v>
      </c>
      <c r="B1470" s="5" t="n">
        <v>192</v>
      </c>
      <c r="C1470" s="72" t="inlineStr">
        <is>
          <t>X</t>
        </is>
      </c>
      <c r="D1470" s="5" t="n">
        <v>304</v>
      </c>
      <c r="E1470" s="73">
        <f>B1470*D1470/10000</f>
        <v/>
      </c>
      <c r="F1470" s="74">
        <f>B1470/30.48</f>
        <v/>
      </c>
      <c r="G1470" s="74">
        <f>D1470/30.48</f>
        <v/>
      </c>
      <c r="H1470" s="615" t="n"/>
      <c r="J1470" s="48" t="inlineStr">
        <is>
          <t>TRS</t>
        </is>
      </c>
      <c r="K1470" s="51" t="inlineStr">
        <is>
          <t>PAC</t>
        </is>
      </c>
      <c r="L1470" s="105" t="inlineStr">
        <is>
          <t>VR</t>
        </is>
      </c>
      <c r="M1470" s="210" t="n"/>
      <c r="N1470" s="211" t="n"/>
      <c r="O1470" s="340" t="inlineStr">
        <is>
          <t>SBL</t>
        </is>
      </c>
      <c r="Q1470" s="271" t="inlineStr">
        <is>
          <t>RST</t>
        </is>
      </c>
      <c r="R1470" s="282" t="n"/>
    </row>
    <row r="1471" ht="18" customHeight="1" s="305">
      <c r="A1471" s="8" t="n">
        <v>1969</v>
      </c>
      <c r="B1471" s="5" t="n">
        <v>166</v>
      </c>
      <c r="C1471" s="72" t="inlineStr">
        <is>
          <t>X</t>
        </is>
      </c>
      <c r="D1471" s="5" t="n">
        <v>270</v>
      </c>
      <c r="E1471" s="73">
        <f>B1471*D1471/10000</f>
        <v/>
      </c>
      <c r="F1471" s="74">
        <f>B1471/30.48</f>
        <v/>
      </c>
      <c r="G1471" s="74">
        <f>D1471/30.48</f>
        <v/>
      </c>
      <c r="H1471" s="615" t="n"/>
      <c r="J1471" s="48" t="inlineStr">
        <is>
          <t>TRS</t>
        </is>
      </c>
      <c r="K1471" s="51" t="inlineStr">
        <is>
          <t>PAC</t>
        </is>
      </c>
      <c r="L1471" s="105" t="inlineStr">
        <is>
          <t>VR</t>
        </is>
      </c>
      <c r="M1471" s="210" t="n"/>
      <c r="N1471" s="211" t="n"/>
      <c r="O1471" s="340" t="inlineStr">
        <is>
          <t>SBL</t>
        </is>
      </c>
      <c r="Q1471" s="271" t="inlineStr">
        <is>
          <t>RST</t>
        </is>
      </c>
      <c r="R1471" s="282" t="n"/>
    </row>
    <row r="1472" ht="18" customHeight="1" s="305">
      <c r="A1472" s="8" t="n">
        <v>1971</v>
      </c>
      <c r="B1472" s="5" t="n">
        <v>156</v>
      </c>
      <c r="C1472" s="72" t="inlineStr">
        <is>
          <t>X</t>
        </is>
      </c>
      <c r="D1472" s="5" t="n">
        <v>239</v>
      </c>
      <c r="E1472" s="73">
        <f>B1472*D1472/10000</f>
        <v/>
      </c>
      <c r="F1472" s="74">
        <f>B1472/30.48</f>
        <v/>
      </c>
      <c r="G1472" s="74">
        <f>D1472/30.48</f>
        <v/>
      </c>
      <c r="H1472" s="615" t="n"/>
      <c r="J1472" s="48" t="inlineStr">
        <is>
          <t>TRS</t>
        </is>
      </c>
      <c r="K1472" s="51" t="inlineStr">
        <is>
          <t>PAC</t>
        </is>
      </c>
      <c r="M1472" s="210" t="n"/>
      <c r="N1472" s="211" t="n"/>
      <c r="O1472" s="340" t="inlineStr">
        <is>
          <t>SBL</t>
        </is>
      </c>
      <c r="Q1472" s="271" t="inlineStr">
        <is>
          <t>RST</t>
        </is>
      </c>
      <c r="R1472" s="282" t="n"/>
    </row>
    <row r="1473" ht="18" customHeight="1" s="305">
      <c r="A1473" s="8" t="n">
        <v>1972</v>
      </c>
      <c r="B1473" s="5" t="n">
        <v>162</v>
      </c>
      <c r="C1473" s="72" t="inlineStr">
        <is>
          <t>X</t>
        </is>
      </c>
      <c r="D1473" s="5" t="n">
        <v>357</v>
      </c>
      <c r="E1473" s="73">
        <f>B1473*D1473/10000</f>
        <v/>
      </c>
      <c r="F1473" s="74">
        <f>B1473/30.48</f>
        <v/>
      </c>
      <c r="G1473" s="74">
        <f>D1473/30.48</f>
        <v/>
      </c>
      <c r="H1473" s="615" t="n"/>
      <c r="J1473" s="48" t="inlineStr">
        <is>
          <t>TRS</t>
        </is>
      </c>
      <c r="K1473" s="51" t="inlineStr">
        <is>
          <t>PAC</t>
        </is>
      </c>
      <c r="L1473" s="105" t="inlineStr">
        <is>
          <t>VR</t>
        </is>
      </c>
      <c r="M1473" s="210" t="n"/>
      <c r="N1473" s="211" t="n"/>
      <c r="O1473" s="340" t="inlineStr">
        <is>
          <t>SBL</t>
        </is>
      </c>
      <c r="Q1473" s="271" t="inlineStr">
        <is>
          <t>RST</t>
        </is>
      </c>
      <c r="R1473" s="282" t="n"/>
    </row>
    <row r="1474" ht="18" customHeight="1" s="305">
      <c r="A1474" s="8" t="n">
        <v>1973</v>
      </c>
      <c r="B1474" s="5" t="n">
        <v>198</v>
      </c>
      <c r="C1474" s="72" t="inlineStr">
        <is>
          <t>X</t>
        </is>
      </c>
      <c r="D1474" s="5" t="n">
        <v>294</v>
      </c>
      <c r="E1474" s="73">
        <f>B1474*D1474/10000</f>
        <v/>
      </c>
      <c r="F1474" s="74">
        <f>B1474/30.48</f>
        <v/>
      </c>
      <c r="G1474" s="74">
        <f>D1474/30.48</f>
        <v/>
      </c>
      <c r="H1474" s="615" t="n"/>
      <c r="J1474" s="48" t="inlineStr">
        <is>
          <t>TRS</t>
        </is>
      </c>
      <c r="K1474" s="51" t="inlineStr">
        <is>
          <t>PAC</t>
        </is>
      </c>
      <c r="M1474" s="210" t="n"/>
      <c r="N1474" s="211" t="n"/>
      <c r="O1474" s="340" t="inlineStr">
        <is>
          <t>SBL</t>
        </is>
      </c>
      <c r="Q1474" s="271" t="n"/>
      <c r="R1474" s="282" t="n"/>
    </row>
    <row r="1475" ht="18" customHeight="1" s="305">
      <c r="A1475" s="8" t="n">
        <v>1974</v>
      </c>
      <c r="B1475" s="5" t="n">
        <v>210</v>
      </c>
      <c r="C1475" s="72" t="inlineStr">
        <is>
          <t>X</t>
        </is>
      </c>
      <c r="D1475" s="5" t="n">
        <v>316</v>
      </c>
      <c r="E1475" s="73">
        <f>B1475*D1475/10000</f>
        <v/>
      </c>
      <c r="F1475" s="74">
        <f>B1475/30.48</f>
        <v/>
      </c>
      <c r="G1475" s="74">
        <f>D1475/30.48</f>
        <v/>
      </c>
      <c r="H1475" s="615" t="n"/>
      <c r="J1475" s="48" t="inlineStr">
        <is>
          <t>TRS</t>
        </is>
      </c>
      <c r="K1475" s="51" t="inlineStr">
        <is>
          <t>PAC</t>
        </is>
      </c>
      <c r="L1475" s="105" t="inlineStr">
        <is>
          <t>VR</t>
        </is>
      </c>
      <c r="M1475" s="210" t="n"/>
      <c r="N1475" s="211" t="n"/>
      <c r="O1475" s="340" t="inlineStr">
        <is>
          <t>SBL</t>
        </is>
      </c>
      <c r="Q1475" s="271" t="inlineStr">
        <is>
          <t>RST</t>
        </is>
      </c>
      <c r="R1475" s="282" t="n"/>
    </row>
    <row r="1476" ht="18" customHeight="1" s="305">
      <c r="A1476" s="8" t="n">
        <v>1978</v>
      </c>
      <c r="B1476" s="5" t="n">
        <v>183</v>
      </c>
      <c r="C1476" s="72" t="inlineStr">
        <is>
          <t>X</t>
        </is>
      </c>
      <c r="D1476" s="5" t="n">
        <v>324</v>
      </c>
      <c r="E1476" s="73">
        <f>B1476*D1476/10000</f>
        <v/>
      </c>
      <c r="F1476" s="74">
        <f>B1476/30.48</f>
        <v/>
      </c>
      <c r="G1476" s="74">
        <f>D1476/30.48</f>
        <v/>
      </c>
      <c r="H1476" s="615" t="n"/>
      <c r="J1476" s="48" t="inlineStr">
        <is>
          <t>TRS</t>
        </is>
      </c>
      <c r="K1476" s="51" t="inlineStr">
        <is>
          <t>PAC</t>
        </is>
      </c>
      <c r="L1476" s="105" t="inlineStr">
        <is>
          <t>VR</t>
        </is>
      </c>
      <c r="M1476" s="210" t="n"/>
      <c r="N1476" s="211" t="n"/>
      <c r="O1476" s="340" t="inlineStr">
        <is>
          <t>SBL</t>
        </is>
      </c>
      <c r="Q1476" s="271" t="inlineStr">
        <is>
          <t>RST</t>
        </is>
      </c>
      <c r="R1476" s="282" t="n"/>
    </row>
    <row r="1477" ht="18" customHeight="1" s="305">
      <c r="A1477" s="8" t="n">
        <v>1979</v>
      </c>
      <c r="B1477" s="5" t="n">
        <v>211</v>
      </c>
      <c r="C1477" s="72" t="inlineStr">
        <is>
          <t>X</t>
        </is>
      </c>
      <c r="D1477" s="5" t="n">
        <v>301</v>
      </c>
      <c r="E1477" s="73">
        <f>B1477*D1477/10000</f>
        <v/>
      </c>
      <c r="F1477" s="74">
        <f>B1477/30.48</f>
        <v/>
      </c>
      <c r="G1477" s="74">
        <f>D1477/30.48</f>
        <v/>
      </c>
      <c r="H1477" s="615" t="n"/>
      <c r="J1477" s="48" t="inlineStr">
        <is>
          <t>TRS</t>
        </is>
      </c>
      <c r="K1477" s="51" t="inlineStr">
        <is>
          <t>PAC</t>
        </is>
      </c>
      <c r="L1477" s="105" t="inlineStr">
        <is>
          <t>VR</t>
        </is>
      </c>
      <c r="M1477" s="210" t="n"/>
      <c r="N1477" s="211" t="n"/>
      <c r="O1477" s="340" t="inlineStr">
        <is>
          <t>SBL</t>
        </is>
      </c>
      <c r="Q1477" s="271" t="inlineStr">
        <is>
          <t>RST</t>
        </is>
      </c>
      <c r="R1477" s="282" t="n"/>
    </row>
    <row r="1478" ht="18" customHeight="1" s="305">
      <c r="A1478" s="8" t="n">
        <v>1980</v>
      </c>
      <c r="B1478" s="5" t="n">
        <v>200</v>
      </c>
      <c r="C1478" s="72" t="inlineStr">
        <is>
          <t>X</t>
        </is>
      </c>
      <c r="D1478" s="5" t="n">
        <v>320</v>
      </c>
      <c r="E1478" s="73">
        <f>B1478*D1478/10000</f>
        <v/>
      </c>
      <c r="F1478" s="74">
        <f>B1478/30.48</f>
        <v/>
      </c>
      <c r="G1478" s="74">
        <f>D1478/30.48</f>
        <v/>
      </c>
      <c r="H1478" s="615" t="n"/>
      <c r="J1478" s="48" t="inlineStr">
        <is>
          <t>TRS</t>
        </is>
      </c>
      <c r="K1478" s="51" t="inlineStr">
        <is>
          <t>PAC</t>
        </is>
      </c>
      <c r="L1478" s="105" t="inlineStr">
        <is>
          <t>VR</t>
        </is>
      </c>
      <c r="M1478" s="210" t="n"/>
      <c r="N1478" s="211" t="n"/>
      <c r="O1478" s="340" t="inlineStr">
        <is>
          <t>SBL</t>
        </is>
      </c>
      <c r="Q1478" s="271" t="n"/>
      <c r="R1478" s="282" t="n"/>
    </row>
    <row r="1479" ht="18" customHeight="1" s="305">
      <c r="A1479" s="8" t="n">
        <v>1981</v>
      </c>
      <c r="B1479" s="5" t="n">
        <v>209</v>
      </c>
      <c r="C1479" s="72" t="inlineStr">
        <is>
          <t>X</t>
        </is>
      </c>
      <c r="D1479" s="5" t="n">
        <v>309</v>
      </c>
      <c r="E1479" s="73">
        <f>B1479*D1479/10000</f>
        <v/>
      </c>
      <c r="F1479" s="74">
        <f>B1479/30.48</f>
        <v/>
      </c>
      <c r="G1479" s="74">
        <f>D1479/30.48</f>
        <v/>
      </c>
      <c r="H1479" s="615" t="n"/>
      <c r="J1479" s="48" t="inlineStr">
        <is>
          <t>TRS</t>
        </is>
      </c>
      <c r="K1479" s="51" t="inlineStr">
        <is>
          <t>PAC</t>
        </is>
      </c>
      <c r="L1479" s="105" t="inlineStr">
        <is>
          <t>VR</t>
        </is>
      </c>
      <c r="M1479" s="210" t="n"/>
      <c r="N1479" s="211" t="n"/>
      <c r="O1479" s="340" t="inlineStr">
        <is>
          <t>SBL</t>
        </is>
      </c>
      <c r="Q1479" s="271" t="inlineStr">
        <is>
          <t>RST</t>
        </is>
      </c>
      <c r="R1479" s="282" t="n"/>
    </row>
    <row r="1480" ht="18" customHeight="1" s="305">
      <c r="A1480" s="8" t="n">
        <v>1982</v>
      </c>
      <c r="B1480" s="5" t="n">
        <v>184</v>
      </c>
      <c r="C1480" s="72" t="inlineStr">
        <is>
          <t>X</t>
        </is>
      </c>
      <c r="D1480" s="5" t="n">
        <v>308</v>
      </c>
      <c r="E1480" s="73">
        <f>B1480*D1480/10000</f>
        <v/>
      </c>
      <c r="F1480" s="74">
        <f>B1480/30.48</f>
        <v/>
      </c>
      <c r="G1480" s="74">
        <f>D1480/30.48</f>
        <v/>
      </c>
      <c r="H1480" s="615" t="n"/>
      <c r="J1480" s="48" t="inlineStr">
        <is>
          <t>TRS</t>
        </is>
      </c>
      <c r="K1480" s="51" t="inlineStr">
        <is>
          <t>PAC</t>
        </is>
      </c>
      <c r="L1480" s="105" t="inlineStr">
        <is>
          <t>VR</t>
        </is>
      </c>
      <c r="M1480" s="210" t="n"/>
      <c r="N1480" s="211" t="n"/>
      <c r="O1480" s="340" t="inlineStr">
        <is>
          <t>SBL</t>
        </is>
      </c>
      <c r="Q1480" s="271" t="inlineStr">
        <is>
          <t>RST</t>
        </is>
      </c>
      <c r="R1480" s="282" t="n"/>
    </row>
    <row r="1481" ht="18" customHeight="1" s="305">
      <c r="A1481" s="8" t="n">
        <v>1985</v>
      </c>
      <c r="B1481" s="5" t="n">
        <v>110</v>
      </c>
      <c r="C1481" s="72" t="inlineStr">
        <is>
          <t>X</t>
        </is>
      </c>
      <c r="D1481" s="5" t="n">
        <v>206</v>
      </c>
      <c r="E1481" s="73">
        <f>B1481*D1481/10000</f>
        <v/>
      </c>
      <c r="F1481" s="74">
        <f>B1481/30.48</f>
        <v/>
      </c>
      <c r="G1481" s="74">
        <f>D1481/30.48</f>
        <v/>
      </c>
      <c r="H1481" s="615" t="n"/>
      <c r="J1481" s="48" t="inlineStr">
        <is>
          <t>TRS</t>
        </is>
      </c>
      <c r="K1481" s="51" t="inlineStr">
        <is>
          <t>PAC</t>
        </is>
      </c>
      <c r="M1481" s="210" t="n"/>
      <c r="N1481" s="211" t="n"/>
      <c r="O1481" s="340" t="inlineStr">
        <is>
          <t>SBL</t>
        </is>
      </c>
      <c r="Q1481" s="271" t="n"/>
      <c r="R1481" s="282" t="n"/>
    </row>
    <row r="1482" ht="18" customHeight="1" s="305">
      <c r="A1482" s="8" t="n">
        <v>1991</v>
      </c>
      <c r="B1482" s="5" t="n">
        <v>113</v>
      </c>
      <c r="C1482" s="72" t="inlineStr">
        <is>
          <t>X</t>
        </is>
      </c>
      <c r="D1482" s="5" t="n">
        <v>206</v>
      </c>
      <c r="E1482" s="73">
        <f>B1482*D1482/10000</f>
        <v/>
      </c>
      <c r="F1482" s="74">
        <f>B1482/30.48</f>
        <v/>
      </c>
      <c r="G1482" s="74">
        <f>D1482/30.48</f>
        <v/>
      </c>
      <c r="H1482" s="615" t="n"/>
      <c r="J1482" s="48" t="inlineStr">
        <is>
          <t>TRS</t>
        </is>
      </c>
      <c r="K1482" s="51" t="inlineStr">
        <is>
          <t>PAC</t>
        </is>
      </c>
      <c r="M1482" s="210" t="n"/>
      <c r="N1482" s="211" t="n"/>
      <c r="O1482" s="340" t="inlineStr">
        <is>
          <t>SBL</t>
        </is>
      </c>
      <c r="Q1482" s="271" t="inlineStr">
        <is>
          <t>RST</t>
        </is>
      </c>
      <c r="R1482" s="282" t="n"/>
    </row>
    <row r="1483" ht="18" customHeight="1" s="305">
      <c r="A1483" s="8" t="n">
        <v>1992</v>
      </c>
      <c r="B1483" s="5" t="n">
        <v>95</v>
      </c>
      <c r="C1483" s="72" t="inlineStr">
        <is>
          <t>X</t>
        </is>
      </c>
      <c r="D1483" s="5" t="n">
        <v>386</v>
      </c>
      <c r="E1483" s="73">
        <f>B1483*D1483/10000</f>
        <v/>
      </c>
      <c r="F1483" s="74">
        <f>B1483/30.48</f>
        <v/>
      </c>
      <c r="G1483" s="74">
        <f>D1483/30.48</f>
        <v/>
      </c>
      <c r="H1483" s="615" t="n"/>
      <c r="J1483" s="48" t="inlineStr">
        <is>
          <t>TRS</t>
        </is>
      </c>
      <c r="K1483" s="51" t="inlineStr">
        <is>
          <t>PAC</t>
        </is>
      </c>
      <c r="M1483" s="210" t="n"/>
      <c r="N1483" s="211" t="n"/>
      <c r="O1483" s="340" t="inlineStr">
        <is>
          <t>SBL</t>
        </is>
      </c>
      <c r="Q1483" s="271" t="inlineStr">
        <is>
          <t>RST</t>
        </is>
      </c>
      <c r="R1483" s="282" t="n"/>
    </row>
    <row r="1484" ht="18" customHeight="1" s="305">
      <c r="A1484" s="8" t="n">
        <v>1993</v>
      </c>
      <c r="B1484" s="5" t="n">
        <v>91</v>
      </c>
      <c r="C1484" s="72" t="inlineStr">
        <is>
          <t>X</t>
        </is>
      </c>
      <c r="D1484" s="5" t="n">
        <v>369</v>
      </c>
      <c r="E1484" s="73">
        <f>B1484*D1484/10000</f>
        <v/>
      </c>
      <c r="F1484" s="74">
        <f>B1484/30.48</f>
        <v/>
      </c>
      <c r="G1484" s="74">
        <f>D1484/30.48</f>
        <v/>
      </c>
      <c r="H1484" s="615" t="n"/>
      <c r="J1484" s="48" t="inlineStr">
        <is>
          <t>TRS</t>
        </is>
      </c>
      <c r="K1484" s="51" t="inlineStr">
        <is>
          <t>PAC</t>
        </is>
      </c>
      <c r="M1484" s="210" t="n"/>
      <c r="N1484" s="211" t="n"/>
      <c r="O1484" s="340" t="inlineStr">
        <is>
          <t>SBL</t>
        </is>
      </c>
      <c r="Q1484" s="271" t="inlineStr">
        <is>
          <t>RST</t>
        </is>
      </c>
      <c r="R1484" s="282" t="n"/>
    </row>
    <row r="1485" ht="18" customHeight="1" s="305">
      <c r="A1485" s="8" t="n">
        <v>1994</v>
      </c>
      <c r="B1485" s="5" t="n">
        <v>80</v>
      </c>
      <c r="C1485" s="72" t="inlineStr">
        <is>
          <t>X</t>
        </is>
      </c>
      <c r="D1485" s="5" t="n">
        <v>302</v>
      </c>
      <c r="E1485" s="73">
        <f>B1485*D1485/10000</f>
        <v/>
      </c>
      <c r="F1485" s="74">
        <f>B1485/30.48</f>
        <v/>
      </c>
      <c r="G1485" s="74">
        <f>D1485/30.48</f>
        <v/>
      </c>
      <c r="H1485" s="615" t="n"/>
      <c r="J1485" s="48" t="inlineStr">
        <is>
          <t>TRS</t>
        </is>
      </c>
      <c r="K1485" s="51" t="inlineStr">
        <is>
          <t>PAC</t>
        </is>
      </c>
      <c r="M1485" s="210" t="n"/>
      <c r="N1485" s="211" t="n"/>
      <c r="O1485" s="340" t="inlineStr">
        <is>
          <t>SBL</t>
        </is>
      </c>
      <c r="Q1485" s="271" t="inlineStr">
        <is>
          <t>RST</t>
        </is>
      </c>
      <c r="R1485" s="282" t="n"/>
    </row>
    <row r="1486" ht="18" customHeight="1" s="305">
      <c r="A1486" s="8" t="n">
        <v>1995</v>
      </c>
      <c r="B1486" s="5" t="n">
        <v>88</v>
      </c>
      <c r="C1486" s="72" t="inlineStr">
        <is>
          <t>X</t>
        </is>
      </c>
      <c r="D1486" s="5" t="n">
        <v>341</v>
      </c>
      <c r="E1486" s="73">
        <f>B1486*D1486/10000</f>
        <v/>
      </c>
      <c r="F1486" s="74">
        <f>B1486/30.48</f>
        <v/>
      </c>
      <c r="G1486" s="74">
        <f>D1486/30.48</f>
        <v/>
      </c>
      <c r="H1486" s="615" t="n"/>
      <c r="J1486" s="48" t="inlineStr">
        <is>
          <t>TRS</t>
        </is>
      </c>
      <c r="K1486" s="51" t="inlineStr">
        <is>
          <t>PAC</t>
        </is>
      </c>
      <c r="M1486" s="210" t="n"/>
      <c r="N1486" s="211" t="n"/>
      <c r="O1486" s="340" t="inlineStr">
        <is>
          <t>SBL</t>
        </is>
      </c>
      <c r="Q1486" s="271" t="n"/>
      <c r="R1486" s="282" t="n"/>
    </row>
    <row r="1487" ht="18" customHeight="1" s="305">
      <c r="A1487" s="8" t="n">
        <v>1997</v>
      </c>
      <c r="B1487" s="5" t="n">
        <v>81</v>
      </c>
      <c r="C1487" s="72" t="inlineStr">
        <is>
          <t>X</t>
        </is>
      </c>
      <c r="D1487" s="5" t="n">
        <v>308</v>
      </c>
      <c r="E1487" s="73">
        <f>B1487*D1487/10000</f>
        <v/>
      </c>
      <c r="F1487" s="74">
        <f>B1487/30.48</f>
        <v/>
      </c>
      <c r="G1487" s="74">
        <f>D1487/30.48</f>
        <v/>
      </c>
      <c r="H1487" s="615" t="n"/>
      <c r="J1487" s="48" t="inlineStr">
        <is>
          <t>TRS</t>
        </is>
      </c>
      <c r="K1487" s="51" t="inlineStr">
        <is>
          <t>PAC</t>
        </is>
      </c>
      <c r="M1487" s="210" t="n"/>
      <c r="N1487" s="211" t="n"/>
      <c r="O1487" s="340" t="inlineStr">
        <is>
          <t>SBL</t>
        </is>
      </c>
      <c r="Q1487" s="271" t="inlineStr">
        <is>
          <t>RST</t>
        </is>
      </c>
      <c r="R1487" s="282" t="n"/>
    </row>
    <row r="1488" ht="18" customHeight="1" s="305">
      <c r="A1488" s="8" t="n">
        <v>1998</v>
      </c>
      <c r="B1488" s="5" t="n">
        <v>91</v>
      </c>
      <c r="C1488" s="72" t="inlineStr">
        <is>
          <t>X</t>
        </is>
      </c>
      <c r="D1488" s="5" t="n">
        <v>382</v>
      </c>
      <c r="E1488" s="73">
        <f>B1488*D1488/10000</f>
        <v/>
      </c>
      <c r="F1488" s="74">
        <f>B1488/30.48</f>
        <v/>
      </c>
      <c r="G1488" s="74">
        <f>D1488/30.48</f>
        <v/>
      </c>
      <c r="H1488" s="615" t="n"/>
      <c r="J1488" s="48" t="inlineStr">
        <is>
          <t>TRS</t>
        </is>
      </c>
      <c r="K1488" s="51" t="inlineStr">
        <is>
          <t>PAC</t>
        </is>
      </c>
      <c r="M1488" s="210" t="n"/>
      <c r="N1488" s="211" t="n"/>
      <c r="O1488" s="340" t="inlineStr">
        <is>
          <t>SBL</t>
        </is>
      </c>
      <c r="Q1488" s="271" t="inlineStr">
        <is>
          <t>RST</t>
        </is>
      </c>
      <c r="R1488" s="282" t="n"/>
    </row>
    <row r="1489" ht="18" customHeight="1" s="305">
      <c r="A1489" s="8" t="n">
        <v>2001</v>
      </c>
      <c r="B1489" s="5" t="n">
        <v>89</v>
      </c>
      <c r="C1489" s="72" t="inlineStr">
        <is>
          <t>X</t>
        </is>
      </c>
      <c r="D1489" s="5" t="n">
        <v>280</v>
      </c>
      <c r="E1489" s="73">
        <f>B1489*D1489/10000</f>
        <v/>
      </c>
      <c r="F1489" s="74">
        <f>B1489/30.48</f>
        <v/>
      </c>
      <c r="G1489" s="74">
        <f>D1489/30.48</f>
        <v/>
      </c>
      <c r="H1489" s="615" t="n"/>
      <c r="J1489" s="48" t="inlineStr">
        <is>
          <t>TRS</t>
        </is>
      </c>
      <c r="K1489" s="51" t="inlineStr">
        <is>
          <t>PAC</t>
        </is>
      </c>
      <c r="M1489" s="210" t="n"/>
      <c r="N1489" s="211" t="n"/>
      <c r="O1489" s="340" t="inlineStr">
        <is>
          <t>SBL</t>
        </is>
      </c>
      <c r="Q1489" s="271" t="inlineStr">
        <is>
          <t>RST</t>
        </is>
      </c>
      <c r="R1489" s="282" t="n"/>
    </row>
    <row r="1490" ht="18" customHeight="1" s="305">
      <c r="A1490" s="8" t="n">
        <v>2004</v>
      </c>
      <c r="B1490" s="5" t="n">
        <v>114</v>
      </c>
      <c r="C1490" s="72" t="inlineStr">
        <is>
          <t>X</t>
        </is>
      </c>
      <c r="D1490" s="5" t="n">
        <v>210</v>
      </c>
      <c r="E1490" s="73">
        <f>B1490*D1490/10000</f>
        <v/>
      </c>
      <c r="F1490" s="74">
        <f>B1490/30.48</f>
        <v/>
      </c>
      <c r="G1490" s="74">
        <f>D1490/30.48</f>
        <v/>
      </c>
      <c r="H1490" s="615" t="n"/>
      <c r="J1490" s="48" t="inlineStr">
        <is>
          <t>TRS</t>
        </is>
      </c>
      <c r="K1490" s="51" t="inlineStr">
        <is>
          <t>PAC</t>
        </is>
      </c>
      <c r="M1490" s="210" t="n"/>
      <c r="N1490" s="211" t="n"/>
      <c r="O1490" s="340" t="inlineStr">
        <is>
          <t>SBL</t>
        </is>
      </c>
      <c r="Q1490" s="271" t="n"/>
      <c r="R1490" s="282" t="n"/>
    </row>
    <row r="1491" ht="18" customHeight="1" s="305">
      <c r="A1491" s="8" t="n">
        <v>2005</v>
      </c>
      <c r="B1491" s="5" t="n">
        <v>91</v>
      </c>
      <c r="C1491" s="72" t="inlineStr">
        <is>
          <t>X</t>
        </is>
      </c>
      <c r="D1491" s="5" t="n">
        <v>341</v>
      </c>
      <c r="E1491" s="73">
        <f>B1491*D1491/10000</f>
        <v/>
      </c>
      <c r="F1491" s="74">
        <f>B1491/30.48</f>
        <v/>
      </c>
      <c r="G1491" s="74">
        <f>D1491/30.48</f>
        <v/>
      </c>
      <c r="H1491" s="615" t="n"/>
      <c r="J1491" s="48" t="inlineStr">
        <is>
          <t>TRS</t>
        </is>
      </c>
      <c r="K1491" s="51" t="inlineStr">
        <is>
          <t>PAC</t>
        </is>
      </c>
      <c r="M1491" s="210" t="n"/>
      <c r="N1491" s="211" t="n"/>
      <c r="O1491" s="340" t="inlineStr">
        <is>
          <t>SBL</t>
        </is>
      </c>
      <c r="Q1491" s="271" t="n"/>
      <c r="R1491" s="282" t="n"/>
    </row>
    <row r="1492" ht="18" customHeight="1" s="305">
      <c r="A1492" s="8" t="n">
        <v>2011</v>
      </c>
      <c r="B1492" s="5" t="n">
        <v>91</v>
      </c>
      <c r="C1492" s="72" t="inlineStr">
        <is>
          <t>X</t>
        </is>
      </c>
      <c r="D1492" s="5" t="n">
        <v>341</v>
      </c>
      <c r="E1492" s="73">
        <f>B1492*D1492/10000</f>
        <v/>
      </c>
      <c r="F1492" s="74">
        <f>B1492/30.48</f>
        <v/>
      </c>
      <c r="G1492" s="74">
        <f>D1492/30.48</f>
        <v/>
      </c>
      <c r="H1492" s="615" t="n"/>
      <c r="J1492" s="48" t="inlineStr">
        <is>
          <t>TRS</t>
        </is>
      </c>
      <c r="K1492" s="51" t="inlineStr">
        <is>
          <t>PAC</t>
        </is>
      </c>
      <c r="M1492" s="210" t="n"/>
      <c r="N1492" s="211" t="n"/>
      <c r="O1492" s="340" t="inlineStr">
        <is>
          <t>SBL</t>
        </is>
      </c>
      <c r="Q1492" s="271" t="inlineStr">
        <is>
          <t>RST</t>
        </is>
      </c>
      <c r="R1492" s="282" t="n"/>
    </row>
    <row r="1493" ht="18" customHeight="1" s="305">
      <c r="A1493" s="8" t="n">
        <v>2012</v>
      </c>
      <c r="B1493" s="5" t="n">
        <v>115</v>
      </c>
      <c r="C1493" s="72" t="inlineStr">
        <is>
          <t>X</t>
        </is>
      </c>
      <c r="D1493" s="5" t="n">
        <v>245</v>
      </c>
      <c r="E1493" s="73">
        <f>B1493*D1493/10000</f>
        <v/>
      </c>
      <c r="F1493" s="74">
        <f>B1493/30.48</f>
        <v/>
      </c>
      <c r="G1493" s="74">
        <f>D1493/30.48</f>
        <v/>
      </c>
      <c r="H1493" s="615" t="n"/>
      <c r="J1493" s="48" t="inlineStr">
        <is>
          <t>TRS</t>
        </is>
      </c>
      <c r="K1493" s="51" t="inlineStr">
        <is>
          <t>PAC</t>
        </is>
      </c>
      <c r="M1493" s="210" t="n"/>
      <c r="N1493" s="211" t="n"/>
      <c r="O1493" s="340" t="inlineStr">
        <is>
          <t>SBL</t>
        </is>
      </c>
      <c r="Q1493" s="271" t="inlineStr">
        <is>
          <t>RST</t>
        </is>
      </c>
      <c r="R1493" s="282" t="n"/>
    </row>
    <row r="1494" ht="18" customHeight="1" s="305">
      <c r="A1494" s="8" t="n">
        <v>2017</v>
      </c>
      <c r="B1494" s="5" t="n">
        <v>84</v>
      </c>
      <c r="C1494" s="72" t="inlineStr">
        <is>
          <t>X</t>
        </is>
      </c>
      <c r="D1494" s="5" t="n">
        <v>390</v>
      </c>
      <c r="E1494" s="73">
        <f>B1494*D1494/10000</f>
        <v/>
      </c>
      <c r="F1494" s="74">
        <f>B1494/30.48</f>
        <v/>
      </c>
      <c r="G1494" s="74">
        <f>D1494/30.48</f>
        <v/>
      </c>
      <c r="H1494" s="615" t="n"/>
      <c r="J1494" s="48" t="inlineStr">
        <is>
          <t>TRS</t>
        </is>
      </c>
      <c r="K1494" s="51" t="inlineStr">
        <is>
          <t>PAC</t>
        </is>
      </c>
      <c r="M1494" s="210" t="n"/>
      <c r="N1494" s="211" t="n"/>
      <c r="O1494" s="340" t="inlineStr">
        <is>
          <t>SBL</t>
        </is>
      </c>
      <c r="Q1494" s="271" t="n"/>
      <c r="R1494" s="282" t="n"/>
    </row>
    <row r="1495" ht="18" customHeight="1" s="305">
      <c r="A1495" s="8" t="n">
        <v>2021</v>
      </c>
      <c r="B1495" s="5" t="n">
        <v>74</v>
      </c>
      <c r="C1495" s="72" t="inlineStr">
        <is>
          <t>X</t>
        </is>
      </c>
      <c r="D1495" s="5" t="n">
        <v>300</v>
      </c>
      <c r="E1495" s="73">
        <f>B1495*D1495/10000</f>
        <v/>
      </c>
      <c r="F1495" s="74">
        <f>B1495/30.48</f>
        <v/>
      </c>
      <c r="G1495" s="74">
        <f>D1495/30.48</f>
        <v/>
      </c>
      <c r="H1495" s="615" t="n"/>
      <c r="J1495" s="48" t="inlineStr">
        <is>
          <t>TRS</t>
        </is>
      </c>
      <c r="K1495" s="51" t="inlineStr">
        <is>
          <t>PAC</t>
        </is>
      </c>
      <c r="M1495" s="210" t="n"/>
      <c r="N1495" s="211" t="n"/>
      <c r="O1495" s="340" t="inlineStr">
        <is>
          <t>SBL</t>
        </is>
      </c>
      <c r="Q1495" s="271" t="n"/>
      <c r="R1495" s="282" t="n"/>
    </row>
    <row r="1496" ht="18" customHeight="1" s="305">
      <c r="A1496" s="8" t="n">
        <v>2022</v>
      </c>
      <c r="B1496" s="5" t="n">
        <v>81</v>
      </c>
      <c r="C1496" s="72" t="inlineStr">
        <is>
          <t>X</t>
        </is>
      </c>
      <c r="D1496" s="5" t="n">
        <v>322</v>
      </c>
      <c r="E1496" s="73">
        <f>B1496*D1496/10000</f>
        <v/>
      </c>
      <c r="F1496" s="74">
        <f>B1496/30.48</f>
        <v/>
      </c>
      <c r="G1496" s="74">
        <f>D1496/30.48</f>
        <v/>
      </c>
      <c r="H1496" s="615" t="n"/>
      <c r="J1496" s="48" t="inlineStr">
        <is>
          <t>TRS</t>
        </is>
      </c>
      <c r="K1496" s="51" t="inlineStr">
        <is>
          <t>PAC</t>
        </is>
      </c>
      <c r="M1496" s="210" t="n"/>
      <c r="N1496" s="211" t="n"/>
      <c r="O1496" s="340" t="inlineStr">
        <is>
          <t>SBL</t>
        </is>
      </c>
      <c r="Q1496" s="271" t="inlineStr">
        <is>
          <t>RST</t>
        </is>
      </c>
      <c r="R1496" s="282" t="n"/>
    </row>
    <row r="1497" ht="18" customHeight="1" s="305">
      <c r="A1497" s="8" t="n">
        <v>2026</v>
      </c>
      <c r="B1497" s="5" t="n">
        <v>85</v>
      </c>
      <c r="C1497" s="72" t="inlineStr">
        <is>
          <t>X</t>
        </is>
      </c>
      <c r="D1497" s="5" t="n">
        <v>373</v>
      </c>
      <c r="E1497" s="73">
        <f>B1497*D1497/10000</f>
        <v/>
      </c>
      <c r="F1497" s="74">
        <f>B1497/30.48</f>
        <v/>
      </c>
      <c r="G1497" s="74">
        <f>D1497/30.48</f>
        <v/>
      </c>
      <c r="H1497" s="615" t="n"/>
      <c r="J1497" s="48" t="inlineStr">
        <is>
          <t>TRS</t>
        </is>
      </c>
      <c r="K1497" s="51" t="inlineStr">
        <is>
          <t>PAC</t>
        </is>
      </c>
      <c r="M1497" s="210" t="n"/>
      <c r="N1497" s="211" t="n"/>
      <c r="O1497" s="340" t="inlineStr">
        <is>
          <t>SBL</t>
        </is>
      </c>
      <c r="Q1497" s="271" t="n"/>
      <c r="R1497" s="282" t="n"/>
    </row>
    <row r="1498" ht="18" customHeight="1" s="305">
      <c r="A1498" s="8" t="n">
        <v>2028</v>
      </c>
      <c r="B1498" s="5" t="n">
        <v>79</v>
      </c>
      <c r="C1498" s="72" t="inlineStr">
        <is>
          <t>X</t>
        </is>
      </c>
      <c r="D1498" s="5" t="n">
        <v>340</v>
      </c>
      <c r="E1498" s="73">
        <f>B1498*D1498/10000</f>
        <v/>
      </c>
      <c r="F1498" s="74">
        <f>B1498/30.48</f>
        <v/>
      </c>
      <c r="G1498" s="74">
        <f>D1498/30.48</f>
        <v/>
      </c>
      <c r="H1498" s="615" t="n"/>
      <c r="J1498" s="48" t="inlineStr">
        <is>
          <t>TRS</t>
        </is>
      </c>
      <c r="K1498" s="51" t="inlineStr">
        <is>
          <t>PAC</t>
        </is>
      </c>
      <c r="M1498" s="210" t="n"/>
      <c r="N1498" s="211" t="n"/>
      <c r="O1498" s="340" t="inlineStr">
        <is>
          <t>SBL</t>
        </is>
      </c>
      <c r="Q1498" s="271" t="inlineStr">
        <is>
          <t>RST</t>
        </is>
      </c>
      <c r="R1498" s="282" t="n"/>
    </row>
    <row r="1499" ht="18" customHeight="1" s="305">
      <c r="A1499" s="8" t="n">
        <v>2029</v>
      </c>
      <c r="B1499" s="5" t="n">
        <v>90</v>
      </c>
      <c r="C1499" s="72" t="inlineStr">
        <is>
          <t>X</t>
        </is>
      </c>
      <c r="D1499" s="5" t="n">
        <v>382</v>
      </c>
      <c r="E1499" s="73">
        <f>B1499*D1499/10000</f>
        <v/>
      </c>
      <c r="F1499" s="74">
        <f>B1499/30.48</f>
        <v/>
      </c>
      <c r="G1499" s="74">
        <f>D1499/30.48</f>
        <v/>
      </c>
      <c r="H1499" s="615" t="n"/>
      <c r="J1499" s="48" t="inlineStr">
        <is>
          <t>TRS</t>
        </is>
      </c>
      <c r="K1499" s="51" t="inlineStr">
        <is>
          <t>PAC</t>
        </is>
      </c>
      <c r="M1499" s="210" t="n"/>
      <c r="N1499" s="211" t="n"/>
      <c r="O1499" s="340" t="inlineStr">
        <is>
          <t>SBL</t>
        </is>
      </c>
      <c r="Q1499" s="271" t="inlineStr">
        <is>
          <t>RST</t>
        </is>
      </c>
      <c r="R1499" s="282" t="n"/>
    </row>
    <row r="1500" ht="18" customHeight="1" s="305">
      <c r="A1500" s="8" t="n">
        <v>2030</v>
      </c>
      <c r="B1500" s="5" t="n">
        <v>84</v>
      </c>
      <c r="C1500" s="72" t="inlineStr">
        <is>
          <t>X</t>
        </is>
      </c>
      <c r="D1500" s="5" t="n">
        <v>372</v>
      </c>
      <c r="E1500" s="73">
        <f>B1500*D1500/10000</f>
        <v/>
      </c>
      <c r="F1500" s="74">
        <f>B1500/30.48</f>
        <v/>
      </c>
      <c r="G1500" s="74">
        <f>D1500/30.48</f>
        <v/>
      </c>
      <c r="H1500" s="615" t="n"/>
      <c r="J1500" s="48" t="inlineStr">
        <is>
          <t>TRS</t>
        </is>
      </c>
      <c r="K1500" s="51" t="inlineStr">
        <is>
          <t>PAC</t>
        </is>
      </c>
      <c r="M1500" s="210" t="n"/>
      <c r="N1500" s="211" t="n"/>
      <c r="O1500" s="340" t="inlineStr">
        <is>
          <t>SBL</t>
        </is>
      </c>
      <c r="Q1500" s="271" t="inlineStr">
        <is>
          <t>RST</t>
        </is>
      </c>
      <c r="R1500" s="282" t="n"/>
    </row>
    <row r="1501" ht="18" customHeight="1" s="305">
      <c r="A1501" s="8" t="n">
        <v>2031</v>
      </c>
      <c r="B1501" s="5" t="n">
        <v>87</v>
      </c>
      <c r="C1501" s="72" t="inlineStr">
        <is>
          <t>X</t>
        </is>
      </c>
      <c r="D1501" s="5" t="n">
        <v>323</v>
      </c>
      <c r="E1501" s="73">
        <f>B1501*D1501/10000</f>
        <v/>
      </c>
      <c r="F1501" s="74">
        <f>B1501/30.48</f>
        <v/>
      </c>
      <c r="G1501" s="74">
        <f>D1501/30.48</f>
        <v/>
      </c>
      <c r="H1501" s="615" t="n"/>
      <c r="J1501" s="48" t="inlineStr">
        <is>
          <t>TRS</t>
        </is>
      </c>
      <c r="K1501" s="51" t="inlineStr">
        <is>
          <t>PAC</t>
        </is>
      </c>
      <c r="M1501" s="210" t="n"/>
      <c r="N1501" s="211" t="n"/>
      <c r="O1501" s="340" t="inlineStr">
        <is>
          <t>SBL</t>
        </is>
      </c>
      <c r="Q1501" s="271" t="inlineStr">
        <is>
          <t>RST</t>
        </is>
      </c>
      <c r="R1501" s="282" t="n"/>
    </row>
    <row r="1502" ht="18" customHeight="1" s="305">
      <c r="A1502" s="8" t="n">
        <v>2033</v>
      </c>
      <c r="B1502" s="5" t="n">
        <v>213</v>
      </c>
      <c r="C1502" s="72" t="inlineStr">
        <is>
          <t>X</t>
        </is>
      </c>
      <c r="D1502" s="5" t="n">
        <v>309</v>
      </c>
      <c r="E1502" s="73">
        <f>B1502*D1502/10000</f>
        <v/>
      </c>
      <c r="F1502" s="74">
        <f>B1502/30.48</f>
        <v/>
      </c>
      <c r="G1502" s="74">
        <f>D1502/30.48</f>
        <v/>
      </c>
      <c r="H1502" s="615" t="n"/>
      <c r="J1502" s="48" t="inlineStr">
        <is>
          <t>TRS</t>
        </is>
      </c>
      <c r="K1502" s="51" t="inlineStr">
        <is>
          <t>PAC</t>
        </is>
      </c>
      <c r="L1502" s="105" t="inlineStr">
        <is>
          <t>VR</t>
        </is>
      </c>
      <c r="M1502" s="210" t="n"/>
      <c r="N1502" s="211" t="n"/>
      <c r="O1502" s="340" t="inlineStr">
        <is>
          <t>SBL</t>
        </is>
      </c>
      <c r="Q1502" s="271" t="n"/>
      <c r="R1502" s="282" t="n"/>
    </row>
    <row r="1503" ht="18" customHeight="1" s="305">
      <c r="A1503" s="8" t="n">
        <v>2042</v>
      </c>
      <c r="B1503" s="5" t="n">
        <v>86</v>
      </c>
      <c r="C1503" s="72" t="inlineStr">
        <is>
          <t>X</t>
        </is>
      </c>
      <c r="D1503" s="5" t="n">
        <v>360</v>
      </c>
      <c r="E1503" s="73">
        <f>B1503*D1503/10000</f>
        <v/>
      </c>
      <c r="F1503" s="74">
        <f>B1503/30.48</f>
        <v/>
      </c>
      <c r="G1503" s="74">
        <f>D1503/30.48</f>
        <v/>
      </c>
      <c r="H1503" s="615" t="n"/>
      <c r="J1503" s="48" t="inlineStr">
        <is>
          <t>TRS</t>
        </is>
      </c>
      <c r="K1503" s="51" t="inlineStr">
        <is>
          <t>PAC</t>
        </is>
      </c>
      <c r="M1503" s="210" t="n"/>
      <c r="N1503" s="211" t="n"/>
      <c r="O1503" s="340" t="inlineStr">
        <is>
          <t>SBL</t>
        </is>
      </c>
      <c r="Q1503" s="271" t="n"/>
      <c r="R1503" s="282" t="n"/>
    </row>
    <row r="1504" ht="18" customHeight="1" s="305">
      <c r="A1504" s="8" t="n">
        <v>2044</v>
      </c>
      <c r="B1504" s="5" t="n">
        <v>90</v>
      </c>
      <c r="C1504" s="72" t="inlineStr">
        <is>
          <t>X</t>
        </is>
      </c>
      <c r="D1504" s="5" t="n">
        <v>406</v>
      </c>
      <c r="E1504" s="73">
        <f>B1504*D1504/10000</f>
        <v/>
      </c>
      <c r="F1504" s="74">
        <f>B1504/30.48</f>
        <v/>
      </c>
      <c r="G1504" s="74">
        <f>D1504/30.48</f>
        <v/>
      </c>
      <c r="H1504" s="615" t="n"/>
      <c r="J1504" s="48" t="inlineStr">
        <is>
          <t>TRS</t>
        </is>
      </c>
      <c r="K1504" s="51" t="inlineStr">
        <is>
          <t>PAC</t>
        </is>
      </c>
      <c r="M1504" s="210" t="n"/>
      <c r="N1504" s="211" t="n"/>
      <c r="O1504" s="340" t="inlineStr">
        <is>
          <t>SBL</t>
        </is>
      </c>
      <c r="Q1504" s="271" t="n"/>
      <c r="R1504" s="282" t="n"/>
    </row>
    <row r="1505" ht="18" customHeight="1" s="305">
      <c r="A1505" s="8" t="n">
        <v>2046</v>
      </c>
      <c r="B1505" s="5" t="n">
        <v>71</v>
      </c>
      <c r="C1505" s="72" t="inlineStr">
        <is>
          <t>X</t>
        </is>
      </c>
      <c r="D1505" s="5" t="n">
        <v>259</v>
      </c>
      <c r="E1505" s="73">
        <f>B1505*D1505/10000</f>
        <v/>
      </c>
      <c r="F1505" s="74">
        <f>B1505/30.48</f>
        <v/>
      </c>
      <c r="G1505" s="74">
        <f>D1505/30.48</f>
        <v/>
      </c>
      <c r="H1505" s="615" t="n"/>
      <c r="J1505" s="48" t="inlineStr">
        <is>
          <t>TRS</t>
        </is>
      </c>
      <c r="K1505" s="51" t="inlineStr">
        <is>
          <t>PAC</t>
        </is>
      </c>
      <c r="M1505" s="210" t="n"/>
      <c r="N1505" s="211" t="n"/>
      <c r="O1505" s="340" t="inlineStr">
        <is>
          <t>SBL</t>
        </is>
      </c>
      <c r="Q1505" s="271" t="n"/>
      <c r="R1505" s="282" t="n"/>
    </row>
    <row r="1506" ht="18" customHeight="1" s="305">
      <c r="A1506" s="8" t="n">
        <v>2047</v>
      </c>
      <c r="B1506" s="5" t="n">
        <v>90</v>
      </c>
      <c r="C1506" s="72" t="inlineStr">
        <is>
          <t>X</t>
        </is>
      </c>
      <c r="D1506" s="5" t="n">
        <v>390</v>
      </c>
      <c r="E1506" s="73">
        <f>B1506*D1506/10000</f>
        <v/>
      </c>
      <c r="F1506" s="74">
        <f>B1506/30.48</f>
        <v/>
      </c>
      <c r="G1506" s="74">
        <f>D1506/30.48</f>
        <v/>
      </c>
      <c r="H1506" s="615" t="n"/>
      <c r="J1506" s="48" t="inlineStr">
        <is>
          <t>TRS</t>
        </is>
      </c>
      <c r="K1506" s="51" t="inlineStr">
        <is>
          <t>PAC</t>
        </is>
      </c>
      <c r="M1506" s="210" t="n"/>
      <c r="N1506" s="211" t="n"/>
      <c r="O1506" s="340" t="inlineStr">
        <is>
          <t>SBL</t>
        </is>
      </c>
      <c r="Q1506" s="271" t="n"/>
      <c r="R1506" s="282" t="n"/>
    </row>
    <row r="1507" ht="18" customHeight="1" s="305">
      <c r="A1507" s="8" t="n">
        <v>2049</v>
      </c>
      <c r="B1507" s="5" t="n">
        <v>81</v>
      </c>
      <c r="C1507" s="72" t="inlineStr">
        <is>
          <t>X</t>
        </is>
      </c>
      <c r="D1507" s="5" t="n">
        <v>341</v>
      </c>
      <c r="E1507" s="73">
        <f>B1507*D1507/10000</f>
        <v/>
      </c>
      <c r="F1507" s="74">
        <f>B1507/30.48</f>
        <v/>
      </c>
      <c r="G1507" s="74">
        <f>D1507/30.48</f>
        <v/>
      </c>
      <c r="H1507" s="615" t="n"/>
      <c r="J1507" s="48" t="inlineStr">
        <is>
          <t>TRS</t>
        </is>
      </c>
      <c r="K1507" s="51" t="inlineStr">
        <is>
          <t>PAC</t>
        </is>
      </c>
      <c r="M1507" s="210" t="n"/>
      <c r="N1507" s="211" t="n"/>
      <c r="O1507" s="340" t="inlineStr">
        <is>
          <t>SBL</t>
        </is>
      </c>
      <c r="Q1507" s="271" t="n"/>
      <c r="R1507" s="282" t="n"/>
    </row>
    <row r="1508" ht="18" customHeight="1" s="305">
      <c r="A1508" s="8" t="n">
        <v>2053</v>
      </c>
      <c r="B1508" s="5" t="n">
        <v>84</v>
      </c>
      <c r="C1508" s="72" t="inlineStr">
        <is>
          <t>X</t>
        </is>
      </c>
      <c r="D1508" s="5" t="n">
        <v>398</v>
      </c>
      <c r="E1508" s="73">
        <f>B1508*D1508/10000</f>
        <v/>
      </c>
      <c r="F1508" s="74">
        <f>B1508/30.48</f>
        <v/>
      </c>
      <c r="G1508" s="74">
        <f>D1508/30.48</f>
        <v/>
      </c>
      <c r="H1508" s="615" t="n"/>
      <c r="J1508" s="48" t="inlineStr">
        <is>
          <t>TRS</t>
        </is>
      </c>
      <c r="K1508" s="51" t="inlineStr">
        <is>
          <t>PAC</t>
        </is>
      </c>
      <c r="M1508" s="210" t="n"/>
      <c r="N1508" s="211" t="n"/>
      <c r="O1508" s="340" t="inlineStr">
        <is>
          <t>SBL</t>
        </is>
      </c>
      <c r="Q1508" s="271" t="n"/>
      <c r="R1508" s="282" t="n"/>
    </row>
    <row r="1509" ht="18" customHeight="1" s="305">
      <c r="A1509" s="8" t="n">
        <v>2054</v>
      </c>
      <c r="B1509" s="5" t="n">
        <v>90</v>
      </c>
      <c r="C1509" s="72" t="inlineStr">
        <is>
          <t>X</t>
        </is>
      </c>
      <c r="D1509" s="5" t="n">
        <v>386</v>
      </c>
      <c r="E1509" s="73">
        <f>B1509*D1509/10000</f>
        <v/>
      </c>
      <c r="F1509" s="74">
        <f>B1509/30.48</f>
        <v/>
      </c>
      <c r="G1509" s="74">
        <f>D1509/30.48</f>
        <v/>
      </c>
      <c r="H1509" s="615" t="n"/>
      <c r="J1509" s="48" t="inlineStr">
        <is>
          <t>TRS</t>
        </is>
      </c>
      <c r="K1509" s="51" t="inlineStr">
        <is>
          <t>PAC</t>
        </is>
      </c>
      <c r="M1509" s="210" t="n"/>
      <c r="N1509" s="211" t="n"/>
      <c r="O1509" s="340" t="inlineStr">
        <is>
          <t>SBL</t>
        </is>
      </c>
      <c r="Q1509" s="271" t="n"/>
      <c r="R1509" s="282" t="n"/>
    </row>
    <row r="1510" ht="18" customHeight="1" s="305">
      <c r="A1510" s="8" t="n">
        <v>2055</v>
      </c>
      <c r="B1510" s="5" t="n">
        <v>86</v>
      </c>
      <c r="C1510" s="72" t="inlineStr">
        <is>
          <t>X</t>
        </is>
      </c>
      <c r="D1510" s="5" t="n">
        <v>382</v>
      </c>
      <c r="E1510" s="73">
        <f>B1510*D1510/10000</f>
        <v/>
      </c>
      <c r="F1510" s="74">
        <f>B1510/30.48</f>
        <v/>
      </c>
      <c r="G1510" s="74">
        <f>D1510/30.48</f>
        <v/>
      </c>
      <c r="H1510" s="615" t="n"/>
      <c r="J1510" s="48" t="inlineStr">
        <is>
          <t>TRS</t>
        </is>
      </c>
      <c r="K1510" s="51" t="inlineStr">
        <is>
          <t>PAC</t>
        </is>
      </c>
      <c r="M1510" s="210" t="n"/>
      <c r="N1510" s="211" t="n"/>
      <c r="O1510" s="340" t="inlineStr">
        <is>
          <t>SBL</t>
        </is>
      </c>
      <c r="Q1510" s="271" t="n"/>
      <c r="R1510" s="282" t="n"/>
    </row>
    <row r="1511" ht="18" customHeight="1" s="305">
      <c r="A1511" s="8" t="n">
        <v>2058</v>
      </c>
      <c r="B1511" s="5" t="n">
        <v>84</v>
      </c>
      <c r="C1511" s="72" t="inlineStr">
        <is>
          <t>X</t>
        </is>
      </c>
      <c r="D1511" s="5" t="n">
        <v>365</v>
      </c>
      <c r="E1511" s="73">
        <f>B1511*D1511/10000</f>
        <v/>
      </c>
      <c r="F1511" s="74">
        <f>B1511/30.48</f>
        <v/>
      </c>
      <c r="G1511" s="74">
        <f>D1511/30.48</f>
        <v/>
      </c>
      <c r="H1511" s="615" t="n"/>
      <c r="J1511" s="48" t="inlineStr">
        <is>
          <t>TRS</t>
        </is>
      </c>
      <c r="K1511" s="51" t="inlineStr">
        <is>
          <t>PAC</t>
        </is>
      </c>
      <c r="M1511" s="210" t="n"/>
      <c r="N1511" s="211" t="n"/>
      <c r="O1511" s="340" t="inlineStr">
        <is>
          <t>SBL</t>
        </is>
      </c>
      <c r="Q1511" s="271" t="n"/>
      <c r="R1511" s="282" t="n"/>
    </row>
    <row r="1512" ht="18" customHeight="1" s="305">
      <c r="A1512" s="8" t="n">
        <v>2061</v>
      </c>
      <c r="B1512" s="5" t="n">
        <v>81</v>
      </c>
      <c r="C1512" s="72" t="inlineStr">
        <is>
          <t>X</t>
        </is>
      </c>
      <c r="D1512" s="5" t="n">
        <v>392</v>
      </c>
      <c r="E1512" s="73">
        <f>B1512*D1512/10000</f>
        <v/>
      </c>
      <c r="F1512" s="74">
        <f>B1512/30.48</f>
        <v/>
      </c>
      <c r="G1512" s="74">
        <f>D1512/30.48</f>
        <v/>
      </c>
      <c r="H1512" s="615" t="n"/>
      <c r="J1512" s="48" t="inlineStr">
        <is>
          <t>TRS</t>
        </is>
      </c>
      <c r="K1512" s="51" t="inlineStr">
        <is>
          <t>PAC</t>
        </is>
      </c>
      <c r="M1512" s="210" t="n"/>
      <c r="N1512" s="211" t="n"/>
      <c r="O1512" s="340" t="inlineStr">
        <is>
          <t>SBL</t>
        </is>
      </c>
      <c r="Q1512" s="271" t="n"/>
      <c r="R1512" s="282" t="n"/>
    </row>
    <row r="1513" ht="18" customHeight="1" s="305">
      <c r="A1513" s="8" t="n">
        <v>2062</v>
      </c>
      <c r="B1513" s="5" t="n">
        <v>83</v>
      </c>
      <c r="C1513" s="72" t="inlineStr">
        <is>
          <t>X</t>
        </is>
      </c>
      <c r="D1513" s="5" t="n">
        <v>268</v>
      </c>
      <c r="E1513" s="73">
        <f>B1513*D1513/10000</f>
        <v/>
      </c>
      <c r="F1513" s="74">
        <f>B1513/30.48</f>
        <v/>
      </c>
      <c r="G1513" s="74">
        <f>D1513/30.48</f>
        <v/>
      </c>
      <c r="H1513" s="615" t="n"/>
      <c r="J1513" s="48" t="inlineStr">
        <is>
          <t>TRS</t>
        </is>
      </c>
      <c r="K1513" s="51" t="inlineStr">
        <is>
          <t>PAC</t>
        </is>
      </c>
      <c r="M1513" s="210" t="n"/>
      <c r="N1513" s="211" t="n"/>
      <c r="O1513" s="340" t="inlineStr">
        <is>
          <t>SBL</t>
        </is>
      </c>
      <c r="Q1513" s="271" t="n"/>
      <c r="R1513" s="282" t="n"/>
    </row>
    <row r="1514" ht="18" customHeight="1" s="305">
      <c r="A1514" s="8" t="n">
        <v>2063</v>
      </c>
      <c r="B1514" s="5" t="n">
        <v>81</v>
      </c>
      <c r="C1514" s="72" t="inlineStr">
        <is>
          <t>X</t>
        </is>
      </c>
      <c r="D1514" s="5" t="n">
        <v>295</v>
      </c>
      <c r="E1514" s="73">
        <f>B1514*D1514/10000</f>
        <v/>
      </c>
      <c r="F1514" s="74">
        <f>B1514/30.48</f>
        <v/>
      </c>
      <c r="G1514" s="74">
        <f>D1514/30.48</f>
        <v/>
      </c>
      <c r="H1514" s="615" t="n"/>
      <c r="J1514" s="48" t="inlineStr">
        <is>
          <t>TRS</t>
        </is>
      </c>
      <c r="K1514" s="51" t="inlineStr">
        <is>
          <t>PAC</t>
        </is>
      </c>
      <c r="M1514" s="210" t="n"/>
      <c r="N1514" s="211" t="n"/>
      <c r="O1514" s="340" t="inlineStr">
        <is>
          <t>SBL</t>
        </is>
      </c>
      <c r="Q1514" s="271" t="n"/>
      <c r="R1514" s="282" t="n"/>
    </row>
    <row r="1515" ht="18" customHeight="1" s="305">
      <c r="A1515" s="8" t="n">
        <v>2064</v>
      </c>
      <c r="B1515" s="5" t="n">
        <v>81</v>
      </c>
      <c r="C1515" s="72" t="inlineStr">
        <is>
          <t>X</t>
        </is>
      </c>
      <c r="D1515" s="5" t="n">
        <v>332</v>
      </c>
      <c r="E1515" s="73">
        <f>B1515*D1515/10000</f>
        <v/>
      </c>
      <c r="F1515" s="74">
        <f>B1515/30.48</f>
        <v/>
      </c>
      <c r="G1515" s="74">
        <f>D1515/30.48</f>
        <v/>
      </c>
      <c r="H1515" s="615" t="n"/>
      <c r="J1515" s="48" t="inlineStr">
        <is>
          <t>TRS</t>
        </is>
      </c>
      <c r="K1515" s="51" t="inlineStr">
        <is>
          <t>PAC</t>
        </is>
      </c>
      <c r="M1515" s="210" t="n"/>
      <c r="N1515" s="211" t="n"/>
      <c r="O1515" s="340" t="inlineStr">
        <is>
          <t>SBL</t>
        </is>
      </c>
      <c r="Q1515" s="271" t="n"/>
      <c r="R1515" s="282" t="n"/>
    </row>
    <row r="1516" ht="18" customHeight="1" s="305">
      <c r="A1516" s="8" t="n">
        <v>2066</v>
      </c>
      <c r="B1516" s="5" t="n">
        <v>80</v>
      </c>
      <c r="C1516" s="72" t="inlineStr">
        <is>
          <t>X</t>
        </is>
      </c>
      <c r="D1516" s="5" t="n">
        <v>429</v>
      </c>
      <c r="E1516" s="73">
        <f>B1516*D1516/10000</f>
        <v/>
      </c>
      <c r="F1516" s="74">
        <f>B1516/30.48</f>
        <v/>
      </c>
      <c r="G1516" s="74">
        <f>D1516/30.48</f>
        <v/>
      </c>
      <c r="H1516" s="615" t="n"/>
      <c r="J1516" s="48" t="inlineStr">
        <is>
          <t>TRS</t>
        </is>
      </c>
      <c r="K1516" s="51" t="inlineStr">
        <is>
          <t>PAC</t>
        </is>
      </c>
      <c r="M1516" s="210" t="n"/>
      <c r="N1516" s="211" t="n"/>
      <c r="O1516" s="340" t="inlineStr">
        <is>
          <t>SBL</t>
        </is>
      </c>
      <c r="Q1516" s="271" t="n"/>
      <c r="R1516" s="282" t="n"/>
    </row>
    <row r="1517" ht="18" customHeight="1" s="305">
      <c r="A1517" s="8" t="n">
        <v>2069</v>
      </c>
      <c r="B1517" s="5" t="n">
        <v>122</v>
      </c>
      <c r="C1517" s="72" t="inlineStr">
        <is>
          <t>X</t>
        </is>
      </c>
      <c r="D1517" s="5" t="n">
        <v>219</v>
      </c>
      <c r="E1517" s="73">
        <f>B1517*D1517/10000</f>
        <v/>
      </c>
      <c r="F1517" s="74">
        <f>B1517/30.48</f>
        <v/>
      </c>
      <c r="G1517" s="74">
        <f>D1517/30.48</f>
        <v/>
      </c>
      <c r="H1517" s="615" t="n"/>
      <c r="J1517" s="48" t="inlineStr">
        <is>
          <t>TRS</t>
        </is>
      </c>
      <c r="K1517" s="51" t="inlineStr">
        <is>
          <t>PAC</t>
        </is>
      </c>
      <c r="M1517" s="210" t="n"/>
      <c r="N1517" s="211" t="n"/>
      <c r="O1517" s="340" t="inlineStr">
        <is>
          <t>SBL</t>
        </is>
      </c>
      <c r="Q1517" s="271" t="inlineStr">
        <is>
          <t>RST</t>
        </is>
      </c>
      <c r="R1517" s="282" t="n"/>
    </row>
    <row r="1518" ht="18" customHeight="1" s="305">
      <c r="A1518" s="8" t="n">
        <v>2073</v>
      </c>
      <c r="B1518" s="5" t="n">
        <v>89</v>
      </c>
      <c r="C1518" s="72" t="inlineStr">
        <is>
          <t>X</t>
        </is>
      </c>
      <c r="D1518" s="5" t="n">
        <v>286</v>
      </c>
      <c r="E1518" s="73">
        <f>B1518*D1518/10000</f>
        <v/>
      </c>
      <c r="F1518" s="74">
        <f>B1518/30.48</f>
        <v/>
      </c>
      <c r="G1518" s="74">
        <f>D1518/30.48</f>
        <v/>
      </c>
      <c r="H1518" s="615" t="n"/>
      <c r="J1518" s="48" t="inlineStr">
        <is>
          <t>TRS</t>
        </is>
      </c>
      <c r="K1518" s="51" t="inlineStr">
        <is>
          <t>PAC</t>
        </is>
      </c>
      <c r="M1518" s="210" t="n"/>
      <c r="N1518" s="211" t="n"/>
      <c r="O1518" s="340" t="inlineStr">
        <is>
          <t>SBL</t>
        </is>
      </c>
      <c r="Q1518" s="271" t="n"/>
      <c r="R1518" s="282" t="n"/>
    </row>
    <row r="1519" ht="18" customHeight="1" s="305">
      <c r="A1519" s="8" t="n">
        <v>2074</v>
      </c>
      <c r="B1519" s="5" t="n">
        <v>74</v>
      </c>
      <c r="C1519" s="72" t="inlineStr">
        <is>
          <t>X</t>
        </is>
      </c>
      <c r="D1519" s="5" t="n">
        <v>319</v>
      </c>
      <c r="E1519" s="73">
        <f>B1519*D1519/10000</f>
        <v/>
      </c>
      <c r="F1519" s="74">
        <f>B1519/30.48</f>
        <v/>
      </c>
      <c r="G1519" s="74">
        <f>D1519/30.48</f>
        <v/>
      </c>
      <c r="H1519" s="615" t="n"/>
      <c r="J1519" s="48" t="inlineStr">
        <is>
          <t>TRS</t>
        </is>
      </c>
      <c r="M1519" s="210" t="n"/>
      <c r="N1519" s="211" t="n"/>
      <c r="O1519" s="340" t="inlineStr">
        <is>
          <t>SBL</t>
        </is>
      </c>
      <c r="Q1519" s="271" t="n"/>
      <c r="R1519" s="282" t="n"/>
    </row>
    <row r="1520" ht="18" customHeight="1" s="305">
      <c r="A1520" s="8" t="n">
        <v>2075</v>
      </c>
      <c r="B1520" s="5" t="n">
        <v>76</v>
      </c>
      <c r="C1520" s="72" t="inlineStr">
        <is>
          <t>X</t>
        </is>
      </c>
      <c r="D1520" s="5" t="n">
        <v>313</v>
      </c>
      <c r="E1520" s="73">
        <f>B1520*D1520/10000</f>
        <v/>
      </c>
      <c r="F1520" s="74">
        <f>B1520/30.48</f>
        <v/>
      </c>
      <c r="G1520" s="74">
        <f>D1520/30.48</f>
        <v/>
      </c>
      <c r="H1520" s="615" t="n"/>
      <c r="J1520" s="48" t="inlineStr">
        <is>
          <t>TRS</t>
        </is>
      </c>
      <c r="K1520" s="51" t="inlineStr">
        <is>
          <t>PAC</t>
        </is>
      </c>
      <c r="M1520" s="210" t="n"/>
      <c r="N1520" s="211" t="n"/>
      <c r="O1520" s="340" t="inlineStr">
        <is>
          <t>SBL</t>
        </is>
      </c>
      <c r="Q1520" s="271" t="n"/>
      <c r="R1520" s="282" t="n"/>
    </row>
    <row r="1521" ht="18" customHeight="1" s="305">
      <c r="A1521" s="8" t="n">
        <v>2077</v>
      </c>
      <c r="B1521" s="5" t="n">
        <v>81</v>
      </c>
      <c r="C1521" s="72" t="inlineStr">
        <is>
          <t>X</t>
        </is>
      </c>
      <c r="D1521" s="5" t="n">
        <v>400</v>
      </c>
      <c r="E1521" s="73">
        <f>B1521*D1521/10000</f>
        <v/>
      </c>
      <c r="F1521" s="74">
        <f>B1521/30.48</f>
        <v/>
      </c>
      <c r="G1521" s="74">
        <f>D1521/30.48</f>
        <v/>
      </c>
      <c r="H1521" s="615" t="n"/>
      <c r="J1521" s="48" t="inlineStr">
        <is>
          <t>TRS</t>
        </is>
      </c>
      <c r="K1521" s="51" t="inlineStr">
        <is>
          <t>PAC</t>
        </is>
      </c>
      <c r="M1521" s="210" t="n"/>
      <c r="N1521" s="211" t="n"/>
      <c r="O1521" s="340" t="inlineStr">
        <is>
          <t>SBL</t>
        </is>
      </c>
      <c r="Q1521" s="271" t="n"/>
      <c r="R1521" s="282" t="n"/>
    </row>
    <row r="1522" ht="18" customHeight="1" s="305">
      <c r="A1522" s="8" t="n">
        <v>2081</v>
      </c>
      <c r="B1522" s="5" t="n">
        <v>75</v>
      </c>
      <c r="C1522" s="72" t="inlineStr">
        <is>
          <t>X</t>
        </is>
      </c>
      <c r="D1522" s="5" t="n">
        <v>181</v>
      </c>
      <c r="E1522" s="73">
        <f>B1522*D1522/10000</f>
        <v/>
      </c>
      <c r="F1522" s="74">
        <f>B1522/30.48</f>
        <v/>
      </c>
      <c r="G1522" s="74">
        <f>D1522/30.48</f>
        <v/>
      </c>
      <c r="H1522" s="615" t="n"/>
      <c r="J1522" s="48" t="inlineStr">
        <is>
          <t>TRS</t>
        </is>
      </c>
      <c r="K1522" s="51" t="inlineStr">
        <is>
          <t>PAC</t>
        </is>
      </c>
      <c r="M1522" s="210" t="n"/>
      <c r="N1522" s="211" t="n"/>
      <c r="O1522" s="340" t="inlineStr">
        <is>
          <t>SBL</t>
        </is>
      </c>
      <c r="Q1522" s="271" t="n"/>
      <c r="R1522" s="282" t="n"/>
    </row>
    <row r="1523" ht="18" customHeight="1" s="305">
      <c r="A1523" s="8" t="n">
        <v>2082</v>
      </c>
      <c r="B1523" s="5" t="n">
        <v>75</v>
      </c>
      <c r="C1523" s="72" t="inlineStr">
        <is>
          <t>X</t>
        </is>
      </c>
      <c r="D1523" s="5" t="n">
        <v>215</v>
      </c>
      <c r="E1523" s="73">
        <f>B1523*D1523/10000</f>
        <v/>
      </c>
      <c r="F1523" s="74">
        <f>B1523/30.48</f>
        <v/>
      </c>
      <c r="G1523" s="74">
        <f>D1523/30.48</f>
        <v/>
      </c>
      <c r="H1523" s="615" t="n"/>
      <c r="J1523" s="48" t="inlineStr">
        <is>
          <t>TRS</t>
        </is>
      </c>
      <c r="K1523" s="51" t="inlineStr">
        <is>
          <t>PAC</t>
        </is>
      </c>
      <c r="M1523" s="210" t="n"/>
      <c r="N1523" s="211" t="n"/>
      <c r="O1523" s="340" t="inlineStr">
        <is>
          <t>SBL</t>
        </is>
      </c>
      <c r="Q1523" s="271" t="n"/>
      <c r="R1523" s="282" t="n"/>
    </row>
    <row r="1524" ht="18" customHeight="1" s="305">
      <c r="A1524" s="8" t="n">
        <v>2083</v>
      </c>
      <c r="B1524" s="5" t="n">
        <v>81</v>
      </c>
      <c r="C1524" s="72" t="inlineStr">
        <is>
          <t>X</t>
        </is>
      </c>
      <c r="D1524" s="5" t="n">
        <v>264</v>
      </c>
      <c r="E1524" s="73">
        <f>B1524*D1524/10000</f>
        <v/>
      </c>
      <c r="F1524" s="74">
        <f>B1524/30.48</f>
        <v/>
      </c>
      <c r="G1524" s="74">
        <f>D1524/30.48</f>
        <v/>
      </c>
      <c r="H1524" s="615" t="n"/>
      <c r="K1524" s="51" t="inlineStr">
        <is>
          <t>PAC</t>
        </is>
      </c>
      <c r="M1524" s="210" t="n"/>
      <c r="N1524" s="211" t="n"/>
      <c r="O1524" s="340" t="inlineStr">
        <is>
          <t>SBL</t>
        </is>
      </c>
      <c r="Q1524" s="271" t="inlineStr">
        <is>
          <t>RST</t>
        </is>
      </c>
      <c r="R1524" s="282" t="n"/>
    </row>
    <row r="1525" ht="18" customHeight="1" s="305">
      <c r="A1525" s="8" t="n">
        <v>2086</v>
      </c>
      <c r="B1525" s="5" t="n">
        <v>135</v>
      </c>
      <c r="C1525" s="72" t="inlineStr">
        <is>
          <t>X</t>
        </is>
      </c>
      <c r="D1525" s="5" t="n">
        <v>213</v>
      </c>
      <c r="E1525" s="73">
        <f>B1525*D1525/10000</f>
        <v/>
      </c>
      <c r="F1525" s="74">
        <f>B1525/30.48</f>
        <v/>
      </c>
      <c r="G1525" s="74">
        <f>D1525/30.48</f>
        <v/>
      </c>
      <c r="H1525" s="615" t="n"/>
      <c r="J1525" s="48" t="inlineStr">
        <is>
          <t>TRS</t>
        </is>
      </c>
      <c r="K1525" s="51" t="inlineStr">
        <is>
          <t>PAC</t>
        </is>
      </c>
      <c r="M1525" s="210" t="n"/>
      <c r="N1525" s="211" t="n"/>
      <c r="O1525" s="340" t="inlineStr">
        <is>
          <t>SBL</t>
        </is>
      </c>
      <c r="Q1525" s="271" t="inlineStr">
        <is>
          <t>RST</t>
        </is>
      </c>
      <c r="R1525" s="282" t="n"/>
    </row>
    <row r="1526" ht="18" customHeight="1" s="305">
      <c r="A1526" s="8" t="n">
        <v>2087</v>
      </c>
      <c r="B1526" s="5" t="n">
        <v>149</v>
      </c>
      <c r="C1526" s="72" t="inlineStr">
        <is>
          <t>X</t>
        </is>
      </c>
      <c r="D1526" s="5" t="n">
        <v>333</v>
      </c>
      <c r="E1526" s="73">
        <f>B1526*D1526/10000</f>
        <v/>
      </c>
      <c r="F1526" s="74">
        <f>B1526/30.48</f>
        <v/>
      </c>
      <c r="G1526" s="74">
        <f>D1526/30.48</f>
        <v/>
      </c>
      <c r="H1526" s="615" t="n"/>
      <c r="J1526" s="48" t="inlineStr">
        <is>
          <t>TRS</t>
        </is>
      </c>
      <c r="K1526" s="51" t="inlineStr">
        <is>
          <t>PAC</t>
        </is>
      </c>
      <c r="L1526" s="105" t="inlineStr">
        <is>
          <t>VR</t>
        </is>
      </c>
      <c r="M1526" s="210" t="n"/>
      <c r="N1526" s="211" t="n"/>
      <c r="O1526" s="340" t="inlineStr">
        <is>
          <t>SBL</t>
        </is>
      </c>
      <c r="Q1526" s="271" t="inlineStr">
        <is>
          <t>RST</t>
        </is>
      </c>
      <c r="R1526" s="282" t="n"/>
    </row>
    <row r="1527" ht="18" customHeight="1" s="305">
      <c r="A1527" s="8" t="n">
        <v>2091</v>
      </c>
      <c r="B1527" s="5" t="n">
        <v>80</v>
      </c>
      <c r="C1527" s="72" t="inlineStr">
        <is>
          <t>X</t>
        </is>
      </c>
      <c r="D1527" s="5" t="n">
        <v>378</v>
      </c>
      <c r="E1527" s="73">
        <f>B1527*D1527/10000</f>
        <v/>
      </c>
      <c r="F1527" s="74">
        <f>B1527/30.48</f>
        <v/>
      </c>
      <c r="G1527" s="74">
        <f>D1527/30.48</f>
        <v/>
      </c>
      <c r="H1527" s="615" t="n"/>
      <c r="I1527" s="49" t="inlineStr">
        <is>
          <t>OLD</t>
        </is>
      </c>
      <c r="J1527" s="48" t="inlineStr">
        <is>
          <t>TRS</t>
        </is>
      </c>
      <c r="K1527" s="51" t="inlineStr">
        <is>
          <t>PAC</t>
        </is>
      </c>
      <c r="M1527" s="210" t="n"/>
      <c r="N1527" s="211" t="n"/>
      <c r="O1527" s="340" t="inlineStr">
        <is>
          <t>SBL</t>
        </is>
      </c>
      <c r="Q1527" s="271" t="inlineStr">
        <is>
          <t>RST</t>
        </is>
      </c>
      <c r="R1527" s="282" t="n"/>
    </row>
    <row r="1528" ht="18" customHeight="1" s="305">
      <c r="A1528" s="8" t="n">
        <v>2092</v>
      </c>
      <c r="B1528" s="5" t="n">
        <v>78</v>
      </c>
      <c r="C1528" s="72" t="inlineStr">
        <is>
          <t>X</t>
        </is>
      </c>
      <c r="D1528" s="5" t="n">
        <v>373</v>
      </c>
      <c r="E1528" s="73">
        <f>B1528*D1528/10000</f>
        <v/>
      </c>
      <c r="F1528" s="74">
        <f>B1528/30.48</f>
        <v/>
      </c>
      <c r="G1528" s="74">
        <f>D1528/30.48</f>
        <v/>
      </c>
      <c r="H1528" s="615" t="n"/>
      <c r="I1528" s="49" t="inlineStr">
        <is>
          <t>OLD</t>
        </is>
      </c>
      <c r="J1528" s="48" t="inlineStr">
        <is>
          <t>TRS</t>
        </is>
      </c>
      <c r="K1528" s="51" t="inlineStr">
        <is>
          <t>PAC</t>
        </is>
      </c>
      <c r="M1528" s="210" t="n"/>
      <c r="N1528" s="211" t="n"/>
      <c r="O1528" s="340" t="inlineStr">
        <is>
          <t>SBL</t>
        </is>
      </c>
      <c r="Q1528" s="271" t="n"/>
      <c r="R1528" s="282" t="n"/>
    </row>
    <row r="1529" ht="18" customHeight="1" s="305">
      <c r="A1529" s="8" t="n">
        <v>2093</v>
      </c>
      <c r="B1529" s="5" t="n">
        <v>82</v>
      </c>
      <c r="C1529" s="72" t="inlineStr">
        <is>
          <t>X</t>
        </is>
      </c>
      <c r="D1529" s="5" t="n">
        <v>346</v>
      </c>
      <c r="E1529" s="73">
        <f>B1529*D1529/10000</f>
        <v/>
      </c>
      <c r="F1529" s="74">
        <f>B1529/30.48</f>
        <v/>
      </c>
      <c r="G1529" s="74">
        <f>D1529/30.48</f>
        <v/>
      </c>
      <c r="H1529" s="615" t="n"/>
      <c r="J1529" s="48" t="inlineStr">
        <is>
          <t>TRS</t>
        </is>
      </c>
      <c r="K1529" s="51" t="inlineStr">
        <is>
          <t>PAC</t>
        </is>
      </c>
      <c r="M1529" s="210" t="n"/>
      <c r="N1529" s="211" t="n"/>
      <c r="O1529" s="340" t="inlineStr">
        <is>
          <t>SBL</t>
        </is>
      </c>
      <c r="Q1529" s="271" t="n"/>
      <c r="R1529" s="282" t="n"/>
    </row>
    <row r="1530" ht="18" customHeight="1" s="305">
      <c r="A1530" s="8" t="n">
        <v>2096</v>
      </c>
      <c r="B1530" s="5" t="n">
        <v>85</v>
      </c>
      <c r="C1530" s="72" t="inlineStr">
        <is>
          <t>X</t>
        </is>
      </c>
      <c r="D1530" s="5" t="n">
        <v>330</v>
      </c>
      <c r="E1530" s="73">
        <f>B1530*D1530/10000</f>
        <v/>
      </c>
      <c r="F1530" s="74">
        <f>B1530/30.48</f>
        <v/>
      </c>
      <c r="G1530" s="74">
        <f>D1530/30.48</f>
        <v/>
      </c>
      <c r="H1530" s="615" t="n"/>
      <c r="J1530" s="48" t="inlineStr">
        <is>
          <t>TRS</t>
        </is>
      </c>
      <c r="M1530" s="210" t="n"/>
      <c r="N1530" s="211" t="n"/>
      <c r="O1530" s="340" t="inlineStr">
        <is>
          <t>SBL</t>
        </is>
      </c>
      <c r="Q1530" s="271" t="n"/>
      <c r="R1530" s="282" t="n"/>
    </row>
    <row r="1531" ht="18" customHeight="1" s="305">
      <c r="A1531" s="8" t="n">
        <v>2097</v>
      </c>
      <c r="B1531" s="5" t="n">
        <v>89</v>
      </c>
      <c r="C1531" s="72" t="inlineStr">
        <is>
          <t>X</t>
        </is>
      </c>
      <c r="D1531" s="5" t="n">
        <v>395</v>
      </c>
      <c r="E1531" s="73">
        <f>B1531*D1531/10000</f>
        <v/>
      </c>
      <c r="F1531" s="74">
        <f>B1531/30.48</f>
        <v/>
      </c>
      <c r="G1531" s="74">
        <f>D1531/30.48</f>
        <v/>
      </c>
      <c r="H1531" s="615" t="n"/>
      <c r="J1531" s="48" t="inlineStr">
        <is>
          <t>TRS</t>
        </is>
      </c>
      <c r="K1531" s="51" t="inlineStr">
        <is>
          <t>PAC</t>
        </is>
      </c>
      <c r="M1531" s="210" t="n"/>
      <c r="N1531" s="211" t="n"/>
      <c r="O1531" s="340" t="inlineStr">
        <is>
          <t>SBL</t>
        </is>
      </c>
      <c r="Q1531" s="271" t="n"/>
      <c r="R1531" s="282" t="n"/>
    </row>
    <row r="1532" ht="18" customHeight="1" s="305">
      <c r="A1532" s="8" t="n">
        <v>2098</v>
      </c>
      <c r="B1532" s="5" t="n">
        <v>86</v>
      </c>
      <c r="C1532" s="72" t="inlineStr">
        <is>
          <t>X</t>
        </is>
      </c>
      <c r="D1532" s="5" t="n">
        <v>390</v>
      </c>
      <c r="E1532" s="73">
        <f>B1532*D1532/10000</f>
        <v/>
      </c>
      <c r="F1532" s="74">
        <f>B1532/30.48</f>
        <v/>
      </c>
      <c r="G1532" s="74">
        <f>D1532/30.48</f>
        <v/>
      </c>
      <c r="H1532" s="615" t="n"/>
      <c r="I1532" s="49" t="inlineStr">
        <is>
          <t>OLD</t>
        </is>
      </c>
      <c r="J1532" s="48" t="inlineStr">
        <is>
          <t>TRS</t>
        </is>
      </c>
      <c r="K1532" s="51" t="inlineStr">
        <is>
          <t>PAC</t>
        </is>
      </c>
      <c r="M1532" s="210" t="n"/>
      <c r="N1532" s="211" t="n"/>
      <c r="O1532" s="340" t="inlineStr">
        <is>
          <t>SBL</t>
        </is>
      </c>
      <c r="Q1532" s="271" t="n"/>
      <c r="R1532" s="282" t="n"/>
    </row>
    <row r="1533" ht="18" customHeight="1" s="305">
      <c r="A1533" s="8" t="n">
        <v>2099</v>
      </c>
      <c r="B1533" s="5" t="n">
        <v>79</v>
      </c>
      <c r="C1533" s="72" t="inlineStr">
        <is>
          <t>X</t>
        </is>
      </c>
      <c r="D1533" s="5" t="n">
        <v>434</v>
      </c>
      <c r="E1533" s="73">
        <f>B1533*D1533/10000</f>
        <v/>
      </c>
      <c r="F1533" s="74">
        <f>B1533/30.48</f>
        <v/>
      </c>
      <c r="G1533" s="74">
        <f>D1533/30.48</f>
        <v/>
      </c>
      <c r="H1533" s="615" t="n"/>
      <c r="I1533" s="49" t="inlineStr">
        <is>
          <t>OLD</t>
        </is>
      </c>
      <c r="J1533" s="48" t="inlineStr">
        <is>
          <t>TRS</t>
        </is>
      </c>
      <c r="K1533" s="51" t="inlineStr">
        <is>
          <t>PAC</t>
        </is>
      </c>
      <c r="M1533" s="210" t="n"/>
      <c r="N1533" s="211" t="n"/>
      <c r="O1533" s="340" t="inlineStr">
        <is>
          <t>SBL</t>
        </is>
      </c>
      <c r="Q1533" s="271" t="n"/>
      <c r="R1533" s="282" t="n"/>
    </row>
    <row r="1534" ht="18" customHeight="1" s="305">
      <c r="A1534" s="8" t="n">
        <v>2100</v>
      </c>
      <c r="B1534" s="5" t="n">
        <v>78</v>
      </c>
      <c r="C1534" s="72" t="inlineStr">
        <is>
          <t>X</t>
        </is>
      </c>
      <c r="D1534" s="5" t="n">
        <v>324</v>
      </c>
      <c r="E1534" s="73">
        <f>B1534*D1534/10000</f>
        <v/>
      </c>
      <c r="F1534" s="74">
        <f>B1534/30.48</f>
        <v/>
      </c>
      <c r="G1534" s="74">
        <f>D1534/30.48</f>
        <v/>
      </c>
      <c r="H1534" s="615" t="n"/>
      <c r="I1534" s="49" t="inlineStr">
        <is>
          <t>OLD</t>
        </is>
      </c>
      <c r="J1534" s="48" t="inlineStr">
        <is>
          <t>TRS</t>
        </is>
      </c>
      <c r="K1534" s="51" t="inlineStr">
        <is>
          <t>PAC</t>
        </is>
      </c>
      <c r="M1534" s="210" t="n"/>
      <c r="N1534" s="211" t="n"/>
      <c r="O1534" s="340" t="inlineStr">
        <is>
          <t>SBL</t>
        </is>
      </c>
      <c r="Q1534" s="271" t="n"/>
      <c r="R1534" s="282" t="n"/>
    </row>
    <row r="1535" ht="18" customHeight="1" s="305">
      <c r="A1535" s="8" t="n">
        <v>2101</v>
      </c>
      <c r="B1535" s="5" t="n">
        <v>84</v>
      </c>
      <c r="C1535" s="72" t="inlineStr">
        <is>
          <t>X</t>
        </is>
      </c>
      <c r="D1535" s="5" t="n">
        <v>360</v>
      </c>
      <c r="E1535" s="73">
        <f>B1535*D1535/10000</f>
        <v/>
      </c>
      <c r="F1535" s="74">
        <f>B1535/30.48</f>
        <v/>
      </c>
      <c r="G1535" s="74">
        <f>D1535/30.48</f>
        <v/>
      </c>
      <c r="H1535" s="615" t="n"/>
      <c r="I1535" s="49" t="inlineStr">
        <is>
          <t>OLD</t>
        </is>
      </c>
      <c r="J1535" s="48" t="inlineStr">
        <is>
          <t>TRS</t>
        </is>
      </c>
      <c r="K1535" s="51" t="inlineStr">
        <is>
          <t>PAC</t>
        </is>
      </c>
      <c r="M1535" s="210" t="n"/>
      <c r="N1535" s="211" t="n"/>
      <c r="O1535" s="340" t="inlineStr">
        <is>
          <t>SBL</t>
        </is>
      </c>
      <c r="Q1535" s="271" t="n"/>
      <c r="R1535" s="282" t="n"/>
    </row>
    <row r="1536" ht="18" customHeight="1" s="305">
      <c r="A1536" s="8" t="n">
        <v>2102</v>
      </c>
      <c r="B1536" s="5" t="n">
        <v>85</v>
      </c>
      <c r="C1536" s="72" t="inlineStr">
        <is>
          <t>X</t>
        </is>
      </c>
      <c r="D1536" s="5" t="n">
        <v>374</v>
      </c>
      <c r="E1536" s="73">
        <f>B1536*D1536/10000</f>
        <v/>
      </c>
      <c r="F1536" s="74">
        <f>B1536/30.48</f>
        <v/>
      </c>
      <c r="G1536" s="74">
        <f>D1536/30.48</f>
        <v/>
      </c>
      <c r="H1536" s="615" t="n"/>
      <c r="J1536" s="48" t="inlineStr">
        <is>
          <t>TRS</t>
        </is>
      </c>
      <c r="K1536" s="51" t="inlineStr">
        <is>
          <t>PAC</t>
        </is>
      </c>
      <c r="M1536" s="210" t="n"/>
      <c r="N1536" s="211" t="n"/>
      <c r="O1536" s="340" t="inlineStr">
        <is>
          <t>SBL</t>
        </is>
      </c>
      <c r="Q1536" s="271" t="n"/>
      <c r="R1536" s="282" t="n"/>
    </row>
    <row r="1537" ht="18" customHeight="1" s="305">
      <c r="A1537" s="8" t="n">
        <v>2106</v>
      </c>
      <c r="B1537" s="5" t="n">
        <v>86</v>
      </c>
      <c r="C1537" s="72" t="inlineStr">
        <is>
          <t>X</t>
        </is>
      </c>
      <c r="D1537" s="5" t="n">
        <v>393</v>
      </c>
      <c r="E1537" s="73">
        <f>B1537*D1537/10000</f>
        <v/>
      </c>
      <c r="F1537" s="74">
        <f>B1537/30.48</f>
        <v/>
      </c>
      <c r="G1537" s="74">
        <f>D1537/30.48</f>
        <v/>
      </c>
      <c r="H1537" s="615" t="n"/>
      <c r="J1537" s="48" t="inlineStr">
        <is>
          <t>TRS</t>
        </is>
      </c>
      <c r="K1537" s="51" t="inlineStr">
        <is>
          <t>PAC</t>
        </is>
      </c>
      <c r="M1537" s="210" t="n"/>
      <c r="N1537" s="211" t="n"/>
      <c r="O1537" s="340" t="inlineStr">
        <is>
          <t>SBL</t>
        </is>
      </c>
      <c r="Q1537" s="271" t="n"/>
      <c r="R1537" s="282" t="n"/>
    </row>
    <row r="1538" ht="18" customHeight="1" s="305">
      <c r="A1538" s="8" t="n">
        <v>2107</v>
      </c>
      <c r="B1538" s="5" t="n">
        <v>132</v>
      </c>
      <c r="C1538" s="72" t="inlineStr">
        <is>
          <t>X</t>
        </is>
      </c>
      <c r="D1538" s="5" t="n">
        <v>217</v>
      </c>
      <c r="E1538" s="73">
        <f>B1538*D1538/10000</f>
        <v/>
      </c>
      <c r="F1538" s="74">
        <f>B1538/30.48</f>
        <v/>
      </c>
      <c r="G1538" s="74">
        <f>D1538/30.48</f>
        <v/>
      </c>
      <c r="H1538" s="615" t="n"/>
      <c r="J1538" s="48" t="inlineStr">
        <is>
          <t>TRS</t>
        </is>
      </c>
      <c r="K1538" s="51" t="inlineStr">
        <is>
          <t>PAC</t>
        </is>
      </c>
      <c r="M1538" s="210" t="n"/>
      <c r="N1538" s="211" t="n"/>
      <c r="O1538" s="340" t="inlineStr">
        <is>
          <t>SBL</t>
        </is>
      </c>
      <c r="Q1538" s="271" t="inlineStr">
        <is>
          <t>RST</t>
        </is>
      </c>
      <c r="R1538" s="282" t="n"/>
    </row>
    <row r="1539" ht="18" customHeight="1" s="305">
      <c r="A1539" s="8" t="n">
        <v>2110</v>
      </c>
      <c r="B1539" s="5" t="n">
        <v>82</v>
      </c>
      <c r="C1539" s="72" t="inlineStr">
        <is>
          <t>X</t>
        </is>
      </c>
      <c r="D1539" s="5" t="n">
        <v>260</v>
      </c>
      <c r="E1539" s="73">
        <f>B1539*D1539/10000</f>
        <v/>
      </c>
      <c r="F1539" s="74">
        <f>B1539/30.48</f>
        <v/>
      </c>
      <c r="G1539" s="74">
        <f>D1539/30.48</f>
        <v/>
      </c>
      <c r="H1539" s="615" t="n"/>
      <c r="I1539" s="49" t="inlineStr">
        <is>
          <t>OLD</t>
        </is>
      </c>
      <c r="J1539" s="48" t="inlineStr">
        <is>
          <t>TRS</t>
        </is>
      </c>
      <c r="K1539" s="51" t="inlineStr">
        <is>
          <t>PAC</t>
        </is>
      </c>
      <c r="M1539" s="210" t="n"/>
      <c r="N1539" s="211" t="n"/>
      <c r="O1539" s="340" t="inlineStr">
        <is>
          <t>SBL</t>
        </is>
      </c>
      <c r="Q1539" s="271" t="n"/>
      <c r="R1539" s="282" t="n"/>
    </row>
    <row r="1540" ht="18" customHeight="1" s="305">
      <c r="A1540" s="8" t="n">
        <v>2114</v>
      </c>
      <c r="B1540" s="5" t="n">
        <v>126</v>
      </c>
      <c r="C1540" s="72" t="inlineStr">
        <is>
          <t>X</t>
        </is>
      </c>
      <c r="D1540" s="5" t="n">
        <v>216</v>
      </c>
      <c r="E1540" s="73">
        <f>B1540*D1540/10000</f>
        <v/>
      </c>
      <c r="F1540" s="74">
        <f>B1540/30.48</f>
        <v/>
      </c>
      <c r="G1540" s="74">
        <f>D1540/30.48</f>
        <v/>
      </c>
      <c r="H1540" s="615" t="n"/>
      <c r="J1540" s="48" t="inlineStr">
        <is>
          <t>TRS</t>
        </is>
      </c>
      <c r="K1540" s="51" t="inlineStr">
        <is>
          <t>PAC</t>
        </is>
      </c>
      <c r="M1540" s="210" t="n"/>
      <c r="N1540" s="211" t="n"/>
      <c r="O1540" s="340" t="inlineStr">
        <is>
          <t>SBL</t>
        </is>
      </c>
      <c r="Q1540" s="271" t="inlineStr">
        <is>
          <t>RST</t>
        </is>
      </c>
      <c r="R1540" s="282" t="n"/>
    </row>
    <row r="1541" ht="18" customHeight="1" s="305">
      <c r="A1541" s="8" t="n">
        <v>2115</v>
      </c>
      <c r="B1541" s="5" t="n">
        <v>91</v>
      </c>
      <c r="C1541" s="72" t="inlineStr">
        <is>
          <t>X</t>
        </is>
      </c>
      <c r="D1541" s="5" t="n">
        <v>313</v>
      </c>
      <c r="E1541" s="73">
        <f>B1541*D1541/10000</f>
        <v/>
      </c>
      <c r="F1541" s="74">
        <f>B1541/30.48</f>
        <v/>
      </c>
      <c r="G1541" s="74">
        <f>D1541/30.48</f>
        <v/>
      </c>
      <c r="H1541" s="615" t="n"/>
      <c r="J1541" s="48" t="inlineStr">
        <is>
          <t>TRS</t>
        </is>
      </c>
      <c r="K1541" s="51" t="inlineStr">
        <is>
          <t>PAC</t>
        </is>
      </c>
      <c r="M1541" s="210" t="n"/>
      <c r="N1541" s="211" t="n"/>
      <c r="O1541" s="340" t="inlineStr">
        <is>
          <t>SBL</t>
        </is>
      </c>
      <c r="Q1541" s="271" t="n"/>
      <c r="R1541" s="282" t="n"/>
    </row>
    <row r="1542" ht="18" customHeight="1" s="305">
      <c r="A1542" s="8" t="n">
        <v>2116</v>
      </c>
      <c r="B1542" s="5" t="n">
        <v>84</v>
      </c>
      <c r="C1542" s="72" t="inlineStr">
        <is>
          <t>X</t>
        </is>
      </c>
      <c r="D1542" s="5" t="n">
        <v>335</v>
      </c>
      <c r="E1542" s="73">
        <f>B1542*D1542/10000</f>
        <v/>
      </c>
      <c r="F1542" s="74">
        <f>B1542/30.48</f>
        <v/>
      </c>
      <c r="G1542" s="74">
        <f>D1542/30.48</f>
        <v/>
      </c>
      <c r="H1542" s="615" t="n"/>
      <c r="I1542" s="49" t="inlineStr">
        <is>
          <t>OLD</t>
        </is>
      </c>
      <c r="J1542" s="48" t="inlineStr">
        <is>
          <t>TRS</t>
        </is>
      </c>
      <c r="K1542" s="51" t="inlineStr">
        <is>
          <t>PAC</t>
        </is>
      </c>
      <c r="M1542" s="210" t="n"/>
      <c r="N1542" s="211" t="n"/>
      <c r="O1542" s="340" t="inlineStr">
        <is>
          <t>SBL</t>
        </is>
      </c>
      <c r="Q1542" s="271" t="n"/>
      <c r="R1542" s="282" t="n"/>
    </row>
    <row r="1543" ht="18" customHeight="1" s="305">
      <c r="A1543" s="8" t="n">
        <v>2117</v>
      </c>
      <c r="B1543" s="5" t="n">
        <v>80</v>
      </c>
      <c r="C1543" s="72" t="inlineStr">
        <is>
          <t>X</t>
        </is>
      </c>
      <c r="D1543" s="5" t="n">
        <v>367</v>
      </c>
      <c r="E1543" s="73">
        <f>B1543*D1543/10000</f>
        <v/>
      </c>
      <c r="F1543" s="74">
        <f>B1543/30.48</f>
        <v/>
      </c>
      <c r="G1543" s="74">
        <f>D1543/30.48</f>
        <v/>
      </c>
      <c r="H1543" s="615" t="n"/>
      <c r="I1543" s="49" t="inlineStr">
        <is>
          <t>OLD</t>
        </is>
      </c>
      <c r="J1543" s="48" t="inlineStr">
        <is>
          <t>TRS</t>
        </is>
      </c>
      <c r="K1543" s="51" t="inlineStr">
        <is>
          <t>PAC</t>
        </is>
      </c>
      <c r="M1543" s="210" t="n"/>
      <c r="N1543" s="211" t="n"/>
      <c r="O1543" s="340" t="inlineStr">
        <is>
          <t>SBL</t>
        </is>
      </c>
      <c r="Q1543" s="271" t="n"/>
      <c r="R1543" s="282" t="n"/>
    </row>
    <row r="1544" ht="18" customHeight="1" s="305">
      <c r="A1544" s="8" t="inlineStr">
        <is>
          <t>H 244</t>
        </is>
      </c>
      <c r="B1544" s="5" t="n">
        <v>90</v>
      </c>
      <c r="C1544" s="72" t="inlineStr">
        <is>
          <t>X</t>
        </is>
      </c>
      <c r="D1544" s="5" t="n">
        <v>381</v>
      </c>
      <c r="E1544" s="73">
        <f>B1544*D1544/10000</f>
        <v/>
      </c>
      <c r="F1544" s="74">
        <f>B1544/30.48</f>
        <v/>
      </c>
      <c r="G1544" s="74">
        <f>D1544/30.48</f>
        <v/>
      </c>
      <c r="H1544" s="615" t="n"/>
      <c r="L1544" s="105" t="inlineStr">
        <is>
          <t>VR</t>
        </is>
      </c>
      <c r="M1544" s="210" t="n"/>
      <c r="N1544" s="211" t="n"/>
      <c r="O1544" s="340" t="inlineStr">
        <is>
          <t>SBL</t>
        </is>
      </c>
      <c r="Q1544" s="271" t="n"/>
      <c r="R1544" s="282" t="n"/>
    </row>
    <row r="1545" ht="18" customHeight="1" s="305">
      <c r="A1545" s="8" t="inlineStr">
        <is>
          <t>H 247</t>
        </is>
      </c>
      <c r="B1545" s="5" t="n">
        <v>104</v>
      </c>
      <c r="C1545" s="72" t="inlineStr">
        <is>
          <t>X</t>
        </is>
      </c>
      <c r="D1545" s="5" t="n">
        <v>300</v>
      </c>
      <c r="E1545" s="73">
        <f>B1545*D1545/10000</f>
        <v/>
      </c>
      <c r="F1545" s="74">
        <f>B1545/30.48</f>
        <v/>
      </c>
      <c r="G1545" s="74">
        <f>D1545/30.48</f>
        <v/>
      </c>
      <c r="H1545" s="615" t="n"/>
      <c r="L1545" s="105" t="inlineStr">
        <is>
          <t>VR</t>
        </is>
      </c>
      <c r="M1545" s="210" t="n"/>
      <c r="N1545" s="211" t="n"/>
      <c r="O1545" s="340" t="inlineStr">
        <is>
          <t>SBL</t>
        </is>
      </c>
      <c r="Q1545" s="271" t="n"/>
      <c r="R1545" s="282" t="n"/>
    </row>
    <row r="1546" ht="18" customHeight="1" s="305">
      <c r="A1546" s="8" t="inlineStr">
        <is>
          <t>H 248</t>
        </is>
      </c>
      <c r="B1546" s="5" t="n">
        <v>90</v>
      </c>
      <c r="C1546" s="72" t="inlineStr">
        <is>
          <t>X</t>
        </is>
      </c>
      <c r="D1546" s="5" t="n">
        <v>320</v>
      </c>
      <c r="E1546" s="73">
        <f>B1546*D1546/10000</f>
        <v/>
      </c>
      <c r="F1546" s="74">
        <f>B1546/30.48</f>
        <v/>
      </c>
      <c r="G1546" s="74">
        <f>D1546/30.48</f>
        <v/>
      </c>
      <c r="H1546" s="615" t="n"/>
      <c r="L1546" s="105" t="inlineStr">
        <is>
          <t>VR</t>
        </is>
      </c>
      <c r="M1546" s="210" t="n"/>
      <c r="N1546" s="211" t="n"/>
      <c r="O1546" s="340" t="inlineStr">
        <is>
          <t>SBL</t>
        </is>
      </c>
      <c r="Q1546" s="271" t="n"/>
      <c r="R1546" s="282" t="n"/>
    </row>
    <row r="1547" ht="18" customHeight="1" s="305">
      <c r="A1547" s="8" t="inlineStr">
        <is>
          <t>H 249</t>
        </is>
      </c>
      <c r="B1547" s="5" t="n">
        <v>95</v>
      </c>
      <c r="C1547" s="72" t="inlineStr">
        <is>
          <t>X</t>
        </is>
      </c>
      <c r="D1547" s="5" t="n">
        <v>320</v>
      </c>
      <c r="E1547" s="73">
        <f>B1547*D1547/10000</f>
        <v/>
      </c>
      <c r="F1547" s="74">
        <f>B1547/30.48</f>
        <v/>
      </c>
      <c r="G1547" s="74">
        <f>D1547/30.48</f>
        <v/>
      </c>
      <c r="H1547" s="615" t="n"/>
      <c r="I1547" s="49" t="inlineStr">
        <is>
          <t>OLD</t>
        </is>
      </c>
      <c r="M1547" s="210" t="n"/>
      <c r="N1547" s="211" t="n"/>
      <c r="O1547" s="340" t="inlineStr">
        <is>
          <t>SBL</t>
        </is>
      </c>
      <c r="Q1547" s="271" t="inlineStr">
        <is>
          <t>RST</t>
        </is>
      </c>
      <c r="R1547" s="282" t="n"/>
    </row>
    <row r="1548" ht="18" customHeight="1" s="305">
      <c r="A1548" s="8" t="inlineStr">
        <is>
          <t>H 250</t>
        </is>
      </c>
      <c r="B1548" s="5" t="n">
        <v>100</v>
      </c>
      <c r="C1548" s="72" t="inlineStr">
        <is>
          <t>X</t>
        </is>
      </c>
      <c r="D1548" s="5" t="n">
        <v>343</v>
      </c>
      <c r="E1548" s="73">
        <f>B1548*D1548/10000</f>
        <v/>
      </c>
      <c r="F1548" s="74">
        <f>B1548/30.48</f>
        <v/>
      </c>
      <c r="G1548" s="74">
        <f>D1548/30.48</f>
        <v/>
      </c>
      <c r="H1548" s="615" t="n"/>
      <c r="L1548" s="105" t="inlineStr">
        <is>
          <t>VR</t>
        </is>
      </c>
      <c r="M1548" s="210" t="n"/>
      <c r="N1548" s="211" t="n"/>
      <c r="O1548" s="340" t="inlineStr">
        <is>
          <t>SBL</t>
        </is>
      </c>
      <c r="Q1548" s="271" t="n"/>
      <c r="R1548" s="282" t="n"/>
    </row>
    <row r="1549" ht="18" customHeight="1" s="305">
      <c r="A1549" s="8" t="inlineStr">
        <is>
          <t>H 251</t>
        </is>
      </c>
      <c r="B1549" s="5" t="n">
        <v>98</v>
      </c>
      <c r="C1549" s="72" t="inlineStr">
        <is>
          <t>X</t>
        </is>
      </c>
      <c r="D1549" s="5" t="n">
        <v>340</v>
      </c>
      <c r="E1549" s="73">
        <f>B1549*D1549/10000</f>
        <v/>
      </c>
      <c r="F1549" s="74">
        <f>B1549/30.48</f>
        <v/>
      </c>
      <c r="G1549" s="74">
        <f>D1549/30.48</f>
        <v/>
      </c>
      <c r="H1549" s="615" t="n"/>
      <c r="M1549" s="210" t="n"/>
      <c r="N1549" s="211" t="n"/>
      <c r="O1549" s="340" t="inlineStr">
        <is>
          <t>SBL</t>
        </is>
      </c>
      <c r="Q1549" s="271" t="n"/>
      <c r="R1549" s="282" t="n"/>
    </row>
    <row r="1550" ht="18" customHeight="1" s="305">
      <c r="A1550" s="8" t="inlineStr">
        <is>
          <t>H 252</t>
        </is>
      </c>
      <c r="B1550" s="5" t="n">
        <v>89</v>
      </c>
      <c r="C1550" s="72" t="inlineStr">
        <is>
          <t>X</t>
        </is>
      </c>
      <c r="D1550" s="5" t="n">
        <v>321</v>
      </c>
      <c r="E1550" s="73">
        <f>B1550*D1550/10000</f>
        <v/>
      </c>
      <c r="F1550" s="74">
        <f>B1550/30.48</f>
        <v/>
      </c>
      <c r="G1550" s="74">
        <f>D1550/30.48</f>
        <v/>
      </c>
      <c r="H1550" s="615" t="n"/>
      <c r="M1550" s="210" t="n"/>
      <c r="N1550" s="211" t="n"/>
      <c r="O1550" s="340" t="inlineStr">
        <is>
          <t>SBL</t>
        </is>
      </c>
      <c r="Q1550" s="271" t="n"/>
      <c r="R1550" s="282" t="n"/>
    </row>
    <row r="1551" ht="18" customHeight="1" s="305">
      <c r="A1551" s="8" t="inlineStr">
        <is>
          <t>H 253</t>
        </is>
      </c>
      <c r="B1551" s="5" t="n">
        <v>90</v>
      </c>
      <c r="C1551" s="72" t="inlineStr">
        <is>
          <t>X</t>
        </is>
      </c>
      <c r="D1551" s="5" t="n">
        <v>392</v>
      </c>
      <c r="E1551" s="73">
        <f>B1551*D1551/10000</f>
        <v/>
      </c>
      <c r="F1551" s="74">
        <f>B1551/30.48</f>
        <v/>
      </c>
      <c r="G1551" s="74">
        <f>D1551/30.48</f>
        <v/>
      </c>
      <c r="H1551" s="615" t="n"/>
      <c r="M1551" s="210" t="n"/>
      <c r="N1551" s="211" t="n"/>
      <c r="O1551" s="340" t="inlineStr">
        <is>
          <t>SBL</t>
        </is>
      </c>
      <c r="Q1551" s="271" t="n"/>
      <c r="R1551" s="282" t="n"/>
    </row>
    <row r="1552" ht="18" customHeight="1" s="305">
      <c r="A1552" s="8" t="inlineStr">
        <is>
          <t>H 254</t>
        </is>
      </c>
      <c r="B1552" s="5" t="n">
        <v>91</v>
      </c>
      <c r="C1552" s="72" t="inlineStr">
        <is>
          <t>X</t>
        </is>
      </c>
      <c r="D1552" s="5" t="n">
        <v>344</v>
      </c>
      <c r="E1552" s="73">
        <f>B1552*D1552/10000</f>
        <v/>
      </c>
      <c r="F1552" s="74">
        <f>B1552/30.48</f>
        <v/>
      </c>
      <c r="G1552" s="74">
        <f>D1552/30.48</f>
        <v/>
      </c>
      <c r="H1552" s="615" t="n"/>
      <c r="M1552" s="210" t="n"/>
      <c r="N1552" s="211" t="n"/>
      <c r="O1552" s="340" t="inlineStr">
        <is>
          <t>SBL</t>
        </is>
      </c>
      <c r="Q1552" s="271" t="n"/>
      <c r="R1552" s="282" t="n"/>
    </row>
    <row r="1553" ht="18" customHeight="1" s="305">
      <c r="A1553" s="8" t="inlineStr">
        <is>
          <t>H 255</t>
        </is>
      </c>
      <c r="B1553" s="5" t="n">
        <v>86</v>
      </c>
      <c r="C1553" s="72" t="inlineStr">
        <is>
          <t>X</t>
        </is>
      </c>
      <c r="D1553" s="5" t="n">
        <v>320</v>
      </c>
      <c r="E1553" s="73">
        <f>B1553*D1553/10000</f>
        <v/>
      </c>
      <c r="F1553" s="74">
        <f>B1553/30.48</f>
        <v/>
      </c>
      <c r="G1553" s="74">
        <f>D1553/30.48</f>
        <v/>
      </c>
      <c r="H1553" s="615" t="n"/>
      <c r="M1553" s="210" t="n"/>
      <c r="N1553" s="211" t="n"/>
      <c r="O1553" s="340" t="inlineStr">
        <is>
          <t>SBL</t>
        </is>
      </c>
      <c r="Q1553" s="271" t="n"/>
      <c r="R1553" s="282" t="n"/>
    </row>
    <row r="1554" ht="18" customHeight="1" s="305">
      <c r="A1554" s="8" t="inlineStr">
        <is>
          <t>H 256</t>
        </is>
      </c>
      <c r="B1554" s="5" t="n">
        <v>66</v>
      </c>
      <c r="C1554" s="72" t="inlineStr">
        <is>
          <t>X</t>
        </is>
      </c>
      <c r="D1554" s="5" t="n">
        <v>411</v>
      </c>
      <c r="E1554" s="73">
        <f>B1554*D1554/10000</f>
        <v/>
      </c>
      <c r="F1554" s="74">
        <f>B1554/30.48</f>
        <v/>
      </c>
      <c r="G1554" s="74">
        <f>D1554/30.48</f>
        <v/>
      </c>
      <c r="H1554" s="615" t="n"/>
      <c r="M1554" s="210" t="n"/>
      <c r="N1554" s="211" t="n"/>
      <c r="O1554" s="340" t="inlineStr">
        <is>
          <t>SBL</t>
        </is>
      </c>
      <c r="Q1554" s="271" t="n"/>
      <c r="R1554" s="282" t="n"/>
    </row>
    <row r="1555" ht="18" customHeight="1" s="305">
      <c r="A1555" s="8" t="inlineStr">
        <is>
          <t>H 257</t>
        </is>
      </c>
      <c r="B1555" s="5" t="n">
        <v>81</v>
      </c>
      <c r="C1555" s="72" t="inlineStr">
        <is>
          <t>X</t>
        </is>
      </c>
      <c r="D1555" s="5" t="n">
        <v>415</v>
      </c>
      <c r="E1555" s="73">
        <f>B1555*D1555/10000</f>
        <v/>
      </c>
      <c r="F1555" s="74">
        <f>B1555/30.48</f>
        <v/>
      </c>
      <c r="G1555" s="74">
        <f>D1555/30.48</f>
        <v/>
      </c>
      <c r="H1555" s="615" t="n"/>
      <c r="M1555" s="210" t="n"/>
      <c r="N1555" s="211" t="n"/>
      <c r="O1555" s="340" t="inlineStr">
        <is>
          <t>SBL</t>
        </is>
      </c>
      <c r="Q1555" s="271" t="n"/>
      <c r="R1555" s="282" t="n"/>
    </row>
    <row r="1556" ht="18" customHeight="1" s="305">
      <c r="A1556" s="8" t="inlineStr">
        <is>
          <t>H 258</t>
        </is>
      </c>
      <c r="B1556" s="5" t="n">
        <v>79</v>
      </c>
      <c r="C1556" s="72" t="inlineStr">
        <is>
          <t>X</t>
        </is>
      </c>
      <c r="D1556" s="5" t="n">
        <v>338</v>
      </c>
      <c r="E1556" s="73">
        <f>B1556*D1556/10000</f>
        <v/>
      </c>
      <c r="F1556" s="74">
        <f>B1556/30.48</f>
        <v/>
      </c>
      <c r="G1556" s="74">
        <f>D1556/30.48</f>
        <v/>
      </c>
      <c r="H1556" s="615" t="n"/>
      <c r="M1556" s="210" t="n"/>
      <c r="N1556" s="211" t="n"/>
      <c r="O1556" s="340" t="inlineStr">
        <is>
          <t>SBL</t>
        </is>
      </c>
      <c r="Q1556" s="271" t="n"/>
      <c r="R1556" s="282" t="n"/>
    </row>
    <row r="1557" ht="18" customHeight="1" s="305">
      <c r="A1557" s="8" t="inlineStr">
        <is>
          <t>H 259</t>
        </is>
      </c>
      <c r="B1557" s="5" t="n">
        <v>96</v>
      </c>
      <c r="C1557" s="72" t="inlineStr">
        <is>
          <t>X</t>
        </is>
      </c>
      <c r="D1557" s="5" t="n">
        <v>344</v>
      </c>
      <c r="E1557" s="73">
        <f>B1557*D1557/10000</f>
        <v/>
      </c>
      <c r="F1557" s="74">
        <f>B1557/30.48</f>
        <v/>
      </c>
      <c r="G1557" s="74">
        <f>D1557/30.48</f>
        <v/>
      </c>
      <c r="H1557" s="615" t="n"/>
      <c r="M1557" s="210" t="n"/>
      <c r="N1557" s="211" t="n"/>
      <c r="O1557" s="340" t="inlineStr">
        <is>
          <t>SBL</t>
        </is>
      </c>
      <c r="Q1557" s="271" t="n"/>
      <c r="R1557" s="282" t="n"/>
    </row>
    <row r="1558" ht="18" customHeight="1" s="305">
      <c r="A1558" s="8" t="inlineStr">
        <is>
          <t>H 262</t>
        </is>
      </c>
      <c r="B1558" s="5" t="n">
        <v>86</v>
      </c>
      <c r="C1558" s="72" t="inlineStr">
        <is>
          <t>X</t>
        </is>
      </c>
      <c r="D1558" s="5" t="n">
        <v>330</v>
      </c>
      <c r="E1558" s="73">
        <f>B1558*D1558/10000</f>
        <v/>
      </c>
      <c r="F1558" s="74">
        <f>B1558/30.48</f>
        <v/>
      </c>
      <c r="G1558" s="74">
        <f>D1558/30.48</f>
        <v/>
      </c>
      <c r="H1558" s="615" t="n"/>
      <c r="M1558" s="210" t="n"/>
      <c r="N1558" s="211" t="n"/>
      <c r="O1558" s="340" t="inlineStr">
        <is>
          <t>SBL</t>
        </is>
      </c>
      <c r="Q1558" s="271" t="n"/>
      <c r="R1558" s="282" t="n"/>
    </row>
    <row r="1559" ht="18" customHeight="1" s="305">
      <c r="A1559" s="8" t="inlineStr">
        <is>
          <t>H 264</t>
        </is>
      </c>
      <c r="B1559" s="5" t="n">
        <v>90</v>
      </c>
      <c r="C1559" s="72" t="inlineStr">
        <is>
          <t>X</t>
        </is>
      </c>
      <c r="D1559" s="5" t="n">
        <v>338</v>
      </c>
      <c r="E1559" s="73">
        <f>B1559*D1559/10000</f>
        <v/>
      </c>
      <c r="F1559" s="74">
        <f>B1559/30.48</f>
        <v/>
      </c>
      <c r="G1559" s="74">
        <f>D1559/30.48</f>
        <v/>
      </c>
      <c r="H1559" s="615" t="n"/>
      <c r="M1559" s="210" t="n"/>
      <c r="N1559" s="211" t="n"/>
      <c r="O1559" s="340" t="inlineStr">
        <is>
          <t>SBL</t>
        </is>
      </c>
      <c r="Q1559" s="271" t="n"/>
      <c r="R1559" s="282" t="n"/>
    </row>
    <row r="1560" ht="18" customHeight="1" s="305">
      <c r="A1560" s="8" t="inlineStr">
        <is>
          <t>H 265</t>
        </is>
      </c>
      <c r="B1560" s="5" t="n">
        <v>96</v>
      </c>
      <c r="C1560" s="72" t="inlineStr">
        <is>
          <t>X</t>
        </is>
      </c>
      <c r="D1560" s="5" t="n">
        <v>351</v>
      </c>
      <c r="E1560" s="73">
        <f>B1560*D1560/10000</f>
        <v/>
      </c>
      <c r="F1560" s="74">
        <f>B1560/30.48</f>
        <v/>
      </c>
      <c r="G1560" s="74">
        <f>D1560/30.48</f>
        <v/>
      </c>
      <c r="H1560" s="615" t="n"/>
      <c r="M1560" s="210" t="n"/>
      <c r="N1560" s="211" t="n"/>
      <c r="O1560" s="340" t="inlineStr">
        <is>
          <t>SBL</t>
        </is>
      </c>
      <c r="Q1560" s="271" t="n"/>
      <c r="R1560" s="282" t="n"/>
    </row>
    <row r="1561" ht="18" customHeight="1" s="305">
      <c r="A1561" s="8" t="inlineStr">
        <is>
          <t>H 266</t>
        </is>
      </c>
      <c r="B1561" s="5" t="n">
        <v>92</v>
      </c>
      <c r="C1561" s="72" t="inlineStr">
        <is>
          <t>X</t>
        </is>
      </c>
      <c r="D1561" s="5" t="n">
        <v>325</v>
      </c>
      <c r="E1561" s="73">
        <f>B1561*D1561/10000</f>
        <v/>
      </c>
      <c r="F1561" s="74">
        <f>B1561/30.48</f>
        <v/>
      </c>
      <c r="G1561" s="74">
        <f>D1561/30.48</f>
        <v/>
      </c>
      <c r="H1561" s="615" t="n"/>
      <c r="M1561" s="210" t="n"/>
      <c r="N1561" s="211" t="n"/>
      <c r="O1561" s="340" t="inlineStr">
        <is>
          <t>SBL</t>
        </is>
      </c>
      <c r="Q1561" s="271" t="n"/>
      <c r="R1561" s="282" t="n"/>
    </row>
    <row r="1562" ht="18" customHeight="1" s="305">
      <c r="A1562" s="8" t="inlineStr">
        <is>
          <t>H 269</t>
        </is>
      </c>
      <c r="B1562" s="5" t="n">
        <v>91</v>
      </c>
      <c r="C1562" s="72" t="inlineStr">
        <is>
          <t>X</t>
        </is>
      </c>
      <c r="D1562" s="5" t="n">
        <v>308</v>
      </c>
      <c r="E1562" s="73">
        <f>B1562*D1562/10000</f>
        <v/>
      </c>
      <c r="F1562" s="74">
        <f>B1562/30.48</f>
        <v/>
      </c>
      <c r="G1562" s="74">
        <f>D1562/30.48</f>
        <v/>
      </c>
      <c r="H1562" s="615" t="n"/>
      <c r="M1562" s="210" t="n"/>
      <c r="N1562" s="211" t="n"/>
      <c r="O1562" s="340" t="inlineStr">
        <is>
          <t>SBL</t>
        </is>
      </c>
      <c r="Q1562" s="271" t="n"/>
      <c r="R1562" s="282" t="n"/>
    </row>
    <row r="1563" ht="18" customHeight="1" s="305">
      <c r="A1563" s="8" t="inlineStr">
        <is>
          <t>H 271</t>
        </is>
      </c>
      <c r="B1563" s="5" t="n">
        <v>88</v>
      </c>
      <c r="C1563" s="72" t="inlineStr">
        <is>
          <t>X</t>
        </is>
      </c>
      <c r="D1563" s="5" t="n">
        <v>347</v>
      </c>
      <c r="E1563" s="73">
        <f>B1563*D1563/10000</f>
        <v/>
      </c>
      <c r="F1563" s="74">
        <f>B1563/30.48</f>
        <v/>
      </c>
      <c r="G1563" s="74">
        <f>D1563/30.48</f>
        <v/>
      </c>
      <c r="H1563" s="615" t="n"/>
      <c r="M1563" s="210" t="n"/>
      <c r="N1563" s="211" t="n"/>
      <c r="O1563" s="340" t="inlineStr">
        <is>
          <t>SBL</t>
        </is>
      </c>
      <c r="Q1563" s="271" t="n"/>
      <c r="R1563" s="282" t="n"/>
    </row>
    <row r="1564" ht="18" customHeight="1" s="305">
      <c r="A1564" s="8" t="inlineStr">
        <is>
          <t>H 272</t>
        </is>
      </c>
      <c r="B1564" s="5" t="n">
        <v>87</v>
      </c>
      <c r="C1564" s="72" t="inlineStr">
        <is>
          <t>X</t>
        </is>
      </c>
      <c r="D1564" s="5" t="n">
        <v>323</v>
      </c>
      <c r="E1564" s="73">
        <f>B1564*D1564/10000</f>
        <v/>
      </c>
      <c r="F1564" s="74">
        <f>B1564/30.48</f>
        <v/>
      </c>
      <c r="G1564" s="74">
        <f>D1564/30.48</f>
        <v/>
      </c>
      <c r="H1564" s="615" t="n"/>
      <c r="M1564" s="210" t="n"/>
      <c r="N1564" s="211" t="n"/>
      <c r="O1564" s="340" t="inlineStr">
        <is>
          <t>SBL</t>
        </is>
      </c>
      <c r="Q1564" s="271" t="n"/>
      <c r="R1564" s="282" t="n"/>
    </row>
    <row r="1565" ht="18" customHeight="1" s="305">
      <c r="A1565" s="8" t="inlineStr">
        <is>
          <t>H 273</t>
        </is>
      </c>
      <c r="B1565" s="5" t="n">
        <v>90</v>
      </c>
      <c r="C1565" s="72" t="inlineStr">
        <is>
          <t>X</t>
        </is>
      </c>
      <c r="D1565" s="5" t="n">
        <v>298</v>
      </c>
      <c r="E1565" s="73">
        <f>B1565*D1565/10000</f>
        <v/>
      </c>
      <c r="F1565" s="74">
        <f>B1565/30.48</f>
        <v/>
      </c>
      <c r="G1565" s="74">
        <f>D1565/30.48</f>
        <v/>
      </c>
      <c r="H1565" s="615" t="n"/>
      <c r="M1565" s="210" t="n"/>
      <c r="N1565" s="211" t="n"/>
      <c r="O1565" s="340" t="inlineStr">
        <is>
          <t>SBL</t>
        </is>
      </c>
      <c r="Q1565" s="271" t="n"/>
      <c r="R1565" s="282" t="n"/>
    </row>
    <row r="1566" ht="18" customHeight="1" s="305">
      <c r="A1566" s="8" t="inlineStr">
        <is>
          <t>H 274</t>
        </is>
      </c>
      <c r="B1566" s="5" t="n">
        <v>84</v>
      </c>
      <c r="C1566" s="72" t="inlineStr">
        <is>
          <t>X</t>
        </is>
      </c>
      <c r="D1566" s="5" t="n">
        <v>315</v>
      </c>
      <c r="E1566" s="73">
        <f>B1566*D1566/10000</f>
        <v/>
      </c>
      <c r="F1566" s="74">
        <f>B1566/30.48</f>
        <v/>
      </c>
      <c r="G1566" s="74">
        <f>D1566/30.48</f>
        <v/>
      </c>
      <c r="H1566" s="615" t="n"/>
      <c r="M1566" s="210" t="n"/>
      <c r="N1566" s="211" t="n"/>
      <c r="O1566" s="340" t="inlineStr">
        <is>
          <t>SBL</t>
        </is>
      </c>
      <c r="Q1566" s="271" t="n"/>
      <c r="R1566" s="282" t="n"/>
    </row>
    <row r="1567" ht="18" customHeight="1" s="305">
      <c r="A1567" s="8" t="inlineStr">
        <is>
          <t>H 275</t>
        </is>
      </c>
      <c r="B1567" s="5" t="n">
        <v>97</v>
      </c>
      <c r="C1567" s="72" t="inlineStr">
        <is>
          <t>X</t>
        </is>
      </c>
      <c r="D1567" s="5" t="n">
        <v>332</v>
      </c>
      <c r="E1567" s="73">
        <f>B1567*D1567/10000</f>
        <v/>
      </c>
      <c r="F1567" s="74">
        <f>B1567/30.48</f>
        <v/>
      </c>
      <c r="G1567" s="74">
        <f>D1567/30.48</f>
        <v/>
      </c>
      <c r="H1567" s="615" t="n"/>
      <c r="M1567" s="210" t="n"/>
      <c r="N1567" s="211" t="n"/>
      <c r="O1567" s="340" t="inlineStr">
        <is>
          <t>SBL</t>
        </is>
      </c>
      <c r="Q1567" s="271" t="n"/>
      <c r="R1567" s="282" t="n"/>
    </row>
    <row r="1568" ht="18" customHeight="1" s="305">
      <c r="A1568" s="8" t="inlineStr">
        <is>
          <t>H 276</t>
        </is>
      </c>
      <c r="B1568" s="5" t="n">
        <v>89</v>
      </c>
      <c r="C1568" s="72" t="inlineStr">
        <is>
          <t>X</t>
        </is>
      </c>
      <c r="D1568" s="5" t="n">
        <v>298</v>
      </c>
      <c r="E1568" s="73">
        <f>B1568*D1568/10000</f>
        <v/>
      </c>
      <c r="F1568" s="74">
        <f>B1568/30.48</f>
        <v/>
      </c>
      <c r="G1568" s="74">
        <f>D1568/30.48</f>
        <v/>
      </c>
      <c r="H1568" s="615" t="n"/>
      <c r="M1568" s="210" t="n"/>
      <c r="N1568" s="211" t="n"/>
      <c r="O1568" s="340" t="inlineStr">
        <is>
          <t>SBL</t>
        </is>
      </c>
      <c r="Q1568" s="271" t="n"/>
      <c r="R1568" s="282" t="n"/>
    </row>
    <row r="1569" ht="18" customHeight="1" s="305">
      <c r="A1569" s="8" t="inlineStr">
        <is>
          <t>H 277</t>
        </is>
      </c>
      <c r="B1569" s="5" t="n">
        <v>99</v>
      </c>
      <c r="C1569" s="72" t="inlineStr">
        <is>
          <t>X</t>
        </is>
      </c>
      <c r="D1569" s="5" t="n">
        <v>343</v>
      </c>
      <c r="E1569" s="73">
        <f>B1569*D1569/10000</f>
        <v/>
      </c>
      <c r="F1569" s="74">
        <f>B1569/30.48</f>
        <v/>
      </c>
      <c r="G1569" s="74">
        <f>D1569/30.48</f>
        <v/>
      </c>
      <c r="H1569" s="615" t="n"/>
      <c r="M1569" s="210" t="n"/>
      <c r="N1569" s="211" t="n"/>
      <c r="O1569" s="340" t="inlineStr">
        <is>
          <t>SBL</t>
        </is>
      </c>
      <c r="Q1569" s="271" t="n"/>
      <c r="R1569" s="282" t="n"/>
    </row>
    <row r="1570" ht="18" customHeight="1" s="305">
      <c r="A1570" s="8" t="inlineStr">
        <is>
          <t>H 278</t>
        </is>
      </c>
      <c r="B1570" s="5" t="n">
        <v>90</v>
      </c>
      <c r="C1570" s="72" t="inlineStr">
        <is>
          <t>X</t>
        </is>
      </c>
      <c r="D1570" s="5" t="n">
        <v>348</v>
      </c>
      <c r="E1570" s="73">
        <f>B1570*D1570/10000</f>
        <v/>
      </c>
      <c r="F1570" s="74">
        <f>B1570/30.48</f>
        <v/>
      </c>
      <c r="G1570" s="74">
        <f>D1570/30.48</f>
        <v/>
      </c>
      <c r="H1570" s="615" t="n"/>
      <c r="M1570" s="210" t="n"/>
      <c r="N1570" s="211" t="n"/>
      <c r="O1570" s="340" t="inlineStr">
        <is>
          <t>SBL</t>
        </is>
      </c>
      <c r="Q1570" s="271" t="n"/>
      <c r="R1570" s="282" t="n"/>
    </row>
    <row r="1571" ht="18" customHeight="1" s="305">
      <c r="A1571" s="8" t="inlineStr">
        <is>
          <t>H 279</t>
        </is>
      </c>
      <c r="B1571" s="5" t="n">
        <v>92</v>
      </c>
      <c r="C1571" s="72" t="inlineStr">
        <is>
          <t>X</t>
        </is>
      </c>
      <c r="D1571" s="5" t="n">
        <v>357</v>
      </c>
      <c r="E1571" s="73">
        <f>B1571*D1571/10000</f>
        <v/>
      </c>
      <c r="F1571" s="74">
        <f>B1571/30.48</f>
        <v/>
      </c>
      <c r="G1571" s="74">
        <f>D1571/30.48</f>
        <v/>
      </c>
      <c r="H1571" s="615" t="n"/>
      <c r="M1571" s="210" t="n"/>
      <c r="N1571" s="211" t="n"/>
      <c r="O1571" s="340" t="inlineStr">
        <is>
          <t>SBL</t>
        </is>
      </c>
      <c r="Q1571" s="271" t="n"/>
      <c r="R1571" s="282" t="n"/>
    </row>
    <row r="1572" ht="18" customHeight="1" s="305">
      <c r="A1572" s="8" t="inlineStr">
        <is>
          <t>H 280</t>
        </is>
      </c>
      <c r="B1572" s="5" t="n">
        <v>90</v>
      </c>
      <c r="C1572" s="72" t="inlineStr">
        <is>
          <t>X</t>
        </is>
      </c>
      <c r="D1572" s="5" t="n">
        <v>307</v>
      </c>
      <c r="E1572" s="73">
        <f>B1572*D1572/10000</f>
        <v/>
      </c>
      <c r="F1572" s="74">
        <f>B1572/30.48</f>
        <v/>
      </c>
      <c r="G1572" s="74">
        <f>D1572/30.48</f>
        <v/>
      </c>
      <c r="H1572" s="615" t="n"/>
      <c r="M1572" s="210" t="n"/>
      <c r="N1572" s="211" t="n"/>
      <c r="O1572" s="340" t="inlineStr">
        <is>
          <t>SBL</t>
        </is>
      </c>
      <c r="Q1572" s="271" t="n"/>
      <c r="R1572" s="282" t="n"/>
    </row>
    <row r="1573" ht="18" customHeight="1" s="305">
      <c r="A1573" s="8" t="inlineStr">
        <is>
          <t>H 281</t>
        </is>
      </c>
      <c r="B1573" s="5" t="n">
        <v>116</v>
      </c>
      <c r="C1573" s="72" t="inlineStr">
        <is>
          <t>X</t>
        </is>
      </c>
      <c r="D1573" s="5" t="n">
        <v>400</v>
      </c>
      <c r="E1573" s="73">
        <f>B1573*D1573/10000</f>
        <v/>
      </c>
      <c r="F1573" s="74">
        <f>B1573/30.48</f>
        <v/>
      </c>
      <c r="G1573" s="74">
        <f>D1573/30.48</f>
        <v/>
      </c>
      <c r="H1573" s="615" t="n"/>
      <c r="M1573" s="210" t="n"/>
      <c r="N1573" s="211" t="n"/>
      <c r="O1573" s="340" t="inlineStr">
        <is>
          <t>SBL</t>
        </is>
      </c>
      <c r="Q1573" s="271" t="n"/>
      <c r="R1573" s="282" t="n"/>
    </row>
    <row r="1574" ht="18" customHeight="1" s="305">
      <c r="A1574" s="8" t="inlineStr">
        <is>
          <t>H 282</t>
        </is>
      </c>
      <c r="B1574" s="5" t="n">
        <v>92</v>
      </c>
      <c r="C1574" s="72" t="inlineStr">
        <is>
          <t>X</t>
        </is>
      </c>
      <c r="D1574" s="5" t="n">
        <v>316</v>
      </c>
      <c r="E1574" s="73">
        <f>B1574*D1574/10000</f>
        <v/>
      </c>
      <c r="F1574" s="74">
        <f>B1574/30.48</f>
        <v/>
      </c>
      <c r="G1574" s="74">
        <f>D1574/30.48</f>
        <v/>
      </c>
      <c r="H1574" s="615" t="n"/>
      <c r="M1574" s="210" t="n"/>
      <c r="N1574" s="211" t="n"/>
      <c r="O1574" s="340" t="inlineStr">
        <is>
          <t>SBL</t>
        </is>
      </c>
      <c r="Q1574" s="271" t="n"/>
      <c r="R1574" s="282" t="n"/>
    </row>
    <row r="1575" ht="18" customHeight="1" s="305">
      <c r="A1575" s="8" t="inlineStr">
        <is>
          <t>H 283</t>
        </is>
      </c>
      <c r="B1575" s="5" t="n">
        <v>89</v>
      </c>
      <c r="C1575" s="72" t="inlineStr">
        <is>
          <t>X</t>
        </is>
      </c>
      <c r="D1575" s="5" t="n">
        <v>328</v>
      </c>
      <c r="E1575" s="73">
        <f>B1575*D1575/10000</f>
        <v/>
      </c>
      <c r="F1575" s="74">
        <f>B1575/30.48</f>
        <v/>
      </c>
      <c r="G1575" s="74">
        <f>D1575/30.48</f>
        <v/>
      </c>
      <c r="H1575" s="615" t="n"/>
      <c r="M1575" s="210" t="n"/>
      <c r="N1575" s="211" t="n"/>
      <c r="O1575" s="340" t="inlineStr">
        <is>
          <t>SBL</t>
        </is>
      </c>
      <c r="Q1575" s="271" t="n"/>
      <c r="R1575" s="282" t="n"/>
    </row>
    <row r="1576" ht="18" customHeight="1" s="305">
      <c r="A1576" s="8" t="inlineStr">
        <is>
          <t>H 284</t>
        </is>
      </c>
      <c r="B1576" s="5" t="n">
        <v>92</v>
      </c>
      <c r="C1576" s="72" t="inlineStr">
        <is>
          <t>X</t>
        </is>
      </c>
      <c r="D1576" s="5" t="n">
        <v>279</v>
      </c>
      <c r="E1576" s="73">
        <f>B1576*D1576/10000</f>
        <v/>
      </c>
      <c r="F1576" s="74">
        <f>B1576/30.48</f>
        <v/>
      </c>
      <c r="G1576" s="74">
        <f>D1576/30.48</f>
        <v/>
      </c>
      <c r="H1576" s="615" t="n"/>
      <c r="M1576" s="210" t="n"/>
      <c r="N1576" s="211" t="n"/>
      <c r="O1576" s="340" t="inlineStr">
        <is>
          <t>SBL</t>
        </is>
      </c>
      <c r="Q1576" s="271" t="n"/>
      <c r="R1576" s="282" t="n"/>
    </row>
    <row r="1577" ht="18" customHeight="1" s="305">
      <c r="A1577" s="8" t="inlineStr">
        <is>
          <t>H 286</t>
        </is>
      </c>
      <c r="B1577" s="5" t="n">
        <v>91</v>
      </c>
      <c r="C1577" s="72" t="inlineStr">
        <is>
          <t>X</t>
        </is>
      </c>
      <c r="D1577" s="5" t="n">
        <v>323</v>
      </c>
      <c r="E1577" s="73">
        <f>B1577*D1577/10000</f>
        <v/>
      </c>
      <c r="F1577" s="74">
        <f>B1577/30.48</f>
        <v/>
      </c>
      <c r="G1577" s="74">
        <f>D1577/30.48</f>
        <v/>
      </c>
      <c r="H1577" s="615" t="n"/>
      <c r="M1577" s="210" t="n"/>
      <c r="N1577" s="211" t="n"/>
      <c r="O1577" s="340" t="inlineStr">
        <is>
          <t>SBL</t>
        </is>
      </c>
      <c r="Q1577" s="271" t="n"/>
      <c r="R1577" s="282" t="n"/>
    </row>
    <row r="1578" ht="18" customHeight="1" s="305">
      <c r="A1578" s="8" t="inlineStr">
        <is>
          <t>H 287</t>
        </is>
      </c>
      <c r="B1578" s="5" t="n">
        <v>97</v>
      </c>
      <c r="C1578" s="72" t="inlineStr">
        <is>
          <t>X</t>
        </is>
      </c>
      <c r="D1578" s="5" t="n">
        <v>285</v>
      </c>
      <c r="E1578" s="73">
        <f>B1578*D1578/10000</f>
        <v/>
      </c>
      <c r="F1578" s="74">
        <f>B1578/30.48</f>
        <v/>
      </c>
      <c r="G1578" s="74">
        <f>D1578/30.48</f>
        <v/>
      </c>
      <c r="H1578" s="615" t="n"/>
      <c r="M1578" s="210" t="n"/>
      <c r="N1578" s="211" t="n"/>
      <c r="O1578" s="340" t="inlineStr">
        <is>
          <t>SBL</t>
        </is>
      </c>
      <c r="Q1578" s="271" t="n"/>
      <c r="R1578" s="282" t="n"/>
    </row>
    <row r="1579" ht="18" customHeight="1" s="305">
      <c r="A1579" s="8" t="inlineStr">
        <is>
          <t>H 288</t>
        </is>
      </c>
      <c r="B1579" s="5" t="n">
        <v>93</v>
      </c>
      <c r="C1579" s="72" t="inlineStr">
        <is>
          <t>X</t>
        </is>
      </c>
      <c r="D1579" s="5" t="n">
        <v>337</v>
      </c>
      <c r="E1579" s="73">
        <f>B1579*D1579/10000</f>
        <v/>
      </c>
      <c r="F1579" s="74">
        <f>B1579/30.48</f>
        <v/>
      </c>
      <c r="G1579" s="74">
        <f>D1579/30.48</f>
        <v/>
      </c>
      <c r="H1579" s="615" t="n"/>
      <c r="M1579" s="210" t="n"/>
      <c r="N1579" s="211" t="n"/>
      <c r="O1579" s="340" t="inlineStr">
        <is>
          <t>SBL</t>
        </is>
      </c>
      <c r="Q1579" s="271" t="n"/>
      <c r="R1579" s="282" t="n"/>
    </row>
    <row r="1580" ht="18" customHeight="1" s="305">
      <c r="A1580" s="8" t="inlineStr">
        <is>
          <t>H 290</t>
        </is>
      </c>
      <c r="B1580" s="5" t="n">
        <v>90</v>
      </c>
      <c r="C1580" s="72" t="inlineStr">
        <is>
          <t>X</t>
        </is>
      </c>
      <c r="D1580" s="5" t="n">
        <v>287</v>
      </c>
      <c r="E1580" s="73">
        <f>B1580*D1580/10000</f>
        <v/>
      </c>
      <c r="F1580" s="74">
        <f>B1580/30.48</f>
        <v/>
      </c>
      <c r="G1580" s="74">
        <f>D1580/30.48</f>
        <v/>
      </c>
      <c r="H1580" s="615" t="n"/>
      <c r="M1580" s="210" t="n"/>
      <c r="N1580" s="211" t="n"/>
      <c r="O1580" s="340" t="inlineStr">
        <is>
          <t>SBL</t>
        </is>
      </c>
      <c r="Q1580" s="271" t="n"/>
      <c r="R1580" s="282" t="n"/>
    </row>
    <row r="1581" ht="18" customHeight="1" s="305">
      <c r="A1581" s="8" t="inlineStr">
        <is>
          <t>H 291</t>
        </is>
      </c>
      <c r="B1581" s="5" t="n">
        <v>108</v>
      </c>
      <c r="C1581" s="72" t="inlineStr">
        <is>
          <t>X</t>
        </is>
      </c>
      <c r="D1581" s="5" t="n">
        <v>342</v>
      </c>
      <c r="E1581" s="73">
        <f>B1581*D1581/10000</f>
        <v/>
      </c>
      <c r="F1581" s="74">
        <f>B1581/30.48</f>
        <v/>
      </c>
      <c r="G1581" s="74">
        <f>D1581/30.48</f>
        <v/>
      </c>
      <c r="H1581" s="615" t="n"/>
      <c r="M1581" s="210" t="n"/>
      <c r="N1581" s="211" t="n"/>
      <c r="O1581" s="340" t="inlineStr">
        <is>
          <t>SBL</t>
        </is>
      </c>
      <c r="Q1581" s="271" t="n"/>
      <c r="R1581" s="282" t="n"/>
    </row>
    <row r="1582" ht="18" customHeight="1" s="305">
      <c r="A1582" s="8" t="inlineStr">
        <is>
          <t>H 292</t>
        </is>
      </c>
      <c r="B1582" s="5" t="n">
        <v>89</v>
      </c>
      <c r="C1582" s="72" t="inlineStr">
        <is>
          <t>X</t>
        </is>
      </c>
      <c r="D1582" s="5" t="n">
        <v>300</v>
      </c>
      <c r="E1582" s="73">
        <f>B1582*D1582/10000</f>
        <v/>
      </c>
      <c r="F1582" s="74">
        <f>B1582/30.48</f>
        <v/>
      </c>
      <c r="G1582" s="74">
        <f>D1582/30.48</f>
        <v/>
      </c>
      <c r="H1582" s="615" t="n"/>
      <c r="M1582" s="210" t="n"/>
      <c r="N1582" s="211" t="n"/>
      <c r="O1582" s="340" t="inlineStr">
        <is>
          <t>SBL</t>
        </is>
      </c>
      <c r="Q1582" s="271" t="n"/>
      <c r="R1582" s="282" t="n"/>
    </row>
    <row r="1583" ht="18" customHeight="1" s="305">
      <c r="A1583" s="8" t="inlineStr">
        <is>
          <t>H 293</t>
        </is>
      </c>
      <c r="B1583" s="5" t="n">
        <v>90</v>
      </c>
      <c r="C1583" s="72" t="inlineStr">
        <is>
          <t>X</t>
        </is>
      </c>
      <c r="D1583" s="5" t="n">
        <v>350</v>
      </c>
      <c r="E1583" s="73">
        <f>B1583*D1583/10000</f>
        <v/>
      </c>
      <c r="F1583" s="74">
        <f>B1583/30.48</f>
        <v/>
      </c>
      <c r="G1583" s="74">
        <f>D1583/30.48</f>
        <v/>
      </c>
      <c r="H1583" s="615" t="n"/>
      <c r="M1583" s="210" t="n"/>
      <c r="N1583" s="211" t="n"/>
      <c r="O1583" s="340" t="inlineStr">
        <is>
          <t>SBL</t>
        </is>
      </c>
      <c r="Q1583" s="271" t="n"/>
      <c r="R1583" s="282" t="n"/>
    </row>
    <row r="1584" ht="18" customHeight="1" s="305">
      <c r="A1584" s="8" t="inlineStr">
        <is>
          <t>H 294</t>
        </is>
      </c>
      <c r="B1584" s="5" t="n">
        <v>99</v>
      </c>
      <c r="C1584" s="72" t="inlineStr">
        <is>
          <t>X</t>
        </is>
      </c>
      <c r="D1584" s="5" t="n">
        <v>307</v>
      </c>
      <c r="E1584" s="73">
        <f>B1584*D1584/10000</f>
        <v/>
      </c>
      <c r="F1584" s="74">
        <f>B1584/30.48</f>
        <v/>
      </c>
      <c r="G1584" s="74">
        <f>D1584/30.48</f>
        <v/>
      </c>
      <c r="H1584" s="615" t="n"/>
      <c r="M1584" s="210" t="n"/>
      <c r="N1584" s="211" t="n"/>
      <c r="O1584" s="340" t="inlineStr">
        <is>
          <t>SBL</t>
        </is>
      </c>
      <c r="Q1584" s="271" t="n"/>
      <c r="R1584" s="282" t="n"/>
    </row>
    <row r="1585" ht="18" customHeight="1" s="305">
      <c r="A1585" s="8" t="inlineStr">
        <is>
          <t>H 295</t>
        </is>
      </c>
      <c r="C1585" s="72" t="inlineStr">
        <is>
          <t>X</t>
        </is>
      </c>
      <c r="E1585" s="73">
        <f>B1585*D1585/10000</f>
        <v/>
      </c>
      <c r="F1585" s="74">
        <f>B1585/30.48</f>
        <v/>
      </c>
      <c r="G1585" s="74">
        <f>D1585/30.48</f>
        <v/>
      </c>
      <c r="H1585" s="615" t="n"/>
      <c r="M1585" s="210" t="n"/>
      <c r="N1585" s="211" t="n"/>
      <c r="O1585" s="340" t="n"/>
      <c r="Q1585" s="271" t="n"/>
      <c r="R1585" s="282" t="n"/>
    </row>
    <row r="1586" ht="18" customHeight="1" s="305">
      <c r="A1586" s="8" t="n">
        <v>1540</v>
      </c>
      <c r="B1586" s="5" t="n">
        <v>84</v>
      </c>
      <c r="C1586" s="72" t="inlineStr">
        <is>
          <t>X</t>
        </is>
      </c>
      <c r="D1586" s="5" t="n">
        <v>286</v>
      </c>
      <c r="E1586" s="73">
        <f>B1586*D1586/10000</f>
        <v/>
      </c>
      <c r="F1586" s="74">
        <f>B1586/30.48</f>
        <v/>
      </c>
      <c r="G1586" s="74">
        <f>D1586/30.48</f>
        <v/>
      </c>
      <c r="H1586" s="615" t="n"/>
      <c r="M1586" s="210" t="n"/>
      <c r="N1586" s="211" t="n"/>
      <c r="O1586" s="263" t="inlineStr">
        <is>
          <t>SBL</t>
        </is>
      </c>
      <c r="Q1586" s="271" t="inlineStr">
        <is>
          <t>RST</t>
        </is>
      </c>
      <c r="R1586" s="282" t="n"/>
    </row>
    <row r="1587" ht="18" customHeight="1" s="305">
      <c r="A1587" s="8" t="n">
        <v>2119</v>
      </c>
      <c r="B1587" s="5" t="n">
        <v>153</v>
      </c>
      <c r="C1587" s="72" t="inlineStr">
        <is>
          <t>X</t>
        </is>
      </c>
      <c r="D1587" s="5" t="n">
        <v>260</v>
      </c>
      <c r="E1587" s="73">
        <f>B1587*D1587/10000</f>
        <v/>
      </c>
      <c r="F1587" s="74">
        <f>B1587/30.48</f>
        <v/>
      </c>
      <c r="G1587" s="74">
        <f>D1587/30.48</f>
        <v/>
      </c>
      <c r="H1587" s="615" t="n"/>
      <c r="M1587" s="210" t="n"/>
      <c r="N1587" s="211" t="n"/>
      <c r="O1587" s="263" t="n"/>
      <c r="Q1587" s="271" t="n"/>
      <c r="R1587" s="282" t="n"/>
    </row>
    <row r="1588" ht="18" customHeight="1" s="305">
      <c r="A1588" s="8" t="n">
        <v>2123</v>
      </c>
      <c r="B1588" s="5" t="n">
        <v>88</v>
      </c>
      <c r="C1588" s="72" t="inlineStr">
        <is>
          <t>X</t>
        </is>
      </c>
      <c r="D1588" s="5" t="n">
        <v>286</v>
      </c>
      <c r="E1588" s="73">
        <f>B1588*D1588/10000</f>
        <v/>
      </c>
      <c r="F1588" s="74">
        <f>B1588/30.48</f>
        <v/>
      </c>
      <c r="G1588" s="74">
        <f>D1588/30.48</f>
        <v/>
      </c>
      <c r="H1588" s="615" t="n"/>
      <c r="M1588" s="210" t="n"/>
      <c r="N1588" s="211" t="n"/>
      <c r="O1588" s="263" t="n"/>
      <c r="P1588" s="261" t="inlineStr">
        <is>
          <t>wvn</t>
        </is>
      </c>
      <c r="Q1588" s="271" t="n"/>
      <c r="R1588" s="282" t="inlineStr">
        <is>
          <t>wvn</t>
        </is>
      </c>
    </row>
    <row r="1589" ht="18" customHeight="1" s="305">
      <c r="A1589" s="8" t="n">
        <v>2126</v>
      </c>
      <c r="B1589" s="5" t="n">
        <v>115</v>
      </c>
      <c r="C1589" s="72" t="inlineStr">
        <is>
          <t>X</t>
        </is>
      </c>
      <c r="D1589" s="5" t="n">
        <v>327</v>
      </c>
      <c r="E1589" s="73">
        <f>B1589*D1589/10000</f>
        <v/>
      </c>
      <c r="F1589" s="74">
        <f>B1589/30.48</f>
        <v/>
      </c>
      <c r="G1589" s="74">
        <f>D1589/30.48</f>
        <v/>
      </c>
      <c r="H1589" s="615" t="n"/>
      <c r="M1589" s="210" t="n"/>
      <c r="N1589" s="211" t="n"/>
      <c r="O1589" s="263" t="n"/>
      <c r="Q1589" s="271" t="n"/>
      <c r="R1589" s="282" t="n"/>
    </row>
    <row r="1590" ht="18" customHeight="1" s="305">
      <c r="A1590" s="8" t="n">
        <v>2127</v>
      </c>
      <c r="B1590" s="5" t="n">
        <v>211</v>
      </c>
      <c r="C1590" s="72" t="inlineStr">
        <is>
          <t>X</t>
        </is>
      </c>
      <c r="D1590" s="5" t="n">
        <v>322</v>
      </c>
      <c r="E1590" s="73">
        <f>B1590*D1590/10000</f>
        <v/>
      </c>
      <c r="F1590" s="74">
        <f>B1590/30.48</f>
        <v/>
      </c>
      <c r="G1590" s="74">
        <f>D1590/30.48</f>
        <v/>
      </c>
      <c r="H1590" s="615" t="n"/>
      <c r="M1590" s="210" t="n"/>
      <c r="N1590" s="211" t="n"/>
      <c r="O1590" s="263" t="n"/>
      <c r="Q1590" s="271" t="n"/>
      <c r="R1590" s="282" t="n"/>
    </row>
    <row r="1591" ht="18" customHeight="1" s="305">
      <c r="A1591" s="8" t="n">
        <v>2129</v>
      </c>
      <c r="B1591" s="5" t="n">
        <v>141</v>
      </c>
      <c r="C1591" s="72" t="inlineStr">
        <is>
          <t>X</t>
        </is>
      </c>
      <c r="D1591" s="5" t="n">
        <v>230</v>
      </c>
      <c r="E1591" s="73">
        <f>B1591*D1591/10000</f>
        <v/>
      </c>
      <c r="F1591" s="74">
        <f>B1591/30.48</f>
        <v/>
      </c>
      <c r="G1591" s="74">
        <f>D1591/30.48</f>
        <v/>
      </c>
      <c r="H1591" s="615" t="n"/>
      <c r="M1591" s="210" t="n"/>
      <c r="N1591" s="211" t="n"/>
      <c r="O1591" s="263" t="n"/>
      <c r="Q1591" s="271" t="n"/>
      <c r="R1591" s="282" t="n"/>
    </row>
    <row r="1592" ht="18" customHeight="1" s="305">
      <c r="A1592" s="8" t="n">
        <v>2130</v>
      </c>
      <c r="B1592" s="5" t="n">
        <v>196</v>
      </c>
      <c r="C1592" s="72" t="inlineStr">
        <is>
          <t>X</t>
        </is>
      </c>
      <c r="D1592" s="5" t="n">
        <v>286</v>
      </c>
      <c r="E1592" s="73">
        <f>B1592*D1592/10000</f>
        <v/>
      </c>
      <c r="F1592" s="291">
        <f>B1592/30.48</f>
        <v/>
      </c>
      <c r="G1592" s="74">
        <f>D1592/30.48</f>
        <v/>
      </c>
      <c r="H1592" s="615" t="n"/>
      <c r="M1592" s="210" t="n"/>
      <c r="N1592" s="211" t="n"/>
      <c r="O1592" s="263" t="n"/>
      <c r="Q1592" s="271" t="n"/>
      <c r="R1592" s="282" t="n"/>
    </row>
    <row r="1593" ht="18" customHeight="1" s="305">
      <c r="A1593" s="8" t="n">
        <v>2131</v>
      </c>
      <c r="B1593" s="5" t="n">
        <v>77</v>
      </c>
      <c r="C1593" s="72" t="inlineStr">
        <is>
          <t>X</t>
        </is>
      </c>
      <c r="D1593" s="5" t="n">
        <v>271</v>
      </c>
      <c r="E1593" s="73">
        <f>B1593*D1593/10000</f>
        <v/>
      </c>
      <c r="F1593" s="74">
        <f>B1593/30.48</f>
        <v/>
      </c>
      <c r="G1593" s="74">
        <f>D1593/30.48</f>
        <v/>
      </c>
      <c r="H1593" s="615" t="n"/>
      <c r="M1593" s="210" t="n"/>
      <c r="N1593" s="211" t="n"/>
      <c r="O1593" s="263" t="n"/>
      <c r="Q1593" s="271" t="n"/>
      <c r="R1593" s="282" t="n"/>
    </row>
    <row r="1594" ht="18" customHeight="1" s="305">
      <c r="A1594" s="8" t="n">
        <v>2135</v>
      </c>
      <c r="B1594" s="5" t="n">
        <v>127</v>
      </c>
      <c r="C1594" s="72" t="inlineStr">
        <is>
          <t>X</t>
        </is>
      </c>
      <c r="D1594" s="5" t="n">
        <v>215</v>
      </c>
      <c r="E1594" s="73">
        <f>B1594*D1594/10000</f>
        <v/>
      </c>
      <c r="F1594" s="74">
        <f>B1594/30.48</f>
        <v/>
      </c>
      <c r="G1594" s="74">
        <f>D1594/30.48</f>
        <v/>
      </c>
      <c r="H1594" s="615" t="n"/>
      <c r="M1594" s="210" t="n"/>
      <c r="N1594" s="211" t="n"/>
      <c r="O1594" s="263" t="n"/>
      <c r="Q1594" s="271" t="n"/>
      <c r="R1594" s="282" t="n"/>
    </row>
    <row r="1595" ht="18" customHeight="1" s="305">
      <c r="A1595" s="8" t="n">
        <v>2136</v>
      </c>
      <c r="B1595" s="5" t="n">
        <v>199</v>
      </c>
      <c r="C1595" s="72" t="inlineStr">
        <is>
          <t>X</t>
        </is>
      </c>
      <c r="D1595" s="5" t="n">
        <v>297</v>
      </c>
      <c r="E1595" s="73">
        <f>B1595*D1595/10000</f>
        <v/>
      </c>
      <c r="F1595" s="74">
        <f>B1595/30.48</f>
        <v/>
      </c>
      <c r="G1595" s="74">
        <f>D1595/30.48</f>
        <v/>
      </c>
      <c r="H1595" s="615" t="n"/>
      <c r="M1595" s="210" t="n"/>
      <c r="N1595" s="211" t="n"/>
      <c r="O1595" s="263" t="n"/>
      <c r="Q1595" s="271" t="n"/>
      <c r="R1595" s="282" t="n"/>
    </row>
    <row r="1596" ht="18" customHeight="1" s="305">
      <c r="A1596" s="8" t="n">
        <v>2137</v>
      </c>
      <c r="B1596" s="5" t="n">
        <v>127</v>
      </c>
      <c r="C1596" s="72" t="inlineStr">
        <is>
          <t>X</t>
        </is>
      </c>
      <c r="D1596" s="5" t="n">
        <v>178</v>
      </c>
      <c r="E1596" s="73">
        <f>B1596*D1596/10000</f>
        <v/>
      </c>
      <c r="F1596" s="74">
        <f>B1596/30.48</f>
        <v/>
      </c>
      <c r="G1596" s="74">
        <f>D1596/30.48</f>
        <v/>
      </c>
      <c r="H1596" s="615" t="n"/>
      <c r="M1596" s="210" t="n"/>
      <c r="N1596" s="211" t="n"/>
      <c r="O1596" s="263" t="n"/>
      <c r="Q1596" s="271" t="n"/>
      <c r="R1596" s="282" t="n"/>
    </row>
    <row r="1597" ht="18" customHeight="1" s="305">
      <c r="A1597" s="8" t="n">
        <v>2138</v>
      </c>
      <c r="B1597" s="5" t="n">
        <v>159</v>
      </c>
      <c r="C1597" s="72" t="inlineStr">
        <is>
          <t>X</t>
        </is>
      </c>
      <c r="D1597" s="5" t="n">
        <v>205</v>
      </c>
      <c r="E1597" s="73">
        <f>B1597*D1597/10000</f>
        <v/>
      </c>
      <c r="F1597" s="74">
        <f>B1597/30.48</f>
        <v/>
      </c>
      <c r="G1597" s="74">
        <f>D1597/30.48</f>
        <v/>
      </c>
      <c r="H1597" s="615" t="n"/>
      <c r="M1597" s="210" t="n"/>
      <c r="N1597" s="211" t="n"/>
      <c r="O1597" s="263" t="n"/>
      <c r="Q1597" s="271" t="n"/>
      <c r="R1597" s="282" t="n"/>
    </row>
    <row r="1598" ht="18" customHeight="1" s="305">
      <c r="A1598" s="8" t="n">
        <v>2139</v>
      </c>
      <c r="B1598" s="5" t="n">
        <v>82</v>
      </c>
      <c r="C1598" s="72" t="inlineStr">
        <is>
          <t>X</t>
        </is>
      </c>
      <c r="D1598" s="5" t="n">
        <v>350</v>
      </c>
      <c r="E1598" s="73">
        <f>B1598*D1598/10000</f>
        <v/>
      </c>
      <c r="F1598" s="74">
        <f>B1598/30.48</f>
        <v/>
      </c>
      <c r="G1598" s="74">
        <f>D1598/30.48</f>
        <v/>
      </c>
      <c r="H1598" s="615" t="n"/>
      <c r="M1598" s="210" t="n"/>
      <c r="N1598" s="211" t="n"/>
      <c r="O1598" s="263" t="n"/>
      <c r="P1598" s="261" t="inlineStr">
        <is>
          <t>wvn</t>
        </is>
      </c>
      <c r="Q1598" s="271" t="n"/>
      <c r="R1598" s="282" t="inlineStr">
        <is>
          <t>wvn</t>
        </is>
      </c>
    </row>
    <row r="1599" ht="18" customHeight="1" s="305">
      <c r="A1599" s="8" t="n">
        <v>2141</v>
      </c>
      <c r="B1599" s="5" t="n">
        <v>90</v>
      </c>
      <c r="C1599" s="72" t="inlineStr">
        <is>
          <t>X</t>
        </is>
      </c>
      <c r="D1599" s="5" t="n">
        <v>244</v>
      </c>
      <c r="E1599" s="73">
        <f>B1599*D1599/10000</f>
        <v/>
      </c>
      <c r="F1599" s="74">
        <f>B1599/30.48</f>
        <v/>
      </c>
      <c r="G1599" s="74">
        <f>D1599/30.48</f>
        <v/>
      </c>
      <c r="H1599" s="615" t="n"/>
      <c r="M1599" s="210" t="n"/>
      <c r="N1599" s="211" t="n"/>
      <c r="O1599" s="263" t="n"/>
      <c r="Q1599" s="271" t="n"/>
      <c r="R1599" s="282" t="n"/>
    </row>
    <row r="1600" ht="18" customHeight="1" s="305">
      <c r="A1600" s="8" t="n">
        <v>2142</v>
      </c>
      <c r="B1600" s="5" t="n">
        <v>121</v>
      </c>
      <c r="C1600" s="72" t="inlineStr">
        <is>
          <t>X</t>
        </is>
      </c>
      <c r="D1600" s="5" t="n">
        <v>173</v>
      </c>
      <c r="E1600" s="73">
        <f>B1600*D1600/10000</f>
        <v/>
      </c>
      <c r="F1600" s="74">
        <f>B1600/30.48</f>
        <v/>
      </c>
      <c r="G1600" s="74">
        <f>D1600/30.48</f>
        <v/>
      </c>
      <c r="H1600" s="615" t="n"/>
      <c r="M1600" s="210" t="n"/>
      <c r="N1600" s="211" t="n"/>
      <c r="O1600" s="263" t="n"/>
      <c r="Q1600" s="271" t="n"/>
      <c r="R1600" s="282" t="n"/>
    </row>
    <row r="1601" ht="18" customHeight="1" s="305">
      <c r="A1601" s="8" t="n">
        <v>2144</v>
      </c>
      <c r="B1601" s="5" t="n">
        <v>200</v>
      </c>
      <c r="C1601" s="72" t="inlineStr">
        <is>
          <t>X</t>
        </is>
      </c>
      <c r="D1601" s="5" t="n">
        <v>303</v>
      </c>
      <c r="E1601" s="73">
        <f>B1601*D1601/10000</f>
        <v/>
      </c>
      <c r="F1601" s="74">
        <f>B1601/30.48</f>
        <v/>
      </c>
      <c r="G1601" s="74">
        <f>D1601/30.48</f>
        <v/>
      </c>
      <c r="H1601" s="615" t="n"/>
      <c r="M1601" s="210" t="n"/>
      <c r="N1601" s="211" t="n"/>
      <c r="O1601" s="263" t="n"/>
      <c r="Q1601" s="271" t="n"/>
      <c r="R1601" s="282" t="n"/>
    </row>
    <row r="1602" ht="18" customHeight="1" s="305">
      <c r="A1602" s="8" t="n">
        <v>2145</v>
      </c>
      <c r="B1602" s="5" t="n">
        <v>118</v>
      </c>
      <c r="C1602" s="72" t="inlineStr">
        <is>
          <t>X</t>
        </is>
      </c>
      <c r="D1602" s="5" t="n">
        <v>198</v>
      </c>
      <c r="E1602" s="73">
        <f>B1602*D1602/10000</f>
        <v/>
      </c>
      <c r="F1602" s="74">
        <f>B1602/30.48</f>
        <v/>
      </c>
      <c r="G1602" s="74">
        <f>D1602/30.48</f>
        <v/>
      </c>
      <c r="H1602" s="615" t="n"/>
      <c r="M1602" s="210" t="n"/>
      <c r="N1602" s="211" t="n"/>
      <c r="O1602" s="263" t="n"/>
      <c r="Q1602" s="271" t="n"/>
      <c r="R1602" s="282" t="n"/>
    </row>
    <row r="1603" ht="18" customHeight="1" s="305">
      <c r="A1603" s="8" t="n">
        <v>2146</v>
      </c>
      <c r="B1603" s="5" t="n">
        <v>82</v>
      </c>
      <c r="C1603" s="72" t="inlineStr">
        <is>
          <t>X</t>
        </is>
      </c>
      <c r="D1603" s="5" t="n">
        <v>339</v>
      </c>
      <c r="E1603" s="73">
        <f>B1603*D1603/10000</f>
        <v/>
      </c>
      <c r="F1603" s="74">
        <f>B1603/30.48</f>
        <v/>
      </c>
      <c r="G1603" s="74">
        <f>D1603/30.48</f>
        <v/>
      </c>
      <c r="H1603" s="615" t="n"/>
      <c r="M1603" s="210" t="n"/>
      <c r="N1603" s="211" t="n"/>
      <c r="O1603" s="263" t="n"/>
      <c r="Q1603" s="271" t="n"/>
      <c r="R1603" s="282" t="n"/>
    </row>
    <row r="1604" ht="18" customHeight="1" s="305">
      <c r="A1604" s="8" t="n">
        <v>2147</v>
      </c>
      <c r="B1604" s="5" t="n">
        <v>207</v>
      </c>
      <c r="C1604" s="72" t="inlineStr">
        <is>
          <t>X</t>
        </is>
      </c>
      <c r="D1604" s="5" t="n">
        <v>275</v>
      </c>
      <c r="E1604" s="73">
        <f>B1604*D1604/10000</f>
        <v/>
      </c>
      <c r="F1604" s="74">
        <f>B1604/30.48</f>
        <v/>
      </c>
      <c r="G1604" s="74">
        <f>D1604/30.48</f>
        <v/>
      </c>
      <c r="H1604" s="615" t="n"/>
      <c r="M1604" s="210" t="n"/>
      <c r="N1604" s="211" t="n"/>
      <c r="O1604" s="263" t="n"/>
      <c r="Q1604" s="271" t="n"/>
      <c r="R1604" s="282" t="n"/>
    </row>
    <row r="1605" ht="18" customHeight="1" s="305">
      <c r="A1605" s="8" t="n">
        <v>2150</v>
      </c>
      <c r="B1605" s="5" t="n">
        <v>194</v>
      </c>
      <c r="C1605" s="72" t="inlineStr">
        <is>
          <t>X</t>
        </is>
      </c>
      <c r="D1605" s="5" t="n">
        <v>249</v>
      </c>
      <c r="E1605" s="73">
        <f>B1605*D1605/10000</f>
        <v/>
      </c>
      <c r="F1605" s="74">
        <f>B1605/30.48</f>
        <v/>
      </c>
      <c r="G1605" s="74">
        <f>D1605/30.48</f>
        <v/>
      </c>
      <c r="H1605" s="615" t="n"/>
      <c r="M1605" s="210" t="n"/>
      <c r="N1605" s="211" t="n"/>
      <c r="O1605" s="263" t="n"/>
      <c r="Q1605" s="271" t="n"/>
      <c r="R1605" s="282" t="n"/>
    </row>
    <row r="1606" ht="18" customHeight="1" s="305">
      <c r="A1606" s="8" t="n">
        <v>2153</v>
      </c>
      <c r="B1606" s="5" t="n">
        <v>115</v>
      </c>
      <c r="C1606" s="72" t="inlineStr">
        <is>
          <t>X</t>
        </is>
      </c>
      <c r="D1606" s="5" t="n">
        <v>219</v>
      </c>
      <c r="E1606" s="73">
        <f>B1606*D1606/10000</f>
        <v/>
      </c>
      <c r="F1606" s="74">
        <f>B1606/30.48</f>
        <v/>
      </c>
      <c r="G1606" s="74">
        <f>D1606/30.48</f>
        <v/>
      </c>
      <c r="H1606" s="615" t="n"/>
      <c r="M1606" s="210" t="n"/>
      <c r="N1606" s="211" t="n"/>
      <c r="O1606" s="263" t="n"/>
      <c r="Q1606" s="271" t="n"/>
      <c r="R1606" s="282" t="n"/>
    </row>
    <row r="1607" ht="18" customHeight="1" s="305">
      <c r="A1607" s="8" t="n">
        <v>2154</v>
      </c>
      <c r="B1607" s="5" t="n">
        <v>90</v>
      </c>
      <c r="C1607" s="72" t="inlineStr">
        <is>
          <t>X</t>
        </is>
      </c>
      <c r="D1607" s="5" t="n">
        <v>395</v>
      </c>
      <c r="E1607" s="73">
        <f>B1607*D1607/10000</f>
        <v/>
      </c>
      <c r="F1607" s="74">
        <f>B1607/30.48</f>
        <v/>
      </c>
      <c r="G1607" s="74">
        <f>D1607/30.48</f>
        <v/>
      </c>
      <c r="H1607" s="615" t="n"/>
      <c r="M1607" s="210" t="n"/>
      <c r="N1607" s="211" t="n"/>
      <c r="O1607" s="263" t="n"/>
      <c r="Q1607" s="271" t="n"/>
      <c r="R1607" s="282" t="n"/>
    </row>
    <row r="1608" ht="18" customHeight="1" s="305">
      <c r="A1608" s="8" t="n">
        <v>2156</v>
      </c>
      <c r="B1608" s="5" t="n">
        <v>89</v>
      </c>
      <c r="C1608" s="72" t="inlineStr">
        <is>
          <t>X</t>
        </is>
      </c>
      <c r="D1608" s="5" t="n">
        <v>392</v>
      </c>
      <c r="E1608" s="73">
        <f>B1608*D1608/10000</f>
        <v/>
      </c>
      <c r="F1608" s="74">
        <f>B1608/30.48</f>
        <v/>
      </c>
      <c r="G1608" s="74">
        <f>D1608/30.48</f>
        <v/>
      </c>
      <c r="H1608" s="615" t="n"/>
      <c r="M1608" s="210" t="n"/>
      <c r="N1608" s="211" t="n"/>
      <c r="O1608" s="263" t="n"/>
      <c r="P1608" s="261" t="inlineStr">
        <is>
          <t>wvn</t>
        </is>
      </c>
      <c r="Q1608" s="271" t="n"/>
      <c r="R1608" s="282" t="inlineStr">
        <is>
          <t>wvn</t>
        </is>
      </c>
    </row>
    <row r="1609" ht="18" customHeight="1" s="305">
      <c r="A1609" s="8" t="n">
        <v>2157</v>
      </c>
      <c r="B1609" s="5" t="n">
        <v>143</v>
      </c>
      <c r="C1609" s="72" t="inlineStr">
        <is>
          <t>X</t>
        </is>
      </c>
      <c r="D1609" s="5" t="n">
        <v>285</v>
      </c>
      <c r="E1609" s="73">
        <f>B1609*D1609/10000</f>
        <v/>
      </c>
      <c r="F1609" s="74">
        <f>B1609/30.48</f>
        <v/>
      </c>
      <c r="G1609" s="74">
        <f>D1609/30.48</f>
        <v/>
      </c>
      <c r="H1609" s="615" t="n"/>
      <c r="M1609" s="210" t="n"/>
      <c r="N1609" s="211" t="n"/>
      <c r="O1609" s="263" t="n"/>
      <c r="Q1609" s="271" t="n"/>
      <c r="R1609" s="282" t="n"/>
    </row>
    <row r="1610" ht="18" customHeight="1" s="305">
      <c r="A1610" s="8" t="n">
        <v>2160</v>
      </c>
      <c r="B1610" s="5" t="n">
        <v>84</v>
      </c>
      <c r="C1610" s="72" t="inlineStr">
        <is>
          <t>X</t>
        </is>
      </c>
      <c r="D1610" s="5" t="n">
        <v>287</v>
      </c>
      <c r="E1610" s="73">
        <f>B1610*D1610/10000</f>
        <v/>
      </c>
      <c r="F1610" s="74">
        <f>B1610/30.48</f>
        <v/>
      </c>
      <c r="G1610" s="74">
        <f>D1610/30.48</f>
        <v/>
      </c>
      <c r="H1610" s="615" t="n"/>
      <c r="M1610" s="210" t="n"/>
      <c r="N1610" s="211" t="n"/>
      <c r="O1610" s="263" t="n"/>
      <c r="P1610" s="261" t="inlineStr">
        <is>
          <t>wvn</t>
        </is>
      </c>
      <c r="Q1610" s="271" t="n"/>
      <c r="R1610" s="282" t="inlineStr">
        <is>
          <t>wvn</t>
        </is>
      </c>
    </row>
    <row r="1611" ht="18" customHeight="1" s="305">
      <c r="A1611" s="8" t="n">
        <v>2161</v>
      </c>
      <c r="B1611" s="5" t="n">
        <v>90</v>
      </c>
      <c r="C1611" s="72" t="inlineStr">
        <is>
          <t>X</t>
        </is>
      </c>
      <c r="D1611" s="5" t="n">
        <v>345</v>
      </c>
      <c r="E1611" s="73">
        <f>B1611*D1611/10000</f>
        <v/>
      </c>
      <c r="F1611" s="74">
        <f>B1611/30.48</f>
        <v/>
      </c>
      <c r="G1611" s="74">
        <f>D1611/30.48</f>
        <v/>
      </c>
      <c r="H1611" s="615" t="n"/>
      <c r="M1611" s="210" t="n"/>
      <c r="N1611" s="211" t="n"/>
      <c r="O1611" s="263" t="n"/>
      <c r="Q1611" s="271" t="n"/>
      <c r="R1611" s="282" t="n"/>
    </row>
    <row r="1612" ht="18" customHeight="1" s="305">
      <c r="A1612" s="8" t="n">
        <v>2162</v>
      </c>
      <c r="B1612" s="5" t="n">
        <v>216</v>
      </c>
      <c r="C1612" s="72" t="inlineStr">
        <is>
          <t>X</t>
        </is>
      </c>
      <c r="D1612" s="5" t="n">
        <v>300</v>
      </c>
      <c r="E1612" s="73">
        <f>B1612*D1612/10000</f>
        <v/>
      </c>
      <c r="F1612" s="74">
        <f>B1612/30.48</f>
        <v/>
      </c>
      <c r="G1612" s="74">
        <f>D1612/30.48</f>
        <v/>
      </c>
      <c r="H1612" s="615" t="n"/>
      <c r="M1612" s="210" t="n"/>
      <c r="N1612" s="211" t="n"/>
      <c r="O1612" s="263" t="n"/>
      <c r="Q1612" s="271" t="n"/>
      <c r="R1612" s="282" t="n"/>
    </row>
    <row r="1613" ht="18" customHeight="1" s="305">
      <c r="A1613" s="8" t="n">
        <v>2163</v>
      </c>
      <c r="B1613" s="5" t="n">
        <v>164</v>
      </c>
      <c r="C1613" s="72" t="inlineStr">
        <is>
          <t>X</t>
        </is>
      </c>
      <c r="D1613" s="5" t="n">
        <v>257</v>
      </c>
      <c r="E1613" s="73">
        <f>B1613*D1613/10000</f>
        <v/>
      </c>
      <c r="F1613" s="74">
        <f>B1613/30.48</f>
        <v/>
      </c>
      <c r="G1613" s="74">
        <f>D1613/30.48</f>
        <v/>
      </c>
      <c r="H1613" s="615" t="n"/>
      <c r="M1613" s="210" t="n"/>
      <c r="N1613" s="211" t="n"/>
      <c r="O1613" s="263" t="n"/>
      <c r="Q1613" s="271" t="n"/>
      <c r="R1613" s="282" t="n"/>
    </row>
    <row r="1614" ht="18" customHeight="1" s="305">
      <c r="A1614" s="8" t="n">
        <v>2165</v>
      </c>
      <c r="B1614" s="5" t="n">
        <v>112</v>
      </c>
      <c r="C1614" s="72" t="inlineStr">
        <is>
          <t>X</t>
        </is>
      </c>
      <c r="D1614" s="5" t="n">
        <v>163</v>
      </c>
      <c r="E1614" s="73">
        <f>B1614*D1614/10000</f>
        <v/>
      </c>
      <c r="F1614" s="74">
        <f>B1614/30.48</f>
        <v/>
      </c>
      <c r="G1614" s="74">
        <f>D1614/30.48</f>
        <v/>
      </c>
      <c r="H1614" s="615" t="n"/>
      <c r="M1614" s="210" t="n"/>
      <c r="N1614" s="211" t="n"/>
      <c r="O1614" s="263" t="n"/>
      <c r="Q1614" s="271" t="n"/>
      <c r="R1614" s="282" t="n"/>
    </row>
    <row r="1615" ht="18" customHeight="1" s="305">
      <c r="A1615" s="8" t="n">
        <v>2166</v>
      </c>
      <c r="B1615" s="5" t="n">
        <v>136</v>
      </c>
      <c r="C1615" s="72" t="inlineStr">
        <is>
          <t>X</t>
        </is>
      </c>
      <c r="D1615" s="5" t="n">
        <v>211</v>
      </c>
      <c r="E1615" s="73">
        <f>B1615*D1615/10000</f>
        <v/>
      </c>
      <c r="F1615" s="74">
        <f>B1615/30.48</f>
        <v/>
      </c>
      <c r="G1615" s="74">
        <f>D1615/30.48</f>
        <v/>
      </c>
      <c r="H1615" s="615" t="n"/>
      <c r="M1615" s="210" t="n"/>
      <c r="N1615" s="211" t="n"/>
      <c r="O1615" s="263" t="n"/>
      <c r="Q1615" s="271" t="n"/>
      <c r="R1615" s="282" t="n"/>
    </row>
    <row r="1616" ht="18" customHeight="1" s="305">
      <c r="A1616" s="8" t="n">
        <v>2170</v>
      </c>
      <c r="B1616" s="5" t="n">
        <v>89</v>
      </c>
      <c r="C1616" s="72" t="inlineStr">
        <is>
          <t>X</t>
        </is>
      </c>
      <c r="D1616" s="5" t="n">
        <v>289</v>
      </c>
      <c r="E1616" s="73">
        <f>B1616*D1616/10000</f>
        <v/>
      </c>
      <c r="F1616" s="74">
        <f>B1616/30.48</f>
        <v/>
      </c>
      <c r="G1616" s="74">
        <f>D1616/30.48</f>
        <v/>
      </c>
      <c r="H1616" s="615" t="n"/>
      <c r="M1616" s="210" t="n"/>
      <c r="N1616" s="211" t="n"/>
      <c r="O1616" s="263" t="n"/>
      <c r="Q1616" s="271" t="n"/>
      <c r="R1616" s="282" t="n"/>
    </row>
    <row r="1617" ht="18" customHeight="1" s="305">
      <c r="A1617" s="8" t="n">
        <v>2175</v>
      </c>
      <c r="B1617" s="5" t="n">
        <v>164</v>
      </c>
      <c r="C1617" s="72" t="inlineStr">
        <is>
          <t>X</t>
        </is>
      </c>
      <c r="D1617" s="5" t="n">
        <v>300</v>
      </c>
      <c r="E1617" s="73">
        <f>B1617*D1617/10000</f>
        <v/>
      </c>
      <c r="F1617" s="74">
        <f>B1617/30.48</f>
        <v/>
      </c>
      <c r="G1617" s="74">
        <f>D1617/30.48</f>
        <v/>
      </c>
      <c r="H1617" s="615" t="n"/>
      <c r="M1617" s="210" t="n"/>
      <c r="N1617" s="211" t="n"/>
      <c r="O1617" s="263" t="n"/>
      <c r="Q1617" s="271" t="n"/>
      <c r="R1617" s="282" t="n"/>
    </row>
    <row r="1618" ht="18" customHeight="1" s="305">
      <c r="A1618" s="8" t="n">
        <v>2177</v>
      </c>
      <c r="B1618" s="5" t="n">
        <v>85</v>
      </c>
      <c r="C1618" s="72" t="inlineStr">
        <is>
          <t>X</t>
        </is>
      </c>
      <c r="D1618" s="5" t="n">
        <v>157</v>
      </c>
      <c r="E1618" s="73">
        <f>B1618*D1618/10000</f>
        <v/>
      </c>
      <c r="F1618" s="74">
        <f>B1618/30.48</f>
        <v/>
      </c>
      <c r="G1618" s="74">
        <f>D1618/30.48</f>
        <v/>
      </c>
      <c r="H1618" s="615" t="n"/>
      <c r="M1618" s="210" t="n"/>
      <c r="N1618" s="211" t="n"/>
      <c r="O1618" s="263" t="n"/>
      <c r="Q1618" s="271" t="n"/>
      <c r="R1618" s="282" t="n"/>
    </row>
    <row r="1619" ht="18" customHeight="1" s="305">
      <c r="A1619" s="8" t="n">
        <v>2181</v>
      </c>
      <c r="B1619" s="5" t="n">
        <v>75</v>
      </c>
      <c r="C1619" s="72" t="inlineStr">
        <is>
          <t>X</t>
        </is>
      </c>
      <c r="D1619" s="5" t="n">
        <v>148</v>
      </c>
      <c r="E1619" s="73">
        <f>B1619*D1619/10000</f>
        <v/>
      </c>
      <c r="F1619" s="74">
        <f>B1619/30.48</f>
        <v/>
      </c>
      <c r="G1619" s="74">
        <f>D1619/30.48</f>
        <v/>
      </c>
      <c r="H1619" s="615" t="n"/>
      <c r="M1619" s="210" t="n"/>
      <c r="N1619" s="211" t="n"/>
      <c r="O1619" s="263" t="n"/>
      <c r="Q1619" s="271" t="n"/>
      <c r="R1619" s="282" t="n"/>
    </row>
    <row r="1620" ht="18" customHeight="1" s="305">
      <c r="A1620" s="8" t="n">
        <v>2185</v>
      </c>
      <c r="B1620" s="5" t="n">
        <v>84</v>
      </c>
      <c r="C1620" s="72" t="inlineStr">
        <is>
          <t>X</t>
        </is>
      </c>
      <c r="D1620" s="5" t="n">
        <v>390</v>
      </c>
      <c r="E1620" s="73">
        <f>B1620*D1620/10000</f>
        <v/>
      </c>
      <c r="F1620" s="74">
        <f>B1620/30.48</f>
        <v/>
      </c>
      <c r="G1620" s="74">
        <f>D1620/30.48</f>
        <v/>
      </c>
      <c r="H1620" s="615" t="n"/>
      <c r="M1620" s="210" t="n"/>
      <c r="N1620" s="211" t="n"/>
      <c r="O1620" s="263" t="n"/>
      <c r="P1620" s="261" t="inlineStr">
        <is>
          <t>wvn</t>
        </is>
      </c>
      <c r="Q1620" s="271" t="n"/>
      <c r="R1620" s="282" t="inlineStr">
        <is>
          <t>wvn</t>
        </is>
      </c>
    </row>
    <row r="1621" ht="18" customHeight="1" s="305">
      <c r="A1621" s="8" t="n">
        <v>2189</v>
      </c>
      <c r="B1621" s="5" t="n">
        <v>62</v>
      </c>
      <c r="C1621" s="72" t="inlineStr">
        <is>
          <t>X</t>
        </is>
      </c>
      <c r="D1621" s="5" t="n">
        <v>137</v>
      </c>
      <c r="E1621" s="73">
        <f>B1621*D1621/10000</f>
        <v/>
      </c>
      <c r="F1621" s="74">
        <f>B1621/30.48</f>
        <v/>
      </c>
      <c r="G1621" s="74">
        <f>D1621/30.48</f>
        <v/>
      </c>
      <c r="H1621" s="615" t="n"/>
      <c r="M1621" s="210" t="n"/>
      <c r="N1621" s="211" t="n"/>
      <c r="O1621" s="263" t="n"/>
      <c r="Q1621" s="271" t="n"/>
      <c r="R1621" s="282" t="n"/>
    </row>
    <row r="1622" ht="18" customHeight="1" s="305">
      <c r="A1622" s="8" t="n">
        <v>2190</v>
      </c>
      <c r="B1622" s="5" t="n">
        <v>91</v>
      </c>
      <c r="C1622" s="72" t="inlineStr">
        <is>
          <t>X</t>
        </is>
      </c>
      <c r="D1622" s="5" t="n">
        <v>388</v>
      </c>
      <c r="E1622" s="73">
        <f>B1622*D1622/10000</f>
        <v/>
      </c>
      <c r="F1622" s="74">
        <f>B1622/30.48</f>
        <v/>
      </c>
      <c r="G1622" s="74">
        <f>D1622/30.48</f>
        <v/>
      </c>
      <c r="H1622" s="615" t="n"/>
      <c r="M1622" s="210" t="n"/>
      <c r="N1622" s="211" t="n"/>
      <c r="O1622" s="263" t="n"/>
      <c r="Q1622" s="271" t="n"/>
      <c r="R1622" s="282" t="n"/>
    </row>
    <row r="1623" ht="18" customHeight="1" s="305">
      <c r="A1623" s="8" t="n">
        <v>2194</v>
      </c>
      <c r="B1623" s="5" t="n">
        <v>200</v>
      </c>
      <c r="C1623" s="72" t="inlineStr">
        <is>
          <t>X</t>
        </is>
      </c>
      <c r="D1623" s="5" t="n">
        <v>277</v>
      </c>
      <c r="E1623" s="73">
        <f>B1623*D1623/10000</f>
        <v/>
      </c>
      <c r="F1623" s="74">
        <f>B1623/30.48</f>
        <v/>
      </c>
      <c r="G1623" s="74">
        <f>D1623/30.48</f>
        <v/>
      </c>
      <c r="H1623" s="615" t="n"/>
      <c r="M1623" s="210" t="n"/>
      <c r="N1623" s="211" t="n"/>
      <c r="O1623" s="263" t="n"/>
      <c r="Q1623" s="271" t="n"/>
      <c r="R1623" s="282" t="n"/>
    </row>
    <row r="1624" ht="18" customHeight="1" s="305">
      <c r="A1624" s="8" t="n">
        <v>2195</v>
      </c>
      <c r="B1624" s="5" t="n">
        <v>86</v>
      </c>
      <c r="C1624" s="72" t="inlineStr">
        <is>
          <t>X</t>
        </is>
      </c>
      <c r="D1624" s="5" t="n">
        <v>345</v>
      </c>
      <c r="E1624" s="73">
        <f>B1624*D1624/10000</f>
        <v/>
      </c>
      <c r="F1624" s="74">
        <f>B1624/30.48</f>
        <v/>
      </c>
      <c r="G1624" s="74">
        <f>D1624/30.48</f>
        <v/>
      </c>
      <c r="H1624" s="615" t="n"/>
      <c r="M1624" s="210" t="n"/>
      <c r="N1624" s="211" t="n"/>
      <c r="O1624" s="263" t="n"/>
      <c r="P1624" s="261" t="inlineStr">
        <is>
          <t>WTR</t>
        </is>
      </c>
      <c r="Q1624" s="271" t="n"/>
      <c r="R1624" s="282" t="inlineStr">
        <is>
          <t>WTR</t>
        </is>
      </c>
    </row>
    <row r="1625" ht="18" customHeight="1" s="305">
      <c r="A1625" s="8" t="n">
        <v>2196</v>
      </c>
      <c r="B1625" s="5" t="n">
        <v>169</v>
      </c>
      <c r="C1625" s="72" t="inlineStr">
        <is>
          <t>X</t>
        </is>
      </c>
      <c r="D1625" s="5" t="n">
        <v>266</v>
      </c>
      <c r="E1625" s="73">
        <f>B1625*D1625/10000</f>
        <v/>
      </c>
      <c r="F1625" s="74">
        <f>B1625/30.48</f>
        <v/>
      </c>
      <c r="G1625" s="74">
        <f>D1625/30.48</f>
        <v/>
      </c>
      <c r="H1625" s="615" t="n"/>
      <c r="M1625" s="210" t="n"/>
      <c r="N1625" s="211" t="n"/>
      <c r="O1625" s="263" t="n"/>
      <c r="Q1625" s="271" t="n"/>
      <c r="R1625" s="282" t="n"/>
    </row>
    <row r="1626" ht="18" customHeight="1" s="305">
      <c r="A1626" s="8" t="n">
        <v>2199</v>
      </c>
      <c r="B1626" s="5" t="n">
        <v>121</v>
      </c>
      <c r="C1626" s="72" t="inlineStr">
        <is>
          <t>X</t>
        </is>
      </c>
      <c r="D1626" s="5" t="n">
        <v>199</v>
      </c>
      <c r="E1626" s="73">
        <f>B1626*D1626/10000</f>
        <v/>
      </c>
      <c r="F1626" s="74">
        <f>B1626/30.48</f>
        <v/>
      </c>
      <c r="G1626" s="74">
        <f>D1626/30.48</f>
        <v/>
      </c>
      <c r="H1626" s="615" t="n"/>
      <c r="M1626" s="210" t="n"/>
      <c r="N1626" s="211" t="n"/>
      <c r="O1626" s="263" t="n"/>
      <c r="P1626" s="261" t="inlineStr">
        <is>
          <t>wvn</t>
        </is>
      </c>
      <c r="Q1626" s="271" t="n"/>
      <c r="R1626" s="282" t="inlineStr">
        <is>
          <t>wvn</t>
        </is>
      </c>
    </row>
    <row r="1627" ht="18" customHeight="1" s="305">
      <c r="A1627" s="8" t="n">
        <v>2200</v>
      </c>
      <c r="B1627" s="5" t="n">
        <v>190</v>
      </c>
      <c r="C1627" s="72" t="inlineStr">
        <is>
          <t>X</t>
        </is>
      </c>
      <c r="D1627" s="5" t="n">
        <v>285</v>
      </c>
      <c r="E1627" s="73">
        <f>B1627*D1627/10000</f>
        <v/>
      </c>
      <c r="F1627" s="74">
        <f>B1627/30.48</f>
        <v/>
      </c>
      <c r="G1627" s="74">
        <f>D1627/30.48</f>
        <v/>
      </c>
      <c r="H1627" s="615" t="n"/>
      <c r="M1627" s="210" t="n"/>
      <c r="N1627" s="211" t="n"/>
      <c r="O1627" s="263" t="n"/>
      <c r="Q1627" s="271" t="n"/>
      <c r="R1627" s="282" t="n"/>
    </row>
    <row r="1628" ht="18" customHeight="1" s="305">
      <c r="A1628" s="8" t="n">
        <v>2201</v>
      </c>
      <c r="B1628" s="5" t="n">
        <v>233</v>
      </c>
      <c r="C1628" s="72" t="inlineStr">
        <is>
          <t>X</t>
        </is>
      </c>
      <c r="D1628" s="5" t="n">
        <v>392</v>
      </c>
      <c r="E1628" s="73">
        <f>B1628*D1628/10000</f>
        <v/>
      </c>
      <c r="F1628" s="74">
        <f>B1628/30.48</f>
        <v/>
      </c>
      <c r="G1628" s="74">
        <f>D1628/30.48</f>
        <v/>
      </c>
      <c r="H1628" s="615" t="n"/>
      <c r="M1628" s="210" t="n"/>
      <c r="N1628" s="211" t="n"/>
      <c r="O1628" s="263" t="n"/>
      <c r="Q1628" s="271" t="n"/>
      <c r="R1628" s="282" t="n"/>
    </row>
    <row r="1629" ht="18" customHeight="1" s="305">
      <c r="A1629" s="8" t="n">
        <v>2202</v>
      </c>
      <c r="B1629" s="5" t="n">
        <v>110</v>
      </c>
      <c r="C1629" s="72" t="inlineStr">
        <is>
          <t>X</t>
        </is>
      </c>
      <c r="D1629" s="5" t="n">
        <v>146</v>
      </c>
      <c r="E1629" s="73">
        <f>B1629*D1629/10000</f>
        <v/>
      </c>
      <c r="F1629" s="74">
        <f>B1629/30.48</f>
        <v/>
      </c>
      <c r="G1629" s="74">
        <f>D1629/30.48</f>
        <v/>
      </c>
      <c r="H1629" s="615" t="n"/>
      <c r="M1629" s="210" t="n"/>
      <c r="N1629" s="211" t="n"/>
      <c r="O1629" s="263" t="n"/>
      <c r="P1629" s="261" t="inlineStr">
        <is>
          <t>wvn</t>
        </is>
      </c>
      <c r="Q1629" s="271" t="n"/>
      <c r="R1629" s="282" t="inlineStr">
        <is>
          <t>wvn</t>
        </is>
      </c>
    </row>
    <row r="1630" ht="18" customHeight="1" s="305">
      <c r="A1630" s="8" t="n">
        <v>2203</v>
      </c>
      <c r="B1630" s="5" t="n">
        <v>102</v>
      </c>
      <c r="C1630" s="72" t="inlineStr">
        <is>
          <t>X</t>
        </is>
      </c>
      <c r="D1630" s="5" t="n">
        <v>381</v>
      </c>
      <c r="E1630" s="73">
        <f>B1630*D1630/10000</f>
        <v/>
      </c>
      <c r="F1630" s="74">
        <f>B1630/30.48</f>
        <v/>
      </c>
      <c r="G1630" s="74">
        <f>D1630/30.48</f>
        <v/>
      </c>
      <c r="H1630" s="615" t="n"/>
      <c r="M1630" s="210" t="n"/>
      <c r="N1630" s="211" t="n"/>
      <c r="O1630" s="263" t="n"/>
      <c r="P1630" s="261" t="inlineStr">
        <is>
          <t>wvn</t>
        </is>
      </c>
      <c r="Q1630" s="271" t="n"/>
      <c r="R1630" s="282" t="inlineStr">
        <is>
          <t>wvn</t>
        </is>
      </c>
    </row>
    <row r="1631" ht="18" customHeight="1" s="305">
      <c r="A1631" s="8" t="n">
        <v>2206</v>
      </c>
      <c r="B1631" s="5" t="n">
        <v>147</v>
      </c>
      <c r="C1631" s="72" t="inlineStr">
        <is>
          <t>X</t>
        </is>
      </c>
      <c r="D1631" s="5" t="n">
        <v>402</v>
      </c>
      <c r="E1631" s="73">
        <f>B1631*D1631/10000</f>
        <v/>
      </c>
      <c r="F1631" s="74">
        <f>B1631/30.48</f>
        <v/>
      </c>
      <c r="G1631" s="74">
        <f>D1631/30.48</f>
        <v/>
      </c>
      <c r="H1631" s="615" t="n"/>
      <c r="M1631" s="210" t="n"/>
      <c r="N1631" s="211" t="n"/>
      <c r="O1631" s="263" t="n"/>
      <c r="Q1631" s="271" t="n"/>
      <c r="R1631" s="282" t="n"/>
    </row>
    <row r="1632" ht="18" customHeight="1" s="305">
      <c r="A1632" s="8" t="n">
        <v>2208</v>
      </c>
      <c r="B1632" s="5" t="n">
        <v>111</v>
      </c>
      <c r="C1632" s="72" t="inlineStr">
        <is>
          <t>X</t>
        </is>
      </c>
      <c r="D1632" s="5" t="n">
        <v>340</v>
      </c>
      <c r="E1632" s="73">
        <f>B1632*D1632/10000</f>
        <v/>
      </c>
      <c r="F1632" s="74">
        <f>B1632/30.48</f>
        <v/>
      </c>
      <c r="G1632" s="74">
        <f>D1632/30.48</f>
        <v/>
      </c>
      <c r="H1632" s="615" t="n"/>
      <c r="M1632" s="210" t="n"/>
      <c r="N1632" s="211" t="n"/>
      <c r="O1632" s="263" t="n"/>
      <c r="Q1632" s="271" t="n"/>
      <c r="R1632" s="282" t="n"/>
    </row>
    <row r="1633" ht="18" customHeight="1" s="305">
      <c r="A1633" s="8" t="n">
        <v>2209</v>
      </c>
      <c r="B1633" s="5" t="n">
        <v>119</v>
      </c>
      <c r="C1633" s="72" t="inlineStr">
        <is>
          <t>X</t>
        </is>
      </c>
      <c r="D1633" s="5" t="n">
        <v>353</v>
      </c>
      <c r="E1633" s="73">
        <f>B1633*D1633/10000</f>
        <v/>
      </c>
      <c r="F1633" s="74">
        <f>B1633/30.48</f>
        <v/>
      </c>
      <c r="G1633" s="74">
        <f>D1633/30.48</f>
        <v/>
      </c>
      <c r="H1633" s="615" t="n"/>
      <c r="M1633" s="210" t="n"/>
      <c r="N1633" s="211" t="n"/>
      <c r="O1633" s="263" t="n"/>
      <c r="Q1633" s="271" t="n"/>
      <c r="R1633" s="282" t="n"/>
    </row>
    <row r="1634" ht="18" customHeight="1" s="305">
      <c r="A1634" s="8" t="n">
        <v>2210</v>
      </c>
      <c r="B1634" s="5" t="n">
        <v>125</v>
      </c>
      <c r="C1634" s="72" t="inlineStr">
        <is>
          <t>X</t>
        </is>
      </c>
      <c r="D1634" s="5" t="n">
        <v>180</v>
      </c>
      <c r="E1634" s="73">
        <f>B1634*D1634/10000</f>
        <v/>
      </c>
      <c r="F1634" s="74">
        <f>B1634/30.48</f>
        <v/>
      </c>
      <c r="G1634" s="74">
        <f>D1634/30.48</f>
        <v/>
      </c>
      <c r="H1634" s="615" t="n"/>
      <c r="M1634" s="210" t="n"/>
      <c r="N1634" s="211" t="n"/>
      <c r="O1634" s="263" t="n"/>
      <c r="Q1634" s="271" t="n"/>
      <c r="R1634" s="282" t="n"/>
    </row>
    <row r="1635" ht="18" customHeight="1" s="305">
      <c r="A1635" s="8" t="n">
        <v>2212</v>
      </c>
      <c r="B1635" s="5" t="n">
        <v>149</v>
      </c>
      <c r="C1635" s="72" t="inlineStr">
        <is>
          <t>X</t>
        </is>
      </c>
      <c r="D1635" s="5" t="n">
        <v>247</v>
      </c>
      <c r="E1635" s="73">
        <f>B1635*D1635/10000</f>
        <v/>
      </c>
      <c r="F1635" s="74">
        <f>B1635/30.48</f>
        <v/>
      </c>
      <c r="G1635" s="74">
        <f>D1635/30.48</f>
        <v/>
      </c>
      <c r="H1635" s="615" t="n"/>
      <c r="M1635" s="210" t="n"/>
      <c r="N1635" s="211" t="n"/>
      <c r="O1635" s="263" t="n"/>
      <c r="Q1635" s="271" t="n"/>
      <c r="R1635" s="282" t="n"/>
    </row>
    <row r="1636" ht="18" customHeight="1" s="305">
      <c r="A1636" s="8" t="n">
        <v>2214</v>
      </c>
      <c r="B1636" s="5" t="n">
        <v>166</v>
      </c>
      <c r="C1636" s="72" t="inlineStr">
        <is>
          <t>X</t>
        </is>
      </c>
      <c r="D1636" s="5" t="n">
        <v>280</v>
      </c>
      <c r="E1636" s="73">
        <f>B1636*D1636/10000</f>
        <v/>
      </c>
      <c r="F1636" s="74">
        <f>B1636/30.48</f>
        <v/>
      </c>
      <c r="G1636" s="74">
        <f>D1636/30.48</f>
        <v/>
      </c>
      <c r="H1636" s="615" t="n"/>
      <c r="M1636" s="210" t="n"/>
      <c r="N1636" s="211" t="n"/>
      <c r="O1636" s="263" t="n"/>
      <c r="Q1636" s="271" t="n"/>
      <c r="R1636" s="282" t="n"/>
    </row>
    <row r="1637" ht="18" customHeight="1" s="305">
      <c r="A1637" s="8" t="n">
        <v>2215</v>
      </c>
      <c r="B1637" s="5" t="n">
        <v>210</v>
      </c>
      <c r="C1637" s="72" t="inlineStr">
        <is>
          <t>X</t>
        </is>
      </c>
      <c r="D1637" s="5" t="n">
        <v>297</v>
      </c>
      <c r="E1637" s="73">
        <f>B1637*D1637/10000</f>
        <v/>
      </c>
      <c r="F1637" s="74">
        <f>B1637/30.48</f>
        <v/>
      </c>
      <c r="G1637" s="74">
        <f>D1637/30.48</f>
        <v/>
      </c>
      <c r="H1637" s="615" t="n"/>
      <c r="M1637" s="210" t="n"/>
      <c r="N1637" s="211" t="n"/>
      <c r="O1637" s="263" t="n"/>
      <c r="Q1637" s="271" t="n"/>
      <c r="R1637" s="282" t="n"/>
    </row>
    <row r="1638" ht="18" customHeight="1" s="305">
      <c r="A1638" s="8" t="n">
        <v>2217</v>
      </c>
      <c r="B1638" s="5" t="n">
        <v>79</v>
      </c>
      <c r="C1638" s="72" t="inlineStr">
        <is>
          <t>X</t>
        </is>
      </c>
      <c r="D1638" s="5" t="n">
        <v>277</v>
      </c>
      <c r="E1638" s="73">
        <f>B1638*D1638/10000</f>
        <v/>
      </c>
      <c r="F1638" s="74">
        <f>B1638/30.48</f>
        <v/>
      </c>
      <c r="G1638" s="74">
        <f>D1638/30.48</f>
        <v/>
      </c>
      <c r="H1638" s="615" t="n"/>
      <c r="M1638" s="210" t="n"/>
      <c r="N1638" s="211" t="n"/>
      <c r="O1638" s="263" t="n"/>
      <c r="Q1638" s="271" t="n"/>
      <c r="R1638" s="282" t="n"/>
    </row>
    <row r="1639" ht="18" customHeight="1" s="305">
      <c r="A1639" s="8" t="n">
        <v>2218</v>
      </c>
      <c r="B1639" s="5" t="n">
        <v>82</v>
      </c>
      <c r="C1639" s="72" t="inlineStr">
        <is>
          <t>X</t>
        </is>
      </c>
      <c r="D1639" s="5" t="n">
        <v>382</v>
      </c>
      <c r="E1639" s="73">
        <f>B1639*D1639/10000</f>
        <v/>
      </c>
      <c r="F1639" s="74">
        <f>B1639/30.48</f>
        <v/>
      </c>
      <c r="G1639" s="74">
        <f>D1639/30.48</f>
        <v/>
      </c>
      <c r="H1639" s="615" t="n"/>
      <c r="M1639" s="210" t="n"/>
      <c r="N1639" s="211" t="n"/>
      <c r="O1639" s="263" t="n"/>
      <c r="Q1639" s="271" t="n"/>
      <c r="R1639" s="282" t="n"/>
    </row>
    <row r="1640" ht="18" customHeight="1" s="305">
      <c r="A1640" s="8" t="n">
        <v>2219</v>
      </c>
      <c r="B1640" s="5" t="n">
        <v>90</v>
      </c>
      <c r="C1640" s="72" t="inlineStr">
        <is>
          <t>X</t>
        </is>
      </c>
      <c r="D1640" s="5" t="n">
        <v>369</v>
      </c>
      <c r="E1640" s="73">
        <f>B1640*D1640/10000</f>
        <v/>
      </c>
      <c r="F1640" s="74">
        <f>B1640/30.48</f>
        <v/>
      </c>
      <c r="G1640" s="74">
        <f>D1640/30.48</f>
        <v/>
      </c>
      <c r="H1640" s="615" t="n"/>
      <c r="M1640" s="210" t="n"/>
      <c r="N1640" s="211" t="n"/>
      <c r="O1640" s="263" t="n"/>
      <c r="Q1640" s="271" t="n"/>
      <c r="R1640" s="282" t="n"/>
    </row>
    <row r="1641" ht="18" customHeight="1" s="305">
      <c r="A1641" s="8" t="n">
        <v>2221</v>
      </c>
      <c r="B1641" s="5" t="n">
        <v>88</v>
      </c>
      <c r="C1641" s="72" t="inlineStr">
        <is>
          <t>X</t>
        </is>
      </c>
      <c r="D1641" s="5" t="n">
        <v>399</v>
      </c>
      <c r="E1641" s="73">
        <f>B1641*D1641/10000</f>
        <v/>
      </c>
      <c r="F1641" s="74">
        <f>B1641/30.48</f>
        <v/>
      </c>
      <c r="G1641" s="74">
        <f>D1641/30.48</f>
        <v/>
      </c>
      <c r="H1641" s="615" t="n"/>
      <c r="M1641" s="210" t="n"/>
      <c r="N1641" s="211" t="n"/>
      <c r="O1641" s="263" t="n"/>
      <c r="P1641" s="261" t="inlineStr">
        <is>
          <t>wvn</t>
        </is>
      </c>
      <c r="Q1641" s="271" t="n"/>
      <c r="R1641" s="282" t="inlineStr">
        <is>
          <t>wvn</t>
        </is>
      </c>
    </row>
    <row r="1642" ht="18" customHeight="1" s="305">
      <c r="A1642" s="8" t="n">
        <v>2228</v>
      </c>
      <c r="B1642" s="5" t="n">
        <v>197</v>
      </c>
      <c r="C1642" s="72" t="inlineStr">
        <is>
          <t>X</t>
        </is>
      </c>
      <c r="D1642" s="5" t="n">
        <v>284</v>
      </c>
      <c r="E1642" s="73">
        <f>B1642*D1642/10000</f>
        <v/>
      </c>
      <c r="F1642" s="74">
        <f>B1642/30.48</f>
        <v/>
      </c>
      <c r="G1642" s="74">
        <f>D1642/30.48</f>
        <v/>
      </c>
      <c r="H1642" s="615" t="n"/>
      <c r="N1642" s="211" t="n"/>
      <c r="Q1642" s="271" t="n"/>
      <c r="R1642" s="282" t="n"/>
    </row>
    <row r="1643" ht="18" customHeight="1" s="305">
      <c r="A1643" s="8" t="n">
        <v>2229</v>
      </c>
      <c r="B1643" s="5" t="n">
        <v>156</v>
      </c>
      <c r="C1643" s="72" t="inlineStr">
        <is>
          <t>X</t>
        </is>
      </c>
      <c r="D1643" s="5" t="n">
        <v>258</v>
      </c>
      <c r="E1643" s="73">
        <f>B1643*D1643/10000</f>
        <v/>
      </c>
      <c r="F1643" s="74">
        <f>B1643/30.48</f>
        <v/>
      </c>
      <c r="G1643" s="74">
        <f>D1643/30.48</f>
        <v/>
      </c>
      <c r="H1643" s="615" t="n"/>
      <c r="N1643" s="211" t="n"/>
      <c r="Q1643" s="271" t="n"/>
      <c r="R1643" s="282" t="n"/>
    </row>
    <row r="1644" ht="18" customHeight="1" s="305">
      <c r="A1644" s="8" t="n">
        <v>2231</v>
      </c>
      <c r="B1644" s="5" t="n">
        <v>86</v>
      </c>
      <c r="C1644" s="72" t="inlineStr">
        <is>
          <t>X</t>
        </is>
      </c>
      <c r="D1644" s="5" t="n">
        <v>262</v>
      </c>
      <c r="E1644" s="73">
        <f>B1644*D1644/10000</f>
        <v/>
      </c>
      <c r="F1644" s="74">
        <f>B1644/30.48</f>
        <v/>
      </c>
      <c r="G1644" s="74">
        <f>D1644/30.48</f>
        <v/>
      </c>
      <c r="H1644" s="615" t="n"/>
      <c r="N1644" s="211" t="n"/>
      <c r="Q1644" s="271" t="n"/>
      <c r="R1644" s="282" t="n"/>
    </row>
    <row r="1645" ht="18" customHeight="1" s="305">
      <c r="A1645" s="8" t="n">
        <v>2234</v>
      </c>
      <c r="B1645" s="5" t="n">
        <v>104</v>
      </c>
      <c r="C1645" s="72" t="inlineStr">
        <is>
          <t>X</t>
        </is>
      </c>
      <c r="D1645" s="5" t="n">
        <v>342</v>
      </c>
      <c r="E1645" s="73">
        <f>B1645*D1645/10000</f>
        <v/>
      </c>
      <c r="F1645" s="74">
        <f>B1645/30.48</f>
        <v/>
      </c>
      <c r="G1645" s="74">
        <f>D1645/30.48</f>
        <v/>
      </c>
      <c r="H1645" s="615" t="n"/>
      <c r="N1645" s="211" t="n"/>
      <c r="Q1645" s="271" t="n"/>
      <c r="R1645" s="282" t="n"/>
    </row>
    <row r="1646" ht="18" customHeight="1" s="305">
      <c r="A1646" s="8" t="n">
        <v>2235</v>
      </c>
      <c r="B1646" s="5" t="n">
        <v>114</v>
      </c>
      <c r="C1646" s="72" t="inlineStr">
        <is>
          <t>X</t>
        </is>
      </c>
      <c r="D1646" s="5" t="n">
        <v>203</v>
      </c>
      <c r="E1646" s="73">
        <f>B1646*D1646/10000</f>
        <v/>
      </c>
      <c r="F1646" s="74">
        <f>B1646/30.48</f>
        <v/>
      </c>
      <c r="G1646" s="74">
        <f>D1646/30.48</f>
        <v/>
      </c>
      <c r="H1646" s="615" t="n"/>
      <c r="N1646" s="211" t="n"/>
      <c r="Q1646" s="271" t="n"/>
      <c r="R1646" s="282" t="n"/>
    </row>
    <row r="1647" ht="18" customHeight="1" s="305">
      <c r="A1647" s="8" t="n">
        <v>2238</v>
      </c>
      <c r="B1647" s="5" t="n">
        <v>191</v>
      </c>
      <c r="C1647" s="72" t="inlineStr">
        <is>
          <t>X</t>
        </is>
      </c>
      <c r="D1647" s="5" t="n">
        <v>270</v>
      </c>
      <c r="E1647" s="73">
        <f>B1647*D1647/10000</f>
        <v/>
      </c>
      <c r="F1647" s="74">
        <f>B1647/30.48</f>
        <v/>
      </c>
      <c r="G1647" s="74">
        <f>D1647/30.48</f>
        <v/>
      </c>
      <c r="H1647" s="615" t="n"/>
      <c r="N1647" s="211" t="n"/>
      <c r="Q1647" s="271" t="n"/>
      <c r="R1647" s="282" t="n"/>
    </row>
    <row r="1648" ht="18" customHeight="1" s="305">
      <c r="A1648" s="8" t="n">
        <v>2240</v>
      </c>
      <c r="B1648" s="5" t="n">
        <v>196</v>
      </c>
      <c r="C1648" s="72" t="inlineStr">
        <is>
          <t>X</t>
        </is>
      </c>
      <c r="D1648" s="5" t="n">
        <v>258</v>
      </c>
      <c r="E1648" s="73">
        <f>B1648*D1648/10000</f>
        <v/>
      </c>
      <c r="F1648" s="74">
        <f>B1648/30.48</f>
        <v/>
      </c>
      <c r="G1648" s="74">
        <f>D1648/30.48</f>
        <v/>
      </c>
      <c r="H1648" s="615" t="n"/>
      <c r="N1648" s="211" t="n"/>
      <c r="Q1648" s="271" t="n"/>
      <c r="R1648" s="282" t="n"/>
    </row>
    <row r="1649" ht="18" customHeight="1" s="305">
      <c r="A1649" s="8" t="n">
        <v>2242</v>
      </c>
      <c r="B1649" s="5" t="n">
        <v>123</v>
      </c>
      <c r="C1649" s="72" t="inlineStr">
        <is>
          <t>X</t>
        </is>
      </c>
      <c r="D1649" s="5" t="n">
        <v>203</v>
      </c>
      <c r="E1649" s="73">
        <f>B1649*D1649/10000</f>
        <v/>
      </c>
      <c r="F1649" s="74">
        <f>B1649/30.48</f>
        <v/>
      </c>
      <c r="G1649" s="74">
        <f>D1649/30.48</f>
        <v/>
      </c>
      <c r="H1649" s="615" t="n"/>
      <c r="N1649" s="211" t="n"/>
      <c r="Q1649" s="271" t="n"/>
      <c r="R1649" s="282" t="n"/>
    </row>
    <row r="1650" ht="18" customHeight="1" s="305">
      <c r="A1650" s="8" t="n">
        <v>2245</v>
      </c>
      <c r="B1650" s="5" t="n">
        <v>91</v>
      </c>
      <c r="C1650" s="72" t="inlineStr">
        <is>
          <t>X</t>
        </is>
      </c>
      <c r="D1650" s="5" t="n">
        <v>192</v>
      </c>
      <c r="E1650" s="73">
        <f>B1650*D1650/10000</f>
        <v/>
      </c>
      <c r="F1650" s="74">
        <f>B1650/30.48</f>
        <v/>
      </c>
      <c r="G1650" s="74">
        <f>D1650/30.48</f>
        <v/>
      </c>
      <c r="H1650" s="615" t="n"/>
      <c r="N1650" s="211" t="n"/>
      <c r="Q1650" s="271" t="n"/>
      <c r="R1650" s="282" t="n"/>
    </row>
    <row r="1651" ht="18" customHeight="1" s="305">
      <c r="A1651" s="8" t="n">
        <v>2248</v>
      </c>
      <c r="B1651" s="5" t="n">
        <v>170</v>
      </c>
      <c r="C1651" s="72" t="inlineStr">
        <is>
          <t>X</t>
        </is>
      </c>
      <c r="D1651" s="5" t="n">
        <v>300</v>
      </c>
      <c r="E1651" s="73">
        <f>B1651*D1651/10000</f>
        <v/>
      </c>
      <c r="F1651" s="74">
        <f>B1651/30.48</f>
        <v/>
      </c>
      <c r="G1651" s="74">
        <f>D1651/30.48</f>
        <v/>
      </c>
      <c r="H1651" s="615" t="n"/>
      <c r="N1651" s="211" t="n"/>
      <c r="Q1651" s="271" t="n"/>
      <c r="R1651" s="282" t="n"/>
    </row>
    <row r="1652" ht="18" customHeight="1" s="305">
      <c r="A1652" s="8" t="n">
        <v>2249</v>
      </c>
      <c r="B1652" s="5" t="n">
        <v>184</v>
      </c>
      <c r="C1652" s="72" t="inlineStr">
        <is>
          <t>X</t>
        </is>
      </c>
      <c r="D1652" s="5" t="n">
        <v>250</v>
      </c>
      <c r="E1652" s="73">
        <f>B1652*D1652/10000</f>
        <v/>
      </c>
      <c r="F1652" s="74">
        <f>B1652/30.48</f>
        <v/>
      </c>
      <c r="G1652" s="74">
        <f>D1652/30.48</f>
        <v/>
      </c>
      <c r="H1652" s="615" t="n"/>
      <c r="N1652" s="211" t="n"/>
      <c r="Q1652" s="271" t="n"/>
      <c r="R1652" s="282" t="n"/>
    </row>
    <row r="1653" ht="18" customHeight="1" s="305">
      <c r="A1653" s="8" t="n">
        <v>2259</v>
      </c>
      <c r="B1653" s="5" t="n">
        <v>104</v>
      </c>
      <c r="C1653" s="72" t="inlineStr">
        <is>
          <t>X</t>
        </is>
      </c>
      <c r="D1653" s="5" t="n">
        <v>318</v>
      </c>
      <c r="E1653" s="73">
        <f>B1653*D1653/10000</f>
        <v/>
      </c>
      <c r="F1653" s="74">
        <f>B1653/30.48</f>
        <v/>
      </c>
      <c r="G1653" s="74">
        <f>D1653/30.48</f>
        <v/>
      </c>
      <c r="H1653" s="615" t="n"/>
      <c r="N1653" s="211" t="n"/>
      <c r="Q1653" s="271" t="n"/>
      <c r="R1653" s="282" t="n"/>
    </row>
    <row r="1654" ht="18" customHeight="1" s="305">
      <c r="A1654" s="8" t="n">
        <v>2262</v>
      </c>
      <c r="B1654" s="5" t="n">
        <v>100</v>
      </c>
      <c r="C1654" s="72" t="inlineStr">
        <is>
          <t>X</t>
        </is>
      </c>
      <c r="D1654" s="5" t="n">
        <v>303</v>
      </c>
      <c r="E1654" s="73">
        <f>B1654*D1654/10000</f>
        <v/>
      </c>
      <c r="F1654" s="74">
        <f>B1654/30.48</f>
        <v/>
      </c>
      <c r="G1654" s="74">
        <f>D1654/30.48</f>
        <v/>
      </c>
      <c r="H1654" s="615" t="n"/>
      <c r="N1654" s="211" t="n"/>
      <c r="Q1654" s="271" t="n"/>
      <c r="R1654" s="282" t="n"/>
    </row>
    <row r="1655" ht="18" customHeight="1" s="305">
      <c r="A1655" s="8" t="n">
        <v>2263</v>
      </c>
      <c r="B1655" s="5" t="n">
        <v>108</v>
      </c>
      <c r="C1655" s="72" t="inlineStr">
        <is>
          <t>X</t>
        </is>
      </c>
      <c r="D1655" s="5" t="n">
        <v>293</v>
      </c>
      <c r="E1655" s="73">
        <f>B1655*D1655/10000</f>
        <v/>
      </c>
      <c r="F1655" s="74">
        <f>B1655/30.48</f>
        <v/>
      </c>
      <c r="G1655" s="74">
        <f>D1655/30.48</f>
        <v/>
      </c>
      <c r="H1655" s="615" t="n"/>
      <c r="N1655" s="211" t="n"/>
      <c r="Q1655" s="271" t="n"/>
      <c r="R1655" s="282" t="n"/>
    </row>
    <row r="1656" ht="18" customHeight="1" s="305">
      <c r="A1656" s="8" t="n">
        <v>2264</v>
      </c>
      <c r="B1656" s="5" t="n">
        <v>132</v>
      </c>
      <c r="C1656" s="72" t="inlineStr">
        <is>
          <t>X</t>
        </is>
      </c>
      <c r="D1656" s="5" t="n">
        <v>172</v>
      </c>
      <c r="E1656" s="73">
        <f>B1656*D1656/10000</f>
        <v/>
      </c>
      <c r="F1656" s="74">
        <f>B1656/30.48</f>
        <v/>
      </c>
      <c r="G1656" s="74">
        <f>D1656/30.48</f>
        <v/>
      </c>
      <c r="H1656" s="615" t="n"/>
      <c r="N1656" s="211" t="n"/>
      <c r="Q1656" s="271" t="n"/>
      <c r="R1656" s="282" t="n"/>
    </row>
    <row r="1657" ht="18" customHeight="1" s="305">
      <c r="A1657" s="8" t="n">
        <v>2266</v>
      </c>
      <c r="B1657" s="5" t="n">
        <v>174</v>
      </c>
      <c r="C1657" s="72" t="inlineStr">
        <is>
          <t>X</t>
        </is>
      </c>
      <c r="D1657" s="5" t="n">
        <v>263</v>
      </c>
      <c r="E1657" s="73">
        <f>B1657*D1657/10000</f>
        <v/>
      </c>
      <c r="F1657" s="74">
        <f>B1657/30.48</f>
        <v/>
      </c>
      <c r="G1657" s="74">
        <f>D1657/30.48</f>
        <v/>
      </c>
      <c r="H1657" s="615" t="n"/>
      <c r="N1657" s="211" t="n"/>
      <c r="Q1657" s="271" t="n"/>
      <c r="R1657" s="282" t="n"/>
    </row>
    <row r="1658" ht="18" customHeight="1" s="305">
      <c r="A1658" s="8" t="n">
        <v>2270</v>
      </c>
      <c r="B1658" s="5" t="n">
        <v>118</v>
      </c>
      <c r="C1658" s="72" t="inlineStr">
        <is>
          <t>X</t>
        </is>
      </c>
      <c r="D1658" s="5" t="n">
        <v>174</v>
      </c>
      <c r="E1658" s="73">
        <f>B1658*D1658/10000</f>
        <v/>
      </c>
      <c r="F1658" s="74">
        <f>B1658/30.48</f>
        <v/>
      </c>
      <c r="G1658" s="74">
        <f>D1658/30.48</f>
        <v/>
      </c>
      <c r="H1658" s="615" t="n"/>
      <c r="N1658" s="211" t="n"/>
      <c r="Q1658" s="271" t="n"/>
      <c r="R1658" s="282" t="n"/>
    </row>
    <row r="1659" ht="18" customHeight="1" s="305">
      <c r="A1659" s="8" t="n">
        <v>2273</v>
      </c>
      <c r="B1659" s="5" t="n">
        <v>159</v>
      </c>
      <c r="C1659" s="72" t="inlineStr">
        <is>
          <t>X</t>
        </is>
      </c>
      <c r="D1659" s="5" t="n">
        <v>242</v>
      </c>
      <c r="E1659" s="73">
        <f>B1659*D1659/10000</f>
        <v/>
      </c>
      <c r="F1659" s="74">
        <f>B1659/30.48</f>
        <v/>
      </c>
      <c r="G1659" s="74">
        <f>D1659/30.48</f>
        <v/>
      </c>
      <c r="H1659" s="615" t="n"/>
      <c r="N1659" s="211" t="n"/>
      <c r="Q1659" s="271" t="n"/>
      <c r="R1659" s="282" t="n"/>
    </row>
    <row r="1660" ht="18" customHeight="1" s="305">
      <c r="A1660" s="8" t="n">
        <v>2274</v>
      </c>
      <c r="B1660" s="5" t="n">
        <v>161</v>
      </c>
      <c r="C1660" s="72" t="inlineStr">
        <is>
          <t>X</t>
        </is>
      </c>
      <c r="D1660" s="5" t="n">
        <v>239</v>
      </c>
      <c r="E1660" s="73">
        <f>B1660*D1660/10000</f>
        <v/>
      </c>
      <c r="F1660" s="74">
        <f>B1660/30.48</f>
        <v/>
      </c>
      <c r="G1660" s="74">
        <f>D1660/30.48</f>
        <v/>
      </c>
      <c r="H1660" s="615" t="n"/>
      <c r="N1660" s="211" t="n"/>
      <c r="Q1660" s="271" t="n"/>
      <c r="R1660" s="282" t="n"/>
    </row>
    <row r="1661" ht="18" customHeight="1" s="305">
      <c r="A1661" s="8" t="n">
        <v>2275</v>
      </c>
      <c r="B1661" s="5" t="n">
        <v>144</v>
      </c>
      <c r="C1661" s="72" t="inlineStr">
        <is>
          <t>X</t>
        </is>
      </c>
      <c r="D1661" s="5" t="n">
        <v>246</v>
      </c>
      <c r="E1661" s="73">
        <f>B1661*D1661/10000</f>
        <v/>
      </c>
      <c r="F1661" s="74">
        <f>B1661/30.48</f>
        <v/>
      </c>
      <c r="G1661" s="74">
        <f>D1661/30.48</f>
        <v/>
      </c>
      <c r="H1661" s="615" t="n"/>
      <c r="N1661" s="211" t="n"/>
      <c r="Q1661" s="271" t="n"/>
      <c r="R1661" s="282" t="n"/>
    </row>
    <row r="1662" ht="18" customHeight="1" s="305">
      <c r="A1662" s="8" t="n">
        <v>2276</v>
      </c>
      <c r="B1662" s="5" t="n">
        <v>219</v>
      </c>
      <c r="C1662" s="72" t="inlineStr">
        <is>
          <t>X</t>
        </is>
      </c>
      <c r="D1662" s="5" t="n">
        <v>284</v>
      </c>
      <c r="E1662" s="73">
        <f>B1662*D1662/10000</f>
        <v/>
      </c>
      <c r="F1662" s="74">
        <f>B1662/30.48</f>
        <v/>
      </c>
      <c r="G1662" s="74">
        <f>D1662/30.48</f>
        <v/>
      </c>
      <c r="H1662" s="615" t="n"/>
      <c r="N1662" s="211" t="n"/>
      <c r="Q1662" s="271" t="n"/>
      <c r="R1662" s="282" t="n"/>
    </row>
    <row r="1663" ht="18" customHeight="1" s="305">
      <c r="A1663" s="8" t="n">
        <v>2278</v>
      </c>
      <c r="B1663" s="5" t="n">
        <v>128</v>
      </c>
      <c r="C1663" s="72" t="inlineStr">
        <is>
          <t>X</t>
        </is>
      </c>
      <c r="D1663" s="5" t="n">
        <v>376</v>
      </c>
      <c r="E1663" s="73">
        <f>B1663*D1663/10000</f>
        <v/>
      </c>
      <c r="F1663" s="74">
        <f>B1663/30.48</f>
        <v/>
      </c>
      <c r="G1663" s="74">
        <f>D1663/30.48</f>
        <v/>
      </c>
      <c r="H1663" s="615" t="n"/>
      <c r="N1663" s="211" t="n"/>
      <c r="Q1663" s="271" t="n"/>
      <c r="R1663" s="282" t="n"/>
    </row>
    <row r="1664" ht="18" customHeight="1" s="305">
      <c r="A1664" s="8" t="n">
        <v>2287</v>
      </c>
      <c r="B1664" s="5" t="n">
        <v>202</v>
      </c>
      <c r="C1664" s="72" t="inlineStr">
        <is>
          <t>X</t>
        </is>
      </c>
      <c r="D1664" s="5" t="n">
        <v>276</v>
      </c>
      <c r="E1664" s="73">
        <f>B1664*D1664/10000</f>
        <v/>
      </c>
      <c r="F1664" s="74">
        <f>B1664/30.48</f>
        <v/>
      </c>
      <c r="G1664" s="74">
        <f>D1664/30.48</f>
        <v/>
      </c>
      <c r="H1664" s="615" t="n"/>
      <c r="N1664" s="211" t="n"/>
      <c r="Q1664" s="271" t="n"/>
      <c r="R1664" s="282" t="n"/>
    </row>
    <row r="1665" ht="18" customHeight="1" s="305">
      <c r="A1665" s="8" t="n">
        <v>2288</v>
      </c>
      <c r="B1665" s="5" t="n">
        <v>130</v>
      </c>
      <c r="C1665" s="72" t="inlineStr">
        <is>
          <t>X</t>
        </is>
      </c>
      <c r="D1665" s="5" t="n">
        <v>186</v>
      </c>
      <c r="E1665" s="73">
        <f>B1665*D1665/10000</f>
        <v/>
      </c>
      <c r="F1665" s="74">
        <f>B1665/30.48</f>
        <v/>
      </c>
      <c r="G1665" s="74">
        <f>D1665/30.48</f>
        <v/>
      </c>
      <c r="H1665" s="615" t="n"/>
      <c r="N1665" s="211" t="n"/>
      <c r="Q1665" s="271" t="n"/>
      <c r="R1665" s="282" t="n"/>
    </row>
    <row r="1666" ht="18" customHeight="1" s="305">
      <c r="A1666" s="8" t="n">
        <v>2289</v>
      </c>
      <c r="B1666" s="5" t="n">
        <v>193</v>
      </c>
      <c r="C1666" s="72" t="inlineStr">
        <is>
          <t>X</t>
        </is>
      </c>
      <c r="D1666" s="5" t="n">
        <v>311</v>
      </c>
      <c r="E1666" s="73">
        <f>B1666*D1666/10000</f>
        <v/>
      </c>
      <c r="F1666" s="74">
        <f>B1666/30.48</f>
        <v/>
      </c>
      <c r="G1666" s="74">
        <f>D1666/30.48</f>
        <v/>
      </c>
      <c r="H1666" s="615" t="n"/>
      <c r="N1666" s="211" t="n"/>
      <c r="Q1666" s="271" t="n"/>
      <c r="R1666" s="282" t="n"/>
    </row>
    <row r="1667" ht="18" customHeight="1" s="305">
      <c r="A1667" s="8" t="n">
        <v>2290</v>
      </c>
      <c r="B1667" s="5" t="n">
        <v>132</v>
      </c>
      <c r="C1667" s="72" t="inlineStr">
        <is>
          <t>X</t>
        </is>
      </c>
      <c r="D1667" s="5" t="n">
        <v>375</v>
      </c>
      <c r="E1667" s="73">
        <f>B1667*D1667/10000</f>
        <v/>
      </c>
      <c r="F1667" s="74">
        <f>B1667/30.48</f>
        <v/>
      </c>
      <c r="G1667" s="74">
        <f>D1667/30.48</f>
        <v/>
      </c>
      <c r="H1667" s="615" t="n"/>
      <c r="N1667" s="211" t="n"/>
      <c r="Q1667" s="271" t="n"/>
      <c r="R1667" s="282" t="n"/>
    </row>
    <row r="1668" ht="18" customHeight="1" s="305">
      <c r="A1668" s="8" t="n">
        <v>2291</v>
      </c>
      <c r="B1668" s="5" t="n">
        <v>113</v>
      </c>
      <c r="C1668" s="72" t="inlineStr">
        <is>
          <t>X</t>
        </is>
      </c>
      <c r="D1668" s="5" t="n">
        <v>312</v>
      </c>
      <c r="E1668" s="73">
        <f>B1668*D1668/10000</f>
        <v/>
      </c>
      <c r="F1668" s="74">
        <f>B1668/30.48</f>
        <v/>
      </c>
      <c r="G1668" s="74">
        <f>D1668/30.48</f>
        <v/>
      </c>
      <c r="H1668" s="615" t="n"/>
      <c r="N1668" s="211" t="n"/>
      <c r="Q1668" s="271" t="n"/>
      <c r="R1668" s="282" t="n"/>
    </row>
    <row r="1669" ht="18" customHeight="1" s="305">
      <c r="A1669" s="8" t="n">
        <v>2293</v>
      </c>
      <c r="B1669" s="5" t="n">
        <v>176</v>
      </c>
      <c r="C1669" s="72" t="inlineStr">
        <is>
          <t>X</t>
        </is>
      </c>
      <c r="D1669" s="5" t="n">
        <v>275</v>
      </c>
      <c r="E1669" s="73">
        <f>B1669*D1669/10000</f>
        <v/>
      </c>
      <c r="F1669" s="74">
        <f>B1669/30.48</f>
        <v/>
      </c>
      <c r="G1669" s="74">
        <f>D1669/30.48</f>
        <v/>
      </c>
      <c r="H1669" s="615" t="n"/>
      <c r="N1669" s="211" t="n"/>
      <c r="Q1669" s="271" t="n"/>
      <c r="R1669" s="282" t="n"/>
    </row>
    <row r="1670" ht="18" customHeight="1" s="305">
      <c r="A1670" s="8" t="n">
        <v>2294</v>
      </c>
      <c r="B1670" s="5" t="n">
        <v>120</v>
      </c>
      <c r="C1670" s="72" t="inlineStr">
        <is>
          <t>X</t>
        </is>
      </c>
      <c r="D1670" s="5" t="n">
        <v>371</v>
      </c>
      <c r="E1670" s="73">
        <f>B1670*D1670/10000</f>
        <v/>
      </c>
      <c r="F1670" s="74">
        <f>B1670/30.48</f>
        <v/>
      </c>
      <c r="G1670" s="74">
        <f>D1670/30.48</f>
        <v/>
      </c>
      <c r="H1670" s="615" t="n"/>
      <c r="N1670" s="211" t="n"/>
      <c r="Q1670" s="271" t="n"/>
      <c r="R1670" s="282" t="n"/>
    </row>
    <row r="1671" ht="18" customHeight="1" s="305">
      <c r="A1671" s="8" t="n">
        <v>2296</v>
      </c>
      <c r="B1671" s="5" t="n">
        <v>184</v>
      </c>
      <c r="C1671" s="72" t="inlineStr">
        <is>
          <t>X</t>
        </is>
      </c>
      <c r="D1671" s="5" t="n">
        <v>298</v>
      </c>
      <c r="E1671" s="73">
        <f>B1671*D1671/10000</f>
        <v/>
      </c>
      <c r="F1671" s="74">
        <f>B1671/30.48</f>
        <v/>
      </c>
      <c r="G1671" s="74">
        <f>D1671/30.48</f>
        <v/>
      </c>
      <c r="H1671" s="615" t="n"/>
      <c r="N1671" s="211" t="n"/>
      <c r="Q1671" s="271" t="n"/>
      <c r="R1671" s="282" t="n"/>
    </row>
    <row r="1672" ht="18" customHeight="1" s="305">
      <c r="A1672" s="8" t="n">
        <v>2298</v>
      </c>
      <c r="B1672" s="5" t="n">
        <v>136</v>
      </c>
      <c r="C1672" s="72" t="inlineStr">
        <is>
          <t>X</t>
        </is>
      </c>
      <c r="D1672" s="5" t="n">
        <v>198</v>
      </c>
      <c r="E1672" s="73">
        <f>B1672*D1672/10000</f>
        <v/>
      </c>
      <c r="F1672" s="74">
        <f>B1672/30.48</f>
        <v/>
      </c>
      <c r="G1672" s="74">
        <f>D1672/30.48</f>
        <v/>
      </c>
      <c r="H1672" s="615" t="n"/>
      <c r="N1672" s="211" t="n"/>
      <c r="Q1672" s="271" t="n"/>
      <c r="R1672" s="282" t="n"/>
    </row>
    <row r="1673" ht="18" customHeight="1" s="305">
      <c r="A1673" s="8" t="n">
        <v>2299</v>
      </c>
      <c r="B1673" s="5" t="n">
        <v>194</v>
      </c>
      <c r="C1673" s="72" t="inlineStr">
        <is>
          <t>X</t>
        </is>
      </c>
      <c r="D1673" s="5" t="n">
        <v>281</v>
      </c>
      <c r="E1673" s="73">
        <f>B1673*D1673/10000</f>
        <v/>
      </c>
      <c r="F1673" s="74">
        <f>B1673/30.48</f>
        <v/>
      </c>
      <c r="G1673" s="74">
        <f>D1673/30.48</f>
        <v/>
      </c>
      <c r="H1673" s="615" t="n"/>
      <c r="N1673" s="211" t="n"/>
      <c r="Q1673" s="271" t="n"/>
      <c r="R1673" s="282" t="n"/>
    </row>
    <row r="1674" ht="18" customHeight="1" s="305">
      <c r="A1674" s="8" t="n">
        <v>2300</v>
      </c>
      <c r="B1674" s="5" t="n">
        <v>127</v>
      </c>
      <c r="C1674" s="72" t="inlineStr">
        <is>
          <t>X</t>
        </is>
      </c>
      <c r="D1674" s="5" t="n">
        <v>248</v>
      </c>
      <c r="E1674" s="73">
        <f>B1674*D1674/10000</f>
        <v/>
      </c>
      <c r="F1674" s="74">
        <f>B1674/30.48</f>
        <v/>
      </c>
      <c r="G1674" s="74">
        <f>D1674/30.48</f>
        <v/>
      </c>
      <c r="H1674" s="615" t="n"/>
      <c r="N1674" s="211" t="n"/>
      <c r="Q1674" s="271" t="n"/>
      <c r="R1674" s="282" t="n"/>
    </row>
    <row r="1675" ht="18" customHeight="1" s="305">
      <c r="A1675" s="8" t="n">
        <v>2301</v>
      </c>
      <c r="B1675" s="5" t="n">
        <v>229</v>
      </c>
      <c r="C1675" s="72" t="inlineStr">
        <is>
          <t>X</t>
        </is>
      </c>
      <c r="D1675" s="5" t="n">
        <v>321</v>
      </c>
      <c r="E1675" s="73">
        <f>B1675*D1675/10000</f>
        <v/>
      </c>
      <c r="F1675" s="74">
        <f>B1675/30.48</f>
        <v/>
      </c>
      <c r="G1675" s="74">
        <f>D1675/30.48</f>
        <v/>
      </c>
      <c r="H1675" s="615" t="n"/>
      <c r="N1675" s="211" t="n"/>
      <c r="Q1675" s="271" t="n"/>
      <c r="R1675" s="282" t="n"/>
    </row>
    <row r="1676" ht="18" customHeight="1" s="305">
      <c r="A1676" s="8" t="n">
        <v>2303</v>
      </c>
      <c r="B1676" s="5" t="n">
        <v>160</v>
      </c>
      <c r="C1676" s="72" t="inlineStr">
        <is>
          <t>X</t>
        </is>
      </c>
      <c r="D1676" s="5" t="n">
        <v>256</v>
      </c>
      <c r="E1676" s="73">
        <f>B1676*D1676/10000</f>
        <v/>
      </c>
      <c r="F1676" s="74">
        <f>B1676/30.48</f>
        <v/>
      </c>
      <c r="G1676" s="74">
        <f>D1676/30.48</f>
        <v/>
      </c>
      <c r="H1676" s="615" t="n"/>
      <c r="N1676" s="211" t="n"/>
      <c r="Q1676" s="271" t="n"/>
      <c r="R1676" s="282" t="n"/>
    </row>
    <row r="1677" ht="18" customHeight="1" s="305">
      <c r="A1677" s="8" t="n">
        <v>2304</v>
      </c>
      <c r="B1677" s="5" t="n">
        <v>144</v>
      </c>
      <c r="C1677" s="72" t="inlineStr">
        <is>
          <t>X</t>
        </is>
      </c>
      <c r="D1677" s="5" t="n">
        <v>235</v>
      </c>
      <c r="E1677" s="73">
        <f>B1677*D1677/10000</f>
        <v/>
      </c>
      <c r="F1677" s="74">
        <f>B1677/30.48</f>
        <v/>
      </c>
      <c r="G1677" s="74">
        <f>D1677/30.48</f>
        <v/>
      </c>
      <c r="H1677" s="615" t="n"/>
      <c r="N1677" s="211" t="n"/>
      <c r="Q1677" s="271" t="n"/>
      <c r="R1677" s="282" t="n"/>
    </row>
    <row r="1678" ht="18" customHeight="1" s="305">
      <c r="A1678" s="8" t="n">
        <v>2305</v>
      </c>
      <c r="B1678" s="5" t="n">
        <v>155</v>
      </c>
      <c r="C1678" s="72" t="inlineStr">
        <is>
          <t>X</t>
        </is>
      </c>
      <c r="D1678" s="5" t="n">
        <v>233</v>
      </c>
      <c r="E1678" s="73">
        <f>B1678*D1678/10000</f>
        <v/>
      </c>
      <c r="F1678" s="74">
        <f>B1678/30.48</f>
        <v/>
      </c>
      <c r="G1678" s="74">
        <f>D1678/30.48</f>
        <v/>
      </c>
      <c r="H1678" s="615" t="n"/>
      <c r="N1678" s="211" t="n"/>
      <c r="Q1678" s="271" t="n"/>
      <c r="R1678" s="282" t="n"/>
    </row>
    <row r="1679" ht="18" customHeight="1" s="305">
      <c r="A1679" s="8" t="n">
        <v>2306</v>
      </c>
      <c r="B1679" s="5" t="n">
        <v>156</v>
      </c>
      <c r="C1679" s="72" t="inlineStr">
        <is>
          <t>X</t>
        </is>
      </c>
      <c r="D1679" s="5" t="n">
        <v>279</v>
      </c>
      <c r="E1679" s="73">
        <f>B1679*D1679/10000</f>
        <v/>
      </c>
      <c r="F1679" s="74">
        <f>B1679/30.48</f>
        <v/>
      </c>
      <c r="G1679" s="74">
        <f>D1679/30.48</f>
        <v/>
      </c>
      <c r="H1679" s="615" t="n"/>
      <c r="N1679" s="211" t="n"/>
      <c r="Q1679" s="271" t="n"/>
      <c r="R1679" s="282" t="n"/>
    </row>
    <row r="1680" ht="18" customHeight="1" s="305">
      <c r="A1680" s="8" t="n">
        <v>2308</v>
      </c>
      <c r="B1680" s="5" t="n">
        <v>148</v>
      </c>
      <c r="C1680" s="72" t="inlineStr">
        <is>
          <t>X</t>
        </is>
      </c>
      <c r="D1680" s="5" t="n">
        <v>265</v>
      </c>
      <c r="E1680" s="73">
        <f>B1680*D1680/10000</f>
        <v/>
      </c>
      <c r="F1680" s="74">
        <f>B1680/30.48</f>
        <v/>
      </c>
      <c r="G1680" s="74">
        <f>D1680/30.48</f>
        <v/>
      </c>
      <c r="H1680" s="615" t="n"/>
      <c r="N1680" s="211" t="n"/>
      <c r="Q1680" s="271" t="n"/>
      <c r="R1680" s="282" t="n"/>
    </row>
    <row r="1681" ht="18" customHeight="1" s="305">
      <c r="A1681" s="8" t="n">
        <v>2309</v>
      </c>
      <c r="B1681" s="5" t="n">
        <v>150</v>
      </c>
      <c r="C1681" s="72" t="inlineStr">
        <is>
          <t>X</t>
        </is>
      </c>
      <c r="D1681" s="5" t="n">
        <v>246</v>
      </c>
      <c r="E1681" s="73">
        <f>B1681*D1681/10000</f>
        <v/>
      </c>
      <c r="F1681" s="74">
        <f>B1681/30.48</f>
        <v/>
      </c>
      <c r="G1681" s="74">
        <f>D1681/30.48</f>
        <v/>
      </c>
      <c r="H1681" s="615" t="n"/>
      <c r="N1681" s="211" t="n"/>
      <c r="Q1681" s="271" t="n"/>
      <c r="R1681" s="282" t="n"/>
    </row>
    <row r="1682" ht="18" customHeight="1" s="305">
      <c r="A1682" s="8" t="n">
        <v>2313</v>
      </c>
      <c r="B1682" s="5" t="n">
        <v>92</v>
      </c>
      <c r="C1682" s="72" t="inlineStr">
        <is>
          <t>X</t>
        </is>
      </c>
      <c r="D1682" s="5" t="n">
        <v>328</v>
      </c>
      <c r="E1682" s="73">
        <f>B1682*D1682/10000</f>
        <v/>
      </c>
      <c r="F1682" s="74">
        <f>B1682/30.48</f>
        <v/>
      </c>
      <c r="G1682" s="74">
        <f>D1682/30.48</f>
        <v/>
      </c>
      <c r="H1682" s="615" t="n"/>
      <c r="N1682" s="211" t="n"/>
      <c r="Q1682" s="271" t="n"/>
      <c r="R1682" s="282" t="n"/>
    </row>
    <row r="1683" ht="18" customHeight="1" s="305">
      <c r="A1683" s="8" t="n">
        <v>2317</v>
      </c>
      <c r="B1683" s="5" t="n">
        <v>78</v>
      </c>
      <c r="C1683" s="72" t="inlineStr">
        <is>
          <t>X</t>
        </is>
      </c>
      <c r="D1683" s="5" t="n">
        <v>308</v>
      </c>
      <c r="E1683" s="73">
        <f>B1683*D1683/10000</f>
        <v/>
      </c>
      <c r="F1683" s="74">
        <f>B1683/30.48</f>
        <v/>
      </c>
      <c r="G1683" s="74">
        <f>D1683/30.48</f>
        <v/>
      </c>
      <c r="H1683" s="615" t="n"/>
      <c r="N1683" s="211" t="n"/>
      <c r="Q1683" s="271" t="n"/>
      <c r="R1683" s="282" t="n"/>
    </row>
    <row r="1684" ht="18" customHeight="1" s="305">
      <c r="A1684" s="8" t="n">
        <v>2321</v>
      </c>
      <c r="B1684" s="5" t="n">
        <v>86</v>
      </c>
      <c r="C1684" s="72" t="inlineStr">
        <is>
          <t>X</t>
        </is>
      </c>
      <c r="D1684" s="5" t="n">
        <v>345</v>
      </c>
      <c r="E1684" s="73">
        <f>B1684*D1684/10000</f>
        <v/>
      </c>
      <c r="F1684" s="74">
        <f>B1684/30.48</f>
        <v/>
      </c>
      <c r="G1684" s="74">
        <f>D1684/30.48</f>
        <v/>
      </c>
      <c r="H1684" s="615" t="n"/>
      <c r="N1684" s="211" t="n"/>
      <c r="Q1684" s="271" t="n"/>
      <c r="R1684" s="282" t="n"/>
      <c r="S1684" s="615" t="n"/>
    </row>
    <row r="1685" ht="18" customHeight="1" s="305">
      <c r="A1685" s="8" t="n">
        <v>2322</v>
      </c>
      <c r="B1685" s="5" t="n">
        <v>71</v>
      </c>
      <c r="C1685" s="72" t="inlineStr">
        <is>
          <t>X</t>
        </is>
      </c>
      <c r="D1685" s="5" t="n">
        <v>324</v>
      </c>
      <c r="E1685" s="73">
        <f>B1685*D1685/10000</f>
        <v/>
      </c>
      <c r="F1685" s="74">
        <f>B1685/30.48</f>
        <v/>
      </c>
      <c r="G1685" s="74">
        <f>D1685/30.48</f>
        <v/>
      </c>
      <c r="H1685" s="615" t="n"/>
      <c r="N1685" s="211" t="n"/>
      <c r="Q1685" s="271" t="n"/>
      <c r="R1685" s="282" t="n"/>
      <c r="S1685" s="615" t="n"/>
    </row>
    <row r="1686" ht="18" customHeight="1" s="305">
      <c r="A1686" s="8" t="n">
        <v>2324</v>
      </c>
      <c r="B1686" s="5" t="n">
        <v>79</v>
      </c>
      <c r="C1686" s="72" t="inlineStr">
        <is>
          <t>X</t>
        </is>
      </c>
      <c r="D1686" s="5" t="n">
        <v>316</v>
      </c>
      <c r="E1686" s="73">
        <f>B1686*D1686/10000</f>
        <v/>
      </c>
      <c r="F1686" s="74">
        <f>B1686/30.48</f>
        <v/>
      </c>
      <c r="G1686" s="74">
        <f>D1686/30.48</f>
        <v/>
      </c>
      <c r="H1686" s="615" t="n"/>
      <c r="N1686" s="211" t="n"/>
      <c r="Q1686" s="271" t="n"/>
      <c r="R1686" s="282" t="n"/>
    </row>
    <row r="1687" ht="18" customHeight="1" s="305">
      <c r="A1687" s="8" t="n">
        <v>2326</v>
      </c>
      <c r="B1687" s="5" t="n">
        <v>150</v>
      </c>
      <c r="C1687" s="72" t="inlineStr">
        <is>
          <t>X</t>
        </is>
      </c>
      <c r="D1687" s="5" t="n">
        <v>246</v>
      </c>
      <c r="E1687" s="73">
        <f>B1687*D1687/10000</f>
        <v/>
      </c>
      <c r="F1687" s="74">
        <f>B1687/30.48</f>
        <v/>
      </c>
      <c r="G1687" s="74">
        <f>D1687/30.48</f>
        <v/>
      </c>
      <c r="H1687" s="615" t="n"/>
      <c r="N1687" s="211" t="n"/>
      <c r="Q1687" s="271" t="n"/>
      <c r="R1687" s="282" t="n"/>
    </row>
    <row r="1688" ht="18" customHeight="1" s="305">
      <c r="A1688" s="8" t="n">
        <v>2327</v>
      </c>
      <c r="B1688" s="5" t="n">
        <v>143</v>
      </c>
      <c r="C1688" s="72" t="inlineStr">
        <is>
          <t>X</t>
        </is>
      </c>
      <c r="D1688" s="5" t="n">
        <v>307</v>
      </c>
      <c r="E1688" s="73">
        <f>B1688*D1688/10000</f>
        <v/>
      </c>
      <c r="F1688" s="74">
        <f>B1688/30.48</f>
        <v/>
      </c>
      <c r="G1688" s="74">
        <f>D1688/30.48</f>
        <v/>
      </c>
      <c r="H1688" s="615" t="n"/>
      <c r="N1688" s="211" t="n"/>
      <c r="Q1688" s="271" t="n"/>
      <c r="R1688" s="282" t="n"/>
    </row>
    <row r="1689" ht="18" customHeight="1" s="305">
      <c r="A1689" s="8" t="n">
        <v>2334</v>
      </c>
      <c r="B1689" s="5" t="n">
        <v>79</v>
      </c>
      <c r="C1689" s="72" t="inlineStr">
        <is>
          <t>X</t>
        </is>
      </c>
      <c r="D1689" s="5" t="n">
        <v>299</v>
      </c>
      <c r="E1689" s="73">
        <f>B1689*D1689/10000</f>
        <v/>
      </c>
      <c r="F1689" s="74">
        <f>B1689/30.48</f>
        <v/>
      </c>
      <c r="G1689" s="74">
        <f>D1689/30.48</f>
        <v/>
      </c>
      <c r="H1689" s="615" t="n"/>
      <c r="N1689" s="211" t="n"/>
      <c r="Q1689" s="271" t="n"/>
      <c r="R1689" s="282" t="n"/>
    </row>
    <row r="1690" ht="18" customHeight="1" s="305">
      <c r="A1690" s="8" t="n">
        <v>2335</v>
      </c>
      <c r="B1690" s="5" t="n">
        <v>78</v>
      </c>
      <c r="C1690" s="72" t="inlineStr">
        <is>
          <t>X</t>
        </is>
      </c>
      <c r="D1690" s="5" t="n">
        <v>331</v>
      </c>
      <c r="E1690" s="73">
        <f>B1690*D1690/10000</f>
        <v/>
      </c>
      <c r="F1690" s="74">
        <f>B1690/30.48</f>
        <v/>
      </c>
      <c r="G1690" s="74">
        <f>D1690/30.48</f>
        <v/>
      </c>
      <c r="H1690" s="615" t="n"/>
      <c r="N1690" s="211" t="n"/>
      <c r="Q1690" s="271" t="n"/>
      <c r="R1690" s="282" t="n"/>
    </row>
    <row r="1691" ht="18" customHeight="1" s="305">
      <c r="A1691" s="8" t="n">
        <v>2338</v>
      </c>
      <c r="B1691" s="5" t="n">
        <v>137</v>
      </c>
      <c r="C1691" s="72" t="inlineStr">
        <is>
          <t>X</t>
        </is>
      </c>
      <c r="D1691" s="5" t="n">
        <v>235</v>
      </c>
      <c r="E1691" s="73">
        <f>B1691*D1691/10000</f>
        <v/>
      </c>
      <c r="F1691" s="74">
        <f>B1691/30.48</f>
        <v/>
      </c>
      <c r="G1691" s="74">
        <f>D1691/30.48</f>
        <v/>
      </c>
      <c r="H1691" s="615" t="n"/>
      <c r="N1691" s="211" t="n"/>
      <c r="Q1691" s="271" t="n"/>
      <c r="R1691" s="282" t="n"/>
    </row>
    <row r="1692" ht="18" customHeight="1" s="305">
      <c r="A1692" s="8" t="n">
        <v>2340</v>
      </c>
      <c r="B1692" s="5" t="n">
        <v>186</v>
      </c>
      <c r="C1692" s="72" t="inlineStr">
        <is>
          <t>X</t>
        </is>
      </c>
      <c r="D1692" s="5" t="n">
        <v>278</v>
      </c>
      <c r="E1692" s="73">
        <f>B1692*D1692/10000</f>
        <v/>
      </c>
      <c r="F1692" s="74">
        <f>B1692/30.48</f>
        <v/>
      </c>
      <c r="G1692" s="74">
        <f>D1692/30.48</f>
        <v/>
      </c>
      <c r="H1692" s="615" t="n"/>
      <c r="N1692" s="211" t="n"/>
      <c r="Q1692" s="271" t="n"/>
      <c r="R1692" s="282" t="n"/>
    </row>
    <row r="1693" ht="18" customHeight="1" s="305">
      <c r="A1693" s="8" t="n">
        <v>2342</v>
      </c>
      <c r="B1693" s="5" t="n">
        <v>97</v>
      </c>
      <c r="C1693" s="72" t="inlineStr">
        <is>
          <t>X</t>
        </is>
      </c>
      <c r="D1693" s="5" t="n">
        <v>127</v>
      </c>
      <c r="E1693" s="73">
        <f>B1693*D1693/10000</f>
        <v/>
      </c>
      <c r="F1693" s="74">
        <f>B1693/30.48</f>
        <v/>
      </c>
      <c r="G1693" s="74">
        <f>D1693/30.48</f>
        <v/>
      </c>
      <c r="H1693" s="615" t="n"/>
      <c r="N1693" s="211" t="n"/>
      <c r="Q1693" s="271" t="n"/>
      <c r="R1693" s="282" t="n"/>
    </row>
    <row r="1694" ht="18" customHeight="1" s="305">
      <c r="A1694" s="8" t="n">
        <v>2343</v>
      </c>
      <c r="B1694" s="5" t="n">
        <v>134</v>
      </c>
      <c r="C1694" s="72" t="inlineStr">
        <is>
          <t>X</t>
        </is>
      </c>
      <c r="D1694" s="5" t="n">
        <v>244</v>
      </c>
      <c r="E1694" s="73">
        <f>B1694*D1694/10000</f>
        <v/>
      </c>
      <c r="F1694" s="74">
        <f>B1694/30.48</f>
        <v/>
      </c>
      <c r="G1694" s="74">
        <f>D1694/30.48</f>
        <v/>
      </c>
      <c r="H1694" s="615" t="n"/>
      <c r="N1694" s="211" t="n"/>
      <c r="Q1694" s="271" t="n"/>
      <c r="R1694" s="282" t="n"/>
    </row>
    <row r="1695" ht="18" customHeight="1" s="305">
      <c r="A1695" s="8" t="n">
        <v>2344</v>
      </c>
      <c r="B1695" s="5" t="n">
        <v>91</v>
      </c>
      <c r="C1695" s="72" t="inlineStr">
        <is>
          <t>X</t>
        </is>
      </c>
      <c r="D1695" s="5" t="n">
        <v>326</v>
      </c>
      <c r="E1695" s="73">
        <f>B1695*D1695/10000</f>
        <v/>
      </c>
      <c r="F1695" s="74">
        <f>B1695/30.48</f>
        <v/>
      </c>
      <c r="G1695" s="74">
        <f>D1695/30.48</f>
        <v/>
      </c>
      <c r="H1695" s="615" t="n"/>
      <c r="N1695" s="211" t="n"/>
      <c r="Q1695" s="271" t="n"/>
      <c r="R1695" s="282" t="n"/>
    </row>
    <row r="1696" ht="18" customHeight="1" s="305">
      <c r="A1696" s="8" t="n">
        <v>2346</v>
      </c>
      <c r="B1696" s="5" t="n">
        <v>210</v>
      </c>
      <c r="C1696" s="72" t="inlineStr">
        <is>
          <t>X</t>
        </is>
      </c>
      <c r="D1696" s="5" t="n">
        <v>305</v>
      </c>
      <c r="E1696" s="73">
        <f>B1696*D1696/10000</f>
        <v/>
      </c>
      <c r="F1696" s="74">
        <f>B1696/30.48</f>
        <v/>
      </c>
      <c r="G1696" s="74">
        <f>D1696/30.48</f>
        <v/>
      </c>
      <c r="H1696" s="615" t="n"/>
      <c r="N1696" s="211" t="n"/>
      <c r="Q1696" s="271" t="n"/>
      <c r="R1696" s="282" t="n"/>
    </row>
    <row r="1697" ht="18" customHeight="1" s="305">
      <c r="A1697" s="8" t="n">
        <v>2347</v>
      </c>
      <c r="B1697" s="5" t="n">
        <v>82</v>
      </c>
      <c r="C1697" s="72" t="inlineStr">
        <is>
          <t>X</t>
        </is>
      </c>
      <c r="D1697" s="5" t="n">
        <v>324</v>
      </c>
      <c r="E1697" s="73">
        <f>B1697*D1697/10000</f>
        <v/>
      </c>
      <c r="F1697" s="74">
        <f>B1697/30.48</f>
        <v/>
      </c>
      <c r="G1697" s="74">
        <f>D1697/30.48</f>
        <v/>
      </c>
      <c r="H1697" s="615" t="n"/>
      <c r="N1697" s="211" t="n"/>
      <c r="Q1697" s="271" t="n"/>
      <c r="R1697" s="282" t="n"/>
    </row>
    <row r="1698" ht="18" customHeight="1" s="305">
      <c r="A1698" s="8" t="n">
        <v>2348</v>
      </c>
      <c r="B1698" s="5" t="n">
        <v>80</v>
      </c>
      <c r="C1698" s="72" t="inlineStr">
        <is>
          <t>X</t>
        </is>
      </c>
      <c r="D1698" s="5" t="n">
        <v>325</v>
      </c>
      <c r="E1698" s="73">
        <f>B1698*D1698/10000</f>
        <v/>
      </c>
      <c r="F1698" s="74">
        <f>B1698/30.48</f>
        <v/>
      </c>
      <c r="G1698" s="74">
        <f>D1698/30.48</f>
        <v/>
      </c>
      <c r="H1698" s="615" t="n"/>
      <c r="N1698" s="211" t="n"/>
      <c r="Q1698" s="271" t="n"/>
      <c r="R1698" s="282" t="n"/>
    </row>
    <row r="1699" ht="18" customHeight="1" s="305">
      <c r="A1699" s="8" t="n">
        <v>2349</v>
      </c>
      <c r="B1699" s="5" t="n">
        <v>84</v>
      </c>
      <c r="C1699" s="72" t="inlineStr">
        <is>
          <t>X</t>
        </is>
      </c>
      <c r="D1699" s="5" t="n">
        <v>324</v>
      </c>
      <c r="E1699" s="73">
        <f>B1699*D1699/10000</f>
        <v/>
      </c>
      <c r="F1699" s="74">
        <f>B1699/30.48</f>
        <v/>
      </c>
      <c r="G1699" s="74">
        <f>D1699/30.48</f>
        <v/>
      </c>
      <c r="H1699" s="615" t="n"/>
      <c r="N1699" s="211" t="n"/>
      <c r="Q1699" s="271" t="n"/>
      <c r="R1699" s="282" t="n"/>
    </row>
    <row r="1700" ht="18" customHeight="1" s="305">
      <c r="A1700" s="8" t="n">
        <v>2352</v>
      </c>
      <c r="B1700" s="5" t="n">
        <v>131</v>
      </c>
      <c r="C1700" s="72" t="inlineStr">
        <is>
          <t>X</t>
        </is>
      </c>
      <c r="D1700" s="5" t="n">
        <v>396</v>
      </c>
      <c r="E1700" s="73">
        <f>B1700*D1700/10000</f>
        <v/>
      </c>
      <c r="F1700" s="74">
        <f>B1700/30.48</f>
        <v/>
      </c>
      <c r="G1700" s="74">
        <f>D1700/30.48</f>
        <v/>
      </c>
      <c r="H1700" s="615" t="n"/>
      <c r="N1700" s="211" t="n"/>
      <c r="Q1700" s="271" t="n"/>
      <c r="R1700" s="282" t="n"/>
    </row>
    <row r="1701" ht="18" customHeight="1" s="305">
      <c r="A1701" s="8" t="n">
        <v>2353</v>
      </c>
      <c r="B1701" s="5" t="n">
        <v>117</v>
      </c>
      <c r="C1701" s="72" t="inlineStr">
        <is>
          <t>X</t>
        </is>
      </c>
      <c r="D1701" s="5" t="n">
        <v>372</v>
      </c>
      <c r="E1701" s="73">
        <f>B1701*D1701/10000</f>
        <v/>
      </c>
      <c r="F1701" s="74">
        <f>B1701/30.48</f>
        <v/>
      </c>
      <c r="G1701" s="74">
        <f>D1701/30.48</f>
        <v/>
      </c>
      <c r="H1701" s="615" t="n"/>
      <c r="N1701" s="211" t="n"/>
      <c r="Q1701" s="271" t="n"/>
      <c r="R1701" s="282" t="n"/>
    </row>
    <row r="1702" ht="18" customHeight="1" s="305">
      <c r="A1702" s="8" t="n">
        <v>2357</v>
      </c>
      <c r="B1702" s="5" t="n">
        <v>77</v>
      </c>
      <c r="C1702" s="72" t="inlineStr">
        <is>
          <t>X</t>
        </is>
      </c>
      <c r="D1702" s="5" t="n">
        <v>169</v>
      </c>
      <c r="E1702" s="73">
        <f>B1702*D1702/10000</f>
        <v/>
      </c>
      <c r="F1702" s="74">
        <f>B1702/30.48</f>
        <v/>
      </c>
      <c r="G1702" s="74">
        <f>D1702/30.48</f>
        <v/>
      </c>
      <c r="H1702" s="615" t="n"/>
      <c r="N1702" s="211" t="n"/>
      <c r="Q1702" s="271" t="n"/>
      <c r="R1702" s="282" t="n"/>
    </row>
    <row r="1703" ht="18" customHeight="1" s="305">
      <c r="A1703" s="8" t="n">
        <v>2360</v>
      </c>
      <c r="B1703" s="5" t="n">
        <v>86</v>
      </c>
      <c r="C1703" s="72" t="inlineStr">
        <is>
          <t>X</t>
        </is>
      </c>
      <c r="D1703" s="5" t="n">
        <v>378</v>
      </c>
      <c r="E1703" s="73">
        <f>B1703*D1703/10000</f>
        <v/>
      </c>
      <c r="F1703" s="74">
        <f>B1703/30.48</f>
        <v/>
      </c>
      <c r="G1703" s="74">
        <f>D1703/30.48</f>
        <v/>
      </c>
      <c r="H1703" s="615" t="n"/>
      <c r="N1703" s="211" t="n"/>
      <c r="Q1703" s="271" t="n"/>
      <c r="R1703" s="282" t="n"/>
    </row>
    <row r="1704" ht="18" customHeight="1" s="305">
      <c r="A1704" s="8" t="n">
        <v>2361</v>
      </c>
      <c r="B1704" s="5" t="n">
        <v>150</v>
      </c>
      <c r="C1704" s="72" t="inlineStr">
        <is>
          <t>X</t>
        </is>
      </c>
      <c r="D1704" s="5" t="n">
        <v>217</v>
      </c>
      <c r="E1704" s="73">
        <f>B1704*D1704/10000</f>
        <v/>
      </c>
      <c r="F1704" s="74">
        <f>B1704/30.48</f>
        <v/>
      </c>
      <c r="G1704" s="74">
        <f>D1704/30.48</f>
        <v/>
      </c>
      <c r="H1704" s="615" t="n"/>
      <c r="N1704" s="211" t="n"/>
      <c r="Q1704" s="271" t="n"/>
      <c r="R1704" s="282" t="n"/>
    </row>
    <row r="1705" ht="18" customHeight="1" s="305">
      <c r="A1705" s="8" t="n">
        <v>2362</v>
      </c>
      <c r="B1705" s="5" t="n">
        <v>80</v>
      </c>
      <c r="C1705" s="72" t="inlineStr">
        <is>
          <t>X</t>
        </is>
      </c>
      <c r="D1705" s="5" t="n">
        <v>374</v>
      </c>
      <c r="E1705" s="73">
        <f>B1705*D1705/10000</f>
        <v/>
      </c>
      <c r="F1705" s="74">
        <f>B1705/30.48</f>
        <v/>
      </c>
      <c r="G1705" s="74">
        <f>D1705/30.48</f>
        <v/>
      </c>
      <c r="H1705" s="615" t="n"/>
      <c r="N1705" s="211" t="n"/>
      <c r="Q1705" s="271" t="n"/>
      <c r="R1705" s="282" t="n"/>
    </row>
    <row r="1706" ht="18" customHeight="1" s="305">
      <c r="A1706" s="8" t="n">
        <v>2363</v>
      </c>
      <c r="B1706" s="5" t="n">
        <v>88</v>
      </c>
      <c r="C1706" s="72" t="inlineStr">
        <is>
          <t>X</t>
        </is>
      </c>
      <c r="D1706" s="5" t="n">
        <v>368</v>
      </c>
      <c r="E1706" s="73">
        <f>B1706*D1706/10000</f>
        <v/>
      </c>
      <c r="F1706" s="74">
        <f>B1706/30.48</f>
        <v/>
      </c>
      <c r="G1706" s="74">
        <f>D1706/30.48</f>
        <v/>
      </c>
      <c r="H1706" s="615" t="n"/>
      <c r="N1706" s="211" t="n"/>
      <c r="Q1706" s="271" t="n"/>
      <c r="R1706" s="282" t="n"/>
    </row>
    <row r="1707" ht="18" customHeight="1" s="305">
      <c r="A1707" s="8" t="n">
        <v>2365</v>
      </c>
      <c r="B1707" s="5" t="n">
        <v>78</v>
      </c>
      <c r="C1707" s="72" t="inlineStr">
        <is>
          <t>X</t>
        </is>
      </c>
      <c r="D1707" s="5" t="n">
        <v>386</v>
      </c>
      <c r="E1707" s="73">
        <f>B1707*D1707/10000</f>
        <v/>
      </c>
      <c r="F1707" s="74">
        <f>B1707/30.48</f>
        <v/>
      </c>
      <c r="G1707" s="74">
        <f>D1707/30.48</f>
        <v/>
      </c>
      <c r="H1707" s="615" t="n"/>
      <c r="N1707" s="211" t="n"/>
      <c r="Q1707" s="271" t="n"/>
      <c r="R1707" s="282" t="n"/>
    </row>
    <row r="1708" ht="18" customHeight="1" s="305">
      <c r="A1708" s="8" t="n">
        <v>2367</v>
      </c>
      <c r="B1708" s="5" t="n">
        <v>200</v>
      </c>
      <c r="C1708" s="72" t="inlineStr">
        <is>
          <t>X</t>
        </is>
      </c>
      <c r="D1708" s="5" t="n">
        <v>304</v>
      </c>
      <c r="E1708" s="73">
        <f>B1708*D1708/10000</f>
        <v/>
      </c>
      <c r="F1708" s="74">
        <f>B1708/30.48</f>
        <v/>
      </c>
      <c r="G1708" s="74">
        <f>D1708/30.48</f>
        <v/>
      </c>
      <c r="H1708" s="615" t="n"/>
      <c r="N1708" s="211" t="n"/>
      <c r="Q1708" s="271" t="n"/>
      <c r="R1708" s="282" t="n"/>
    </row>
    <row r="1709" ht="18" customHeight="1" s="305">
      <c r="A1709" s="8" t="n">
        <v>2369</v>
      </c>
      <c r="B1709" s="5" t="n">
        <v>86</v>
      </c>
      <c r="C1709" s="72" t="inlineStr">
        <is>
          <t>X</t>
        </is>
      </c>
      <c r="D1709" s="5" t="n">
        <v>339</v>
      </c>
      <c r="E1709" s="73">
        <f>B1709*D1709/10000</f>
        <v/>
      </c>
      <c r="F1709" s="74">
        <f>B1709/30.48</f>
        <v/>
      </c>
      <c r="G1709" s="74">
        <f>D1709/30.48</f>
        <v/>
      </c>
      <c r="H1709" s="615" t="n"/>
      <c r="K1709" s="51" t="inlineStr">
        <is>
          <t>PAC</t>
        </is>
      </c>
      <c r="N1709" s="211" t="n"/>
      <c r="Q1709" s="271" t="n"/>
      <c r="R1709" s="282" t="n"/>
    </row>
    <row r="1710" ht="18" customHeight="1" s="305">
      <c r="A1710" s="8" t="n">
        <v>2371</v>
      </c>
      <c r="B1710" s="5" t="n">
        <v>80</v>
      </c>
      <c r="C1710" s="72" t="inlineStr">
        <is>
          <t>X</t>
        </is>
      </c>
      <c r="D1710" s="5" t="n">
        <v>343</v>
      </c>
      <c r="E1710" s="73">
        <f>B1710*D1710/10000</f>
        <v/>
      </c>
      <c r="F1710" s="74">
        <f>B1710/30.48</f>
        <v/>
      </c>
      <c r="G1710" s="74">
        <f>D1710/30.48</f>
        <v/>
      </c>
      <c r="H1710" s="615" t="n"/>
      <c r="K1710" s="51" t="inlineStr">
        <is>
          <t>PAC</t>
        </is>
      </c>
      <c r="N1710" s="211" t="n"/>
      <c r="Q1710" s="271" t="n"/>
      <c r="R1710" s="282" t="n"/>
    </row>
    <row r="1711" ht="18" customHeight="1" s="305">
      <c r="A1711" s="8" t="n">
        <v>2372</v>
      </c>
      <c r="B1711" s="5" t="n">
        <v>90</v>
      </c>
      <c r="C1711" s="72" t="inlineStr">
        <is>
          <t>X</t>
        </is>
      </c>
      <c r="D1711" s="5" t="n">
        <v>367</v>
      </c>
      <c r="E1711" s="73">
        <f>B1711*D1711/10000</f>
        <v/>
      </c>
      <c r="F1711" s="74">
        <f>B1711/30.48</f>
        <v/>
      </c>
      <c r="G1711" s="74">
        <f>D1711/30.48</f>
        <v/>
      </c>
      <c r="H1711" s="615" t="n"/>
      <c r="N1711" s="211" t="n"/>
      <c r="Q1711" s="271" t="n"/>
      <c r="R1711" s="282" t="n"/>
    </row>
    <row r="1712" ht="18" customHeight="1" s="305">
      <c r="A1712" s="8" t="n">
        <v>2374</v>
      </c>
      <c r="B1712" s="5" t="n">
        <v>74</v>
      </c>
      <c r="C1712" s="72" t="inlineStr">
        <is>
          <t>X</t>
        </is>
      </c>
      <c r="D1712" s="5" t="n">
        <v>291</v>
      </c>
      <c r="E1712" s="73">
        <f>B1712*D1712/10000</f>
        <v/>
      </c>
      <c r="F1712" s="74">
        <f>B1712/30.48</f>
        <v/>
      </c>
      <c r="G1712" s="74">
        <f>D1712/30.48</f>
        <v/>
      </c>
      <c r="H1712" s="615" t="n"/>
      <c r="N1712" s="211" t="n"/>
      <c r="Q1712" s="271" t="n"/>
      <c r="R1712" s="282" t="n"/>
    </row>
    <row r="1713" ht="18" customHeight="1" s="305">
      <c r="A1713" s="8" t="n">
        <v>2376</v>
      </c>
      <c r="B1713" s="5" t="n">
        <v>89</v>
      </c>
      <c r="C1713" s="72" t="inlineStr">
        <is>
          <t>X</t>
        </is>
      </c>
      <c r="D1713" s="5" t="n">
        <v>274</v>
      </c>
      <c r="E1713" s="73">
        <f>B1713*D1713/10000</f>
        <v/>
      </c>
      <c r="F1713" s="74">
        <f>B1713/30.48</f>
        <v/>
      </c>
      <c r="G1713" s="74">
        <f>D1713/30.48</f>
        <v/>
      </c>
      <c r="H1713" s="615" t="n"/>
      <c r="N1713" s="211" t="n"/>
      <c r="P1713" s="261" t="inlineStr">
        <is>
          <t>wvn</t>
        </is>
      </c>
      <c r="Q1713" s="271" t="n"/>
      <c r="R1713" s="282" t="inlineStr">
        <is>
          <t>wvn</t>
        </is>
      </c>
    </row>
    <row r="1714" ht="18" customHeight="1" s="305">
      <c r="A1714" s="8" t="n">
        <v>2379</v>
      </c>
      <c r="B1714" s="5" t="n">
        <v>80</v>
      </c>
      <c r="C1714" s="72" t="inlineStr">
        <is>
          <t>X</t>
        </is>
      </c>
      <c r="D1714" s="5" t="n">
        <v>111</v>
      </c>
      <c r="E1714" s="73">
        <f>B1714*D1714/10000</f>
        <v/>
      </c>
      <c r="F1714" s="74">
        <f>B1714/30.48</f>
        <v/>
      </c>
      <c r="G1714" s="74">
        <f>D1714/30.48</f>
        <v/>
      </c>
      <c r="H1714" s="615" t="n"/>
      <c r="N1714" s="211" t="n"/>
      <c r="Q1714" s="271" t="n"/>
      <c r="R1714" s="282" t="n"/>
    </row>
    <row r="1715" ht="18" customHeight="1" s="305">
      <c r="A1715" s="8" t="n">
        <v>2381</v>
      </c>
      <c r="B1715" s="5" t="n">
        <v>99</v>
      </c>
      <c r="C1715" s="72" t="inlineStr">
        <is>
          <t>X</t>
        </is>
      </c>
      <c r="D1715" s="5" t="n">
        <v>184</v>
      </c>
      <c r="E1715" s="73">
        <f>B1715*D1715/10000</f>
        <v/>
      </c>
      <c r="F1715" s="74">
        <f>B1715/30.48</f>
        <v/>
      </c>
      <c r="G1715" s="74">
        <f>D1715/30.48</f>
        <v/>
      </c>
      <c r="H1715" s="615" t="n"/>
      <c r="N1715" s="211" t="n"/>
      <c r="Q1715" s="271" t="n"/>
      <c r="R1715" s="282" t="n"/>
    </row>
    <row r="1716" ht="18" customHeight="1" s="305">
      <c r="A1716" s="8" t="n">
        <v>2383</v>
      </c>
      <c r="B1716" s="5" t="n">
        <v>81</v>
      </c>
      <c r="C1716" s="72" t="inlineStr">
        <is>
          <t>X</t>
        </is>
      </c>
      <c r="D1716" s="5" t="n">
        <v>309</v>
      </c>
      <c r="E1716" s="73">
        <f>B1716*D1716/10000</f>
        <v/>
      </c>
      <c r="F1716" s="74">
        <f>B1716/30.48</f>
        <v/>
      </c>
      <c r="G1716" s="74">
        <f>D1716/30.48</f>
        <v/>
      </c>
      <c r="H1716" s="615" t="n"/>
      <c r="N1716" s="211" t="n"/>
      <c r="Q1716" s="271" t="n"/>
      <c r="R1716" s="282" t="n"/>
    </row>
    <row r="1717" ht="18" customHeight="1" s="305">
      <c r="A1717" s="8" t="n">
        <v>2384</v>
      </c>
      <c r="B1717" s="5" t="n">
        <v>90</v>
      </c>
      <c r="C1717" s="72" t="inlineStr">
        <is>
          <t>X</t>
        </is>
      </c>
      <c r="D1717" s="5" t="n">
        <v>417</v>
      </c>
      <c r="E1717" s="73">
        <f>B1717*D1717/10000</f>
        <v/>
      </c>
      <c r="F1717" s="74">
        <f>B1717/30.48</f>
        <v/>
      </c>
      <c r="G1717" s="74">
        <f>D1717/30.48</f>
        <v/>
      </c>
      <c r="H1717" s="615" t="n"/>
      <c r="N1717" s="211" t="n"/>
      <c r="Q1717" s="271" t="n"/>
      <c r="R1717" s="282" t="n"/>
    </row>
    <row r="1718" ht="18" customHeight="1" s="305">
      <c r="A1718" s="8" t="n">
        <v>2386</v>
      </c>
      <c r="B1718" s="5" t="n">
        <v>75</v>
      </c>
      <c r="C1718" s="72" t="inlineStr">
        <is>
          <t>X</t>
        </is>
      </c>
      <c r="D1718" s="5" t="n">
        <v>331</v>
      </c>
      <c r="E1718" s="73">
        <f>B1718*D1718/10000</f>
        <v/>
      </c>
      <c r="F1718" s="74">
        <f>B1718/30.48</f>
        <v/>
      </c>
      <c r="G1718" s="74">
        <f>D1718/30.48</f>
        <v/>
      </c>
      <c r="H1718" s="615" t="n"/>
      <c r="N1718" s="211" t="n"/>
      <c r="Q1718" s="271" t="n"/>
      <c r="R1718" s="282" t="n"/>
    </row>
    <row r="1719" ht="18" customHeight="1" s="305">
      <c r="A1719" s="8" t="n">
        <v>2387</v>
      </c>
      <c r="B1719" s="5" t="n">
        <v>116</v>
      </c>
      <c r="C1719" s="72" t="inlineStr">
        <is>
          <t>X</t>
        </is>
      </c>
      <c r="D1719" s="5" t="n">
        <v>362</v>
      </c>
      <c r="E1719" s="73">
        <f>B1719*D1719/10000</f>
        <v/>
      </c>
      <c r="F1719" s="74">
        <f>B1719/30.48</f>
        <v/>
      </c>
      <c r="G1719" s="74">
        <f>D1719/30.48</f>
        <v/>
      </c>
      <c r="H1719" s="615" t="n"/>
      <c r="N1719" s="211" t="n"/>
      <c r="Q1719" s="271" t="n"/>
      <c r="R1719" s="282" t="n"/>
    </row>
    <row r="1720" ht="18" customHeight="1" s="305">
      <c r="A1720" s="8" t="n">
        <v>2388</v>
      </c>
      <c r="B1720" s="5" t="n">
        <v>79</v>
      </c>
      <c r="C1720" s="72" t="inlineStr">
        <is>
          <t>X</t>
        </is>
      </c>
      <c r="D1720" s="5" t="n">
        <v>405</v>
      </c>
      <c r="E1720" s="73">
        <f>B1720*D1720/10000</f>
        <v/>
      </c>
      <c r="F1720" s="74">
        <f>B1720/30.48</f>
        <v/>
      </c>
      <c r="G1720" s="74">
        <f>D1720/30.48</f>
        <v/>
      </c>
      <c r="H1720" s="615" t="n"/>
      <c r="N1720" s="211" t="n"/>
      <c r="Q1720" s="271" t="n"/>
      <c r="R1720" s="282" t="n"/>
    </row>
    <row r="1721" ht="18" customHeight="1" s="305">
      <c r="A1721" s="8" t="n">
        <v>2389</v>
      </c>
      <c r="B1721" s="5" t="n">
        <v>79</v>
      </c>
      <c r="C1721" s="72" t="inlineStr">
        <is>
          <t>X</t>
        </is>
      </c>
      <c r="D1721" s="5" t="n">
        <v>389</v>
      </c>
      <c r="E1721" s="73">
        <f>B1721*D1721/10000</f>
        <v/>
      </c>
      <c r="F1721" s="74">
        <f>B1721/30.48</f>
        <v/>
      </c>
      <c r="G1721" s="74">
        <f>D1721/30.48</f>
        <v/>
      </c>
      <c r="H1721" s="615" t="n"/>
      <c r="K1721" s="51" t="inlineStr">
        <is>
          <t>PAC</t>
        </is>
      </c>
      <c r="N1721" s="211" t="n"/>
      <c r="Q1721" s="271" t="n"/>
      <c r="R1721" s="282" t="n"/>
    </row>
    <row r="1722" ht="18" customHeight="1" s="305">
      <c r="A1722" s="8" t="n">
        <v>2391</v>
      </c>
      <c r="B1722" s="5" t="n">
        <v>88</v>
      </c>
      <c r="C1722" s="72" t="inlineStr">
        <is>
          <t>X</t>
        </is>
      </c>
      <c r="D1722" s="5" t="n">
        <v>388</v>
      </c>
      <c r="E1722" s="73">
        <f>B1722*D1722/10000</f>
        <v/>
      </c>
      <c r="F1722" s="74">
        <f>B1722/30.48</f>
        <v/>
      </c>
      <c r="G1722" s="74">
        <f>D1722/30.48</f>
        <v/>
      </c>
      <c r="H1722" s="615" t="n"/>
      <c r="N1722" s="211" t="n"/>
      <c r="Q1722" s="271" t="n"/>
      <c r="R1722" s="282" t="n"/>
    </row>
    <row r="1723" ht="18" customHeight="1" s="305">
      <c r="A1723" s="8" t="n">
        <v>2393</v>
      </c>
      <c r="B1723" s="5" t="n">
        <v>74</v>
      </c>
      <c r="C1723" s="72" t="inlineStr">
        <is>
          <t>X</t>
        </is>
      </c>
      <c r="D1723" s="5" t="n">
        <v>145</v>
      </c>
      <c r="E1723" s="73">
        <f>B1723*D1723/10000</f>
        <v/>
      </c>
      <c r="F1723" s="74">
        <f>B1723/30.48</f>
        <v/>
      </c>
      <c r="G1723" s="74">
        <f>D1723/30.48</f>
        <v/>
      </c>
      <c r="H1723" s="615" t="n"/>
      <c r="N1723" s="211" t="n"/>
      <c r="Q1723" s="271" t="n"/>
      <c r="R1723" s="282" t="n"/>
    </row>
    <row r="1724" ht="18" customHeight="1" s="305">
      <c r="A1724" s="8" t="n">
        <v>2394</v>
      </c>
      <c r="B1724" s="5" t="n">
        <v>87</v>
      </c>
      <c r="C1724" s="72" t="inlineStr">
        <is>
          <t>X</t>
        </is>
      </c>
      <c r="D1724" s="5" t="n">
        <v>151</v>
      </c>
      <c r="E1724" s="73">
        <f>B1724*D1724/10000</f>
        <v/>
      </c>
      <c r="F1724" s="74">
        <f>B1724/30.48</f>
        <v/>
      </c>
      <c r="G1724" s="74">
        <f>D1724/30.48</f>
        <v/>
      </c>
      <c r="H1724" s="615" t="n"/>
      <c r="N1724" s="211" t="n"/>
      <c r="Q1724" s="271" t="n"/>
      <c r="R1724" s="282" t="n"/>
    </row>
    <row r="1725" ht="18" customHeight="1" s="305">
      <c r="A1725" s="8" t="n">
        <v>2397</v>
      </c>
      <c r="B1725" s="5" t="n">
        <v>215</v>
      </c>
      <c r="C1725" s="72" t="inlineStr">
        <is>
          <t>X</t>
        </is>
      </c>
      <c r="D1725" s="5" t="n">
        <v>293</v>
      </c>
      <c r="E1725" s="73">
        <f>B1725*D1725/10000</f>
        <v/>
      </c>
      <c r="F1725" s="74">
        <f>B1725/30.48</f>
        <v/>
      </c>
      <c r="G1725" s="74">
        <f>D1725/30.48</f>
        <v/>
      </c>
      <c r="H1725" s="615" t="n"/>
      <c r="N1725" s="211" t="n"/>
      <c r="Q1725" s="271" t="n"/>
      <c r="R1725" s="282" t="n"/>
    </row>
    <row r="1726" ht="18" customHeight="1" s="305">
      <c r="A1726" s="8" t="n">
        <v>2399</v>
      </c>
      <c r="B1726" s="5" t="n">
        <v>183</v>
      </c>
      <c r="C1726" s="72" t="inlineStr">
        <is>
          <t>X</t>
        </is>
      </c>
      <c r="D1726" s="5" t="n">
        <v>279</v>
      </c>
      <c r="E1726" s="73">
        <f>B1726*D1726/10000</f>
        <v/>
      </c>
      <c r="F1726" s="74">
        <f>B1726/30.48</f>
        <v/>
      </c>
      <c r="G1726" s="74">
        <f>D1726/30.48</f>
        <v/>
      </c>
      <c r="H1726" s="615" t="n"/>
      <c r="N1726" s="211" t="n"/>
      <c r="Q1726" s="271" t="n"/>
      <c r="R1726" s="282" t="n"/>
    </row>
    <row r="1727" ht="18" customHeight="1" s="305">
      <c r="A1727" s="8" t="n">
        <v>2400</v>
      </c>
      <c r="B1727" s="5" t="n">
        <v>121</v>
      </c>
      <c r="C1727" s="72" t="inlineStr">
        <is>
          <t>X</t>
        </is>
      </c>
      <c r="D1727" s="5" t="n">
        <v>213</v>
      </c>
      <c r="E1727" s="73">
        <f>B1727*D1727/10000</f>
        <v/>
      </c>
      <c r="F1727" s="74">
        <f>B1727/30.48</f>
        <v/>
      </c>
      <c r="G1727" s="74">
        <f>D1727/30.48</f>
        <v/>
      </c>
      <c r="H1727" s="615" t="n"/>
      <c r="N1727" s="211" t="n"/>
      <c r="Q1727" s="271" t="n"/>
      <c r="R1727" s="282" t="n"/>
    </row>
    <row r="1728" ht="18" customHeight="1" s="305">
      <c r="A1728" s="8" t="n">
        <v>2406</v>
      </c>
      <c r="B1728" s="5" t="n">
        <v>90</v>
      </c>
      <c r="C1728" s="72" t="inlineStr">
        <is>
          <t>X</t>
        </is>
      </c>
      <c r="D1728" s="5" t="n">
        <v>192</v>
      </c>
      <c r="E1728" s="73">
        <f>B1728*D1728/10000</f>
        <v/>
      </c>
      <c r="F1728" s="74">
        <f>B1728/30.48</f>
        <v/>
      </c>
      <c r="G1728" s="74">
        <f>D1728/30.48</f>
        <v/>
      </c>
      <c r="H1728" s="615" t="n"/>
      <c r="N1728" s="211" t="n"/>
      <c r="Q1728" s="271" t="n"/>
      <c r="R1728" s="282" t="n"/>
    </row>
    <row r="1729" ht="18" customHeight="1" s="305">
      <c r="A1729" s="8" t="n">
        <v>2412</v>
      </c>
      <c r="B1729" s="5" t="n">
        <v>227</v>
      </c>
      <c r="C1729" s="72" t="inlineStr">
        <is>
          <t>X</t>
        </is>
      </c>
      <c r="D1729" s="5" t="n">
        <v>323</v>
      </c>
      <c r="E1729" s="73">
        <f>B1729*D1729/10000</f>
        <v/>
      </c>
      <c r="F1729" s="74">
        <f>B1729/30.48</f>
        <v/>
      </c>
      <c r="G1729" s="74">
        <f>D1729/30.48</f>
        <v/>
      </c>
      <c r="H1729" s="615" t="n"/>
      <c r="N1729" s="211" t="n"/>
      <c r="Q1729" s="271" t="n"/>
      <c r="R1729" s="282" t="n"/>
    </row>
    <row r="1730" ht="18" customHeight="1" s="305">
      <c r="A1730" s="8" t="n">
        <v>2416</v>
      </c>
      <c r="B1730" s="5" t="n">
        <v>82</v>
      </c>
      <c r="C1730" s="72" t="inlineStr">
        <is>
          <t>X</t>
        </is>
      </c>
      <c r="D1730" s="5" t="n">
        <v>354</v>
      </c>
      <c r="E1730" s="73">
        <f>B1730*D1730/10000</f>
        <v/>
      </c>
      <c r="F1730" s="74">
        <f>B1730/30.48</f>
        <v/>
      </c>
      <c r="G1730" s="74">
        <f>D1730/30.48</f>
        <v/>
      </c>
      <c r="H1730" s="615" t="n"/>
      <c r="N1730" s="211" t="n"/>
      <c r="Q1730" s="271" t="n"/>
      <c r="R1730" s="282" t="n"/>
    </row>
    <row r="1731" ht="18" customHeight="1" s="305">
      <c r="A1731" s="8" t="n">
        <v>2418</v>
      </c>
      <c r="B1731" s="5" t="n">
        <v>135</v>
      </c>
      <c r="C1731" s="72" t="inlineStr">
        <is>
          <t>X</t>
        </is>
      </c>
      <c r="D1731" s="5" t="n">
        <v>255</v>
      </c>
      <c r="E1731" s="73">
        <f>B1731*D1731/10000</f>
        <v/>
      </c>
      <c r="F1731" s="74">
        <f>B1731/30.48</f>
        <v/>
      </c>
      <c r="G1731" s="74">
        <f>D1731/30.48</f>
        <v/>
      </c>
      <c r="H1731" s="615" t="n"/>
      <c r="N1731" s="211" t="n"/>
      <c r="Q1731" s="271" t="n"/>
      <c r="R1731" s="282" t="n"/>
    </row>
    <row r="1732" ht="18" customHeight="1" s="305">
      <c r="A1732" s="8" t="n">
        <v>2420</v>
      </c>
      <c r="B1732" s="5" t="n">
        <v>77</v>
      </c>
      <c r="C1732" s="72" t="inlineStr">
        <is>
          <t>X</t>
        </is>
      </c>
      <c r="D1732" s="5" t="n">
        <v>338</v>
      </c>
      <c r="E1732" s="73">
        <f>B1732*D1732/10000</f>
        <v/>
      </c>
      <c r="F1732" s="74">
        <f>B1732/30.48</f>
        <v/>
      </c>
      <c r="G1732" s="74">
        <f>D1732/30.48</f>
        <v/>
      </c>
      <c r="H1732" s="615" t="n"/>
      <c r="N1732" s="211" t="n"/>
      <c r="Q1732" s="271" t="n"/>
      <c r="R1732" s="282" t="n"/>
    </row>
    <row r="1733" ht="18" customHeight="1" s="305">
      <c r="A1733" s="8" t="n">
        <v>2422</v>
      </c>
      <c r="B1733" s="5" t="n">
        <v>78</v>
      </c>
      <c r="C1733" s="72" t="inlineStr">
        <is>
          <t>X</t>
        </is>
      </c>
      <c r="D1733" s="5" t="n">
        <v>286</v>
      </c>
      <c r="E1733" s="73">
        <f>B1733*D1733/10000</f>
        <v/>
      </c>
      <c r="F1733" s="74">
        <f>B1733/30.48</f>
        <v/>
      </c>
      <c r="G1733" s="74">
        <f>D1733/30.48</f>
        <v/>
      </c>
      <c r="H1733" s="615" t="n"/>
      <c r="N1733" s="211" t="n"/>
      <c r="Q1733" s="271" t="n"/>
      <c r="R1733" s="282" t="n"/>
    </row>
    <row r="1734" ht="18" customHeight="1" s="305">
      <c r="A1734" s="8" t="n">
        <v>2423</v>
      </c>
      <c r="B1734" s="5" t="n">
        <v>153</v>
      </c>
      <c r="C1734" s="72" t="inlineStr">
        <is>
          <t>X</t>
        </is>
      </c>
      <c r="D1734" s="5" t="n">
        <v>248</v>
      </c>
      <c r="E1734" s="73">
        <f>B1734*D1734/10000</f>
        <v/>
      </c>
      <c r="F1734" s="74">
        <f>B1734/30.48</f>
        <v/>
      </c>
      <c r="G1734" s="74">
        <f>D1734/30.48</f>
        <v/>
      </c>
      <c r="H1734" s="615" t="n"/>
      <c r="N1734" s="211" t="n"/>
      <c r="Q1734" s="271" t="n"/>
      <c r="R1734" s="282" t="n"/>
    </row>
    <row r="1735" ht="18" customHeight="1" s="305">
      <c r="A1735" s="8" t="n">
        <v>2424</v>
      </c>
      <c r="B1735" s="5" t="n">
        <v>87</v>
      </c>
      <c r="C1735" s="72" t="inlineStr">
        <is>
          <t>X</t>
        </is>
      </c>
      <c r="D1735" s="5" t="n">
        <v>345</v>
      </c>
      <c r="E1735" s="73">
        <f>B1735*D1735/10000</f>
        <v/>
      </c>
      <c r="F1735" s="74">
        <f>B1735/30.48</f>
        <v/>
      </c>
      <c r="G1735" s="74">
        <f>D1735/30.48</f>
        <v/>
      </c>
      <c r="H1735" s="615" t="n"/>
      <c r="N1735" s="211" t="n"/>
      <c r="Q1735" s="271" t="n"/>
      <c r="R1735" s="282" t="n"/>
    </row>
    <row r="1736" ht="18" customHeight="1" s="305">
      <c r="A1736" s="8" t="n">
        <v>2426</v>
      </c>
      <c r="B1736" s="5" t="n">
        <v>85</v>
      </c>
      <c r="C1736" s="72" t="inlineStr">
        <is>
          <t>X</t>
        </is>
      </c>
      <c r="D1736" s="5" t="n">
        <v>367</v>
      </c>
      <c r="E1736" s="73">
        <f>B1736*D1736/10000</f>
        <v/>
      </c>
      <c r="F1736" s="74">
        <f>B1736/30.48</f>
        <v/>
      </c>
      <c r="G1736" s="74">
        <f>D1736/30.48</f>
        <v/>
      </c>
      <c r="H1736" s="615" t="n"/>
      <c r="N1736" s="211" t="n"/>
      <c r="Q1736" s="271" t="n"/>
      <c r="R1736" s="282" t="n"/>
    </row>
    <row r="1737" ht="18" customHeight="1" s="305">
      <c r="A1737" s="8" t="n">
        <v>2427</v>
      </c>
      <c r="B1737" s="5" t="n">
        <v>179</v>
      </c>
      <c r="C1737" s="72" t="inlineStr">
        <is>
          <t>X</t>
        </is>
      </c>
      <c r="D1737" s="5" t="n">
        <v>303</v>
      </c>
      <c r="E1737" s="73">
        <f>B1737*D1737/10000</f>
        <v/>
      </c>
      <c r="F1737" s="74">
        <f>B1737/30.48</f>
        <v/>
      </c>
      <c r="G1737" s="74">
        <f>D1737/30.48</f>
        <v/>
      </c>
      <c r="H1737" s="615" t="n"/>
      <c r="N1737" s="211" t="n"/>
      <c r="Q1737" s="271" t="n"/>
      <c r="R1737" s="282" t="n"/>
    </row>
    <row r="1738" ht="18" customHeight="1" s="305">
      <c r="A1738" s="8" t="n">
        <v>2428</v>
      </c>
      <c r="B1738" s="5" t="n">
        <v>125</v>
      </c>
      <c r="C1738" s="72" t="inlineStr">
        <is>
          <t>X</t>
        </is>
      </c>
      <c r="D1738" s="5" t="n">
        <v>235</v>
      </c>
      <c r="E1738" s="73">
        <f>B1738*D1738/10000</f>
        <v/>
      </c>
      <c r="F1738" s="74">
        <f>B1738/30.48</f>
        <v/>
      </c>
      <c r="G1738" s="74">
        <f>D1738/30.48</f>
        <v/>
      </c>
      <c r="H1738" s="615" t="n"/>
      <c r="N1738" s="211" t="n"/>
      <c r="Q1738" s="271" t="n"/>
      <c r="R1738" s="282" t="n"/>
    </row>
    <row r="1739" ht="18" customHeight="1" s="305">
      <c r="A1739" s="8" t="n">
        <v>2429</v>
      </c>
      <c r="B1739" s="5" t="n">
        <v>92</v>
      </c>
      <c r="C1739" s="72" t="inlineStr">
        <is>
          <t>X</t>
        </is>
      </c>
      <c r="D1739" s="5" t="n">
        <v>367</v>
      </c>
      <c r="E1739" s="73">
        <f>B1739*D1739/10000</f>
        <v/>
      </c>
      <c r="F1739" s="74">
        <f>B1739/30.48</f>
        <v/>
      </c>
      <c r="G1739" s="74">
        <f>D1739/30.48</f>
        <v/>
      </c>
      <c r="H1739" s="615" t="n"/>
      <c r="N1739" s="211" t="n"/>
      <c r="Q1739" s="271" t="n"/>
      <c r="R1739" s="282" t="n"/>
    </row>
    <row r="1740" ht="18" customHeight="1" s="305">
      <c r="A1740" s="8" t="n">
        <v>2430</v>
      </c>
      <c r="B1740" s="5" t="n">
        <v>183</v>
      </c>
      <c r="C1740" s="72" t="inlineStr">
        <is>
          <t>X</t>
        </is>
      </c>
      <c r="D1740" s="5" t="n">
        <v>280</v>
      </c>
      <c r="E1740" s="73">
        <f>B1740*D1740/10000</f>
        <v/>
      </c>
      <c r="F1740" s="74">
        <f>B1740/30.48</f>
        <v/>
      </c>
      <c r="G1740" s="74">
        <f>D1740/30.48</f>
        <v/>
      </c>
      <c r="H1740" s="615" t="n"/>
      <c r="N1740" s="211" t="n"/>
      <c r="Q1740" s="271" t="n"/>
      <c r="R1740" s="282" t="n"/>
    </row>
    <row r="1741" ht="18" customHeight="1" s="305">
      <c r="A1741" s="8" t="n">
        <v>2435</v>
      </c>
      <c r="B1741" s="5" t="n">
        <v>82</v>
      </c>
      <c r="C1741" s="72" t="inlineStr">
        <is>
          <t>X</t>
        </is>
      </c>
      <c r="D1741" s="5" t="n">
        <v>391</v>
      </c>
      <c r="E1741" s="73">
        <f>B1741*D1741/10000</f>
        <v/>
      </c>
      <c r="F1741" s="74">
        <f>B1741/30.48</f>
        <v/>
      </c>
      <c r="G1741" s="74">
        <f>D1741/30.48</f>
        <v/>
      </c>
      <c r="H1741" s="615" t="n"/>
      <c r="N1741" s="211" t="n"/>
      <c r="Q1741" s="271" t="n"/>
      <c r="R1741" s="282" t="n"/>
    </row>
    <row r="1742" ht="18" customHeight="1" s="305">
      <c r="A1742" s="8" t="n">
        <v>2439</v>
      </c>
      <c r="B1742" s="5" t="n">
        <v>122</v>
      </c>
      <c r="C1742" s="72" t="inlineStr">
        <is>
          <t>X</t>
        </is>
      </c>
      <c r="D1742" s="5" t="n">
        <v>212</v>
      </c>
      <c r="E1742" s="73">
        <f>B1742*D1742/10000</f>
        <v/>
      </c>
      <c r="F1742" s="74">
        <f>B1742/30.48</f>
        <v/>
      </c>
      <c r="G1742" s="74">
        <f>D1742/30.48</f>
        <v/>
      </c>
      <c r="H1742" s="615" t="n"/>
      <c r="N1742" s="211" t="n"/>
      <c r="Q1742" s="271" t="n"/>
      <c r="R1742" s="282" t="n"/>
    </row>
    <row r="1743" ht="18" customHeight="1" s="305">
      <c r="A1743" s="8" t="n">
        <v>2441</v>
      </c>
      <c r="B1743" s="5" t="n">
        <v>214</v>
      </c>
      <c r="C1743" s="72" t="inlineStr">
        <is>
          <t>X</t>
        </is>
      </c>
      <c r="D1743" s="5" t="n">
        <v>304</v>
      </c>
      <c r="E1743" s="73">
        <f>B1743*D1743/10000</f>
        <v/>
      </c>
      <c r="F1743" s="74">
        <f>B1743/30.48</f>
        <v/>
      </c>
      <c r="G1743" s="74">
        <f>D1743/30.48</f>
        <v/>
      </c>
      <c r="H1743" s="615" t="n"/>
      <c r="N1743" s="211" t="n"/>
      <c r="Q1743" s="271" t="n"/>
      <c r="R1743" s="282" t="n"/>
    </row>
    <row r="1744" ht="18" customHeight="1" s="305">
      <c r="A1744" s="8" t="n">
        <v>2442</v>
      </c>
      <c r="B1744" s="5" t="n">
        <v>56</v>
      </c>
      <c r="C1744" s="72" t="inlineStr">
        <is>
          <t>X</t>
        </is>
      </c>
      <c r="D1744" s="5" t="n">
        <v>118</v>
      </c>
      <c r="E1744" s="73">
        <f>B1744*D1744/10000</f>
        <v/>
      </c>
      <c r="F1744" s="74">
        <f>B1744/30.48</f>
        <v/>
      </c>
      <c r="G1744" s="74">
        <f>D1744/30.48</f>
        <v/>
      </c>
      <c r="H1744" s="615" t="n"/>
      <c r="N1744" s="211" t="n"/>
      <c r="Q1744" s="271" t="n"/>
      <c r="R1744" s="282" t="n"/>
    </row>
    <row r="1745" ht="18" customHeight="1" s="305">
      <c r="A1745" s="8" t="n">
        <v>2446</v>
      </c>
      <c r="B1745" s="5" t="n">
        <v>89</v>
      </c>
      <c r="C1745" s="72" t="inlineStr">
        <is>
          <t>X</t>
        </is>
      </c>
      <c r="D1745" s="5" t="n">
        <v>365</v>
      </c>
      <c r="E1745" s="73">
        <f>B1745*D1745/10000</f>
        <v/>
      </c>
      <c r="F1745" s="74">
        <f>B1745/30.48</f>
        <v/>
      </c>
      <c r="G1745" s="74">
        <f>D1745/30.48</f>
        <v/>
      </c>
      <c r="H1745" s="615" t="n"/>
      <c r="N1745" s="211" t="n"/>
      <c r="Q1745" s="271" t="n"/>
      <c r="R1745" s="282" t="n"/>
    </row>
    <row r="1746" ht="18" customHeight="1" s="305">
      <c r="A1746" s="8" t="n">
        <v>2450</v>
      </c>
      <c r="B1746" s="5" t="n">
        <v>74</v>
      </c>
      <c r="C1746" s="72" t="inlineStr">
        <is>
          <t>X</t>
        </is>
      </c>
      <c r="D1746" s="5" t="n">
        <v>391</v>
      </c>
      <c r="E1746" s="73">
        <f>B1746*D1746/10000</f>
        <v/>
      </c>
      <c r="F1746" s="74">
        <f>B1746/30.48</f>
        <v/>
      </c>
      <c r="G1746" s="74">
        <f>D1746/30.48</f>
        <v/>
      </c>
      <c r="H1746" s="615" t="n"/>
      <c r="N1746" s="211" t="n"/>
      <c r="Q1746" s="271" t="n"/>
      <c r="R1746" s="282" t="n"/>
    </row>
    <row r="1747" ht="18" customHeight="1" s="305">
      <c r="A1747" s="8" t="n">
        <v>2454</v>
      </c>
      <c r="B1747" s="5" t="n">
        <v>76</v>
      </c>
      <c r="C1747" s="72" t="inlineStr">
        <is>
          <t>X</t>
        </is>
      </c>
      <c r="D1747" s="5" t="n">
        <v>134</v>
      </c>
      <c r="E1747" s="73">
        <f>B1747*D1747/10000</f>
        <v/>
      </c>
      <c r="F1747" s="74">
        <f>B1747/30.48</f>
        <v/>
      </c>
      <c r="G1747" s="74">
        <f>D1747/30.48</f>
        <v/>
      </c>
      <c r="H1747" s="615" t="n"/>
      <c r="N1747" s="211" t="n"/>
      <c r="Q1747" s="271" t="n"/>
      <c r="R1747" s="282" t="n"/>
    </row>
    <row r="1748" ht="18" customHeight="1" s="305">
      <c r="A1748" s="8" t="n">
        <v>2463</v>
      </c>
      <c r="B1748" s="5" t="n">
        <v>85</v>
      </c>
      <c r="C1748" s="72" t="inlineStr">
        <is>
          <t>X</t>
        </is>
      </c>
      <c r="D1748" s="5" t="n">
        <v>284</v>
      </c>
      <c r="E1748" s="73">
        <f>B1748*D1748/10000</f>
        <v/>
      </c>
      <c r="F1748" s="74">
        <f>B1748/30.48</f>
        <v/>
      </c>
      <c r="G1748" s="74">
        <f>D1748/30.48</f>
        <v/>
      </c>
      <c r="H1748" s="615" t="n"/>
      <c r="N1748" s="211" t="n"/>
      <c r="P1748" s="261" t="inlineStr">
        <is>
          <t>wvn</t>
        </is>
      </c>
      <c r="Q1748" s="271" t="n"/>
      <c r="R1748" s="282" t="inlineStr">
        <is>
          <t>wvn</t>
        </is>
      </c>
    </row>
    <row r="1749" ht="18" customHeight="1" s="305">
      <c r="A1749" s="8" t="n">
        <v>2472</v>
      </c>
      <c r="B1749" s="5" t="n">
        <v>85</v>
      </c>
      <c r="C1749" s="72" t="inlineStr">
        <is>
          <t>X</t>
        </is>
      </c>
      <c r="D1749" s="5" t="n">
        <v>383</v>
      </c>
      <c r="E1749" s="73">
        <f>B1749*D1749/10000</f>
        <v/>
      </c>
      <c r="F1749" s="74">
        <f>B1749/30.48</f>
        <v/>
      </c>
      <c r="G1749" s="74">
        <f>D1749/30.48</f>
        <v/>
      </c>
      <c r="H1749" s="615" t="n"/>
      <c r="N1749" s="211" t="n"/>
      <c r="P1749" s="261" t="inlineStr">
        <is>
          <t>wvn</t>
        </is>
      </c>
      <c r="Q1749" s="271" t="n"/>
      <c r="R1749" s="282" t="inlineStr">
        <is>
          <t>wvn</t>
        </is>
      </c>
    </row>
    <row r="1750" ht="18" customHeight="1" s="305">
      <c r="A1750" s="8" t="n">
        <v>2475</v>
      </c>
      <c r="B1750" s="5" t="n">
        <v>84</v>
      </c>
      <c r="C1750" s="72" t="inlineStr">
        <is>
          <t>X</t>
        </is>
      </c>
      <c r="D1750" s="5" t="n">
        <v>350</v>
      </c>
      <c r="E1750" s="73">
        <f>B1750*D1750/10000</f>
        <v/>
      </c>
      <c r="F1750" s="74">
        <f>B1750/30.48</f>
        <v/>
      </c>
      <c r="G1750" s="74">
        <f>D1750/30.48</f>
        <v/>
      </c>
      <c r="H1750" s="615" t="n"/>
      <c r="N1750" s="211" t="n"/>
      <c r="P1750" s="261" t="inlineStr">
        <is>
          <t>wvn</t>
        </is>
      </c>
      <c r="Q1750" s="271" t="n"/>
      <c r="R1750" s="282" t="inlineStr">
        <is>
          <t>wvn</t>
        </is>
      </c>
    </row>
    <row r="1751" ht="18" customHeight="1" s="305">
      <c r="A1751" s="8" t="n">
        <v>2478</v>
      </c>
      <c r="B1751" s="5" t="n">
        <v>86</v>
      </c>
      <c r="C1751" s="72" t="inlineStr">
        <is>
          <t>X</t>
        </is>
      </c>
      <c r="D1751" s="5" t="n">
        <v>356</v>
      </c>
      <c r="E1751" s="73">
        <f>B1751*D1751/10000</f>
        <v/>
      </c>
      <c r="F1751" s="74">
        <f>B1751/30.48</f>
        <v/>
      </c>
      <c r="G1751" s="74">
        <f>D1751/30.48</f>
        <v/>
      </c>
      <c r="H1751" s="615" t="n"/>
      <c r="N1751" s="211" t="n"/>
      <c r="Q1751" s="271" t="n"/>
      <c r="R1751" s="282" t="n"/>
    </row>
    <row r="1752" ht="18" customHeight="1" s="305">
      <c r="A1752" s="8" t="n">
        <v>2479</v>
      </c>
      <c r="B1752" s="5" t="n">
        <v>74</v>
      </c>
      <c r="C1752" s="72" t="inlineStr">
        <is>
          <t>X</t>
        </is>
      </c>
      <c r="D1752" s="5" t="n">
        <v>330</v>
      </c>
      <c r="E1752" s="73">
        <f>B1752*D1752/10000</f>
        <v/>
      </c>
      <c r="F1752" s="74">
        <f>B1752/30.48</f>
        <v/>
      </c>
      <c r="G1752" s="74">
        <f>D1752/30.48</f>
        <v/>
      </c>
      <c r="H1752" s="615" t="n"/>
      <c r="N1752" s="211" t="n"/>
      <c r="Q1752" s="271" t="n"/>
      <c r="R1752" s="282" t="n"/>
    </row>
    <row r="1753" ht="18" customHeight="1" s="305">
      <c r="A1753" s="8" t="n">
        <v>2481</v>
      </c>
      <c r="B1753" s="5" t="n">
        <v>85</v>
      </c>
      <c r="C1753" s="72" t="inlineStr">
        <is>
          <t>X</t>
        </is>
      </c>
      <c r="D1753" s="5" t="n">
        <v>342</v>
      </c>
      <c r="E1753" s="73">
        <f>B1753*D1753/10000</f>
        <v/>
      </c>
      <c r="F1753" s="74">
        <f>B1753/30.48</f>
        <v/>
      </c>
      <c r="G1753" s="74">
        <f>D1753/30.48</f>
        <v/>
      </c>
      <c r="H1753" s="615" t="n"/>
      <c r="N1753" s="211" t="n"/>
      <c r="Q1753" s="271" t="n"/>
      <c r="R1753" s="282" t="n"/>
    </row>
    <row r="1754" ht="18" customHeight="1" s="305">
      <c r="A1754" s="8" t="n">
        <v>2463</v>
      </c>
      <c r="B1754" s="5" t="n">
        <v>87</v>
      </c>
      <c r="C1754" s="72" t="inlineStr">
        <is>
          <t>X</t>
        </is>
      </c>
      <c r="D1754" s="5" t="n">
        <v>408</v>
      </c>
      <c r="E1754" s="73">
        <f>B1754*D1754/10000</f>
        <v/>
      </c>
      <c r="F1754" s="74">
        <f>B1754/30.48</f>
        <v/>
      </c>
      <c r="G1754" s="74">
        <f>D1754/30.48</f>
        <v/>
      </c>
      <c r="H1754" s="615" t="n"/>
      <c r="N1754" s="211" t="n"/>
      <c r="Q1754" s="271" t="n"/>
      <c r="R1754" s="282" t="n"/>
    </row>
    <row r="1755" ht="18" customHeight="1" s="305">
      <c r="A1755" s="8" t="n">
        <v>2483</v>
      </c>
      <c r="B1755" s="5" t="n">
        <v>85</v>
      </c>
      <c r="C1755" s="72" t="inlineStr">
        <is>
          <t>X</t>
        </is>
      </c>
      <c r="D1755" s="5" t="n">
        <v>393</v>
      </c>
      <c r="E1755" s="73">
        <f>B1755*D1755/10000</f>
        <v/>
      </c>
      <c r="F1755" s="74">
        <f>B1755/30.48</f>
        <v/>
      </c>
      <c r="G1755" s="74">
        <f>D1755/30.48</f>
        <v/>
      </c>
      <c r="H1755" s="615" t="n"/>
      <c r="N1755" s="211" t="n"/>
      <c r="Q1755" s="271" t="n"/>
      <c r="R1755" s="282" t="n"/>
    </row>
    <row r="1756" ht="18" customHeight="1" s="305">
      <c r="A1756" s="8" t="n">
        <v>2488</v>
      </c>
      <c r="B1756" s="5" t="n">
        <v>81</v>
      </c>
      <c r="C1756" s="72" t="inlineStr">
        <is>
          <t>X</t>
        </is>
      </c>
      <c r="D1756" s="5" t="n">
        <v>389</v>
      </c>
      <c r="E1756" s="73">
        <f>B1756*D1756/10000</f>
        <v/>
      </c>
      <c r="F1756" s="74">
        <f>B1756/30.48</f>
        <v/>
      </c>
      <c r="G1756" s="74">
        <f>D1756/30.48</f>
        <v/>
      </c>
      <c r="H1756" s="615" t="n"/>
      <c r="N1756" s="211" t="n"/>
      <c r="Q1756" s="271" t="inlineStr">
        <is>
          <t>RST</t>
        </is>
      </c>
      <c r="R1756" s="282" t="n"/>
    </row>
    <row r="1757" ht="18" customHeight="1" s="305">
      <c r="A1757" s="8" t="n">
        <v>2500</v>
      </c>
      <c r="B1757" s="5" t="n">
        <v>159</v>
      </c>
      <c r="C1757" s="72" t="inlineStr">
        <is>
          <t>X</t>
        </is>
      </c>
      <c r="D1757" s="5" t="n">
        <v>251</v>
      </c>
      <c r="E1757" s="73">
        <f>B1757*D1757/10000</f>
        <v/>
      </c>
      <c r="F1757" s="74">
        <f>B1757/30.48</f>
        <v/>
      </c>
      <c r="G1757" s="74">
        <f>D1757/30.48</f>
        <v/>
      </c>
      <c r="H1757" s="615" t="n"/>
      <c r="N1757" s="211" t="n"/>
      <c r="Q1757" s="271" t="inlineStr">
        <is>
          <t>RST</t>
        </is>
      </c>
      <c r="R1757" s="282" t="n"/>
    </row>
    <row r="1758" ht="18" customHeight="1" s="305">
      <c r="A1758" s="8" t="n">
        <v>2503</v>
      </c>
      <c r="B1758" s="5" t="n">
        <v>83</v>
      </c>
      <c r="C1758" s="72" t="inlineStr">
        <is>
          <t>X</t>
        </is>
      </c>
      <c r="D1758" s="5" t="n">
        <v>320</v>
      </c>
      <c r="E1758" s="73">
        <f>B1758*D1758/10000</f>
        <v/>
      </c>
      <c r="F1758" s="74">
        <f>B1758/30.48</f>
        <v/>
      </c>
      <c r="G1758" s="74">
        <f>D1758/30.48</f>
        <v/>
      </c>
      <c r="H1758" s="615" t="n"/>
      <c r="N1758" s="211" t="n"/>
      <c r="P1758" s="261" t="inlineStr">
        <is>
          <t>wvn</t>
        </is>
      </c>
      <c r="Q1758" s="271" t="inlineStr">
        <is>
          <t>RST</t>
        </is>
      </c>
      <c r="R1758" s="282" t="inlineStr">
        <is>
          <t>wvn</t>
        </is>
      </c>
    </row>
    <row r="1759" ht="18" customHeight="1" s="305">
      <c r="A1759" s="8" t="n">
        <v>2510</v>
      </c>
      <c r="B1759" s="5" t="n">
        <v>86</v>
      </c>
      <c r="C1759" s="72" t="inlineStr">
        <is>
          <t>X</t>
        </is>
      </c>
      <c r="D1759" s="5" t="n">
        <v>201</v>
      </c>
      <c r="E1759" s="73">
        <f>B1759*D1759/10000</f>
        <v/>
      </c>
      <c r="F1759" s="74">
        <f>B1759/30.48</f>
        <v/>
      </c>
      <c r="G1759" s="74">
        <f>D1759/30.48</f>
        <v/>
      </c>
      <c r="H1759" s="615" t="n"/>
      <c r="N1759" s="211" t="n"/>
      <c r="P1759" s="261" t="inlineStr">
        <is>
          <t>wvn</t>
        </is>
      </c>
      <c r="Q1759" s="271" t="inlineStr">
        <is>
          <t>RST</t>
        </is>
      </c>
      <c r="R1759" s="282" t="inlineStr">
        <is>
          <t>wvn</t>
        </is>
      </c>
    </row>
    <row r="1760" ht="18" customHeight="1" s="305">
      <c r="A1760" s="8" t="n">
        <v>2511</v>
      </c>
      <c r="B1760" s="5" t="n">
        <v>167</v>
      </c>
      <c r="C1760" s="72" t="inlineStr">
        <is>
          <t>X</t>
        </is>
      </c>
      <c r="D1760" s="5" t="n">
        <v>232</v>
      </c>
      <c r="E1760" s="73">
        <f>B1760*D1760/10000</f>
        <v/>
      </c>
      <c r="F1760" s="74">
        <f>B1760/30.48</f>
        <v/>
      </c>
      <c r="G1760" s="74">
        <f>D1760/30.48</f>
        <v/>
      </c>
      <c r="H1760" s="615" t="n"/>
      <c r="N1760" s="211" t="n"/>
      <c r="Q1760" s="271" t="n"/>
      <c r="R1760" s="282" t="n"/>
    </row>
    <row r="1761" ht="18" customHeight="1" s="305">
      <c r="A1761" s="8" t="n">
        <v>2517</v>
      </c>
      <c r="B1761" s="5" t="n">
        <v>118</v>
      </c>
      <c r="C1761" s="72" t="inlineStr">
        <is>
          <t>X</t>
        </is>
      </c>
      <c r="D1761" s="5" t="n">
        <v>169</v>
      </c>
      <c r="E1761" s="73">
        <f>B1761*D1761/10000</f>
        <v/>
      </c>
      <c r="F1761" s="74">
        <f>B1761/30.48</f>
        <v/>
      </c>
      <c r="G1761" s="74">
        <f>D1761/30.48</f>
        <v/>
      </c>
      <c r="H1761" s="615" t="n"/>
      <c r="N1761" s="211" t="n"/>
      <c r="Q1761" s="271" t="inlineStr">
        <is>
          <t>RST</t>
        </is>
      </c>
      <c r="R1761" s="282" t="n"/>
    </row>
    <row r="1762" ht="18" customHeight="1" s="305">
      <c r="A1762" s="8" t="n">
        <v>2518</v>
      </c>
      <c r="B1762" s="5" t="n">
        <v>85</v>
      </c>
      <c r="C1762" s="72" t="inlineStr">
        <is>
          <t>X</t>
        </is>
      </c>
      <c r="D1762" s="5" t="n">
        <v>263</v>
      </c>
      <c r="E1762" s="73">
        <f>B1762*D1762/10000</f>
        <v/>
      </c>
      <c r="F1762" s="74">
        <f>B1762/30.48</f>
        <v/>
      </c>
      <c r="G1762" s="74">
        <f>D1762/30.48</f>
        <v/>
      </c>
      <c r="H1762" s="615" t="n"/>
      <c r="N1762" s="211" t="n"/>
      <c r="Q1762" s="271" t="inlineStr">
        <is>
          <t>RST</t>
        </is>
      </c>
      <c r="R1762" s="282" t="n"/>
    </row>
    <row r="1763" ht="18" customHeight="1" s="305">
      <c r="A1763" s="8" t="n">
        <v>2522</v>
      </c>
      <c r="B1763" s="5" t="n">
        <v>200</v>
      </c>
      <c r="C1763" s="72" t="inlineStr">
        <is>
          <t>X</t>
        </is>
      </c>
      <c r="D1763" s="5" t="n">
        <v>293</v>
      </c>
      <c r="E1763" s="73">
        <f>B1763*D1763/10000</f>
        <v/>
      </c>
      <c r="F1763" s="74">
        <f>B1763/30.48</f>
        <v/>
      </c>
      <c r="G1763" s="74">
        <f>D1763/30.48</f>
        <v/>
      </c>
      <c r="H1763" s="615" t="n"/>
      <c r="N1763" s="211" t="n"/>
      <c r="Q1763" s="271" t="inlineStr">
        <is>
          <t>RST</t>
        </is>
      </c>
      <c r="R1763" s="282" t="n"/>
    </row>
    <row r="1764" ht="18" customHeight="1" s="305">
      <c r="A1764" s="8" t="n">
        <v>2524</v>
      </c>
      <c r="B1764" s="5" t="n">
        <v>188</v>
      </c>
      <c r="C1764" s="72" t="inlineStr">
        <is>
          <t>X</t>
        </is>
      </c>
      <c r="D1764" s="5" t="n">
        <v>255</v>
      </c>
      <c r="E1764" s="73">
        <f>B1764*D1764/10000</f>
        <v/>
      </c>
      <c r="F1764" s="74">
        <f>B1764/30.48</f>
        <v/>
      </c>
      <c r="G1764" s="74">
        <f>D1764/30.48</f>
        <v/>
      </c>
      <c r="H1764" s="615" t="n"/>
      <c r="N1764" s="211" t="n"/>
      <c r="Q1764" s="271" t="inlineStr">
        <is>
          <t>RST</t>
        </is>
      </c>
      <c r="R1764" s="282" t="n"/>
    </row>
    <row r="1765" ht="18" customHeight="1" s="305">
      <c r="A1765" s="8" t="n">
        <v>2525</v>
      </c>
      <c r="B1765" s="5" t="n">
        <v>152</v>
      </c>
      <c r="C1765" s="72" t="inlineStr">
        <is>
          <t>X</t>
        </is>
      </c>
      <c r="D1765" s="5" t="n">
        <v>202</v>
      </c>
      <c r="E1765" s="73">
        <f>B1765*D1765/10000</f>
        <v/>
      </c>
      <c r="F1765" s="74">
        <f>B1765/30.48</f>
        <v/>
      </c>
      <c r="G1765" s="74">
        <f>D1765/30.48</f>
        <v/>
      </c>
      <c r="H1765" s="615" t="n"/>
      <c r="N1765" s="211" t="n"/>
      <c r="Q1765" s="271" t="inlineStr">
        <is>
          <t>RST</t>
        </is>
      </c>
      <c r="R1765" s="282" t="n"/>
    </row>
    <row r="1766" ht="18" customHeight="1" s="305">
      <c r="A1766" s="8" t="n">
        <v>2534</v>
      </c>
      <c r="B1766" s="5" t="n">
        <v>164</v>
      </c>
      <c r="C1766" s="72" t="inlineStr">
        <is>
          <t>X</t>
        </is>
      </c>
      <c r="D1766" s="5" t="n">
        <v>265</v>
      </c>
      <c r="E1766" s="73">
        <f>B1766*D1766/10000</f>
        <v/>
      </c>
      <c r="F1766" s="74">
        <f>B1766/30.48</f>
        <v/>
      </c>
      <c r="G1766" s="74">
        <f>D1766/30.48</f>
        <v/>
      </c>
      <c r="H1766" s="615" t="n"/>
      <c r="N1766" s="211" t="n"/>
      <c r="Q1766" s="271" t="inlineStr">
        <is>
          <t>RST</t>
        </is>
      </c>
      <c r="R1766" s="282" t="n"/>
    </row>
    <row r="1767" ht="18" customHeight="1" s="305">
      <c r="A1767" s="8" t="n">
        <v>2541</v>
      </c>
      <c r="B1767" s="5" t="n">
        <v>116</v>
      </c>
      <c r="C1767" s="72" t="inlineStr">
        <is>
          <t>X</t>
        </is>
      </c>
      <c r="D1767" s="5" t="n">
        <v>176</v>
      </c>
      <c r="E1767" s="73">
        <f>B1767*D1767/10000</f>
        <v/>
      </c>
      <c r="F1767" s="74">
        <f>B1767/30.48</f>
        <v/>
      </c>
      <c r="G1767" s="74">
        <f>D1767/30.48</f>
        <v/>
      </c>
      <c r="H1767" s="615" t="n"/>
      <c r="N1767" s="211" t="n"/>
      <c r="Q1767" s="271" t="inlineStr">
        <is>
          <t>RST</t>
        </is>
      </c>
      <c r="R1767" s="282" t="n"/>
    </row>
    <row r="1768" ht="18" customHeight="1" s="305">
      <c r="A1768" s="8" t="n">
        <v>2543</v>
      </c>
      <c r="B1768" s="5" t="n">
        <v>78</v>
      </c>
      <c r="C1768" s="72" t="inlineStr">
        <is>
          <t>X</t>
        </is>
      </c>
      <c r="D1768" s="5" t="n">
        <v>269</v>
      </c>
      <c r="E1768" s="73">
        <f>B1768*D1768/10000</f>
        <v/>
      </c>
      <c r="F1768" s="74">
        <f>B1768/30.48</f>
        <v/>
      </c>
      <c r="G1768" s="74">
        <f>D1768/30.48</f>
        <v/>
      </c>
      <c r="H1768" s="615" t="n"/>
      <c r="N1768" s="211" t="n"/>
      <c r="Q1768" s="271" t="inlineStr">
        <is>
          <t>RST</t>
        </is>
      </c>
      <c r="R1768" s="282" t="n"/>
    </row>
    <row r="1769" ht="18" customHeight="1" s="305">
      <c r="A1769" s="8" t="n">
        <v>2544</v>
      </c>
      <c r="B1769" s="5" t="n">
        <v>169</v>
      </c>
      <c r="C1769" s="72" t="inlineStr">
        <is>
          <t>X</t>
        </is>
      </c>
      <c r="D1769" s="5" t="n">
        <v>268</v>
      </c>
      <c r="E1769" s="73">
        <f>B1769*D1769/10000</f>
        <v/>
      </c>
      <c r="F1769" s="74">
        <f>B1769/30.48</f>
        <v/>
      </c>
      <c r="G1769" s="74">
        <f>D1769/30.48</f>
        <v/>
      </c>
      <c r="H1769" s="615" t="n"/>
      <c r="N1769" s="211" t="n"/>
      <c r="Q1769" s="271" t="n"/>
      <c r="R1769" s="282" t="n"/>
    </row>
    <row r="1770" ht="18" customHeight="1" s="305">
      <c r="A1770" s="8" t="n">
        <v>2549</v>
      </c>
      <c r="B1770" s="5" t="n">
        <v>78</v>
      </c>
      <c r="C1770" s="72" t="inlineStr">
        <is>
          <t>X</t>
        </is>
      </c>
      <c r="D1770" s="5" t="n">
        <v>293</v>
      </c>
      <c r="E1770" s="73">
        <f>B1770*D1770/10000</f>
        <v/>
      </c>
      <c r="F1770" s="74">
        <f>B1770/30.48</f>
        <v/>
      </c>
      <c r="G1770" s="74">
        <f>D1770/30.48</f>
        <v/>
      </c>
      <c r="H1770" s="615" t="n"/>
      <c r="N1770" s="211" t="n"/>
      <c r="Q1770" s="271" t="n"/>
      <c r="R1770" s="282" t="n"/>
    </row>
    <row r="1771" ht="18" customHeight="1" s="305">
      <c r="A1771" s="8" t="n">
        <v>2554</v>
      </c>
      <c r="B1771" s="5" t="n">
        <v>137</v>
      </c>
      <c r="C1771" s="72" t="inlineStr">
        <is>
          <t>X</t>
        </is>
      </c>
      <c r="D1771" s="5" t="n">
        <v>225</v>
      </c>
      <c r="E1771" s="73">
        <f>B1771*D1771/10000</f>
        <v/>
      </c>
      <c r="F1771" s="74">
        <f>B1771/30.48</f>
        <v/>
      </c>
      <c r="G1771" s="74">
        <f>D1771/30.48</f>
        <v/>
      </c>
      <c r="H1771" s="615" t="n"/>
      <c r="N1771" s="211" t="n"/>
      <c r="Q1771" s="271" t="n"/>
      <c r="R1771" s="282" t="n"/>
    </row>
    <row r="1772" ht="18" customHeight="1" s="305">
      <c r="A1772" s="8" t="n">
        <v>2557</v>
      </c>
      <c r="B1772" s="5" t="n">
        <v>200</v>
      </c>
      <c r="C1772" s="72" t="inlineStr">
        <is>
          <t>X</t>
        </is>
      </c>
      <c r="D1772" s="5" t="n">
        <v>299</v>
      </c>
      <c r="E1772" s="73">
        <f>B1772*D1772/10000</f>
        <v/>
      </c>
      <c r="F1772" s="74">
        <f>B1772/30.48</f>
        <v/>
      </c>
      <c r="G1772" s="74">
        <f>D1772/30.48</f>
        <v/>
      </c>
      <c r="H1772" s="615" t="n"/>
      <c r="N1772" s="211" t="n"/>
      <c r="Q1772" s="271" t="n"/>
      <c r="R1772" s="282" t="n"/>
    </row>
    <row r="1773" ht="18" customHeight="1" s="305">
      <c r="A1773" s="8" t="n">
        <v>2558</v>
      </c>
      <c r="B1773" s="5" t="n">
        <v>114</v>
      </c>
      <c r="C1773" s="72" t="inlineStr">
        <is>
          <t>X</t>
        </is>
      </c>
      <c r="D1773" s="5" t="n">
        <v>331</v>
      </c>
      <c r="E1773" s="73">
        <f>B1773*D1773/10000</f>
        <v/>
      </c>
      <c r="F1773" s="74">
        <f>B1773/30.48</f>
        <v/>
      </c>
      <c r="G1773" s="74">
        <f>D1773/30.48</f>
        <v/>
      </c>
      <c r="H1773" s="615" t="n"/>
      <c r="N1773" s="211" t="n"/>
      <c r="Q1773" s="271" t="n"/>
      <c r="R1773" s="282" t="n"/>
    </row>
    <row r="1774" ht="18" customHeight="1" s="305">
      <c r="A1774" s="8" t="n">
        <v>2562</v>
      </c>
      <c r="B1774" s="5" t="n">
        <v>167</v>
      </c>
      <c r="C1774" s="72" t="inlineStr">
        <is>
          <t>X</t>
        </is>
      </c>
      <c r="D1774" s="5" t="n">
        <v>339</v>
      </c>
      <c r="E1774" s="73">
        <f>B1774*D1774/10000</f>
        <v/>
      </c>
      <c r="F1774" s="74">
        <f>B1774/30.48</f>
        <v/>
      </c>
      <c r="G1774" s="74">
        <f>D1774/30.48</f>
        <v/>
      </c>
      <c r="H1774" s="615" t="n"/>
      <c r="N1774" s="211" t="n"/>
      <c r="Q1774" s="271" t="n"/>
      <c r="R1774" s="282" t="n"/>
    </row>
    <row r="1775" ht="18" customHeight="1" s="305">
      <c r="A1775" s="8" t="n">
        <v>2564</v>
      </c>
      <c r="B1775" s="5" t="n">
        <v>195</v>
      </c>
      <c r="C1775" s="72" t="inlineStr">
        <is>
          <t>X</t>
        </is>
      </c>
      <c r="D1775" s="5" t="n">
        <v>273</v>
      </c>
      <c r="E1775" s="73">
        <f>B1775*D1775/10000</f>
        <v/>
      </c>
      <c r="F1775" s="74">
        <f>B1775/30.48</f>
        <v/>
      </c>
      <c r="G1775" s="74">
        <f>D1775/30.48</f>
        <v/>
      </c>
      <c r="H1775" s="615" t="n"/>
      <c r="N1775" s="211" t="n"/>
      <c r="Q1775" s="271" t="n"/>
      <c r="R1775" s="282" t="n"/>
    </row>
    <row r="1776" ht="18" customHeight="1" s="305">
      <c r="A1776" s="8" t="n">
        <v>2565</v>
      </c>
      <c r="B1776" s="5" t="n">
        <v>116</v>
      </c>
      <c r="C1776" s="72" t="inlineStr">
        <is>
          <t>X</t>
        </is>
      </c>
      <c r="D1776" s="5" t="n">
        <v>335</v>
      </c>
      <c r="E1776" s="73">
        <f>B1776*D1776/10000</f>
        <v/>
      </c>
      <c r="F1776" s="74">
        <f>B1776/30.48</f>
        <v/>
      </c>
      <c r="G1776" s="74">
        <f>D1776/30.48</f>
        <v/>
      </c>
      <c r="H1776" s="615" t="n"/>
      <c r="N1776" s="211" t="n"/>
      <c r="Q1776" s="271" t="n"/>
      <c r="R1776" s="282" t="n"/>
    </row>
    <row r="1777" ht="18" customHeight="1" s="305">
      <c r="A1777" s="8" t="n">
        <v>2709</v>
      </c>
      <c r="B1777" s="5" t="n">
        <v>109</v>
      </c>
      <c r="C1777" s="72" t="inlineStr">
        <is>
          <t>X</t>
        </is>
      </c>
      <c r="D1777" s="5" t="n">
        <v>224</v>
      </c>
      <c r="E1777" s="73">
        <f>B1777*D1777/10000</f>
        <v/>
      </c>
      <c r="F1777" s="74">
        <f>B1777/30.48</f>
        <v/>
      </c>
      <c r="G1777" s="74">
        <f>D1777/30.48</f>
        <v/>
      </c>
      <c r="H1777" s="615" t="n"/>
      <c r="N1777" s="211" t="n"/>
      <c r="Q1777" s="271" t="n"/>
      <c r="R1777" s="282" t="n"/>
    </row>
    <row r="1778" ht="18" customHeight="1" s="305">
      <c r="A1778" s="8" t="n">
        <v>2569</v>
      </c>
      <c r="B1778" s="5" t="n">
        <v>155</v>
      </c>
      <c r="C1778" s="72" t="inlineStr">
        <is>
          <t>X</t>
        </is>
      </c>
      <c r="D1778" s="5" t="n">
        <v>220</v>
      </c>
      <c r="E1778" s="73">
        <f>B1778*D1778/10000</f>
        <v/>
      </c>
      <c r="F1778" s="74">
        <f>B1778/30.48</f>
        <v/>
      </c>
      <c r="G1778" s="74">
        <f>D1778/30.48</f>
        <v/>
      </c>
      <c r="H1778" s="615" t="n"/>
      <c r="N1778" s="211" t="n"/>
      <c r="Q1778" s="271" t="n"/>
      <c r="R1778" s="282" t="n"/>
    </row>
    <row r="1779" ht="18" customHeight="1" s="305">
      <c r="A1779" s="8" t="n">
        <v>2572</v>
      </c>
      <c r="B1779" s="5" t="n">
        <v>181</v>
      </c>
      <c r="C1779" s="72" t="inlineStr">
        <is>
          <t>X</t>
        </is>
      </c>
      <c r="D1779" s="5" t="n">
        <v>271</v>
      </c>
      <c r="E1779" s="73">
        <f>B1779*D1779/10000</f>
        <v/>
      </c>
      <c r="F1779" s="74">
        <f>B1779/30.48</f>
        <v/>
      </c>
      <c r="G1779" s="74">
        <f>D1779/30.48</f>
        <v/>
      </c>
      <c r="H1779" s="615" t="n"/>
      <c r="N1779" s="211" t="n"/>
      <c r="Q1779" s="271" t="n"/>
      <c r="R1779" s="282" t="n"/>
    </row>
    <row r="1780" ht="18" customHeight="1" s="305">
      <c r="A1780" s="8" t="n">
        <v>2574</v>
      </c>
      <c r="B1780" s="5" t="n">
        <v>175</v>
      </c>
      <c r="C1780" s="72" t="inlineStr">
        <is>
          <t>X</t>
        </is>
      </c>
      <c r="D1780" s="5" t="n">
        <v>316</v>
      </c>
      <c r="E1780" s="73">
        <f>B1780*D1780/10000</f>
        <v/>
      </c>
      <c r="F1780" s="74">
        <f>B1780/30.48</f>
        <v/>
      </c>
      <c r="G1780" s="74">
        <f>D1780/30.48</f>
        <v/>
      </c>
      <c r="H1780" s="615" t="n"/>
      <c r="N1780" s="211" t="n"/>
      <c r="Q1780" s="271" t="n"/>
      <c r="R1780" s="282" t="n"/>
    </row>
    <row r="1781" ht="18" customHeight="1" s="305">
      <c r="A1781" s="8" t="n">
        <v>2575</v>
      </c>
      <c r="B1781" s="5" t="n">
        <v>143</v>
      </c>
      <c r="C1781" s="72" t="inlineStr">
        <is>
          <t>X</t>
        </is>
      </c>
      <c r="D1781" s="5" t="n">
        <v>193</v>
      </c>
      <c r="E1781" s="73">
        <f>B1781*D1781/10000</f>
        <v/>
      </c>
      <c r="F1781" s="74">
        <f>B1781/30.48</f>
        <v/>
      </c>
      <c r="G1781" s="74">
        <f>D1781/30.48</f>
        <v/>
      </c>
      <c r="H1781" s="615" t="n"/>
      <c r="N1781" s="211" t="n"/>
      <c r="Q1781" s="271" t="n"/>
      <c r="R1781" s="282" t="n"/>
    </row>
    <row r="1782" ht="18" customHeight="1" s="305">
      <c r="A1782" s="8" t="n">
        <v>2577</v>
      </c>
      <c r="B1782" s="5" t="n">
        <v>126</v>
      </c>
      <c r="C1782" s="72" t="inlineStr">
        <is>
          <t>X</t>
        </is>
      </c>
      <c r="D1782" s="5" t="n">
        <v>202</v>
      </c>
      <c r="E1782" s="73">
        <f>B1782*D1782/10000</f>
        <v/>
      </c>
      <c r="F1782" s="74">
        <f>B1782/30.48</f>
        <v/>
      </c>
      <c r="G1782" s="74">
        <f>D1782/30.48</f>
        <v/>
      </c>
      <c r="H1782" s="615" t="n"/>
      <c r="N1782" s="211" t="n"/>
      <c r="Q1782" s="271" t="n"/>
      <c r="R1782" s="282" t="n"/>
    </row>
    <row r="1783" ht="18" customHeight="1" s="305">
      <c r="A1783" s="8" t="n">
        <v>2579</v>
      </c>
      <c r="B1783" s="5" t="n">
        <v>127</v>
      </c>
      <c r="C1783" s="72" t="inlineStr">
        <is>
          <t>X</t>
        </is>
      </c>
      <c r="D1783" s="5" t="n">
        <v>225</v>
      </c>
      <c r="E1783" s="73">
        <f>B1783*D1783/10000</f>
        <v/>
      </c>
      <c r="F1783" s="74">
        <f>B1783/30.48</f>
        <v/>
      </c>
      <c r="G1783" s="74">
        <f>D1783/30.48</f>
        <v/>
      </c>
      <c r="H1783" s="615" t="n"/>
      <c r="N1783" s="211" t="n"/>
      <c r="Q1783" s="271" t="n"/>
      <c r="R1783" s="282" t="n"/>
    </row>
    <row r="1784" ht="18" customHeight="1" s="305">
      <c r="A1784" s="8" t="n">
        <v>2580</v>
      </c>
      <c r="B1784" s="5" t="n">
        <v>75</v>
      </c>
      <c r="C1784" s="72" t="inlineStr">
        <is>
          <t>X</t>
        </is>
      </c>
      <c r="D1784" s="5" t="n">
        <v>134</v>
      </c>
      <c r="E1784" s="73">
        <f>B1784*D1784/10000</f>
        <v/>
      </c>
      <c r="F1784" s="74">
        <f>B1784/30.48</f>
        <v/>
      </c>
      <c r="G1784" s="74">
        <f>D1784/30.48</f>
        <v/>
      </c>
      <c r="H1784" s="615" t="n"/>
      <c r="N1784" s="211" t="n"/>
      <c r="Q1784" s="271" t="n"/>
      <c r="R1784" s="282" t="n"/>
    </row>
    <row r="1785" ht="18" customHeight="1" s="305">
      <c r="A1785" s="8" t="n">
        <v>2582</v>
      </c>
      <c r="B1785" s="5" t="n">
        <v>139</v>
      </c>
      <c r="C1785" s="72" t="inlineStr">
        <is>
          <t>X</t>
        </is>
      </c>
      <c r="D1785" s="5" t="n">
        <v>231</v>
      </c>
      <c r="E1785" s="73">
        <f>B1785*D1785/10000</f>
        <v/>
      </c>
      <c r="F1785" s="74">
        <f>B1785/30.48</f>
        <v/>
      </c>
      <c r="G1785" s="74">
        <f>D1785/30.48</f>
        <v/>
      </c>
      <c r="H1785" s="615" t="n"/>
      <c r="N1785" s="211" t="n"/>
      <c r="Q1785" s="271" t="n"/>
      <c r="R1785" s="282" t="n"/>
    </row>
    <row r="1786" ht="18" customHeight="1" s="305">
      <c r="A1786" s="8" t="n">
        <v>2584</v>
      </c>
      <c r="B1786" s="5" t="n">
        <v>124</v>
      </c>
      <c r="C1786" s="72" t="inlineStr">
        <is>
          <t>X</t>
        </is>
      </c>
      <c r="D1786" s="5" t="n">
        <v>365</v>
      </c>
      <c r="E1786" s="73">
        <f>B1786*D1786/10000</f>
        <v/>
      </c>
      <c r="F1786" s="74">
        <f>B1786/30.48</f>
        <v/>
      </c>
      <c r="G1786" s="74">
        <f>D1786/30.48</f>
        <v/>
      </c>
      <c r="H1786" s="615" t="n"/>
      <c r="N1786" s="211" t="n"/>
      <c r="Q1786" s="271" t="n"/>
      <c r="R1786" s="282" t="n"/>
    </row>
    <row r="1787" ht="18" customHeight="1" s="305">
      <c r="A1787" s="8" t="n">
        <v>2587</v>
      </c>
      <c r="B1787" s="5" t="n">
        <v>85</v>
      </c>
      <c r="C1787" s="72" t="inlineStr">
        <is>
          <t>X</t>
        </is>
      </c>
      <c r="D1787" s="5" t="n">
        <v>283</v>
      </c>
      <c r="E1787" s="73">
        <f>B1787*D1787/10000</f>
        <v/>
      </c>
      <c r="F1787" s="74">
        <f>B1787/30.48</f>
        <v/>
      </c>
      <c r="G1787" s="74">
        <f>D1787/30.48</f>
        <v/>
      </c>
      <c r="H1787" s="615" t="n"/>
      <c r="N1787" s="211" t="n"/>
      <c r="Q1787" s="271" t="n"/>
      <c r="R1787" s="282" t="n"/>
    </row>
    <row r="1788" ht="18" customHeight="1" s="305">
      <c r="A1788" s="8" t="n">
        <v>2588</v>
      </c>
      <c r="B1788" s="5" t="n">
        <v>97</v>
      </c>
      <c r="C1788" s="72" t="inlineStr">
        <is>
          <t>X</t>
        </is>
      </c>
      <c r="D1788" s="5" t="n">
        <v>176</v>
      </c>
      <c r="E1788" s="73">
        <f>B1788*D1788/10000</f>
        <v/>
      </c>
      <c r="F1788" s="74">
        <f>B1788/30.48</f>
        <v/>
      </c>
      <c r="G1788" s="74">
        <f>D1788/30.48</f>
        <v/>
      </c>
      <c r="H1788" s="615" t="n"/>
      <c r="N1788" s="211" t="n"/>
      <c r="Q1788" s="271" t="n"/>
      <c r="R1788" s="282" t="n"/>
    </row>
    <row r="1789" ht="18" customHeight="1" s="305">
      <c r="A1789" s="8" t="n">
        <v>2590</v>
      </c>
      <c r="B1789" s="5" t="n">
        <v>92</v>
      </c>
      <c r="C1789" s="72" t="inlineStr">
        <is>
          <t>X</t>
        </is>
      </c>
      <c r="D1789" s="5" t="n">
        <v>270</v>
      </c>
      <c r="E1789" s="73">
        <f>B1789*D1789/10000</f>
        <v/>
      </c>
      <c r="F1789" s="74">
        <f>B1789/30.48</f>
        <v/>
      </c>
      <c r="G1789" s="74">
        <f>D1789/30.48</f>
        <v/>
      </c>
      <c r="H1789" s="615" t="n"/>
      <c r="N1789" s="211" t="n"/>
      <c r="Q1789" s="271" t="n"/>
      <c r="R1789" s="282" t="n"/>
    </row>
    <row r="1790" ht="18" customHeight="1" s="305">
      <c r="A1790" s="8" t="n">
        <v>2591</v>
      </c>
      <c r="B1790" s="5" t="n">
        <v>88</v>
      </c>
      <c r="C1790" s="72" t="inlineStr">
        <is>
          <t>X</t>
        </is>
      </c>
      <c r="D1790" s="5" t="n">
        <v>331</v>
      </c>
      <c r="E1790" s="73">
        <f>B1790*D1790/10000</f>
        <v/>
      </c>
      <c r="F1790" s="74">
        <f>B1790/30.48</f>
        <v/>
      </c>
      <c r="G1790" s="74">
        <f>D1790/30.48</f>
        <v/>
      </c>
      <c r="H1790" s="615" t="n"/>
      <c r="N1790" s="211" t="n"/>
      <c r="Q1790" s="271" t="n"/>
      <c r="R1790" s="282" t="n"/>
    </row>
    <row r="1791" ht="18" customHeight="1" s="305">
      <c r="A1791" s="8" t="n">
        <v>2592</v>
      </c>
      <c r="B1791" s="5" t="n">
        <v>129</v>
      </c>
      <c r="C1791" s="72" t="inlineStr">
        <is>
          <t>X</t>
        </is>
      </c>
      <c r="D1791" s="5" t="n">
        <v>262</v>
      </c>
      <c r="E1791" s="73">
        <f>B1791*D1791/10000</f>
        <v/>
      </c>
      <c r="F1791" s="74">
        <f>B1791/30.48</f>
        <v/>
      </c>
      <c r="G1791" s="74">
        <f>D1791/30.48</f>
        <v/>
      </c>
      <c r="H1791" s="615" t="n"/>
      <c r="N1791" s="211" t="n"/>
      <c r="Q1791" s="271" t="n"/>
      <c r="R1791" s="282" t="n"/>
    </row>
    <row r="1792" ht="18" customHeight="1" s="305">
      <c r="A1792" s="8" t="n">
        <v>2593</v>
      </c>
      <c r="B1792" s="5" t="n">
        <v>120</v>
      </c>
      <c r="C1792" s="72" t="inlineStr">
        <is>
          <t>X</t>
        </is>
      </c>
      <c r="D1792" s="5" t="n">
        <v>404</v>
      </c>
      <c r="E1792" s="73">
        <f>B1792*D1792/10000</f>
        <v/>
      </c>
      <c r="F1792" s="74">
        <f>B1792/30.48</f>
        <v/>
      </c>
      <c r="G1792" s="74">
        <f>D1792/30.48</f>
        <v/>
      </c>
      <c r="H1792" s="615" t="n"/>
      <c r="N1792" s="211" t="n"/>
      <c r="Q1792" s="271" t="n"/>
      <c r="R1792" s="282" t="n"/>
    </row>
    <row r="1793" ht="18" customHeight="1" s="305">
      <c r="A1793" s="8" t="n">
        <v>2595</v>
      </c>
      <c r="B1793" s="5" t="n">
        <v>95</v>
      </c>
      <c r="C1793" s="72" t="inlineStr">
        <is>
          <t>X</t>
        </is>
      </c>
      <c r="D1793" s="5" t="n">
        <v>179</v>
      </c>
      <c r="E1793" s="73">
        <f>B1793*D1793/10000</f>
        <v/>
      </c>
      <c r="F1793" s="74">
        <f>B1793/30.48</f>
        <v/>
      </c>
      <c r="G1793" s="74">
        <f>D1793/30.48</f>
        <v/>
      </c>
      <c r="H1793" s="615" t="n"/>
      <c r="N1793" s="211" t="n"/>
      <c r="Q1793" s="271" t="n"/>
      <c r="R1793" s="282" t="n"/>
    </row>
    <row r="1794" ht="18" customHeight="1" s="305">
      <c r="A1794" s="8" t="n">
        <v>2597</v>
      </c>
      <c r="B1794" s="5" t="n">
        <v>107</v>
      </c>
      <c r="C1794" s="72" t="inlineStr">
        <is>
          <t>X</t>
        </is>
      </c>
      <c r="D1794" s="5" t="n">
        <v>396</v>
      </c>
      <c r="E1794" s="73">
        <f>B1794*D1794/10000</f>
        <v/>
      </c>
      <c r="F1794" s="74">
        <f>B1794/30.48</f>
        <v/>
      </c>
      <c r="G1794" s="74">
        <f>D1794/30.48</f>
        <v/>
      </c>
      <c r="H1794" s="615" t="n"/>
      <c r="N1794" s="211" t="n"/>
      <c r="Q1794" s="271" t="n"/>
      <c r="R1794" s="282" t="n"/>
    </row>
    <row r="1795" ht="18" customHeight="1" s="305">
      <c r="A1795" s="8" t="n">
        <v>2598</v>
      </c>
      <c r="B1795" s="5" t="n">
        <v>80</v>
      </c>
      <c r="C1795" s="72" t="inlineStr">
        <is>
          <t>X</t>
        </is>
      </c>
      <c r="D1795" s="5" t="n">
        <v>358</v>
      </c>
      <c r="E1795" s="73">
        <f>B1795*D1795/10000</f>
        <v/>
      </c>
      <c r="F1795" s="74">
        <f>B1795/30.48</f>
        <v/>
      </c>
      <c r="G1795" s="74">
        <f>D1795/30.48</f>
        <v/>
      </c>
      <c r="H1795" s="615" t="n"/>
      <c r="K1795" s="51" t="inlineStr">
        <is>
          <t>PAC</t>
        </is>
      </c>
      <c r="N1795" s="211" t="n"/>
      <c r="Q1795" s="271" t="n"/>
      <c r="R1795" s="282" t="n"/>
    </row>
    <row r="1796" ht="18" customHeight="1" s="305">
      <c r="A1796" s="8" t="n">
        <v>2599</v>
      </c>
      <c r="B1796" s="5" t="n">
        <v>122</v>
      </c>
      <c r="C1796" s="72" t="inlineStr">
        <is>
          <t>X</t>
        </is>
      </c>
      <c r="D1796" s="5" t="n">
        <v>327</v>
      </c>
      <c r="E1796" s="73">
        <f>B1796*D1796/10000</f>
        <v/>
      </c>
      <c r="F1796" s="74">
        <f>B1796/30.48</f>
        <v/>
      </c>
      <c r="G1796" s="74">
        <f>D1796/30.48</f>
        <v/>
      </c>
      <c r="H1796" s="615" t="n"/>
      <c r="N1796" s="211" t="n"/>
      <c r="Q1796" s="271" t="n"/>
      <c r="R1796" s="282" t="n"/>
    </row>
    <row r="1797" ht="18" customHeight="1" s="305">
      <c r="A1797" s="8" t="n">
        <v>2605</v>
      </c>
      <c r="B1797" s="5" t="n">
        <v>160</v>
      </c>
      <c r="C1797" s="72" t="inlineStr">
        <is>
          <t>X</t>
        </is>
      </c>
      <c r="D1797" s="5" t="n">
        <v>188</v>
      </c>
      <c r="E1797" s="73">
        <f>B1797*D1797/10000</f>
        <v/>
      </c>
      <c r="F1797" s="74">
        <f>B1797/30.48</f>
        <v/>
      </c>
      <c r="G1797" s="74">
        <f>D1797/30.48</f>
        <v/>
      </c>
      <c r="H1797" s="615" t="n"/>
      <c r="N1797" s="211" t="n"/>
      <c r="Q1797" s="271" t="n"/>
      <c r="R1797" s="282" t="n"/>
    </row>
    <row r="1798" ht="18" customHeight="1" s="305">
      <c r="A1798" s="8" t="n">
        <v>2606</v>
      </c>
      <c r="B1798" s="5" t="n">
        <v>108</v>
      </c>
      <c r="C1798" s="72" t="inlineStr">
        <is>
          <t>X</t>
        </is>
      </c>
      <c r="D1798" s="5" t="n">
        <v>186</v>
      </c>
      <c r="E1798" s="73">
        <f>B1798*D1798/10000</f>
        <v/>
      </c>
      <c r="F1798" s="74">
        <f>B1798/30.48</f>
        <v/>
      </c>
      <c r="G1798" s="74">
        <f>D1798/30.48</f>
        <v/>
      </c>
      <c r="H1798" s="615" t="n"/>
      <c r="N1798" s="211" t="n"/>
      <c r="Q1798" s="271" t="n"/>
      <c r="R1798" s="282" t="n"/>
    </row>
    <row r="1799" ht="18" customHeight="1" s="305">
      <c r="A1799" s="8" t="n">
        <v>2607</v>
      </c>
      <c r="B1799" s="5" t="n">
        <v>212</v>
      </c>
      <c r="C1799" s="72" t="inlineStr">
        <is>
          <t>X</t>
        </is>
      </c>
      <c r="D1799" s="5" t="n">
        <v>294</v>
      </c>
      <c r="E1799" s="73">
        <f>B1799*D1799/10000</f>
        <v/>
      </c>
      <c r="F1799" s="74">
        <f>B1799/30.48</f>
        <v/>
      </c>
      <c r="G1799" s="74">
        <f>D1799/30.48</f>
        <v/>
      </c>
      <c r="H1799" s="615" t="n"/>
      <c r="N1799" s="211" t="n"/>
      <c r="Q1799" s="271" t="n"/>
      <c r="R1799" s="282" t="n"/>
    </row>
    <row r="1800" ht="18" customHeight="1" s="305">
      <c r="A1800" s="8" t="n">
        <v>2609</v>
      </c>
      <c r="B1800" s="5" t="n">
        <v>134</v>
      </c>
      <c r="C1800" s="72" t="inlineStr">
        <is>
          <t>X</t>
        </is>
      </c>
      <c r="D1800" s="5" t="n">
        <v>233</v>
      </c>
      <c r="E1800" s="73">
        <f>B1800*D1800/10000</f>
        <v/>
      </c>
      <c r="F1800" s="74">
        <f>B1800/30.48</f>
        <v/>
      </c>
      <c r="G1800" s="74">
        <f>D1800/30.48</f>
        <v/>
      </c>
      <c r="H1800" s="615" t="n"/>
      <c r="N1800" s="211" t="n"/>
      <c r="Q1800" s="271" t="n"/>
      <c r="R1800" s="282" t="n"/>
    </row>
    <row r="1801" ht="18" customHeight="1" s="305">
      <c r="A1801" s="8" t="n">
        <v>2614</v>
      </c>
      <c r="B1801" s="5" t="n">
        <v>80</v>
      </c>
      <c r="C1801" s="72" t="inlineStr">
        <is>
          <t>X</t>
        </is>
      </c>
      <c r="D1801" s="5" t="n">
        <v>377</v>
      </c>
      <c r="E1801" s="73">
        <f>B1801*D1801/10000</f>
        <v/>
      </c>
      <c r="F1801" s="74">
        <f>B1801/30.48</f>
        <v/>
      </c>
      <c r="G1801" s="74">
        <f>D1801/30.48</f>
        <v/>
      </c>
      <c r="H1801" s="615" t="n"/>
      <c r="N1801" s="211" t="n"/>
      <c r="Q1801" s="271" t="n"/>
      <c r="R1801" s="282" t="n"/>
    </row>
    <row r="1802" ht="18" customHeight="1" s="305">
      <c r="A1802" s="8" t="n">
        <v>2618</v>
      </c>
      <c r="B1802" s="5" t="n">
        <v>90</v>
      </c>
      <c r="C1802" s="72" t="inlineStr">
        <is>
          <t>X</t>
        </is>
      </c>
      <c r="D1802" s="5" t="n">
        <v>368</v>
      </c>
      <c r="E1802" s="73">
        <f>B1802*D1802/10000</f>
        <v/>
      </c>
      <c r="F1802" s="74">
        <f>B1802/30.48</f>
        <v/>
      </c>
      <c r="G1802" s="74">
        <f>D1802/30.48</f>
        <v/>
      </c>
      <c r="H1802" s="615" t="n"/>
      <c r="N1802" s="211" t="n"/>
      <c r="Q1802" s="271" t="n"/>
      <c r="R1802" s="282" t="n"/>
    </row>
    <row r="1803" ht="18" customHeight="1" s="305">
      <c r="A1803" s="8" t="n">
        <v>2619</v>
      </c>
      <c r="B1803" s="5" t="n">
        <v>84</v>
      </c>
      <c r="C1803" s="72" t="inlineStr">
        <is>
          <t>X</t>
        </is>
      </c>
      <c r="D1803" s="5" t="n">
        <v>372</v>
      </c>
      <c r="E1803" s="73">
        <f>B1803*D1803/10000</f>
        <v/>
      </c>
      <c r="F1803" s="74">
        <f>B1803/30.48</f>
        <v/>
      </c>
      <c r="G1803" s="74">
        <f>D1803/30.48</f>
        <v/>
      </c>
      <c r="H1803" s="615" t="n"/>
      <c r="N1803" s="211" t="n"/>
      <c r="Q1803" s="271" t="n"/>
      <c r="R1803" s="282" t="n"/>
    </row>
    <row r="1804" ht="18" customHeight="1" s="305">
      <c r="A1804" s="8" t="n">
        <v>2622</v>
      </c>
      <c r="B1804" s="5" t="n">
        <v>196</v>
      </c>
      <c r="C1804" s="72" t="inlineStr">
        <is>
          <t>X</t>
        </is>
      </c>
      <c r="D1804" s="5" t="n">
        <v>282</v>
      </c>
      <c r="E1804" s="73">
        <f>B1804*D1804/10000</f>
        <v/>
      </c>
      <c r="F1804" s="74">
        <f>B1804/30.48</f>
        <v/>
      </c>
      <c r="G1804" s="74">
        <f>D1804/30.48</f>
        <v/>
      </c>
      <c r="H1804" s="615" t="n"/>
      <c r="N1804" s="211" t="n"/>
      <c r="Q1804" s="271" t="n"/>
      <c r="R1804" s="282" t="n"/>
    </row>
    <row r="1805" ht="18" customHeight="1" s="305">
      <c r="A1805" s="8" t="n">
        <v>2625</v>
      </c>
      <c r="B1805" s="5" t="n">
        <v>89</v>
      </c>
      <c r="C1805" s="72" t="inlineStr">
        <is>
          <t>X</t>
        </is>
      </c>
      <c r="D1805" s="5" t="n">
        <v>161</v>
      </c>
      <c r="E1805" s="73">
        <f>B1805*D1805/10000</f>
        <v/>
      </c>
      <c r="F1805" s="74">
        <f>B1805/30.48</f>
        <v/>
      </c>
      <c r="G1805" s="74">
        <f>D1805/30.48</f>
        <v/>
      </c>
      <c r="H1805" s="615" t="n"/>
      <c r="N1805" s="211" t="n"/>
      <c r="Q1805" s="271" t="n"/>
      <c r="R1805" s="282" t="n"/>
    </row>
    <row r="1806" ht="18" customHeight="1" s="305">
      <c r="A1806" s="8" t="n">
        <v>2626</v>
      </c>
      <c r="B1806" s="5" t="n">
        <v>85</v>
      </c>
      <c r="C1806" s="72" t="inlineStr">
        <is>
          <t>X</t>
        </is>
      </c>
      <c r="D1806" s="5" t="n">
        <v>391</v>
      </c>
      <c r="E1806" s="73">
        <f>B1806*D1806/10000</f>
        <v/>
      </c>
      <c r="F1806" s="74">
        <f>B1806/30.48</f>
        <v/>
      </c>
      <c r="G1806" s="74">
        <f>D1806/30.48</f>
        <v/>
      </c>
      <c r="H1806" s="615" t="n"/>
      <c r="N1806" s="211" t="n"/>
      <c r="Q1806" s="271" t="n"/>
      <c r="R1806" s="282" t="n"/>
    </row>
    <row r="1807" ht="18" customHeight="1" s="305">
      <c r="A1807" s="8" t="n">
        <v>2628</v>
      </c>
      <c r="B1807" s="5" t="n">
        <v>185</v>
      </c>
      <c r="C1807" s="72" t="inlineStr">
        <is>
          <t>X</t>
        </is>
      </c>
      <c r="D1807" s="5" t="n">
        <v>272</v>
      </c>
      <c r="E1807" s="73">
        <f>B1807*D1807/10000</f>
        <v/>
      </c>
      <c r="F1807" s="74">
        <f>B1807/30.48</f>
        <v/>
      </c>
      <c r="G1807" s="74">
        <f>D1807/30.48</f>
        <v/>
      </c>
      <c r="H1807" s="615" t="n"/>
      <c r="N1807" s="211" t="n"/>
      <c r="Q1807" s="271" t="n"/>
      <c r="R1807" s="282" t="n"/>
    </row>
    <row r="1808" ht="18" customHeight="1" s="305">
      <c r="A1808" s="8" t="n">
        <v>2630</v>
      </c>
      <c r="B1808" s="5" t="n">
        <v>151</v>
      </c>
      <c r="C1808" s="72" t="inlineStr">
        <is>
          <t>X</t>
        </is>
      </c>
      <c r="D1808" s="5" t="n">
        <v>233</v>
      </c>
      <c r="E1808" s="73">
        <f>B1808*D1808/10000</f>
        <v/>
      </c>
      <c r="F1808" s="74">
        <f>B1808/30.48</f>
        <v/>
      </c>
      <c r="G1808" s="74">
        <f>D1808/30.48</f>
        <v/>
      </c>
      <c r="H1808" s="615" t="n"/>
      <c r="N1808" s="211" t="n"/>
      <c r="Q1808" s="271" t="n"/>
      <c r="R1808" s="282" t="n"/>
    </row>
    <row r="1809" ht="18" customHeight="1" s="305">
      <c r="A1809" s="8" t="n">
        <v>2632</v>
      </c>
      <c r="B1809" s="5" t="n">
        <v>106</v>
      </c>
      <c r="C1809" s="72" t="inlineStr">
        <is>
          <t>X</t>
        </is>
      </c>
      <c r="D1809" s="5" t="n">
        <v>398</v>
      </c>
      <c r="E1809" s="73">
        <f>B1809*D1809/10000</f>
        <v/>
      </c>
      <c r="F1809" s="74">
        <f>B1809/30.48</f>
        <v/>
      </c>
      <c r="G1809" s="74">
        <f>D1809/30.48</f>
        <v/>
      </c>
      <c r="H1809" s="615" t="n"/>
      <c r="N1809" s="211" t="n"/>
      <c r="Q1809" s="271" t="n"/>
      <c r="R1809" s="282" t="n"/>
    </row>
    <row r="1810" ht="18" customHeight="1" s="305">
      <c r="A1810" s="8" t="n">
        <v>2635</v>
      </c>
      <c r="B1810" s="5" t="n">
        <v>203</v>
      </c>
      <c r="C1810" s="72" t="inlineStr">
        <is>
          <t>X</t>
        </is>
      </c>
      <c r="D1810" s="5" t="n">
        <v>299</v>
      </c>
      <c r="E1810" s="73">
        <f>B1810*D1810/10000</f>
        <v/>
      </c>
      <c r="F1810" s="74">
        <f>B1810/30.48</f>
        <v/>
      </c>
      <c r="G1810" s="74">
        <f>D1810/30.48</f>
        <v/>
      </c>
      <c r="H1810" s="615" t="n"/>
      <c r="N1810" s="211" t="n"/>
      <c r="Q1810" s="271" t="n"/>
      <c r="R1810" s="282" t="n"/>
    </row>
    <row r="1811" ht="18" customHeight="1" s="305">
      <c r="A1811" s="8" t="n">
        <v>2638</v>
      </c>
      <c r="B1811" s="5" t="n">
        <v>72</v>
      </c>
      <c r="C1811" s="72" t="inlineStr">
        <is>
          <t>X</t>
        </is>
      </c>
      <c r="D1811" s="5" t="n">
        <v>183</v>
      </c>
      <c r="E1811" s="73">
        <f>B1811*D1811/10000</f>
        <v/>
      </c>
      <c r="F1811" s="74">
        <f>B1811/30.48</f>
        <v/>
      </c>
      <c r="G1811" s="74">
        <f>D1811/30.48</f>
        <v/>
      </c>
      <c r="H1811" s="615" t="n"/>
      <c r="N1811" s="211" t="n"/>
      <c r="Q1811" s="271" t="n"/>
      <c r="R1811" s="282" t="n"/>
    </row>
    <row r="1812" ht="18" customHeight="1" s="305">
      <c r="A1812" s="8" t="n">
        <v>2639</v>
      </c>
      <c r="B1812" s="5" t="n">
        <v>119</v>
      </c>
      <c r="C1812" s="72" t="inlineStr">
        <is>
          <t>X</t>
        </is>
      </c>
      <c r="D1812" s="5" t="n">
        <v>319</v>
      </c>
      <c r="E1812" s="73">
        <f>B1812*D1812/10000</f>
        <v/>
      </c>
      <c r="F1812" s="74">
        <f>B1812/30.48</f>
        <v/>
      </c>
      <c r="G1812" s="74">
        <f>D1812/30.48</f>
        <v/>
      </c>
      <c r="H1812" s="615" t="n"/>
      <c r="N1812" s="211" t="n"/>
      <c r="Q1812" s="271" t="n"/>
      <c r="R1812" s="282" t="n"/>
    </row>
    <row r="1813" ht="18" customHeight="1" s="305">
      <c r="A1813" s="8" t="n">
        <v>2641</v>
      </c>
      <c r="B1813" s="5" t="n">
        <v>85</v>
      </c>
      <c r="C1813" s="72" t="inlineStr">
        <is>
          <t>X</t>
        </is>
      </c>
      <c r="D1813" s="5" t="n">
        <v>441</v>
      </c>
      <c r="E1813" s="73">
        <f>B1813*D1813/10000</f>
        <v/>
      </c>
      <c r="F1813" s="74">
        <f>B1813/30.48</f>
        <v/>
      </c>
      <c r="G1813" s="74">
        <f>D1813/30.48</f>
        <v/>
      </c>
      <c r="H1813" s="615" t="n"/>
      <c r="N1813" s="211" t="n"/>
      <c r="Q1813" s="271" t="n"/>
      <c r="R1813" s="282" t="n"/>
    </row>
    <row r="1814" ht="18" customHeight="1" s="305">
      <c r="A1814" s="8" t="n">
        <v>2642</v>
      </c>
      <c r="B1814" s="5" t="n">
        <v>107</v>
      </c>
      <c r="C1814" s="72" t="inlineStr">
        <is>
          <t>X</t>
        </is>
      </c>
      <c r="D1814" s="5" t="n">
        <v>434</v>
      </c>
      <c r="E1814" s="73">
        <f>B1814*D1814/10000</f>
        <v/>
      </c>
      <c r="F1814" s="74">
        <f>B1814/30.48</f>
        <v/>
      </c>
      <c r="G1814" s="74">
        <f>D1814/30.48</f>
        <v/>
      </c>
      <c r="H1814" s="615" t="n"/>
      <c r="N1814" s="211" t="n"/>
      <c r="Q1814" s="271" t="n"/>
      <c r="R1814" s="282" t="n"/>
    </row>
    <row r="1815" ht="18" customHeight="1" s="305">
      <c r="A1815" s="8" t="n">
        <v>2644</v>
      </c>
      <c r="B1815" s="5" t="n">
        <v>80</v>
      </c>
      <c r="C1815" s="72" t="inlineStr">
        <is>
          <t>X</t>
        </is>
      </c>
      <c r="D1815" s="5" t="n">
        <v>261</v>
      </c>
      <c r="E1815" s="73">
        <f>B1815*D1815/10000</f>
        <v/>
      </c>
      <c r="F1815" s="74">
        <f>B1815/30.48</f>
        <v/>
      </c>
      <c r="G1815" s="74">
        <f>D1815/30.48</f>
        <v/>
      </c>
      <c r="H1815" s="615" t="n"/>
      <c r="N1815" s="211" t="n"/>
      <c r="Q1815" s="271" t="n"/>
      <c r="R1815" s="282" t="n"/>
    </row>
    <row r="1816" ht="18" customHeight="1" s="305">
      <c r="A1816" s="8" t="n">
        <v>2645</v>
      </c>
      <c r="B1816" s="5" t="n">
        <v>90</v>
      </c>
      <c r="C1816" s="72" t="inlineStr">
        <is>
          <t>X</t>
        </is>
      </c>
      <c r="D1816" s="5" t="n">
        <v>348</v>
      </c>
      <c r="E1816" s="73">
        <f>B1816*D1816/10000</f>
        <v/>
      </c>
      <c r="F1816" s="74">
        <f>B1816/30.48</f>
        <v/>
      </c>
      <c r="G1816" s="74">
        <f>D1816/30.48</f>
        <v/>
      </c>
      <c r="H1816" s="615" t="n"/>
      <c r="N1816" s="211" t="n"/>
      <c r="Q1816" s="271" t="n"/>
      <c r="R1816" s="282" t="n"/>
    </row>
    <row r="1817" ht="18" customHeight="1" s="305">
      <c r="A1817" s="8" t="n">
        <v>2646</v>
      </c>
      <c r="B1817" s="5" t="n">
        <v>176</v>
      </c>
      <c r="C1817" s="72" t="inlineStr">
        <is>
          <t>X</t>
        </is>
      </c>
      <c r="D1817" s="5" t="n">
        <v>292</v>
      </c>
      <c r="E1817" s="73">
        <f>B1817*D1817/10000</f>
        <v/>
      </c>
      <c r="F1817" s="74">
        <f>B1817/30.48</f>
        <v/>
      </c>
      <c r="G1817" s="74">
        <f>D1817/30.48</f>
        <v/>
      </c>
      <c r="H1817" s="615" t="n"/>
      <c r="N1817" s="211" t="n"/>
      <c r="Q1817" s="271" t="n"/>
      <c r="R1817" s="282" t="n"/>
    </row>
    <row r="1818" ht="18" customHeight="1" s="305">
      <c r="A1818" s="8" t="n">
        <v>2647</v>
      </c>
      <c r="B1818" s="5" t="n">
        <v>215</v>
      </c>
      <c r="C1818" s="72" t="inlineStr">
        <is>
          <t>X</t>
        </is>
      </c>
      <c r="D1818" s="5" t="n">
        <v>293</v>
      </c>
      <c r="E1818" s="73">
        <f>B1818*D1818/10000</f>
        <v/>
      </c>
      <c r="F1818" s="74">
        <f>B1818/30.48</f>
        <v/>
      </c>
      <c r="G1818" s="74">
        <f>D1818/30.48</f>
        <v/>
      </c>
      <c r="H1818" s="615" t="n"/>
      <c r="N1818" s="211" t="n"/>
      <c r="Q1818" s="271" t="n"/>
      <c r="R1818" s="282" t="n"/>
    </row>
    <row r="1819" ht="18" customHeight="1" s="305">
      <c r="A1819" s="8" t="n">
        <v>2649</v>
      </c>
      <c r="B1819" s="5" t="n">
        <v>90</v>
      </c>
      <c r="C1819" s="72" t="inlineStr">
        <is>
          <t>X</t>
        </is>
      </c>
      <c r="D1819" s="5" t="n">
        <v>350</v>
      </c>
      <c r="E1819" s="73">
        <f>B1819*D1819/10000</f>
        <v/>
      </c>
      <c r="F1819" s="74">
        <f>B1819/30.48</f>
        <v/>
      </c>
      <c r="G1819" s="74">
        <f>D1819/30.48</f>
        <v/>
      </c>
      <c r="H1819" s="615" t="n"/>
      <c r="N1819" s="211" t="n"/>
      <c r="Q1819" s="271" t="n"/>
      <c r="R1819" s="282" t="n"/>
    </row>
    <row r="1820" ht="18" customHeight="1" s="305">
      <c r="A1820" s="8" t="n">
        <v>2650</v>
      </c>
      <c r="B1820" s="5" t="n">
        <v>100</v>
      </c>
      <c r="C1820" s="72" t="inlineStr">
        <is>
          <t>X</t>
        </is>
      </c>
      <c r="D1820" s="5" t="n">
        <v>410</v>
      </c>
      <c r="E1820" s="73">
        <f>B1820*D1820/10000</f>
        <v/>
      </c>
      <c r="F1820" s="74">
        <f>B1820/30.48</f>
        <v/>
      </c>
      <c r="G1820" s="74">
        <f>D1820/30.48</f>
        <v/>
      </c>
      <c r="H1820" s="615" t="n"/>
      <c r="N1820" s="211" t="n"/>
      <c r="Q1820" s="271" t="n"/>
      <c r="R1820" s="282" t="n"/>
    </row>
    <row r="1821" ht="18" customHeight="1" s="305">
      <c r="A1821" s="8" t="n">
        <v>2651</v>
      </c>
      <c r="B1821" s="5" t="n">
        <v>111</v>
      </c>
      <c r="C1821" s="72" t="inlineStr">
        <is>
          <t>X</t>
        </is>
      </c>
      <c r="D1821" s="5" t="n">
        <v>324</v>
      </c>
      <c r="E1821" s="73">
        <f>B1821*D1821/10000</f>
        <v/>
      </c>
      <c r="F1821" s="74">
        <f>B1821/30.48</f>
        <v/>
      </c>
      <c r="G1821" s="74">
        <f>D1821/30.48</f>
        <v/>
      </c>
      <c r="H1821" s="615" t="n"/>
      <c r="N1821" s="211" t="n"/>
      <c r="Q1821" s="271" t="n"/>
      <c r="R1821" s="282" t="n"/>
    </row>
    <row r="1822" ht="18" customHeight="1" s="305">
      <c r="A1822" s="8" t="n">
        <v>2652</v>
      </c>
      <c r="B1822" s="5" t="n">
        <v>140</v>
      </c>
      <c r="C1822" s="72" t="inlineStr">
        <is>
          <t>X</t>
        </is>
      </c>
      <c r="D1822" s="5" t="n">
        <v>208</v>
      </c>
      <c r="E1822" s="73">
        <f>B1822*D1822/10000</f>
        <v/>
      </c>
      <c r="F1822" s="74">
        <f>B1822/30.48</f>
        <v/>
      </c>
      <c r="G1822" s="74">
        <f>D1822/30.48</f>
        <v/>
      </c>
      <c r="H1822" s="615" t="n"/>
      <c r="N1822" s="211" t="n"/>
      <c r="Q1822" s="271" t="n"/>
      <c r="R1822" s="282" t="n"/>
    </row>
    <row r="1823" ht="18" customHeight="1" s="305">
      <c r="A1823" s="8" t="n">
        <v>2653</v>
      </c>
      <c r="B1823" s="5" t="n">
        <v>90</v>
      </c>
      <c r="C1823" s="72" t="inlineStr">
        <is>
          <t>X</t>
        </is>
      </c>
      <c r="D1823" s="5" t="n">
        <v>360</v>
      </c>
      <c r="E1823" s="73">
        <f>B1823*D1823/10000</f>
        <v/>
      </c>
      <c r="F1823" s="74">
        <f>B1823/30.48</f>
        <v/>
      </c>
      <c r="G1823" s="74">
        <f>D1823/30.48</f>
        <v/>
      </c>
      <c r="H1823" s="615" t="n"/>
      <c r="N1823" s="211" t="n"/>
      <c r="Q1823" s="271" t="n"/>
      <c r="R1823" s="282" t="n"/>
    </row>
    <row r="1824" ht="18" customHeight="1" s="305">
      <c r="A1824" s="8" t="n">
        <v>2654</v>
      </c>
      <c r="B1824" s="5" t="n">
        <v>90</v>
      </c>
      <c r="C1824" s="72" t="inlineStr">
        <is>
          <t>X</t>
        </is>
      </c>
      <c r="D1824" s="5" t="n">
        <v>367</v>
      </c>
      <c r="E1824" s="73">
        <f>B1824*D1824/10000</f>
        <v/>
      </c>
      <c r="F1824" s="74">
        <f>B1824/30.48</f>
        <v/>
      </c>
      <c r="G1824" s="74">
        <f>D1824/30.48</f>
        <v/>
      </c>
      <c r="H1824" s="615" t="n"/>
      <c r="N1824" s="211" t="n"/>
      <c r="Q1824" s="271" t="n"/>
      <c r="R1824" s="282" t="n"/>
    </row>
    <row r="1825" ht="18" customHeight="1" s="305">
      <c r="A1825" s="8" t="n">
        <v>2655</v>
      </c>
      <c r="B1825" s="5" t="n">
        <v>90</v>
      </c>
      <c r="C1825" s="72" t="inlineStr">
        <is>
          <t>X</t>
        </is>
      </c>
      <c r="D1825" s="5" t="n">
        <v>391</v>
      </c>
      <c r="E1825" s="73">
        <f>B1825*D1825/10000</f>
        <v/>
      </c>
      <c r="F1825" s="74">
        <f>B1825/30.48</f>
        <v/>
      </c>
      <c r="G1825" s="74">
        <f>D1825/30.48</f>
        <v/>
      </c>
      <c r="H1825" s="615" t="n"/>
      <c r="N1825" s="211" t="n"/>
      <c r="Q1825" s="271" t="n"/>
      <c r="R1825" s="282" t="n"/>
    </row>
    <row r="1826" ht="18" customHeight="1" s="305">
      <c r="A1826" s="8" t="n">
        <v>2656</v>
      </c>
      <c r="B1826" s="5" t="n">
        <v>86</v>
      </c>
      <c r="C1826" s="72" t="inlineStr">
        <is>
          <t>X</t>
        </is>
      </c>
      <c r="D1826" s="5" t="n">
        <v>364</v>
      </c>
      <c r="E1826" s="73">
        <f>B1826*D1826/10000</f>
        <v/>
      </c>
      <c r="F1826" s="74">
        <f>B1826/30.48</f>
        <v/>
      </c>
      <c r="G1826" s="74">
        <f>D1826/30.48</f>
        <v/>
      </c>
      <c r="H1826" s="615" t="n"/>
      <c r="N1826" s="211" t="n"/>
      <c r="Q1826" s="271" t="n"/>
      <c r="R1826" s="282" t="n"/>
    </row>
    <row r="1827" ht="18" customHeight="1" s="305">
      <c r="A1827" s="8" t="n">
        <v>2657</v>
      </c>
      <c r="B1827" s="5" t="n">
        <v>75</v>
      </c>
      <c r="C1827" s="72" t="inlineStr">
        <is>
          <t>X</t>
        </is>
      </c>
      <c r="D1827" s="5" t="n">
        <v>305</v>
      </c>
      <c r="E1827" s="73">
        <f>B1827*D1827/10000</f>
        <v/>
      </c>
      <c r="F1827" s="74">
        <f>B1827/30.48</f>
        <v/>
      </c>
      <c r="G1827" s="74">
        <f>D1827/30.48</f>
        <v/>
      </c>
      <c r="H1827" s="615" t="n"/>
      <c r="N1827" s="211" t="n"/>
      <c r="Q1827" s="271" t="n"/>
      <c r="R1827" s="282" t="n"/>
    </row>
    <row r="1828" ht="18" customHeight="1" s="305">
      <c r="A1828" s="8" t="n">
        <v>2659</v>
      </c>
      <c r="B1828" s="5" t="n">
        <v>91</v>
      </c>
      <c r="C1828" s="72" t="inlineStr">
        <is>
          <t>X</t>
        </is>
      </c>
      <c r="D1828" s="5" t="n">
        <v>358</v>
      </c>
      <c r="E1828" s="73">
        <f>B1828*D1828/10000</f>
        <v/>
      </c>
      <c r="F1828" s="74">
        <f>B1828/30.48</f>
        <v/>
      </c>
      <c r="G1828" s="74">
        <f>D1828/30.48</f>
        <v/>
      </c>
      <c r="H1828" s="615" t="n"/>
      <c r="N1828" s="211" t="n"/>
      <c r="Q1828" s="271" t="n"/>
      <c r="R1828" s="282" t="n"/>
    </row>
    <row r="1829" ht="18" customHeight="1" s="305">
      <c r="A1829" s="8" t="n">
        <v>2662</v>
      </c>
      <c r="B1829" s="5" t="n">
        <v>129</v>
      </c>
      <c r="C1829" s="72" t="inlineStr">
        <is>
          <t>X</t>
        </is>
      </c>
      <c r="D1829" s="5" t="n">
        <v>198</v>
      </c>
      <c r="E1829" s="73">
        <f>B1829*D1829/10000</f>
        <v/>
      </c>
      <c r="F1829" s="74">
        <f>B1829/30.48</f>
        <v/>
      </c>
      <c r="G1829" s="74">
        <f>D1829/30.48</f>
        <v/>
      </c>
      <c r="H1829" s="615" t="n"/>
      <c r="N1829" s="211" t="n"/>
      <c r="Q1829" s="271" t="n"/>
      <c r="R1829" s="282" t="n"/>
    </row>
    <row r="1830" ht="18" customHeight="1" s="305">
      <c r="A1830" s="8" t="n">
        <v>2664</v>
      </c>
      <c r="B1830" s="5" t="n">
        <v>78</v>
      </c>
      <c r="C1830" s="72" t="inlineStr">
        <is>
          <t>X</t>
        </is>
      </c>
      <c r="D1830" s="5" t="n">
        <v>359</v>
      </c>
      <c r="E1830" s="73">
        <f>B1830*D1830/10000</f>
        <v/>
      </c>
      <c r="F1830" s="74">
        <f>B1830/30.48</f>
        <v/>
      </c>
      <c r="G1830" s="74">
        <f>D1830/30.48</f>
        <v/>
      </c>
      <c r="H1830" s="615" t="n"/>
      <c r="N1830" s="211" t="n"/>
      <c r="Q1830" s="271" t="n"/>
      <c r="R1830" s="282" t="n"/>
    </row>
    <row r="1831" ht="18" customHeight="1" s="305">
      <c r="A1831" s="8" t="n">
        <v>2665</v>
      </c>
      <c r="B1831" s="5" t="n">
        <v>210</v>
      </c>
      <c r="C1831" s="72" t="inlineStr">
        <is>
          <t>X</t>
        </is>
      </c>
      <c r="D1831" s="5" t="n">
        <v>304</v>
      </c>
      <c r="E1831" s="73">
        <f>B1831*D1831/10000</f>
        <v/>
      </c>
      <c r="F1831" s="74">
        <f>B1831/30.48</f>
        <v/>
      </c>
      <c r="G1831" s="74">
        <f>D1831/30.48</f>
        <v/>
      </c>
      <c r="H1831" s="615" t="n"/>
      <c r="N1831" s="211" t="n"/>
      <c r="Q1831" s="271" t="n"/>
      <c r="R1831" s="282" t="n"/>
    </row>
    <row r="1832" ht="18" customHeight="1" s="305">
      <c r="A1832" s="8" t="n">
        <v>2666</v>
      </c>
      <c r="B1832" s="5" t="n">
        <v>149</v>
      </c>
      <c r="C1832" s="72" t="inlineStr">
        <is>
          <t>X</t>
        </is>
      </c>
      <c r="D1832" s="5" t="n">
        <v>247</v>
      </c>
      <c r="E1832" s="73">
        <f>B1832*D1832/10000</f>
        <v/>
      </c>
      <c r="F1832" s="74">
        <f>B1832/30.48</f>
        <v/>
      </c>
      <c r="G1832" s="74">
        <f>D1832/30.48</f>
        <v/>
      </c>
      <c r="H1832" s="615" t="n"/>
      <c r="N1832" s="211" t="n"/>
      <c r="Q1832" s="271" t="n"/>
      <c r="R1832" s="282" t="n"/>
    </row>
    <row r="1833" ht="18" customHeight="1" s="305">
      <c r="A1833" s="8" t="n">
        <v>2667</v>
      </c>
      <c r="B1833" s="5" t="n">
        <v>81</v>
      </c>
      <c r="C1833" s="72" t="inlineStr">
        <is>
          <t>X</t>
        </is>
      </c>
      <c r="D1833" s="5" t="n">
        <v>266</v>
      </c>
      <c r="E1833" s="73">
        <f>B1833*D1833/10000</f>
        <v/>
      </c>
      <c r="F1833" s="74">
        <f>B1833/30.48</f>
        <v/>
      </c>
      <c r="G1833" s="74">
        <f>D1833/30.48</f>
        <v/>
      </c>
      <c r="H1833" s="615" t="n"/>
      <c r="N1833" s="211" t="n"/>
      <c r="Q1833" s="271" t="n"/>
      <c r="R1833" s="282" t="n"/>
    </row>
    <row r="1834" ht="18" customHeight="1" s="305">
      <c r="A1834" s="8" t="n">
        <v>2668</v>
      </c>
      <c r="B1834" s="5" t="n">
        <v>80</v>
      </c>
      <c r="C1834" s="72" t="inlineStr">
        <is>
          <t>X</t>
        </is>
      </c>
      <c r="D1834" s="5" t="n">
        <v>334</v>
      </c>
      <c r="E1834" s="73">
        <f>B1834*D1834/10000</f>
        <v/>
      </c>
      <c r="F1834" s="74">
        <f>B1834/30.48</f>
        <v/>
      </c>
      <c r="G1834" s="74">
        <f>D1834/30.48</f>
        <v/>
      </c>
      <c r="H1834" s="615" t="n"/>
      <c r="N1834" s="211" t="n"/>
      <c r="Q1834" s="271" t="n"/>
      <c r="R1834" s="282" t="n"/>
    </row>
    <row r="1835" ht="18" customHeight="1" s="305">
      <c r="A1835" s="8" t="n">
        <v>2670</v>
      </c>
      <c r="B1835" s="5" t="n">
        <v>208</v>
      </c>
      <c r="C1835" s="72" t="inlineStr">
        <is>
          <t>X</t>
        </is>
      </c>
      <c r="D1835" s="5" t="n">
        <v>293</v>
      </c>
      <c r="E1835" s="73">
        <f>B1835*D1835/10000</f>
        <v/>
      </c>
      <c r="F1835" s="74">
        <f>B1835/30.48</f>
        <v/>
      </c>
      <c r="G1835" s="74">
        <f>D1835/30.48</f>
        <v/>
      </c>
      <c r="H1835" s="615" t="n"/>
      <c r="N1835" s="211" t="n"/>
      <c r="Q1835" s="271" t="n"/>
      <c r="R1835" s="282" t="n"/>
    </row>
    <row r="1836" ht="18" customHeight="1" s="305">
      <c r="A1836" s="8" t="n">
        <v>2671</v>
      </c>
      <c r="B1836" s="5" t="n">
        <v>187</v>
      </c>
      <c r="C1836" s="72" t="inlineStr">
        <is>
          <t>X</t>
        </is>
      </c>
      <c r="D1836" s="5" t="n">
        <v>289</v>
      </c>
      <c r="E1836" s="73">
        <f>B1836*D1836/10000</f>
        <v/>
      </c>
      <c r="F1836" s="74">
        <f>B1836/30.48</f>
        <v/>
      </c>
      <c r="G1836" s="74">
        <f>D1836/30.48</f>
        <v/>
      </c>
      <c r="H1836" s="615" t="n"/>
      <c r="N1836" s="211" t="n"/>
      <c r="Q1836" s="271" t="n"/>
      <c r="R1836" s="282" t="n"/>
    </row>
    <row r="1837" ht="18" customHeight="1" s="305">
      <c r="A1837" s="8" t="n">
        <v>2676</v>
      </c>
      <c r="B1837" s="5" t="n">
        <v>90</v>
      </c>
      <c r="C1837" s="72" t="inlineStr">
        <is>
          <t>X</t>
        </is>
      </c>
      <c r="D1837" s="5" t="n">
        <v>323</v>
      </c>
      <c r="E1837" s="73">
        <f>B1837*D1837/10000</f>
        <v/>
      </c>
      <c r="F1837" s="74">
        <f>B1837/30.48</f>
        <v/>
      </c>
      <c r="G1837" s="74">
        <f>D1837/30.48</f>
        <v/>
      </c>
      <c r="H1837" s="615" t="n"/>
      <c r="N1837" s="211" t="n"/>
      <c r="Q1837" s="271" t="n"/>
      <c r="R1837" s="282" t="n"/>
    </row>
    <row r="1838" ht="18" customHeight="1" s="305">
      <c r="A1838" s="8" t="n">
        <v>2677</v>
      </c>
      <c r="B1838" s="5" t="n">
        <v>74</v>
      </c>
      <c r="C1838" s="72" t="inlineStr">
        <is>
          <t>X</t>
        </is>
      </c>
      <c r="D1838" s="5" t="n">
        <v>326</v>
      </c>
      <c r="E1838" s="73">
        <f>B1838*D1838/10000</f>
        <v/>
      </c>
      <c r="F1838" s="74">
        <f>B1838/30.48</f>
        <v/>
      </c>
      <c r="G1838" s="74">
        <f>D1838/30.48</f>
        <v/>
      </c>
      <c r="H1838" s="615" t="n"/>
      <c r="N1838" s="211" t="n"/>
      <c r="Q1838" s="271" t="n"/>
      <c r="R1838" s="282" t="n"/>
    </row>
    <row r="1839" ht="18" customHeight="1" s="305">
      <c r="A1839" s="8" t="n">
        <v>2679</v>
      </c>
      <c r="B1839" s="5" t="n">
        <v>125</v>
      </c>
      <c r="C1839" s="72" t="inlineStr">
        <is>
          <t>X</t>
        </is>
      </c>
      <c r="D1839" s="5" t="n">
        <v>221</v>
      </c>
      <c r="E1839" s="73">
        <f>B1839*D1839/10000</f>
        <v/>
      </c>
      <c r="F1839" s="74">
        <f>B1839/30.48</f>
        <v/>
      </c>
      <c r="G1839" s="74">
        <f>D1839/30.48</f>
        <v/>
      </c>
      <c r="H1839" s="615" t="n"/>
      <c r="N1839" s="211" t="n"/>
      <c r="Q1839" s="271" t="n"/>
      <c r="R1839" s="282" t="n"/>
    </row>
    <row r="1840" ht="18" customHeight="1" s="305">
      <c r="A1840" s="8" t="n">
        <v>2681</v>
      </c>
      <c r="B1840" s="5" t="n">
        <v>125</v>
      </c>
      <c r="C1840" s="72" t="inlineStr">
        <is>
          <t>X</t>
        </is>
      </c>
      <c r="D1840" s="5" t="n">
        <v>232</v>
      </c>
      <c r="E1840" s="73">
        <f>B1840*D1840/10000</f>
        <v/>
      </c>
      <c r="F1840" s="74">
        <f>B1840/30.48</f>
        <v/>
      </c>
      <c r="G1840" s="74">
        <f>D1840/30.48</f>
        <v/>
      </c>
      <c r="H1840" s="615" t="n"/>
      <c r="N1840" s="211" t="n"/>
      <c r="Q1840" s="271" t="n"/>
      <c r="R1840" s="282" t="n"/>
    </row>
    <row r="1841" ht="18" customHeight="1" s="305">
      <c r="A1841" s="8" t="n">
        <v>2683</v>
      </c>
      <c r="B1841" s="5" t="n">
        <v>73</v>
      </c>
      <c r="C1841" s="72" t="inlineStr">
        <is>
          <t>X</t>
        </is>
      </c>
      <c r="D1841" s="5" t="n">
        <v>318</v>
      </c>
      <c r="E1841" s="73">
        <f>B1841*D1841/10000</f>
        <v/>
      </c>
      <c r="F1841" s="74">
        <f>B1841/30.48</f>
        <v/>
      </c>
      <c r="G1841" s="74">
        <f>D1841/30.48</f>
        <v/>
      </c>
      <c r="H1841" s="615" t="n"/>
      <c r="N1841" s="211" t="n"/>
      <c r="P1841" s="261" t="inlineStr">
        <is>
          <t>wvn</t>
        </is>
      </c>
      <c r="Q1841" s="271" t="n"/>
      <c r="R1841" s="282" t="inlineStr">
        <is>
          <t>wvn</t>
        </is>
      </c>
    </row>
    <row r="1842" ht="18" customHeight="1" s="305">
      <c r="A1842" s="8" t="n">
        <v>2684</v>
      </c>
      <c r="B1842" s="5" t="n">
        <v>173</v>
      </c>
      <c r="C1842" s="72" t="inlineStr">
        <is>
          <t>X</t>
        </is>
      </c>
      <c r="D1842" s="5" t="n">
        <v>279</v>
      </c>
      <c r="E1842" s="73">
        <f>B1842*D1842/10000</f>
        <v/>
      </c>
      <c r="F1842" s="74">
        <f>B1842/30.48</f>
        <v/>
      </c>
      <c r="G1842" s="74">
        <f>D1842/30.48</f>
        <v/>
      </c>
      <c r="H1842" s="615" t="n"/>
      <c r="N1842" s="211" t="n"/>
      <c r="Q1842" s="271" t="n"/>
      <c r="R1842" s="282" t="n"/>
    </row>
    <row r="1843" ht="18" customHeight="1" s="305">
      <c r="A1843" s="8" t="n">
        <v>2685</v>
      </c>
      <c r="B1843" s="5" t="n">
        <v>77</v>
      </c>
      <c r="C1843" s="72" t="inlineStr">
        <is>
          <t>X</t>
        </is>
      </c>
      <c r="D1843" s="5" t="n">
        <v>160</v>
      </c>
      <c r="E1843" s="73">
        <f>B1843*D1843/10000</f>
        <v/>
      </c>
      <c r="F1843" s="74">
        <f>B1843/30.48</f>
        <v/>
      </c>
      <c r="G1843" s="74">
        <f>D1843/30.48</f>
        <v/>
      </c>
      <c r="H1843" s="615" t="n"/>
      <c r="N1843" s="211" t="n"/>
      <c r="Q1843" s="271" t="n"/>
      <c r="R1843" s="282" t="n"/>
    </row>
    <row r="1844" ht="18" customHeight="1" s="305">
      <c r="A1844" s="8" t="n">
        <v>2688</v>
      </c>
      <c r="B1844" s="5" t="n">
        <v>80</v>
      </c>
      <c r="C1844" s="72" t="inlineStr">
        <is>
          <t>X</t>
        </is>
      </c>
      <c r="D1844" s="5" t="n">
        <v>269</v>
      </c>
      <c r="E1844" s="73">
        <f>B1844*D1844/10000</f>
        <v/>
      </c>
      <c r="F1844" s="74">
        <f>B1844/30.48</f>
        <v/>
      </c>
      <c r="G1844" s="74">
        <f>D1844/30.48</f>
        <v/>
      </c>
      <c r="H1844" s="615" t="n"/>
      <c r="N1844" s="211" t="n"/>
      <c r="Q1844" s="271" t="n"/>
      <c r="R1844" s="282" t="n"/>
    </row>
    <row r="1845" ht="18" customHeight="1" s="305">
      <c r="A1845" s="8" t="n">
        <v>2689</v>
      </c>
      <c r="B1845" s="5" t="n">
        <v>88</v>
      </c>
      <c r="C1845" s="72" t="inlineStr">
        <is>
          <t>X</t>
        </is>
      </c>
      <c r="D1845" s="5" t="n">
        <v>435</v>
      </c>
      <c r="E1845" s="73">
        <f>B1845*D1845/10000</f>
        <v/>
      </c>
      <c r="F1845" s="74">
        <f>B1845/30.48</f>
        <v/>
      </c>
      <c r="G1845" s="74">
        <f>D1845/30.48</f>
        <v/>
      </c>
      <c r="H1845" s="615" t="n"/>
      <c r="N1845" s="211" t="n"/>
      <c r="Q1845" s="271" t="n"/>
      <c r="R1845" s="282" t="n"/>
    </row>
    <row r="1846" ht="18" customHeight="1" s="305">
      <c r="A1846" s="8" t="n">
        <v>2691</v>
      </c>
      <c r="B1846" s="5" t="n">
        <v>99</v>
      </c>
      <c r="C1846" s="72" t="inlineStr">
        <is>
          <t>X</t>
        </is>
      </c>
      <c r="D1846" s="5" t="n">
        <v>185</v>
      </c>
      <c r="E1846" s="73">
        <f>B1846*D1846/10000</f>
        <v/>
      </c>
      <c r="F1846" s="74">
        <f>B1846/30.48</f>
        <v/>
      </c>
      <c r="G1846" s="74">
        <f>D1846/30.48</f>
        <v/>
      </c>
      <c r="H1846" s="615" t="n"/>
      <c r="N1846" s="211" t="n"/>
      <c r="Q1846" s="271" t="n"/>
      <c r="R1846" s="282" t="n"/>
    </row>
    <row r="1847" ht="18" customHeight="1" s="305">
      <c r="A1847" s="8" t="n">
        <v>2692</v>
      </c>
      <c r="B1847" s="5" t="n">
        <v>110</v>
      </c>
      <c r="C1847" s="72" t="inlineStr">
        <is>
          <t>X</t>
        </is>
      </c>
      <c r="D1847" s="5" t="n">
        <v>190</v>
      </c>
      <c r="E1847" s="73">
        <f>B1847*D1847/10000</f>
        <v/>
      </c>
      <c r="F1847" s="74">
        <f>B1847/30.48</f>
        <v/>
      </c>
      <c r="G1847" s="74">
        <f>D1847/30.48</f>
        <v/>
      </c>
      <c r="H1847" s="615" t="n"/>
      <c r="N1847" s="211" t="n"/>
      <c r="Q1847" s="271" t="n"/>
      <c r="R1847" s="282" t="n"/>
    </row>
    <row r="1848" ht="18" customHeight="1" s="305">
      <c r="A1848" s="8" t="n">
        <v>2693</v>
      </c>
      <c r="B1848" s="5" t="n">
        <v>155</v>
      </c>
      <c r="C1848" s="72" t="inlineStr">
        <is>
          <t>X</t>
        </is>
      </c>
      <c r="D1848" s="5" t="n">
        <v>266</v>
      </c>
      <c r="E1848" s="73">
        <f>B1848*D1848/10000</f>
        <v/>
      </c>
      <c r="F1848" s="74">
        <f>B1848/30.48</f>
        <v/>
      </c>
      <c r="G1848" s="74">
        <f>D1848/30.48</f>
        <v/>
      </c>
      <c r="H1848" s="615" t="n"/>
      <c r="N1848" s="211" t="n"/>
      <c r="Q1848" s="271" t="n"/>
      <c r="R1848" s="282" t="n"/>
    </row>
    <row r="1849" ht="18" customHeight="1" s="305">
      <c r="A1849" s="8" t="n">
        <v>2694</v>
      </c>
      <c r="B1849" s="5" t="n">
        <v>213</v>
      </c>
      <c r="C1849" s="72" t="inlineStr">
        <is>
          <t>X</t>
        </is>
      </c>
      <c r="D1849" s="5" t="n">
        <v>293</v>
      </c>
      <c r="E1849" s="73">
        <f>B1849*D1849/10000</f>
        <v/>
      </c>
      <c r="F1849" s="74">
        <f>B1849/30.48</f>
        <v/>
      </c>
      <c r="G1849" s="74">
        <f>D1849/30.48</f>
        <v/>
      </c>
      <c r="H1849" s="615" t="n"/>
      <c r="N1849" s="211" t="n"/>
      <c r="Q1849" s="271" t="n"/>
      <c r="R1849" s="282" t="n"/>
    </row>
    <row r="1850" ht="18" customHeight="1" s="305">
      <c r="A1850" s="8" t="n">
        <v>2695</v>
      </c>
      <c r="B1850" s="5" t="n">
        <v>107</v>
      </c>
      <c r="C1850" s="72" t="inlineStr">
        <is>
          <t>X</t>
        </is>
      </c>
      <c r="D1850" s="5" t="n">
        <v>386</v>
      </c>
      <c r="E1850" s="73">
        <f>B1850*D1850/10000</f>
        <v/>
      </c>
      <c r="F1850" s="74">
        <f>B1850/30.48</f>
        <v/>
      </c>
      <c r="G1850" s="74">
        <f>D1850/30.48</f>
        <v/>
      </c>
      <c r="H1850" s="615" t="n"/>
      <c r="N1850" s="211" t="n"/>
      <c r="Q1850" s="271" t="n"/>
      <c r="R1850" s="282" t="n"/>
    </row>
    <row r="1851" ht="18" customHeight="1" s="305">
      <c r="A1851" s="8" t="n">
        <v>2696</v>
      </c>
      <c r="B1851" s="5" t="n">
        <v>190</v>
      </c>
      <c r="C1851" s="72" t="inlineStr">
        <is>
          <t>X</t>
        </is>
      </c>
      <c r="D1851" s="5" t="n">
        <v>297</v>
      </c>
      <c r="E1851" s="73">
        <f>B1851*D1851/10000</f>
        <v/>
      </c>
      <c r="F1851" s="74">
        <f>B1851/30.48</f>
        <v/>
      </c>
      <c r="G1851" s="74">
        <f>D1851/30.48</f>
        <v/>
      </c>
      <c r="H1851" s="615" t="n"/>
      <c r="N1851" s="211" t="n"/>
      <c r="Q1851" s="271" t="n"/>
      <c r="R1851" s="282" t="n"/>
    </row>
    <row r="1852" ht="18" customHeight="1" s="305">
      <c r="A1852" s="8" t="n">
        <v>2697</v>
      </c>
      <c r="B1852" s="5" t="n">
        <v>116</v>
      </c>
      <c r="C1852" s="72" t="inlineStr">
        <is>
          <t>X</t>
        </is>
      </c>
      <c r="D1852" s="5" t="n">
        <v>165</v>
      </c>
      <c r="E1852" s="73">
        <f>B1852*D1852/10000</f>
        <v/>
      </c>
      <c r="F1852" s="74">
        <f>B1852/30.48</f>
        <v/>
      </c>
      <c r="G1852" s="74">
        <f>D1852/30.48</f>
        <v/>
      </c>
      <c r="H1852" s="615" t="n"/>
      <c r="N1852" s="211" t="n"/>
      <c r="Q1852" s="271" t="n"/>
      <c r="R1852" s="282" t="n"/>
    </row>
    <row r="1853" ht="18" customHeight="1" s="305">
      <c r="A1853" s="8" t="n">
        <v>2698</v>
      </c>
      <c r="B1853" s="5" t="n">
        <v>152</v>
      </c>
      <c r="C1853" s="72" t="inlineStr">
        <is>
          <t>X</t>
        </is>
      </c>
      <c r="D1853" s="5" t="n">
        <v>251</v>
      </c>
      <c r="E1853" s="73">
        <f>B1853*D1853/10000</f>
        <v/>
      </c>
      <c r="F1853" s="74">
        <f>B1853/30.48</f>
        <v/>
      </c>
      <c r="G1853" s="74">
        <f>D1853/30.48</f>
        <v/>
      </c>
      <c r="H1853" s="615" t="n"/>
      <c r="N1853" s="211" t="n"/>
      <c r="Q1853" s="271" t="n"/>
      <c r="R1853" s="282" t="n"/>
    </row>
    <row r="1854" ht="18" customHeight="1" s="305">
      <c r="A1854" s="8" t="n">
        <v>2699</v>
      </c>
      <c r="B1854" s="5" t="n">
        <v>189</v>
      </c>
      <c r="C1854" s="72" t="inlineStr">
        <is>
          <t>X</t>
        </is>
      </c>
      <c r="D1854" s="5" t="n">
        <v>294</v>
      </c>
      <c r="E1854" s="73">
        <f>B1854*D1854/10000</f>
        <v/>
      </c>
      <c r="F1854" s="74">
        <f>B1854/30.48</f>
        <v/>
      </c>
      <c r="G1854" s="74">
        <f>D1854/30.48</f>
        <v/>
      </c>
      <c r="H1854" s="615" t="n"/>
      <c r="N1854" s="211" t="n"/>
      <c r="Q1854" s="271" t="n"/>
      <c r="R1854" s="282" t="n"/>
    </row>
    <row r="1855" ht="18" customHeight="1" s="305">
      <c r="A1855" s="8" t="n">
        <v>2700</v>
      </c>
      <c r="B1855" s="5" t="n">
        <v>184</v>
      </c>
      <c r="C1855" s="72" t="inlineStr">
        <is>
          <t>X</t>
        </is>
      </c>
      <c r="D1855" s="5" t="n">
        <v>295</v>
      </c>
      <c r="E1855" s="73">
        <f>B1855*D1855/10000</f>
        <v/>
      </c>
      <c r="F1855" s="74">
        <f>B1855/30.48</f>
        <v/>
      </c>
      <c r="G1855" s="74">
        <f>D1855/30.48</f>
        <v/>
      </c>
      <c r="H1855" s="615" t="n"/>
      <c r="N1855" s="211" t="n"/>
      <c r="Q1855" s="271" t="n"/>
      <c r="R1855" s="282" t="n"/>
    </row>
    <row r="1856" ht="18" customHeight="1" s="305">
      <c r="A1856" s="8" t="n">
        <v>2704</v>
      </c>
      <c r="B1856" s="5" t="n">
        <v>133</v>
      </c>
      <c r="C1856" s="72" t="inlineStr">
        <is>
          <t>X</t>
        </is>
      </c>
      <c r="D1856" s="5" t="n">
        <v>401</v>
      </c>
      <c r="E1856" s="73">
        <f>B1856*D1856/10000</f>
        <v/>
      </c>
      <c r="F1856" s="74">
        <f>B1856/30.48</f>
        <v/>
      </c>
      <c r="G1856" s="74">
        <f>D1856/30.48</f>
        <v/>
      </c>
      <c r="H1856" s="615" t="n"/>
      <c r="N1856" s="211" t="n"/>
      <c r="Q1856" s="271" t="n"/>
      <c r="R1856" s="282" t="n"/>
    </row>
    <row r="1857" ht="18" customHeight="1" s="305">
      <c r="A1857" s="8" t="n">
        <v>2705</v>
      </c>
      <c r="B1857" s="5" t="n">
        <v>80</v>
      </c>
      <c r="C1857" s="72" t="inlineStr">
        <is>
          <t>X</t>
        </is>
      </c>
      <c r="D1857" s="5" t="n">
        <v>354</v>
      </c>
      <c r="E1857" s="73">
        <f>B1857*D1857/10000</f>
        <v/>
      </c>
      <c r="F1857" s="74">
        <f>B1857/30.48</f>
        <v/>
      </c>
      <c r="G1857" s="74">
        <f>D1857/30.48</f>
        <v/>
      </c>
      <c r="H1857" s="615" t="n"/>
      <c r="K1857" s="51" t="inlineStr">
        <is>
          <t>PAC</t>
        </is>
      </c>
      <c r="N1857" s="211" t="n"/>
      <c r="Q1857" s="271" t="n"/>
      <c r="R1857" s="282" t="n"/>
    </row>
    <row r="1858" ht="18" customHeight="1" s="305">
      <c r="A1858" s="8" t="n">
        <v>2706</v>
      </c>
      <c r="B1858" s="5" t="n">
        <v>94</v>
      </c>
      <c r="C1858" s="72" t="inlineStr">
        <is>
          <t>X</t>
        </is>
      </c>
      <c r="D1858" s="5" t="n">
        <v>355</v>
      </c>
      <c r="E1858" s="73">
        <f>B1858*D1858/10000</f>
        <v/>
      </c>
      <c r="F1858" s="74">
        <f>B1858/30.48</f>
        <v/>
      </c>
      <c r="G1858" s="74">
        <f>D1858/30.48</f>
        <v/>
      </c>
      <c r="H1858" s="615" t="n"/>
      <c r="N1858" s="211" t="n"/>
      <c r="Q1858" s="271" t="n"/>
      <c r="R1858" s="282" t="n"/>
    </row>
    <row r="1859" ht="18" customHeight="1" s="305">
      <c r="A1859" s="8" t="n">
        <v>2707</v>
      </c>
      <c r="B1859" s="5" t="n">
        <v>88</v>
      </c>
      <c r="C1859" s="72" t="inlineStr">
        <is>
          <t>X</t>
        </is>
      </c>
      <c r="D1859" s="5" t="n">
        <v>323</v>
      </c>
      <c r="E1859" s="73">
        <f>B1859*D1859/10000</f>
        <v/>
      </c>
      <c r="F1859" s="74">
        <f>B1859/30.48</f>
        <v/>
      </c>
      <c r="G1859" s="74">
        <f>D1859/30.48</f>
        <v/>
      </c>
      <c r="H1859" s="615" t="n"/>
      <c r="N1859" s="211" t="n"/>
      <c r="Q1859" s="271" t="n"/>
      <c r="R1859" s="282" t="n"/>
    </row>
    <row r="1860" ht="18" customHeight="1" s="305">
      <c r="A1860" s="8" t="n">
        <v>2708</v>
      </c>
      <c r="B1860" s="5" t="n">
        <v>167</v>
      </c>
      <c r="C1860" s="72" t="inlineStr">
        <is>
          <t>X</t>
        </is>
      </c>
      <c r="D1860" s="5" t="n">
        <v>268</v>
      </c>
      <c r="E1860" s="73">
        <f>B1860*D1860/10000</f>
        <v/>
      </c>
      <c r="F1860" s="74">
        <f>B1860/30.48</f>
        <v/>
      </c>
      <c r="G1860" s="74">
        <f>D1860/30.48</f>
        <v/>
      </c>
      <c r="H1860" s="615" t="n"/>
      <c r="N1860" s="211" t="n"/>
      <c r="Q1860" s="271" t="n"/>
      <c r="R1860" s="282" t="n"/>
    </row>
    <row r="1861" ht="18" customHeight="1" s="305">
      <c r="A1861" s="8" t="n">
        <v>2709</v>
      </c>
      <c r="B1861" s="5" t="n">
        <v>80</v>
      </c>
      <c r="C1861" s="72" t="inlineStr">
        <is>
          <t>X</t>
        </is>
      </c>
      <c r="D1861" s="5" t="n">
        <v>396</v>
      </c>
      <c r="E1861" s="73">
        <f>B1861*D1861/10000</f>
        <v/>
      </c>
      <c r="F1861" s="74">
        <f>B1861/30.48</f>
        <v/>
      </c>
      <c r="G1861" s="74">
        <f>D1861/30.48</f>
        <v/>
      </c>
      <c r="H1861" s="615" t="n"/>
      <c r="N1861" s="211" t="n"/>
      <c r="Q1861" s="271" t="n"/>
      <c r="R1861" s="282" t="n"/>
    </row>
    <row r="1862" ht="18" customHeight="1" s="305">
      <c r="A1862" s="8" t="n">
        <v>2710</v>
      </c>
      <c r="B1862" s="5" t="n">
        <v>91</v>
      </c>
      <c r="C1862" s="72" t="inlineStr">
        <is>
          <t>X</t>
        </is>
      </c>
      <c r="D1862" s="5" t="n">
        <v>320</v>
      </c>
      <c r="E1862" s="73">
        <f>B1862*D1862/10000</f>
        <v/>
      </c>
      <c r="F1862" s="74">
        <f>B1862/30.48</f>
        <v/>
      </c>
      <c r="G1862" s="74">
        <f>D1862/30.48</f>
        <v/>
      </c>
      <c r="H1862" s="615" t="n"/>
      <c r="N1862" s="211" t="n"/>
      <c r="Q1862" s="271" t="n"/>
      <c r="R1862" s="282" t="n"/>
    </row>
    <row r="1863" ht="18" customHeight="1" s="305">
      <c r="A1863" s="8" t="n">
        <v>2711</v>
      </c>
      <c r="B1863" s="5" t="n">
        <v>193</v>
      </c>
      <c r="C1863" s="72" t="inlineStr">
        <is>
          <t>X</t>
        </is>
      </c>
      <c r="D1863" s="5" t="n">
        <v>317</v>
      </c>
      <c r="E1863" s="73">
        <f>B1863*D1863/10000</f>
        <v/>
      </c>
      <c r="F1863" s="74">
        <f>B1863/30.48</f>
        <v/>
      </c>
      <c r="G1863" s="74">
        <f>D1863/30.48</f>
        <v/>
      </c>
      <c r="H1863" s="615" t="n"/>
      <c r="N1863" s="211" t="n"/>
      <c r="Q1863" s="271" t="n"/>
      <c r="R1863" s="282" t="n"/>
    </row>
    <row r="1864" ht="18" customHeight="1" s="305">
      <c r="A1864" s="8" t="n">
        <v>2713</v>
      </c>
      <c r="B1864" s="5" t="n">
        <v>91</v>
      </c>
      <c r="C1864" s="72" t="inlineStr">
        <is>
          <t>X</t>
        </is>
      </c>
      <c r="D1864" s="5" t="n">
        <v>355</v>
      </c>
      <c r="E1864" s="73">
        <f>B1864*D1864/10000</f>
        <v/>
      </c>
      <c r="F1864" s="74">
        <f>B1864/30.48</f>
        <v/>
      </c>
      <c r="G1864" s="74">
        <f>D1864/30.48</f>
        <v/>
      </c>
      <c r="H1864" s="615" t="n"/>
      <c r="N1864" s="211" t="n"/>
      <c r="P1864" s="261" t="inlineStr">
        <is>
          <t>wvn</t>
        </is>
      </c>
      <c r="Q1864" s="271" t="n"/>
      <c r="R1864" s="282" t="inlineStr">
        <is>
          <t>wvn</t>
        </is>
      </c>
    </row>
    <row r="1865" ht="18" customHeight="1" s="305">
      <c r="A1865" s="8" t="n">
        <v>2714</v>
      </c>
      <c r="B1865" s="5" t="n">
        <v>85</v>
      </c>
      <c r="C1865" s="72" t="inlineStr">
        <is>
          <t>X</t>
        </is>
      </c>
      <c r="D1865" s="5" t="n">
        <v>282</v>
      </c>
      <c r="E1865" s="73">
        <f>B1865*D1865/10000</f>
        <v/>
      </c>
      <c r="F1865" s="74">
        <f>B1865/30.48</f>
        <v/>
      </c>
      <c r="G1865" s="74">
        <f>D1865/30.48</f>
        <v/>
      </c>
      <c r="H1865" s="615" t="n"/>
      <c r="N1865" s="211" t="n"/>
      <c r="Q1865" s="271" t="n"/>
      <c r="R1865" s="282" t="n"/>
    </row>
    <row r="1866" ht="18" customHeight="1" s="305">
      <c r="A1866" s="8" t="n">
        <v>2716</v>
      </c>
      <c r="B1866" s="5" t="n">
        <v>83</v>
      </c>
      <c r="C1866" s="72" t="inlineStr">
        <is>
          <t>X</t>
        </is>
      </c>
      <c r="D1866" s="5" t="n">
        <v>142</v>
      </c>
      <c r="E1866" s="73">
        <f>B1866*D1866/10000</f>
        <v/>
      </c>
      <c r="F1866" s="74">
        <f>B1866/30.48</f>
        <v/>
      </c>
      <c r="G1866" s="74">
        <f>D1866/30.48</f>
        <v/>
      </c>
      <c r="H1866" s="615" t="n"/>
      <c r="N1866" s="211" t="n"/>
      <c r="Q1866" s="271" t="n"/>
      <c r="R1866" s="282" t="n"/>
    </row>
    <row r="1867" ht="18" customHeight="1" s="305">
      <c r="A1867" s="8" t="n">
        <v>2717</v>
      </c>
      <c r="B1867" s="5" t="n">
        <v>133</v>
      </c>
      <c r="C1867" s="72" t="inlineStr">
        <is>
          <t>X</t>
        </is>
      </c>
      <c r="D1867" s="5" t="n">
        <v>171</v>
      </c>
      <c r="E1867" s="73">
        <f>B1867*D1867/10000</f>
        <v/>
      </c>
      <c r="F1867" s="74">
        <f>B1867/30.48</f>
        <v/>
      </c>
      <c r="G1867" s="74">
        <f>D1867/30.48</f>
        <v/>
      </c>
      <c r="H1867" s="615" t="n"/>
      <c r="N1867" s="211" t="n"/>
      <c r="Q1867" s="271" t="n"/>
      <c r="R1867" s="282" t="n"/>
    </row>
    <row r="1868" ht="18" customHeight="1" s="305">
      <c r="A1868" s="8" t="n">
        <v>2718</v>
      </c>
      <c r="B1868" s="5" t="n">
        <v>98</v>
      </c>
      <c r="C1868" s="72" t="inlineStr">
        <is>
          <t>X</t>
        </is>
      </c>
      <c r="D1868" s="5" t="n">
        <v>358</v>
      </c>
      <c r="E1868" s="73">
        <f>B1868*D1868/10000</f>
        <v/>
      </c>
      <c r="F1868" s="74">
        <f>B1868/30.48</f>
        <v/>
      </c>
      <c r="G1868" s="74">
        <f>D1868/30.48</f>
        <v/>
      </c>
      <c r="H1868" s="615" t="n"/>
      <c r="N1868" s="211" t="n"/>
      <c r="Q1868" s="271" t="n"/>
      <c r="R1868" s="282" t="n"/>
    </row>
    <row r="1869" ht="18" customHeight="1" s="305">
      <c r="A1869" s="8" t="n">
        <v>2719</v>
      </c>
      <c r="B1869" s="5" t="n">
        <v>95</v>
      </c>
      <c r="C1869" s="72" t="inlineStr">
        <is>
          <t>X</t>
        </is>
      </c>
      <c r="D1869" s="5" t="n">
        <v>263</v>
      </c>
      <c r="E1869" s="73">
        <f>B1869*D1869/10000</f>
        <v/>
      </c>
      <c r="F1869" s="74">
        <f>B1869/30.48</f>
        <v/>
      </c>
      <c r="G1869" s="74">
        <f>D1869/30.48</f>
        <v/>
      </c>
      <c r="H1869" s="615" t="n"/>
      <c r="N1869" s="211" t="n"/>
      <c r="Q1869" s="271" t="n"/>
      <c r="R1869" s="282" t="n"/>
    </row>
    <row r="1870" ht="18" customHeight="1" s="305">
      <c r="A1870" s="8" t="n">
        <v>2720</v>
      </c>
      <c r="B1870" s="5" t="n">
        <v>168</v>
      </c>
      <c r="C1870" s="72" t="inlineStr">
        <is>
          <t>X</t>
        </is>
      </c>
      <c r="D1870" s="5" t="n">
        <v>270</v>
      </c>
      <c r="E1870" s="73">
        <f>B1870*D1870/10000</f>
        <v/>
      </c>
      <c r="F1870" s="74">
        <f>B1870/30.48</f>
        <v/>
      </c>
      <c r="G1870" s="74">
        <f>D1870/30.48</f>
        <v/>
      </c>
      <c r="H1870" s="615" t="n"/>
      <c r="N1870" s="211" t="n"/>
      <c r="Q1870" s="271" t="n"/>
      <c r="R1870" s="282" t="n"/>
    </row>
    <row r="1871" ht="18" customHeight="1" s="305">
      <c r="A1871" s="8" t="n">
        <v>2721</v>
      </c>
      <c r="B1871" s="5" t="n">
        <v>79</v>
      </c>
      <c r="C1871" s="72" t="inlineStr">
        <is>
          <t>X</t>
        </is>
      </c>
      <c r="D1871" s="5" t="n">
        <v>323</v>
      </c>
      <c r="E1871" s="73">
        <f>B1871*D1871/10000</f>
        <v/>
      </c>
      <c r="F1871" s="74">
        <f>B1871/30.48</f>
        <v/>
      </c>
      <c r="G1871" s="74">
        <f>D1871/30.48</f>
        <v/>
      </c>
      <c r="H1871" s="615" t="n"/>
      <c r="N1871" s="211" t="n"/>
      <c r="Q1871" s="271" t="n"/>
      <c r="R1871" s="282" t="n"/>
    </row>
    <row r="1872" ht="18" customHeight="1" s="305">
      <c r="A1872" s="8" t="n">
        <v>2722</v>
      </c>
      <c r="B1872" s="5" t="n">
        <v>206</v>
      </c>
      <c r="C1872" s="72" t="inlineStr">
        <is>
          <t>X</t>
        </is>
      </c>
      <c r="D1872" s="5" t="n">
        <v>327</v>
      </c>
      <c r="E1872" s="73">
        <f>B1872*D1872/10000</f>
        <v/>
      </c>
      <c r="F1872" s="74">
        <f>B1872/30.48</f>
        <v/>
      </c>
      <c r="G1872" s="74">
        <f>D1872/30.48</f>
        <v/>
      </c>
      <c r="H1872" s="615" t="n"/>
      <c r="N1872" s="211" t="n"/>
      <c r="Q1872" s="271" t="n"/>
      <c r="R1872" s="282" t="n"/>
    </row>
    <row r="1873" ht="18" customHeight="1" s="305">
      <c r="A1873" s="8" t="n">
        <v>2723</v>
      </c>
      <c r="B1873" s="5" t="n">
        <v>172</v>
      </c>
      <c r="C1873" s="72" t="inlineStr">
        <is>
          <t>X</t>
        </is>
      </c>
      <c r="D1873" s="5" t="n">
        <v>291</v>
      </c>
      <c r="E1873" s="73">
        <f>B1873*D1873/10000</f>
        <v/>
      </c>
      <c r="F1873" s="74">
        <f>B1873/30.48</f>
        <v/>
      </c>
      <c r="G1873" s="74">
        <f>D1873/30.48</f>
        <v/>
      </c>
      <c r="H1873" s="615" t="n"/>
      <c r="N1873" s="211" t="n"/>
      <c r="Q1873" s="271" t="n"/>
      <c r="R1873" s="282" t="n"/>
    </row>
    <row r="1874" ht="18" customHeight="1" s="305">
      <c r="A1874" s="8" t="n">
        <v>2724</v>
      </c>
      <c r="B1874" s="5" t="n">
        <v>95</v>
      </c>
      <c r="C1874" s="72" t="inlineStr">
        <is>
          <t>X</t>
        </is>
      </c>
      <c r="D1874" s="5" t="n">
        <v>399</v>
      </c>
      <c r="E1874" s="73">
        <f>B1874*D1874/10000</f>
        <v/>
      </c>
      <c r="F1874" s="74">
        <f>B1874/30.48</f>
        <v/>
      </c>
      <c r="G1874" s="74">
        <f>D1874/30.48</f>
        <v/>
      </c>
      <c r="H1874" s="615" t="n"/>
      <c r="N1874" s="211" t="n"/>
      <c r="Q1874" s="271" t="n"/>
      <c r="R1874" s="282" t="n"/>
    </row>
    <row r="1875" ht="18" customHeight="1" s="305">
      <c r="A1875" s="8" t="n">
        <v>2725</v>
      </c>
      <c r="B1875" s="5" t="n">
        <v>175</v>
      </c>
      <c r="C1875" s="72" t="inlineStr">
        <is>
          <t>X</t>
        </is>
      </c>
      <c r="D1875" s="5" t="n">
        <v>246</v>
      </c>
      <c r="E1875" s="73">
        <f>B1875*D1875/10000</f>
        <v/>
      </c>
      <c r="F1875" s="74">
        <f>B1875/30.48</f>
        <v/>
      </c>
      <c r="G1875" s="74">
        <f>D1875/30.48</f>
        <v/>
      </c>
      <c r="H1875" s="615" t="n"/>
      <c r="N1875" s="211" t="n"/>
      <c r="Q1875" s="271" t="n"/>
      <c r="R1875" s="282" t="n"/>
    </row>
    <row r="1876" ht="18" customHeight="1" s="305">
      <c r="A1876" s="8" t="n">
        <v>2726</v>
      </c>
      <c r="B1876" s="5" t="n">
        <v>92</v>
      </c>
      <c r="C1876" s="72" t="inlineStr">
        <is>
          <t>X</t>
        </is>
      </c>
      <c r="D1876" s="5" t="n">
        <v>378</v>
      </c>
      <c r="E1876" s="73">
        <f>B1876*D1876/10000</f>
        <v/>
      </c>
      <c r="F1876" s="74">
        <f>B1876/30.48</f>
        <v/>
      </c>
      <c r="G1876" s="74">
        <f>D1876/30.48</f>
        <v/>
      </c>
      <c r="H1876" s="615" t="n"/>
      <c r="N1876" s="211" t="n"/>
      <c r="Q1876" s="271" t="n"/>
      <c r="R1876" s="282" t="n"/>
    </row>
    <row r="1877" ht="18" customHeight="1" s="305">
      <c r="A1877" s="8" t="n">
        <v>2728</v>
      </c>
      <c r="B1877" s="5" t="n">
        <v>193</v>
      </c>
      <c r="C1877" s="72" t="inlineStr">
        <is>
          <t>X</t>
        </is>
      </c>
      <c r="D1877" s="5" t="n">
        <v>296</v>
      </c>
      <c r="E1877" s="73">
        <f>B1877*D1877/10000</f>
        <v/>
      </c>
      <c r="F1877" s="74">
        <f>B1877/30.48</f>
        <v/>
      </c>
      <c r="G1877" s="74">
        <f>D1877/30.48</f>
        <v/>
      </c>
      <c r="H1877" s="615" t="n"/>
      <c r="N1877" s="211" t="n"/>
      <c r="Q1877" s="271" t="n"/>
      <c r="R1877" s="282" t="n"/>
    </row>
    <row r="1878" ht="18" customHeight="1" s="305">
      <c r="A1878" s="8" t="n">
        <v>2730</v>
      </c>
      <c r="B1878" s="5" t="n">
        <v>126</v>
      </c>
      <c r="C1878" s="72" t="inlineStr">
        <is>
          <t>X</t>
        </is>
      </c>
      <c r="D1878" s="5" t="n">
        <v>342</v>
      </c>
      <c r="E1878" s="73">
        <f>B1878*D1878/10000</f>
        <v/>
      </c>
      <c r="F1878" s="74">
        <f>B1878/30.48</f>
        <v/>
      </c>
      <c r="G1878" s="74">
        <f>D1878/30.48</f>
        <v/>
      </c>
      <c r="H1878" s="615" t="n"/>
      <c r="N1878" s="211" t="n"/>
      <c r="Q1878" s="271" t="n"/>
      <c r="R1878" s="282" t="n"/>
    </row>
    <row r="1879" ht="18" customHeight="1" s="305">
      <c r="A1879" s="8" t="n">
        <v>2733</v>
      </c>
      <c r="B1879" s="5" t="n">
        <v>141</v>
      </c>
      <c r="C1879" s="72" t="inlineStr">
        <is>
          <t>X</t>
        </is>
      </c>
      <c r="D1879" s="5" t="n">
        <v>292</v>
      </c>
      <c r="E1879" s="73">
        <f>B1879*D1879/10000</f>
        <v/>
      </c>
      <c r="F1879" s="74">
        <f>B1879/30.48</f>
        <v/>
      </c>
      <c r="G1879" s="74">
        <f>D1879/30.48</f>
        <v/>
      </c>
      <c r="H1879" s="615" t="n"/>
      <c r="N1879" s="211" t="n"/>
      <c r="Q1879" s="271" t="n"/>
      <c r="R1879" s="282" t="n"/>
    </row>
    <row r="1880" ht="18" customHeight="1" s="305">
      <c r="A1880" s="8" t="n">
        <v>2734</v>
      </c>
      <c r="B1880" s="5" t="n">
        <v>188</v>
      </c>
      <c r="C1880" s="72" t="inlineStr">
        <is>
          <t>X</t>
        </is>
      </c>
      <c r="D1880" s="5" t="n">
        <v>272</v>
      </c>
      <c r="E1880" s="73">
        <f>B1880*D1880/10000</f>
        <v/>
      </c>
      <c r="F1880" s="74">
        <f>B1880/30.48</f>
        <v/>
      </c>
      <c r="G1880" s="74">
        <f>D1880/30.48</f>
        <v/>
      </c>
      <c r="H1880" s="615" t="n"/>
      <c r="N1880" s="211" t="n"/>
      <c r="Q1880" s="271" t="n"/>
      <c r="R1880" s="282" t="n"/>
    </row>
    <row r="1881" ht="18" customHeight="1" s="305">
      <c r="A1881" s="8" t="n">
        <v>2736</v>
      </c>
      <c r="B1881" s="5" t="n">
        <v>140</v>
      </c>
      <c r="C1881" s="72" t="inlineStr">
        <is>
          <t>X</t>
        </is>
      </c>
      <c r="D1881" s="5" t="n">
        <v>300</v>
      </c>
      <c r="E1881" s="73">
        <f>B1881*D1881/10000</f>
        <v/>
      </c>
      <c r="F1881" s="74">
        <f>B1881/30.48</f>
        <v/>
      </c>
      <c r="G1881" s="74">
        <f>D1881/30.48</f>
        <v/>
      </c>
      <c r="H1881" s="615" t="n"/>
      <c r="N1881" s="211" t="n"/>
      <c r="Q1881" s="271" t="n"/>
      <c r="R1881" s="282" t="n"/>
    </row>
    <row r="1882" ht="18" customHeight="1" s="305">
      <c r="A1882" s="8" t="n">
        <v>2737</v>
      </c>
      <c r="B1882" s="5" t="n">
        <v>199</v>
      </c>
      <c r="C1882" s="72" t="inlineStr">
        <is>
          <t>X</t>
        </is>
      </c>
      <c r="D1882" s="5" t="n">
        <v>289</v>
      </c>
      <c r="E1882" s="73">
        <f>B1882*D1882/10000</f>
        <v/>
      </c>
      <c r="F1882" s="74">
        <f>B1882/30.48</f>
        <v/>
      </c>
      <c r="G1882" s="74">
        <f>D1882/30.48</f>
        <v/>
      </c>
      <c r="H1882" s="615" t="n"/>
      <c r="N1882" s="211" t="n"/>
      <c r="Q1882" s="271" t="n"/>
      <c r="R1882" s="282" t="n"/>
    </row>
    <row r="1883" ht="18" customHeight="1" s="305">
      <c r="A1883" s="8" t="n">
        <v>2738</v>
      </c>
      <c r="B1883" s="5" t="n">
        <v>82</v>
      </c>
      <c r="C1883" s="72" t="inlineStr">
        <is>
          <t>X</t>
        </is>
      </c>
      <c r="D1883" s="5" t="n">
        <v>306</v>
      </c>
      <c r="E1883" s="73">
        <f>B1883*D1883/10000</f>
        <v/>
      </c>
      <c r="F1883" s="74">
        <f>B1883/30.48</f>
        <v/>
      </c>
      <c r="G1883" s="74">
        <f>D1883/30.48</f>
        <v/>
      </c>
      <c r="H1883" s="615" t="n"/>
      <c r="N1883" s="211" t="n"/>
      <c r="Q1883" s="271" t="n"/>
      <c r="R1883" s="282" t="n"/>
    </row>
    <row r="1884" ht="18" customHeight="1" s="305">
      <c r="A1884" s="8" t="n">
        <v>2739</v>
      </c>
      <c r="B1884" s="5" t="n">
        <v>177</v>
      </c>
      <c r="C1884" s="72" t="inlineStr">
        <is>
          <t>X</t>
        </is>
      </c>
      <c r="D1884" s="5" t="n">
        <v>255</v>
      </c>
      <c r="E1884" s="73">
        <f>B1884*D1884/10000</f>
        <v/>
      </c>
      <c r="F1884" s="74">
        <f>B1884/30.48</f>
        <v/>
      </c>
      <c r="G1884" s="74">
        <f>D1884/30.48</f>
        <v/>
      </c>
      <c r="H1884" s="615" t="n"/>
      <c r="N1884" s="211" t="n"/>
      <c r="Q1884" s="271" t="n"/>
      <c r="R1884" s="282" t="n"/>
    </row>
    <row r="1885" ht="18" customHeight="1" s="305">
      <c r="A1885" s="8" t="n">
        <v>2744</v>
      </c>
      <c r="B1885" s="5" t="n">
        <v>98</v>
      </c>
      <c r="C1885" s="72" t="inlineStr">
        <is>
          <t>X</t>
        </is>
      </c>
      <c r="D1885" s="5" t="n">
        <v>272</v>
      </c>
      <c r="E1885" s="73">
        <f>B1885*D1885/10000</f>
        <v/>
      </c>
      <c r="F1885" s="74">
        <f>B1885/30.48</f>
        <v/>
      </c>
      <c r="G1885" s="74">
        <f>D1885/30.48</f>
        <v/>
      </c>
      <c r="H1885" s="615" t="n"/>
      <c r="N1885" s="211" t="n"/>
      <c r="Q1885" s="271" t="n"/>
      <c r="R1885" s="282" t="n"/>
    </row>
    <row r="1886" ht="18" customHeight="1" s="305">
      <c r="A1886" s="8" t="n">
        <v>2745</v>
      </c>
      <c r="B1886" s="5" t="n">
        <v>163</v>
      </c>
      <c r="C1886" s="72" t="inlineStr">
        <is>
          <t>X</t>
        </is>
      </c>
      <c r="D1886" s="5" t="n">
        <v>249</v>
      </c>
      <c r="E1886" s="73">
        <f>B1886*D1886/10000</f>
        <v/>
      </c>
      <c r="F1886" s="74">
        <f>B1886/30.48</f>
        <v/>
      </c>
      <c r="G1886" s="74">
        <f>D1886/30.48</f>
        <v/>
      </c>
      <c r="H1886" s="615" t="n"/>
      <c r="N1886" s="211" t="n"/>
      <c r="Q1886" s="271" t="n"/>
      <c r="R1886" s="282" t="n"/>
    </row>
    <row r="1887" ht="18" customHeight="1" s="305">
      <c r="A1887" s="8" t="n">
        <v>2746</v>
      </c>
      <c r="B1887" s="5" t="n">
        <v>98</v>
      </c>
      <c r="C1887" s="72" t="inlineStr">
        <is>
          <t>X</t>
        </is>
      </c>
      <c r="D1887" s="5" t="n">
        <v>369</v>
      </c>
      <c r="E1887" s="73">
        <f>B1887*D1887/10000</f>
        <v/>
      </c>
      <c r="F1887" s="74">
        <f>B1887/30.48</f>
        <v/>
      </c>
      <c r="G1887" s="74">
        <f>D1887/30.48</f>
        <v/>
      </c>
      <c r="H1887" s="615" t="n"/>
      <c r="N1887" s="211" t="n"/>
      <c r="Q1887" s="271" t="n"/>
      <c r="R1887" s="282" t="n"/>
    </row>
    <row r="1888" ht="18" customHeight="1" s="305">
      <c r="A1888" s="8" t="n">
        <v>2747</v>
      </c>
      <c r="B1888" s="5" t="n">
        <v>90</v>
      </c>
      <c r="C1888" s="72" t="inlineStr">
        <is>
          <t>X</t>
        </is>
      </c>
      <c r="D1888" s="5" t="n">
        <v>434</v>
      </c>
      <c r="E1888" s="73">
        <f>B1888*D1888/10000</f>
        <v/>
      </c>
      <c r="F1888" s="74">
        <f>B1888/30.48</f>
        <v/>
      </c>
      <c r="G1888" s="74">
        <f>D1888/30.48</f>
        <v/>
      </c>
      <c r="H1888" s="615" t="n"/>
      <c r="N1888" s="211" t="n"/>
      <c r="Q1888" s="271" t="n"/>
      <c r="R1888" s="282" t="n"/>
    </row>
    <row r="1889" ht="18" customHeight="1" s="305">
      <c r="A1889" s="8" t="n">
        <v>2749</v>
      </c>
      <c r="B1889" s="5" t="n">
        <v>175</v>
      </c>
      <c r="C1889" s="72" t="inlineStr">
        <is>
          <t>X</t>
        </is>
      </c>
      <c r="D1889" s="5" t="n">
        <v>262</v>
      </c>
      <c r="E1889" s="73">
        <f>B1889*D1889/10000</f>
        <v/>
      </c>
      <c r="F1889" s="74">
        <f>B1889/30.48</f>
        <v/>
      </c>
      <c r="G1889" s="74">
        <f>D1889/30.48</f>
        <v/>
      </c>
      <c r="H1889" s="615" t="n"/>
      <c r="N1889" s="211" t="n"/>
      <c r="Q1889" s="271" t="n"/>
      <c r="R1889" s="282" t="n"/>
    </row>
    <row r="1890" ht="18" customHeight="1" s="305">
      <c r="A1890" s="8" t="n">
        <v>2750</v>
      </c>
      <c r="B1890" s="5" t="n">
        <v>90</v>
      </c>
      <c r="C1890" s="72" t="inlineStr">
        <is>
          <t>X</t>
        </is>
      </c>
      <c r="D1890" s="5" t="n">
        <v>396</v>
      </c>
      <c r="E1890" s="73">
        <f>B1890*D1890/10000</f>
        <v/>
      </c>
      <c r="F1890" s="74">
        <f>B1890/30.48</f>
        <v/>
      </c>
      <c r="G1890" s="74">
        <f>D1890/30.48</f>
        <v/>
      </c>
      <c r="H1890" s="615" t="n"/>
      <c r="N1890" s="211" t="n"/>
      <c r="Q1890" s="271" t="n"/>
      <c r="R1890" s="282" t="n"/>
    </row>
    <row r="1891" ht="18" customHeight="1" s="305">
      <c r="A1891" s="8" t="n">
        <v>2751</v>
      </c>
      <c r="B1891" s="5" t="n">
        <v>182</v>
      </c>
      <c r="C1891" s="72" t="inlineStr">
        <is>
          <t>X</t>
        </is>
      </c>
      <c r="D1891" s="5" t="n">
        <v>266</v>
      </c>
      <c r="E1891" s="73">
        <f>B1891*D1891/10000</f>
        <v/>
      </c>
      <c r="F1891" s="74">
        <f>B1891/30.48</f>
        <v/>
      </c>
      <c r="G1891" s="74">
        <f>D1891/30.48</f>
        <v/>
      </c>
      <c r="H1891" s="615" t="n"/>
      <c r="N1891" s="211" t="n"/>
      <c r="Q1891" s="271" t="n"/>
      <c r="R1891" s="282" t="n"/>
    </row>
    <row r="1892" ht="18" customHeight="1" s="305">
      <c r="A1892" s="8" t="n">
        <v>2752</v>
      </c>
      <c r="B1892" s="5" t="n">
        <v>115</v>
      </c>
      <c r="C1892" s="72" t="inlineStr">
        <is>
          <t>X</t>
        </is>
      </c>
      <c r="D1892" s="5" t="n">
        <v>216</v>
      </c>
      <c r="E1892" s="73">
        <f>B1892*D1892/10000</f>
        <v/>
      </c>
      <c r="F1892" s="74">
        <f>B1892/30.48</f>
        <v/>
      </c>
      <c r="G1892" s="74">
        <f>D1892/30.48</f>
        <v/>
      </c>
      <c r="H1892" s="615" t="n"/>
      <c r="N1892" s="211" t="n"/>
      <c r="Q1892" s="271" t="n"/>
      <c r="R1892" s="282" t="n"/>
    </row>
    <row r="1893" ht="18" customHeight="1" s="305">
      <c r="A1893" s="8" t="n">
        <v>2754</v>
      </c>
      <c r="B1893" s="5" t="n">
        <v>161</v>
      </c>
      <c r="C1893" s="72" t="inlineStr">
        <is>
          <t>X</t>
        </is>
      </c>
      <c r="D1893" s="5" t="n">
        <v>252</v>
      </c>
      <c r="E1893" s="73">
        <f>B1893*D1893/10000</f>
        <v/>
      </c>
      <c r="F1893" s="74">
        <f>B1893/30.48</f>
        <v/>
      </c>
      <c r="G1893" s="74">
        <f>D1893/30.48</f>
        <v/>
      </c>
      <c r="H1893" s="615" t="n"/>
      <c r="N1893" s="211" t="n"/>
      <c r="Q1893" s="271" t="n"/>
      <c r="R1893" s="282" t="n"/>
    </row>
    <row r="1894" ht="18" customHeight="1" s="305">
      <c r="A1894" s="8" t="n">
        <v>2755</v>
      </c>
      <c r="B1894" s="5" t="n">
        <v>80</v>
      </c>
      <c r="C1894" s="72" t="inlineStr">
        <is>
          <t>X</t>
        </is>
      </c>
      <c r="D1894" s="5" t="n">
        <v>354</v>
      </c>
      <c r="E1894" s="73">
        <f>B1894*D1894/10000</f>
        <v/>
      </c>
      <c r="F1894" s="74">
        <f>B1894/30.48</f>
        <v/>
      </c>
      <c r="G1894" s="74">
        <f>D1894/30.48</f>
        <v/>
      </c>
      <c r="H1894" s="615" t="n"/>
      <c r="N1894" s="211" t="n"/>
      <c r="Q1894" s="271" t="n"/>
      <c r="R1894" s="282" t="n"/>
    </row>
    <row r="1895" ht="18" customHeight="1" s="305">
      <c r="A1895" s="8" t="n">
        <v>2756</v>
      </c>
      <c r="B1895" s="5" t="n">
        <v>168</v>
      </c>
      <c r="C1895" s="72" t="inlineStr">
        <is>
          <t>X</t>
        </is>
      </c>
      <c r="D1895" s="5" t="n">
        <v>281</v>
      </c>
      <c r="E1895" s="73">
        <f>B1895*D1895/10000</f>
        <v/>
      </c>
      <c r="F1895" s="74">
        <f>B1895/30.48</f>
        <v/>
      </c>
      <c r="G1895" s="74">
        <f>D1895/30.48</f>
        <v/>
      </c>
      <c r="H1895" s="615" t="n"/>
      <c r="N1895" s="211" t="n"/>
      <c r="Q1895" s="271" t="n"/>
      <c r="R1895" s="282" t="n"/>
    </row>
    <row r="1896" ht="18" customHeight="1" s="305">
      <c r="A1896" s="8" t="n">
        <v>2757</v>
      </c>
      <c r="B1896" s="5" t="n">
        <v>101</v>
      </c>
      <c r="C1896" s="72" t="inlineStr">
        <is>
          <t>X</t>
        </is>
      </c>
      <c r="D1896" s="5" t="n">
        <v>333</v>
      </c>
      <c r="E1896" s="73">
        <f>B1896*D1896/10000</f>
        <v/>
      </c>
      <c r="F1896" s="74">
        <f>B1896/30.48</f>
        <v/>
      </c>
      <c r="G1896" s="74">
        <f>D1896/30.48</f>
        <v/>
      </c>
      <c r="H1896" s="615" t="n"/>
      <c r="N1896" s="211" t="n"/>
      <c r="Q1896" s="271" t="n"/>
      <c r="R1896" s="282" t="n"/>
    </row>
    <row r="1897" ht="18" customHeight="1" s="305">
      <c r="A1897" s="8" t="n">
        <v>2758</v>
      </c>
      <c r="B1897" s="5" t="n">
        <v>86</v>
      </c>
      <c r="C1897" s="72" t="inlineStr">
        <is>
          <t>X</t>
        </is>
      </c>
      <c r="D1897" s="5" t="n">
        <v>345</v>
      </c>
      <c r="E1897" s="73">
        <f>B1897*D1897/10000</f>
        <v/>
      </c>
      <c r="F1897" s="74">
        <f>B1897/30.48</f>
        <v/>
      </c>
      <c r="G1897" s="74">
        <f>D1897/30.48</f>
        <v/>
      </c>
      <c r="H1897" s="615" t="n"/>
      <c r="N1897" s="211" t="n"/>
      <c r="Q1897" s="271" t="n"/>
      <c r="R1897" s="282" t="n"/>
    </row>
    <row r="1898" ht="18" customHeight="1" s="305">
      <c r="A1898" s="8" t="n">
        <v>2759</v>
      </c>
      <c r="B1898" s="5" t="n">
        <v>167</v>
      </c>
      <c r="C1898" s="72" t="inlineStr">
        <is>
          <t>X</t>
        </is>
      </c>
      <c r="D1898" s="5" t="n">
        <v>280</v>
      </c>
      <c r="E1898" s="73">
        <f>B1898*D1898/10000</f>
        <v/>
      </c>
      <c r="F1898" s="74">
        <f>B1898/30.48</f>
        <v/>
      </c>
      <c r="G1898" s="74">
        <f>D1898/30.48</f>
        <v/>
      </c>
      <c r="H1898" s="615" t="n"/>
      <c r="N1898" s="211" t="n"/>
      <c r="Q1898" s="271" t="n"/>
      <c r="R1898" s="282" t="n"/>
    </row>
    <row r="1899" ht="18" customHeight="1" s="305">
      <c r="A1899" s="8" t="n">
        <v>2760</v>
      </c>
      <c r="B1899" s="5" t="n">
        <v>116</v>
      </c>
      <c r="C1899" s="72" t="inlineStr">
        <is>
          <t>X</t>
        </is>
      </c>
      <c r="D1899" s="5" t="n">
        <v>372</v>
      </c>
      <c r="E1899" s="73">
        <f>B1899*D1899/10000</f>
        <v/>
      </c>
      <c r="F1899" s="74">
        <f>B1899/30.48</f>
        <v/>
      </c>
      <c r="G1899" s="74">
        <f>D1899/30.48</f>
        <v/>
      </c>
      <c r="H1899" s="615" t="n"/>
      <c r="N1899" s="211" t="n"/>
      <c r="Q1899" s="271" t="n"/>
      <c r="R1899" s="282" t="n"/>
    </row>
    <row r="1900" ht="18" customHeight="1" s="305">
      <c r="A1900" s="8" t="n">
        <v>2763</v>
      </c>
      <c r="B1900" s="5" t="n">
        <v>92</v>
      </c>
      <c r="C1900" s="72" t="inlineStr">
        <is>
          <t>X</t>
        </is>
      </c>
      <c r="D1900" s="5" t="n">
        <v>376</v>
      </c>
      <c r="E1900" s="73">
        <f>B1900*D1900/10000</f>
        <v/>
      </c>
      <c r="F1900" s="74">
        <f>B1900/30.48</f>
        <v/>
      </c>
      <c r="G1900" s="74">
        <f>D1900/30.48</f>
        <v/>
      </c>
      <c r="H1900" s="615" t="n"/>
      <c r="N1900" s="211" t="n"/>
      <c r="Q1900" s="271" t="n"/>
      <c r="R1900" s="282" t="n"/>
    </row>
    <row r="1901" ht="18" customHeight="1" s="305">
      <c r="A1901" s="8" t="n">
        <v>2765</v>
      </c>
      <c r="B1901" s="5" t="n">
        <v>111</v>
      </c>
      <c r="C1901" s="72" t="inlineStr">
        <is>
          <t>X</t>
        </is>
      </c>
      <c r="D1901" s="5" t="n">
        <v>193</v>
      </c>
      <c r="E1901" s="73">
        <f>B1901*D1901/10000</f>
        <v/>
      </c>
      <c r="F1901" s="74">
        <f>B1901/30.48</f>
        <v/>
      </c>
      <c r="G1901" s="74">
        <f>D1901/30.48</f>
        <v/>
      </c>
      <c r="H1901" s="615" t="n"/>
      <c r="N1901" s="211" t="n"/>
      <c r="Q1901" s="271" t="n"/>
      <c r="R1901" s="282" t="n"/>
    </row>
    <row r="1902" ht="18" customHeight="1" s="305">
      <c r="A1902" s="8" t="n">
        <v>2766</v>
      </c>
      <c r="B1902" s="5" t="n">
        <v>110</v>
      </c>
      <c r="C1902" s="72" t="inlineStr">
        <is>
          <t>X</t>
        </is>
      </c>
      <c r="D1902" s="5" t="n">
        <v>204</v>
      </c>
      <c r="E1902" s="73">
        <f>B1902*D1902/10000</f>
        <v/>
      </c>
      <c r="F1902" s="74">
        <f>B1902/30.48</f>
        <v/>
      </c>
      <c r="G1902" s="74">
        <f>D1902/30.48</f>
        <v/>
      </c>
      <c r="H1902" s="615" t="n"/>
      <c r="N1902" s="211" t="n"/>
      <c r="Q1902" s="271" t="n"/>
      <c r="R1902" s="282" t="n"/>
    </row>
    <row r="1903" ht="18" customHeight="1" s="305">
      <c r="A1903" s="8" t="n">
        <v>2767</v>
      </c>
      <c r="B1903" s="5" t="n">
        <v>79</v>
      </c>
      <c r="C1903" s="72" t="inlineStr">
        <is>
          <t>X</t>
        </is>
      </c>
      <c r="D1903" s="5" t="n">
        <v>275</v>
      </c>
      <c r="E1903" s="73">
        <f>B1903*D1903/10000</f>
        <v/>
      </c>
      <c r="F1903" s="74">
        <f>B1903/30.48</f>
        <v/>
      </c>
      <c r="G1903" s="74">
        <f>D1903/30.48</f>
        <v/>
      </c>
      <c r="H1903" s="615" t="n"/>
      <c r="N1903" s="211" t="n"/>
      <c r="Q1903" s="271" t="n"/>
      <c r="R1903" s="282" t="n"/>
    </row>
    <row r="1904" ht="18" customHeight="1" s="305">
      <c r="A1904" s="8" t="n">
        <v>2768</v>
      </c>
      <c r="B1904" s="5" t="n">
        <v>100</v>
      </c>
      <c r="C1904" s="72" t="inlineStr">
        <is>
          <t>X</t>
        </is>
      </c>
      <c r="D1904" s="5" t="n">
        <v>265</v>
      </c>
      <c r="E1904" s="73">
        <f>B1904*D1904/10000</f>
        <v/>
      </c>
      <c r="F1904" s="74">
        <f>B1904/30.48</f>
        <v/>
      </c>
      <c r="G1904" s="74">
        <f>D1904/30.48</f>
        <v/>
      </c>
      <c r="H1904" s="615" t="n"/>
      <c r="N1904" s="211" t="n"/>
      <c r="Q1904" s="271" t="n"/>
      <c r="R1904" s="282" t="n"/>
    </row>
    <row r="1905" ht="18" customHeight="1" s="305">
      <c r="A1905" s="8" t="n">
        <v>2769</v>
      </c>
      <c r="B1905" s="5" t="n">
        <v>135</v>
      </c>
      <c r="C1905" s="72" t="inlineStr">
        <is>
          <t>X</t>
        </is>
      </c>
      <c r="D1905" s="5" t="n">
        <v>164</v>
      </c>
      <c r="E1905" s="73">
        <f>B1905*D1905/10000</f>
        <v/>
      </c>
      <c r="F1905" s="74">
        <f>B1905/30.48</f>
        <v/>
      </c>
      <c r="G1905" s="74">
        <f>D1905/30.48</f>
        <v/>
      </c>
      <c r="H1905" s="615" t="n"/>
      <c r="N1905" s="211" t="n"/>
      <c r="Q1905" s="271" t="n"/>
      <c r="R1905" s="282" t="n"/>
    </row>
    <row r="1906" ht="18" customHeight="1" s="305">
      <c r="A1906" s="8" t="n">
        <v>2770</v>
      </c>
      <c r="B1906" s="5" t="n">
        <v>187</v>
      </c>
      <c r="C1906" s="72" t="inlineStr">
        <is>
          <t>X</t>
        </is>
      </c>
      <c r="D1906" s="5" t="n">
        <v>281</v>
      </c>
      <c r="E1906" s="73">
        <f>B1906*D1906/10000</f>
        <v/>
      </c>
      <c r="F1906" s="74">
        <f>B1906/30.48</f>
        <v/>
      </c>
      <c r="G1906" s="74">
        <f>D1906/30.48</f>
        <v/>
      </c>
      <c r="H1906" s="615" t="n"/>
      <c r="N1906" s="211" t="n"/>
      <c r="Q1906" s="271" t="n"/>
      <c r="R1906" s="282" t="n"/>
    </row>
    <row r="1907" ht="18" customHeight="1" s="305">
      <c r="A1907" s="8" t="n">
        <v>2776</v>
      </c>
      <c r="B1907" s="5" t="n">
        <v>73</v>
      </c>
      <c r="C1907" s="72" t="inlineStr">
        <is>
          <t>X</t>
        </is>
      </c>
      <c r="D1907" s="5" t="n">
        <v>361</v>
      </c>
      <c r="E1907" s="73">
        <f>B1907*D1907/10000</f>
        <v/>
      </c>
      <c r="F1907" s="74">
        <f>B1907/30.48</f>
        <v/>
      </c>
      <c r="G1907" s="74">
        <f>D1907/30.48</f>
        <v/>
      </c>
      <c r="H1907" s="615" t="n"/>
      <c r="N1907" s="211" t="n"/>
      <c r="Q1907" s="271" t="n"/>
      <c r="R1907" s="282" t="n"/>
    </row>
    <row r="1908" ht="18" customHeight="1" s="305">
      <c r="A1908" s="8" t="n">
        <v>2780</v>
      </c>
      <c r="B1908" s="5" t="n">
        <v>212</v>
      </c>
      <c r="C1908" s="72" t="inlineStr">
        <is>
          <t>X</t>
        </is>
      </c>
      <c r="D1908" s="5" t="n">
        <v>308</v>
      </c>
      <c r="E1908" s="73">
        <f>B1908*D1908/10000</f>
        <v/>
      </c>
      <c r="F1908" s="74">
        <f>B1908/30.48</f>
        <v/>
      </c>
      <c r="G1908" s="74">
        <f>D1908/30.48</f>
        <v/>
      </c>
      <c r="H1908" s="615" t="n"/>
      <c r="N1908" s="211" t="n"/>
      <c r="Q1908" s="271" t="n"/>
      <c r="R1908" s="282" t="n"/>
    </row>
    <row r="1909" ht="18" customHeight="1" s="305">
      <c r="A1909" s="8" t="n">
        <v>2782</v>
      </c>
      <c r="B1909" s="5" t="n">
        <v>85</v>
      </c>
      <c r="C1909" s="72" t="inlineStr">
        <is>
          <t>X</t>
        </is>
      </c>
      <c r="D1909" s="5" t="n">
        <v>366</v>
      </c>
      <c r="E1909" s="73">
        <f>B1909*D1909/10000</f>
        <v/>
      </c>
      <c r="F1909" s="74">
        <f>B1909/30.48</f>
        <v/>
      </c>
      <c r="G1909" s="74">
        <f>D1909/30.48</f>
        <v/>
      </c>
      <c r="H1909" s="615" t="n"/>
      <c r="N1909" s="211" t="n"/>
      <c r="Q1909" s="271" t="n"/>
      <c r="R1909" s="282" t="n"/>
    </row>
    <row r="1910" ht="18" customHeight="1" s="305">
      <c r="A1910" s="8" t="n">
        <v>2783</v>
      </c>
      <c r="B1910" s="5" t="n">
        <v>225</v>
      </c>
      <c r="C1910" s="72" t="inlineStr">
        <is>
          <t>X</t>
        </is>
      </c>
      <c r="D1910" s="5" t="n">
        <v>300</v>
      </c>
      <c r="E1910" s="73">
        <f>B1910*D1910/10000</f>
        <v/>
      </c>
      <c r="F1910" s="74">
        <f>B1910/30.48</f>
        <v/>
      </c>
      <c r="G1910" s="74">
        <f>D1910/30.48</f>
        <v/>
      </c>
      <c r="H1910" s="615" t="n"/>
      <c r="N1910" s="211" t="n"/>
      <c r="Q1910" s="271" t="n"/>
      <c r="R1910" s="282" t="n"/>
    </row>
    <row r="1911" ht="18" customHeight="1" s="305">
      <c r="A1911" s="8" t="n">
        <v>2786</v>
      </c>
      <c r="B1911" s="5" t="n">
        <v>191</v>
      </c>
      <c r="C1911" s="72" t="inlineStr">
        <is>
          <t>X</t>
        </is>
      </c>
      <c r="D1911" s="5" t="n">
        <v>304</v>
      </c>
      <c r="E1911" s="73">
        <f>B1911*D1911/10000</f>
        <v/>
      </c>
      <c r="F1911" s="74">
        <f>B1911/30.48</f>
        <v/>
      </c>
      <c r="G1911" s="74">
        <f>D1911/30.48</f>
        <v/>
      </c>
      <c r="H1911" s="615" t="n"/>
      <c r="N1911" s="211" t="n"/>
      <c r="Q1911" s="271" t="n"/>
      <c r="R1911" s="282" t="n"/>
    </row>
    <row r="1912" ht="18" customHeight="1" s="305">
      <c r="A1912" s="8" t="n">
        <v>2787</v>
      </c>
      <c r="B1912" s="5" t="n">
        <v>137</v>
      </c>
      <c r="C1912" s="72" t="inlineStr">
        <is>
          <t>X</t>
        </is>
      </c>
      <c r="D1912" s="5" t="n">
        <v>258</v>
      </c>
      <c r="E1912" s="73">
        <f>B1912*D1912/10000</f>
        <v/>
      </c>
      <c r="F1912" s="74">
        <f>B1912/30.48</f>
        <v/>
      </c>
      <c r="G1912" s="74">
        <f>D1912/30.48</f>
        <v/>
      </c>
      <c r="H1912" s="615" t="n"/>
      <c r="N1912" s="211" t="n"/>
      <c r="Q1912" s="271" t="n"/>
      <c r="R1912" s="282" t="n"/>
    </row>
    <row r="1913" ht="18" customHeight="1" s="305">
      <c r="A1913" s="8" t="n">
        <v>2789</v>
      </c>
      <c r="B1913" s="5" t="n">
        <v>77</v>
      </c>
      <c r="C1913" s="72" t="inlineStr">
        <is>
          <t>X</t>
        </is>
      </c>
      <c r="D1913" s="5" t="n">
        <v>234</v>
      </c>
      <c r="E1913" s="73">
        <f>B1913*D1913/10000</f>
        <v/>
      </c>
      <c r="F1913" s="74">
        <f>B1913/30.48</f>
        <v/>
      </c>
      <c r="G1913" s="74">
        <f>D1913/30.48</f>
        <v/>
      </c>
      <c r="H1913" s="615" t="n"/>
      <c r="N1913" s="211" t="n"/>
      <c r="Q1913" s="271" t="n"/>
      <c r="R1913" s="282" t="n"/>
    </row>
    <row r="1914" ht="18" customHeight="1" s="305">
      <c r="A1914" s="8" t="n">
        <v>2792</v>
      </c>
      <c r="B1914" s="5" t="n">
        <v>153</v>
      </c>
      <c r="C1914" s="72" t="inlineStr">
        <is>
          <t>X</t>
        </is>
      </c>
      <c r="D1914" s="5" t="n">
        <v>268</v>
      </c>
      <c r="E1914" s="73">
        <f>B1914*D1914/10000</f>
        <v/>
      </c>
      <c r="F1914" s="74">
        <f>B1914/30.48</f>
        <v/>
      </c>
      <c r="G1914" s="74">
        <f>D1914/30.48</f>
        <v/>
      </c>
      <c r="H1914" s="615" t="n"/>
      <c r="N1914" s="211" t="n"/>
      <c r="Q1914" s="271" t="n"/>
      <c r="R1914" s="282" t="n"/>
    </row>
    <row r="1915" ht="18" customHeight="1" s="305">
      <c r="A1915" s="8" t="n">
        <v>2793</v>
      </c>
      <c r="B1915" s="5" t="n">
        <v>101</v>
      </c>
      <c r="C1915" s="72" t="inlineStr">
        <is>
          <t>X</t>
        </is>
      </c>
      <c r="D1915" s="5" t="n">
        <v>301</v>
      </c>
      <c r="E1915" s="73">
        <f>B1915*D1915/10000</f>
        <v/>
      </c>
      <c r="F1915" s="74">
        <f>B1915/30.48</f>
        <v/>
      </c>
      <c r="G1915" s="74">
        <f>D1915/30.48</f>
        <v/>
      </c>
      <c r="H1915" s="615" t="n"/>
      <c r="N1915" s="211" t="n"/>
      <c r="Q1915" s="271" t="n"/>
      <c r="R1915" s="282" t="n"/>
    </row>
    <row r="1916" ht="18" customHeight="1" s="305">
      <c r="A1916" s="8" t="n">
        <v>2794</v>
      </c>
      <c r="B1916" s="5" t="n">
        <v>163</v>
      </c>
      <c r="C1916" s="72" t="inlineStr">
        <is>
          <t>X</t>
        </is>
      </c>
      <c r="D1916" s="5" t="n">
        <v>268</v>
      </c>
      <c r="E1916" s="73">
        <f>B1916*D1916/10000</f>
        <v/>
      </c>
      <c r="F1916" s="74">
        <f>B1916/30.48</f>
        <v/>
      </c>
      <c r="G1916" s="74">
        <f>D1916/30.48</f>
        <v/>
      </c>
      <c r="H1916" s="615" t="n"/>
      <c r="N1916" s="211" t="n"/>
      <c r="Q1916" s="271" t="n"/>
      <c r="R1916" s="282" t="n"/>
    </row>
    <row r="1917" ht="18" customHeight="1" s="305">
      <c r="A1917" s="8" t="n">
        <v>2795</v>
      </c>
      <c r="B1917" s="5" t="n">
        <v>190</v>
      </c>
      <c r="C1917" s="72" t="inlineStr">
        <is>
          <t>X</t>
        </is>
      </c>
      <c r="D1917" s="5" t="n">
        <v>287</v>
      </c>
      <c r="E1917" s="73">
        <f>B1917*D1917/10000</f>
        <v/>
      </c>
      <c r="F1917" s="74">
        <f>B1917/30.48</f>
        <v/>
      </c>
      <c r="G1917" s="74">
        <f>D1917/30.48</f>
        <v/>
      </c>
      <c r="H1917" s="615" t="n"/>
      <c r="N1917" s="211" t="n"/>
      <c r="Q1917" s="271" t="n"/>
      <c r="R1917" s="282" t="n"/>
    </row>
    <row r="1918" ht="18" customHeight="1" s="305">
      <c r="A1918" s="8" t="n">
        <v>2797</v>
      </c>
      <c r="B1918" s="5" t="n">
        <v>134</v>
      </c>
      <c r="C1918" s="72" t="inlineStr">
        <is>
          <t>X</t>
        </is>
      </c>
      <c r="D1918" s="5" t="n">
        <v>257</v>
      </c>
      <c r="E1918" s="73">
        <f>B1918*D1918/10000</f>
        <v/>
      </c>
      <c r="F1918" s="74">
        <f>B1918/30.48</f>
        <v/>
      </c>
      <c r="G1918" s="74">
        <f>D1918/30.48</f>
        <v/>
      </c>
      <c r="H1918" s="615" t="n"/>
      <c r="N1918" s="211" t="n"/>
      <c r="Q1918" s="271" t="n"/>
      <c r="R1918" s="282" t="n"/>
    </row>
    <row r="1919" ht="18" customHeight="1" s="305">
      <c r="A1919" s="8" t="n">
        <v>2798</v>
      </c>
      <c r="B1919" s="5" t="n">
        <v>115</v>
      </c>
      <c r="C1919" s="72" t="inlineStr">
        <is>
          <t>X</t>
        </is>
      </c>
      <c r="D1919" s="5" t="n">
        <v>185</v>
      </c>
      <c r="E1919" s="73">
        <f>B1919*D1919/10000</f>
        <v/>
      </c>
      <c r="F1919" s="74">
        <f>B1919/30.48</f>
        <v/>
      </c>
      <c r="G1919" s="74">
        <f>D1919/30.48</f>
        <v/>
      </c>
      <c r="H1919" s="615" t="n"/>
      <c r="N1919" s="211" t="n"/>
      <c r="Q1919" s="271" t="n"/>
      <c r="R1919" s="282" t="n"/>
    </row>
    <row r="1920" ht="18" customHeight="1" s="305">
      <c r="A1920" s="8" t="n">
        <v>2799</v>
      </c>
      <c r="B1920" s="5" t="n">
        <v>152</v>
      </c>
      <c r="C1920" s="72" t="inlineStr">
        <is>
          <t>X</t>
        </is>
      </c>
      <c r="D1920" s="5" t="n">
        <v>216</v>
      </c>
      <c r="E1920" s="73">
        <f>B1920*D1920/10000</f>
        <v/>
      </c>
      <c r="F1920" s="74">
        <f>B1920/30.48</f>
        <v/>
      </c>
      <c r="G1920" s="74">
        <f>D1920/30.48</f>
        <v/>
      </c>
      <c r="H1920" s="615" t="n"/>
      <c r="N1920" s="211" t="n"/>
      <c r="Q1920" s="271" t="n"/>
      <c r="R1920" s="282" t="n"/>
    </row>
    <row r="1921" ht="18" customHeight="1" s="305">
      <c r="A1921" s="8" t="n">
        <v>2800</v>
      </c>
      <c r="B1921" s="5" t="n">
        <v>109</v>
      </c>
      <c r="C1921" s="72" t="inlineStr">
        <is>
          <t>X</t>
        </is>
      </c>
      <c r="D1921" s="5" t="n">
        <v>171</v>
      </c>
      <c r="E1921" s="73">
        <f>B1921*D1921/10000</f>
        <v/>
      </c>
      <c r="F1921" s="74">
        <f>B1921/30.48</f>
        <v/>
      </c>
      <c r="G1921" s="74">
        <f>D1921/30.48</f>
        <v/>
      </c>
      <c r="H1921" s="615" t="n"/>
      <c r="N1921" s="211" t="n"/>
      <c r="Q1921" s="271" t="n"/>
      <c r="R1921" s="282" t="n"/>
    </row>
    <row r="1922" ht="18" customHeight="1" s="305">
      <c r="A1922" s="8" t="n">
        <v>2802</v>
      </c>
      <c r="B1922" s="5" t="n">
        <v>172</v>
      </c>
      <c r="C1922" s="72" t="inlineStr">
        <is>
          <t>X</t>
        </is>
      </c>
      <c r="D1922" s="5" t="n">
        <v>264</v>
      </c>
      <c r="E1922" s="73">
        <f>B1922*D1922/10000</f>
        <v/>
      </c>
      <c r="F1922" s="74">
        <f>B1922/30.48</f>
        <v/>
      </c>
      <c r="G1922" s="74">
        <f>D1922/30.48</f>
        <v/>
      </c>
      <c r="H1922" s="615" t="n"/>
      <c r="N1922" s="211" t="n"/>
      <c r="Q1922" s="271" t="n"/>
      <c r="R1922" s="282" t="n"/>
    </row>
    <row r="1923" ht="18" customHeight="1" s="305">
      <c r="A1923" s="8" t="n">
        <v>2803</v>
      </c>
      <c r="B1923" s="5" t="n">
        <v>221</v>
      </c>
      <c r="C1923" s="72" t="inlineStr">
        <is>
          <t>X</t>
        </is>
      </c>
      <c r="D1923" s="5" t="n">
        <v>326</v>
      </c>
      <c r="E1923" s="73">
        <f>B1923*D1923/10000</f>
        <v/>
      </c>
      <c r="F1923" s="74">
        <f>B1923/30.48</f>
        <v/>
      </c>
      <c r="G1923" s="74">
        <f>D1923/30.48</f>
        <v/>
      </c>
      <c r="H1923" s="615" t="n"/>
      <c r="N1923" s="211" t="n"/>
      <c r="Q1923" s="271" t="n"/>
      <c r="R1923" s="282" t="n"/>
    </row>
    <row r="1924" ht="18" customHeight="1" s="305">
      <c r="A1924" s="8" t="n">
        <v>2804</v>
      </c>
      <c r="B1924" s="5" t="n">
        <v>80</v>
      </c>
      <c r="C1924" s="72" t="inlineStr">
        <is>
          <t>X</t>
        </is>
      </c>
      <c r="D1924" s="5" t="n">
        <v>315</v>
      </c>
      <c r="E1924" s="73">
        <f>B1924*D1924/10000</f>
        <v/>
      </c>
      <c r="F1924" s="74">
        <f>B1924/30.48</f>
        <v/>
      </c>
      <c r="G1924" s="74">
        <f>D1924/30.48</f>
        <v/>
      </c>
      <c r="H1924" s="615" t="n"/>
      <c r="N1924" s="211" t="n"/>
      <c r="Q1924" s="271" t="n"/>
      <c r="R1924" s="282" t="n"/>
    </row>
    <row r="1925" ht="18" customHeight="1" s="305">
      <c r="A1925" s="8" t="n">
        <v>2805</v>
      </c>
      <c r="B1925" s="5" t="n">
        <v>89</v>
      </c>
      <c r="C1925" s="72" t="inlineStr">
        <is>
          <t>X</t>
        </is>
      </c>
      <c r="D1925" s="5" t="n">
        <v>357</v>
      </c>
      <c r="E1925" s="73">
        <f>B1925*D1925/10000</f>
        <v/>
      </c>
      <c r="F1925" s="74">
        <f>B1925/30.48</f>
        <v/>
      </c>
      <c r="G1925" s="74">
        <f>D1925/30.48</f>
        <v/>
      </c>
      <c r="H1925" s="615" t="n"/>
      <c r="N1925" s="211" t="n"/>
      <c r="Q1925" s="271" t="n"/>
      <c r="R1925" s="282" t="n"/>
    </row>
    <row r="1926" ht="18" customHeight="1" s="305">
      <c r="A1926" s="8" t="n">
        <v>2807</v>
      </c>
      <c r="B1926" s="5" t="n">
        <v>175</v>
      </c>
      <c r="C1926" s="72" t="inlineStr">
        <is>
          <t>X</t>
        </is>
      </c>
      <c r="D1926" s="5" t="n">
        <v>284</v>
      </c>
      <c r="E1926" s="73">
        <f>B1926*D1926/10000</f>
        <v/>
      </c>
      <c r="F1926" s="74">
        <f>B1926/30.48</f>
        <v/>
      </c>
      <c r="G1926" s="74">
        <f>D1926/30.48</f>
        <v/>
      </c>
      <c r="H1926" s="615" t="n"/>
      <c r="N1926" s="211" t="n"/>
      <c r="Q1926" s="271" t="n"/>
      <c r="R1926" s="282" t="n"/>
    </row>
    <row r="1927" ht="18" customHeight="1" s="305">
      <c r="A1927" s="8" t="n">
        <v>2808</v>
      </c>
      <c r="B1927" s="5" t="n">
        <v>172</v>
      </c>
      <c r="C1927" s="72" t="inlineStr">
        <is>
          <t>X</t>
        </is>
      </c>
      <c r="D1927" s="5" t="n">
        <v>239</v>
      </c>
      <c r="E1927" s="73">
        <f>B1927*D1927/10000</f>
        <v/>
      </c>
      <c r="F1927" s="74">
        <f>B1927/30.48</f>
        <v/>
      </c>
      <c r="G1927" s="74">
        <f>D1927/30.48</f>
        <v/>
      </c>
      <c r="H1927" s="615" t="n"/>
      <c r="N1927" s="211" t="n"/>
      <c r="Q1927" s="271" t="n"/>
      <c r="R1927" s="282" t="n"/>
    </row>
    <row r="1928" ht="18" customHeight="1" s="305">
      <c r="A1928" s="8" t="n">
        <v>2809</v>
      </c>
      <c r="B1928" s="5" t="n">
        <v>198</v>
      </c>
      <c r="C1928" s="72" t="inlineStr">
        <is>
          <t>X</t>
        </is>
      </c>
      <c r="D1928" s="5" t="n">
        <v>266</v>
      </c>
      <c r="E1928" s="73">
        <f>B1928*D1928/10000</f>
        <v/>
      </c>
      <c r="F1928" s="74">
        <f>B1928/30.48</f>
        <v/>
      </c>
      <c r="G1928" s="74">
        <f>D1928/30.48</f>
        <v/>
      </c>
      <c r="H1928" s="615" t="n"/>
      <c r="N1928" s="211" t="n"/>
      <c r="Q1928" s="271" t="n"/>
      <c r="R1928" s="282" t="n"/>
    </row>
    <row r="1929" ht="18" customHeight="1" s="305">
      <c r="A1929" s="8" t="n">
        <v>2810</v>
      </c>
      <c r="B1929" s="5" t="n">
        <v>94</v>
      </c>
      <c r="C1929" s="72" t="inlineStr">
        <is>
          <t>X</t>
        </is>
      </c>
      <c r="D1929" s="5" t="n">
        <v>306</v>
      </c>
      <c r="E1929" s="73">
        <f>B1929*D1929/10000</f>
        <v/>
      </c>
      <c r="F1929" s="74">
        <f>B1929/30.48</f>
        <v/>
      </c>
      <c r="G1929" s="74">
        <f>D1929/30.48</f>
        <v/>
      </c>
      <c r="H1929" s="615" t="n"/>
      <c r="N1929" s="211" t="n"/>
      <c r="Q1929" s="271" t="n"/>
      <c r="R1929" s="282" t="n"/>
    </row>
    <row r="1930" ht="18" customHeight="1" s="305">
      <c r="A1930" s="8" t="n">
        <v>2811</v>
      </c>
      <c r="B1930" s="5" t="n">
        <v>76</v>
      </c>
      <c r="C1930" s="72" t="inlineStr">
        <is>
          <t>X</t>
        </is>
      </c>
      <c r="D1930" s="5" t="n">
        <v>259</v>
      </c>
      <c r="E1930" s="73">
        <f>B1930*D1930/10000</f>
        <v/>
      </c>
      <c r="F1930" s="74">
        <f>B1930/30.48</f>
        <v/>
      </c>
      <c r="G1930" s="74">
        <f>D1930/30.48</f>
        <v/>
      </c>
      <c r="H1930" s="615" t="n"/>
      <c r="N1930" s="211" t="n"/>
      <c r="Q1930" s="271" t="n"/>
      <c r="R1930" s="282" t="n"/>
    </row>
    <row r="1931" ht="18" customHeight="1" s="305">
      <c r="A1931" s="8" t="n">
        <v>2812</v>
      </c>
      <c r="B1931" s="5" t="n">
        <v>80</v>
      </c>
      <c r="C1931" s="72" t="inlineStr">
        <is>
          <t>X</t>
        </is>
      </c>
      <c r="D1931" s="5" t="n">
        <v>315</v>
      </c>
      <c r="E1931" s="73">
        <f>B1931*D1931/10000</f>
        <v/>
      </c>
      <c r="F1931" s="74">
        <f>B1931/30.48</f>
        <v/>
      </c>
      <c r="G1931" s="74">
        <f>D1931/30.48</f>
        <v/>
      </c>
      <c r="H1931" s="615" t="n"/>
      <c r="N1931" s="211" t="n"/>
      <c r="Q1931" s="271" t="n"/>
      <c r="R1931" s="282" t="n"/>
    </row>
    <row r="1932" ht="18" customHeight="1" s="305">
      <c r="A1932" s="8" t="n">
        <v>2813</v>
      </c>
      <c r="B1932" s="5" t="n">
        <v>212</v>
      </c>
      <c r="C1932" s="72" t="inlineStr">
        <is>
          <t>X</t>
        </is>
      </c>
      <c r="D1932" s="5" t="n">
        <v>278</v>
      </c>
      <c r="E1932" s="73">
        <f>B1932*D1932/10000</f>
        <v/>
      </c>
      <c r="F1932" s="74">
        <f>B1932/30.48</f>
        <v/>
      </c>
      <c r="G1932" s="74">
        <f>D1932/30.48</f>
        <v/>
      </c>
      <c r="H1932" s="615" t="n"/>
      <c r="N1932" s="211" t="n"/>
      <c r="Q1932" s="271" t="n"/>
      <c r="R1932" s="282" t="n"/>
    </row>
    <row r="1933" ht="18" customHeight="1" s="305">
      <c r="A1933" s="8" t="n">
        <v>2814</v>
      </c>
      <c r="B1933" s="5" t="n">
        <v>67</v>
      </c>
      <c r="C1933" s="72" t="inlineStr">
        <is>
          <t>X</t>
        </is>
      </c>
      <c r="D1933" s="5" t="n">
        <v>147</v>
      </c>
      <c r="E1933" s="73">
        <f>B1933*D1933/10000</f>
        <v/>
      </c>
      <c r="F1933" s="74">
        <f>B1933/30.48</f>
        <v/>
      </c>
      <c r="G1933" s="74">
        <f>D1933/30.48</f>
        <v/>
      </c>
      <c r="H1933" s="615" t="n"/>
      <c r="N1933" s="211" t="n"/>
      <c r="Q1933" s="271" t="n"/>
      <c r="R1933" s="282" t="n"/>
    </row>
    <row r="1934" ht="18" customHeight="1" s="305">
      <c r="A1934" s="8" t="n">
        <v>2815</v>
      </c>
      <c r="B1934" s="5" t="n">
        <v>91</v>
      </c>
      <c r="C1934" s="72" t="inlineStr">
        <is>
          <t>X</t>
        </is>
      </c>
      <c r="D1934" s="5" t="n">
        <v>319</v>
      </c>
      <c r="E1934" s="73">
        <f>B1934*D1934/10000</f>
        <v/>
      </c>
      <c r="F1934" s="74">
        <f>B1934/30.48</f>
        <v/>
      </c>
      <c r="G1934" s="74">
        <f>D1934/30.48</f>
        <v/>
      </c>
      <c r="H1934" s="615" t="n"/>
      <c r="N1934" s="211" t="n"/>
      <c r="Q1934" s="271" t="n"/>
      <c r="R1934" s="282" t="n"/>
    </row>
    <row r="1935" ht="18" customHeight="1" s="305">
      <c r="A1935" s="8" t="n">
        <v>2816</v>
      </c>
      <c r="B1935" s="5" t="n">
        <v>177</v>
      </c>
      <c r="C1935" s="72" t="inlineStr">
        <is>
          <t>X</t>
        </is>
      </c>
      <c r="D1935" s="5" t="n">
        <v>250</v>
      </c>
      <c r="E1935" s="73">
        <f>B1935*D1935/10000</f>
        <v/>
      </c>
      <c r="F1935" s="74">
        <f>B1935/30.48</f>
        <v/>
      </c>
      <c r="G1935" s="74">
        <f>D1935/30.48</f>
        <v/>
      </c>
      <c r="H1935" s="615" t="n"/>
      <c r="N1935" s="211" t="n"/>
      <c r="Q1935" s="271" t="n"/>
      <c r="R1935" s="282" t="n"/>
    </row>
    <row r="1936" ht="18" customHeight="1" s="305">
      <c r="A1936" s="8" t="n">
        <v>2817</v>
      </c>
      <c r="B1936" s="5" t="n">
        <v>213</v>
      </c>
      <c r="C1936" s="72" t="inlineStr">
        <is>
          <t>X</t>
        </is>
      </c>
      <c r="D1936" s="5" t="n">
        <v>301</v>
      </c>
      <c r="E1936" s="73">
        <f>B1936*D1936/10000</f>
        <v/>
      </c>
      <c r="F1936" s="74">
        <f>B1936/30.48</f>
        <v/>
      </c>
      <c r="G1936" s="74">
        <f>D1936/30.48</f>
        <v/>
      </c>
      <c r="H1936" s="615" t="n"/>
      <c r="N1936" s="211" t="n"/>
      <c r="Q1936" s="271" t="n"/>
      <c r="R1936" s="282" t="n"/>
    </row>
    <row r="1937" ht="18" customHeight="1" s="305">
      <c r="A1937" s="8" t="n">
        <v>2819</v>
      </c>
      <c r="B1937" s="5" t="n">
        <v>92</v>
      </c>
      <c r="C1937" s="72" t="inlineStr">
        <is>
          <t>X</t>
        </is>
      </c>
      <c r="D1937" s="5" t="n">
        <v>330</v>
      </c>
      <c r="E1937" s="73">
        <f>B1937*D1937/10000</f>
        <v/>
      </c>
      <c r="F1937" s="74">
        <f>B1937/30.48</f>
        <v/>
      </c>
      <c r="G1937" s="74">
        <f>D1937/30.48</f>
        <v/>
      </c>
      <c r="H1937" s="615" t="n"/>
      <c r="N1937" s="211" t="n"/>
      <c r="Q1937" s="271" t="n"/>
      <c r="R1937" s="282" t="n"/>
    </row>
    <row r="1938" ht="18" customHeight="1" s="305">
      <c r="A1938" s="8" t="n">
        <v>2820</v>
      </c>
      <c r="B1938" s="5" t="n">
        <v>191</v>
      </c>
      <c r="C1938" s="72" t="inlineStr">
        <is>
          <t>X</t>
        </is>
      </c>
      <c r="D1938" s="5" t="n">
        <v>287</v>
      </c>
      <c r="E1938" s="73">
        <f>B1938*D1938/10000</f>
        <v/>
      </c>
      <c r="F1938" s="74">
        <f>B1938/30.48</f>
        <v/>
      </c>
      <c r="G1938" s="74">
        <f>D1938/30.48</f>
        <v/>
      </c>
      <c r="H1938" s="615" t="n"/>
      <c r="N1938" s="211" t="n"/>
      <c r="Q1938" s="271" t="n"/>
      <c r="R1938" s="282" t="n"/>
    </row>
    <row r="1939" ht="18" customHeight="1" s="305">
      <c r="A1939" s="8" t="n">
        <v>2822</v>
      </c>
      <c r="B1939" s="5" t="n">
        <v>90</v>
      </c>
      <c r="C1939" s="72" t="inlineStr">
        <is>
          <t>X</t>
        </is>
      </c>
      <c r="D1939" s="5" t="n">
        <v>428</v>
      </c>
      <c r="E1939" s="73">
        <f>B1939*D1939/10000</f>
        <v/>
      </c>
      <c r="F1939" s="74">
        <f>B1939/30.48</f>
        <v/>
      </c>
      <c r="G1939" s="74">
        <f>D1939/30.48</f>
        <v/>
      </c>
      <c r="H1939" s="615" t="n"/>
      <c r="N1939" s="211" t="n"/>
      <c r="Q1939" s="271" t="n"/>
      <c r="R1939" s="282" t="n"/>
    </row>
    <row r="1940" ht="18" customHeight="1" s="305">
      <c r="A1940" s="8" t="n">
        <v>2823</v>
      </c>
      <c r="B1940" s="5" t="n">
        <v>85</v>
      </c>
      <c r="C1940" s="72" t="inlineStr">
        <is>
          <t>X</t>
        </is>
      </c>
      <c r="D1940" s="5" t="n">
        <v>381</v>
      </c>
      <c r="E1940" s="73">
        <f>B1940*D1940/10000</f>
        <v/>
      </c>
      <c r="F1940" s="74">
        <f>B1940/30.48</f>
        <v/>
      </c>
      <c r="G1940" s="74">
        <f>D1940/30.48</f>
        <v/>
      </c>
      <c r="H1940" s="615" t="n"/>
      <c r="N1940" s="211" t="n"/>
      <c r="Q1940" s="271" t="n"/>
      <c r="R1940" s="282" t="n"/>
    </row>
    <row r="1941" ht="18" customHeight="1" s="305">
      <c r="A1941" s="8" t="n">
        <v>2825</v>
      </c>
      <c r="B1941" s="5" t="n">
        <v>177</v>
      </c>
      <c r="C1941" s="72" t="inlineStr">
        <is>
          <t>X</t>
        </is>
      </c>
      <c r="D1941" s="5" t="n">
        <v>229</v>
      </c>
      <c r="E1941" s="73">
        <f>B1941*D1941/10000</f>
        <v/>
      </c>
      <c r="F1941" s="74">
        <f>B1941/30.48</f>
        <v/>
      </c>
      <c r="G1941" s="74">
        <f>D1941/30.48</f>
        <v/>
      </c>
      <c r="H1941" s="615" t="n"/>
      <c r="N1941" s="211" t="n"/>
      <c r="Q1941" s="271" t="n"/>
      <c r="R1941" s="282" t="n"/>
    </row>
    <row r="1942" ht="18" customHeight="1" s="305">
      <c r="A1942" s="8" t="n">
        <v>2826</v>
      </c>
      <c r="B1942" s="5" t="n">
        <v>139</v>
      </c>
      <c r="C1942" s="72" t="inlineStr">
        <is>
          <t>X</t>
        </is>
      </c>
      <c r="D1942" s="5" t="n">
        <v>237</v>
      </c>
      <c r="E1942" s="73">
        <f>B1942*D1942/10000</f>
        <v/>
      </c>
      <c r="F1942" s="74">
        <f>B1942/30.48</f>
        <v/>
      </c>
      <c r="G1942" s="74">
        <f>D1942/30.48</f>
        <v/>
      </c>
      <c r="H1942" s="615" t="n"/>
      <c r="N1942" s="211" t="n"/>
      <c r="Q1942" s="271" t="n"/>
      <c r="R1942" s="282" t="n"/>
    </row>
    <row r="1943" ht="18" customHeight="1" s="305">
      <c r="A1943" s="8" t="n">
        <v>2827</v>
      </c>
      <c r="B1943" s="5" t="n">
        <v>84</v>
      </c>
      <c r="C1943" s="72" t="inlineStr">
        <is>
          <t>X</t>
        </is>
      </c>
      <c r="D1943" s="5" t="n">
        <v>258</v>
      </c>
      <c r="E1943" s="73">
        <f>B1943*D1943/10000</f>
        <v/>
      </c>
      <c r="F1943" s="74">
        <f>B1943/30.48</f>
        <v/>
      </c>
      <c r="G1943" s="74">
        <f>D1943/30.48</f>
        <v/>
      </c>
      <c r="H1943" s="615" t="n"/>
      <c r="N1943" s="211" t="n"/>
      <c r="Q1943" s="271" t="n"/>
      <c r="R1943" s="282" t="n"/>
    </row>
    <row r="1944" ht="18" customHeight="1" s="305">
      <c r="A1944" s="8" t="n">
        <v>2828</v>
      </c>
      <c r="B1944" s="5" t="n">
        <v>95</v>
      </c>
      <c r="C1944" s="72" t="inlineStr">
        <is>
          <t>X</t>
        </is>
      </c>
      <c r="D1944" s="5" t="n">
        <v>316</v>
      </c>
      <c r="E1944" s="73">
        <f>B1944*D1944/10000</f>
        <v/>
      </c>
      <c r="F1944" s="74">
        <f>B1944/30.48</f>
        <v/>
      </c>
      <c r="G1944" s="74">
        <f>D1944/30.48</f>
        <v/>
      </c>
      <c r="H1944" s="615" t="n"/>
      <c r="N1944" s="211" t="n"/>
      <c r="Q1944" s="271" t="n"/>
      <c r="R1944" s="282" t="n"/>
    </row>
    <row r="1945" ht="18" customHeight="1" s="305">
      <c r="A1945" s="8" t="n">
        <v>2829</v>
      </c>
      <c r="B1945" s="5" t="n">
        <v>81</v>
      </c>
      <c r="C1945" s="72" t="inlineStr">
        <is>
          <t>X</t>
        </is>
      </c>
      <c r="D1945" s="5" t="n">
        <v>398</v>
      </c>
      <c r="E1945" s="73">
        <f>B1945*D1945/10000</f>
        <v/>
      </c>
      <c r="F1945" s="74">
        <f>B1945/30.48</f>
        <v/>
      </c>
      <c r="G1945" s="74">
        <f>D1945/30.48</f>
        <v/>
      </c>
      <c r="H1945" s="615" t="n"/>
      <c r="N1945" s="211" t="n"/>
      <c r="Q1945" s="271" t="n"/>
      <c r="R1945" s="282" t="n"/>
    </row>
    <row r="1946" ht="18" customHeight="1" s="305">
      <c r="A1946" s="8" t="n">
        <v>2830</v>
      </c>
      <c r="B1946" s="5" t="n">
        <v>85</v>
      </c>
      <c r="C1946" s="72" t="inlineStr">
        <is>
          <t>X</t>
        </is>
      </c>
      <c r="D1946" s="5" t="n">
        <v>366</v>
      </c>
      <c r="E1946" s="73">
        <f>B1946*D1946/10000</f>
        <v/>
      </c>
      <c r="F1946" s="74">
        <f>B1946/30.48</f>
        <v/>
      </c>
      <c r="G1946" s="74">
        <f>D1946/30.48</f>
        <v/>
      </c>
      <c r="H1946" s="615" t="n"/>
      <c r="N1946" s="211" t="n"/>
      <c r="Q1946" s="271" t="n"/>
      <c r="R1946" s="282" t="n"/>
    </row>
    <row r="1947" ht="18" customHeight="1" s="305">
      <c r="A1947" s="8" t="n">
        <v>2831</v>
      </c>
      <c r="B1947" s="5" t="n">
        <v>101</v>
      </c>
      <c r="C1947" s="72" t="inlineStr">
        <is>
          <t>X</t>
        </is>
      </c>
      <c r="D1947" s="5" t="n">
        <v>378</v>
      </c>
      <c r="E1947" s="73">
        <f>B1947*D1947/10000</f>
        <v/>
      </c>
      <c r="F1947" s="74">
        <f>B1947/30.48</f>
        <v/>
      </c>
      <c r="G1947" s="74">
        <f>D1947/30.48</f>
        <v/>
      </c>
      <c r="H1947" s="615" t="n"/>
      <c r="N1947" s="211" t="n"/>
      <c r="Q1947" s="271" t="n"/>
      <c r="R1947" s="282" t="n"/>
    </row>
    <row r="1948" ht="18" customHeight="1" s="305">
      <c r="A1948" s="8" t="n">
        <v>2834</v>
      </c>
      <c r="B1948" s="5" t="n">
        <v>112</v>
      </c>
      <c r="C1948" s="72" t="inlineStr">
        <is>
          <t>X</t>
        </is>
      </c>
      <c r="D1948" s="5" t="n">
        <v>203</v>
      </c>
      <c r="E1948" s="73">
        <f>B1948*D1948/10000</f>
        <v/>
      </c>
      <c r="F1948" s="74">
        <f>B1948/30.48</f>
        <v/>
      </c>
      <c r="G1948" s="74">
        <f>D1948/30.48</f>
        <v/>
      </c>
      <c r="H1948" s="615" t="n"/>
      <c r="N1948" s="211" t="n"/>
      <c r="Q1948" s="271" t="n"/>
      <c r="R1948" s="282" t="n"/>
    </row>
    <row r="1949" ht="18" customHeight="1" s="305">
      <c r="A1949" s="8" t="n">
        <v>2836</v>
      </c>
      <c r="B1949" s="5" t="n">
        <v>112</v>
      </c>
      <c r="C1949" s="72" t="inlineStr">
        <is>
          <t>X</t>
        </is>
      </c>
      <c r="D1949" s="5" t="n">
        <v>315</v>
      </c>
      <c r="E1949" s="73">
        <f>B1949*D1949/10000</f>
        <v/>
      </c>
      <c r="F1949" s="74">
        <f>B1949/30.48</f>
        <v/>
      </c>
      <c r="G1949" s="74">
        <f>D1949/30.48</f>
        <v/>
      </c>
      <c r="H1949" s="615" t="n"/>
      <c r="N1949" s="211" t="n"/>
      <c r="Q1949" s="271" t="n"/>
      <c r="R1949" s="282" t="n"/>
    </row>
    <row r="1950" ht="18" customHeight="1" s="305">
      <c r="A1950" s="8" t="n">
        <v>2837</v>
      </c>
      <c r="B1950" s="5" t="n">
        <v>225</v>
      </c>
      <c r="C1950" s="72" t="inlineStr">
        <is>
          <t>X</t>
        </is>
      </c>
      <c r="D1950" s="5" t="n">
        <v>320</v>
      </c>
      <c r="E1950" s="73">
        <f>B1950*D1950/10000</f>
        <v/>
      </c>
      <c r="F1950" s="74">
        <f>B1950/30.48</f>
        <v/>
      </c>
      <c r="G1950" s="74">
        <f>D1950/30.48</f>
        <v/>
      </c>
      <c r="H1950" s="615" t="n"/>
      <c r="N1950" s="211" t="n"/>
      <c r="Q1950" s="271" t="n"/>
      <c r="R1950" s="282" t="n"/>
    </row>
    <row r="1951" ht="18" customHeight="1" s="305">
      <c r="A1951" s="8" t="n">
        <v>2838</v>
      </c>
      <c r="B1951" s="5" t="n">
        <v>92</v>
      </c>
      <c r="C1951" s="72" t="inlineStr">
        <is>
          <t>X</t>
        </is>
      </c>
      <c r="D1951" s="5" t="n">
        <v>273</v>
      </c>
      <c r="E1951" s="73">
        <f>B1951*D1951/10000</f>
        <v/>
      </c>
      <c r="F1951" s="74">
        <f>B1951/30.48</f>
        <v/>
      </c>
      <c r="G1951" s="74">
        <f>D1951/30.48</f>
        <v/>
      </c>
      <c r="H1951" s="615" t="n"/>
      <c r="N1951" s="211" t="n"/>
      <c r="Q1951" s="271" t="n"/>
      <c r="R1951" s="282" t="n"/>
    </row>
    <row r="1952" ht="18" customHeight="1" s="305">
      <c r="A1952" s="8" t="n">
        <v>2839</v>
      </c>
      <c r="B1952" s="5" t="n">
        <v>80</v>
      </c>
      <c r="C1952" s="72" t="inlineStr">
        <is>
          <t>X</t>
        </is>
      </c>
      <c r="D1952" s="5" t="n">
        <v>193</v>
      </c>
      <c r="E1952" s="73">
        <f>B1952*D1952/10000</f>
        <v/>
      </c>
      <c r="F1952" s="74">
        <f>B1952/30.48</f>
        <v/>
      </c>
      <c r="G1952" s="74">
        <f>D1952/30.48</f>
        <v/>
      </c>
      <c r="H1952" s="615" t="n"/>
      <c r="N1952" s="211" t="n"/>
      <c r="Q1952" s="271" t="n"/>
      <c r="R1952" s="282" t="n"/>
    </row>
    <row r="1953" ht="18" customHeight="1" s="305">
      <c r="A1953" s="8" t="n">
        <v>2841</v>
      </c>
      <c r="B1953" s="5" t="n">
        <v>108</v>
      </c>
      <c r="C1953" s="72" t="inlineStr">
        <is>
          <t>X</t>
        </is>
      </c>
      <c r="D1953" s="5" t="n">
        <v>208</v>
      </c>
      <c r="E1953" s="73">
        <f>B1953*D1953/10000</f>
        <v/>
      </c>
      <c r="F1953" s="74">
        <f>B1953/30.48</f>
        <v/>
      </c>
      <c r="G1953" s="74">
        <f>D1953/30.48</f>
        <v/>
      </c>
      <c r="H1953" s="615" t="n"/>
      <c r="N1953" s="211" t="n"/>
      <c r="Q1953" s="271" t="n"/>
      <c r="R1953" s="282" t="n"/>
    </row>
    <row r="1954" ht="18" customHeight="1" s="305">
      <c r="A1954" s="8" t="n">
        <v>2842</v>
      </c>
      <c r="B1954" s="5" t="n">
        <v>96</v>
      </c>
      <c r="C1954" s="72" t="inlineStr">
        <is>
          <t>X</t>
        </is>
      </c>
      <c r="D1954" s="5" t="n">
        <v>296</v>
      </c>
      <c r="E1954" s="73">
        <f>B1954*D1954/10000</f>
        <v/>
      </c>
      <c r="F1954" s="74">
        <f>B1954/30.48</f>
        <v/>
      </c>
      <c r="G1954" s="74">
        <f>D1954/30.48</f>
        <v/>
      </c>
      <c r="H1954" s="615" t="n"/>
      <c r="N1954" s="211" t="n"/>
      <c r="Q1954" s="271" t="n"/>
      <c r="R1954" s="282" t="n"/>
    </row>
    <row r="1955" ht="18" customHeight="1" s="305">
      <c r="A1955" s="8" t="n">
        <v>2843</v>
      </c>
      <c r="B1955" s="5" t="n">
        <v>76</v>
      </c>
      <c r="C1955" s="72" t="inlineStr">
        <is>
          <t>X</t>
        </is>
      </c>
      <c r="D1955" s="5" t="n">
        <v>344</v>
      </c>
      <c r="E1955" s="73">
        <f>B1955*D1955/10000</f>
        <v/>
      </c>
      <c r="F1955" s="74">
        <f>B1955/30.48</f>
        <v/>
      </c>
      <c r="G1955" s="74">
        <f>D1955/30.48</f>
        <v/>
      </c>
      <c r="H1955" s="615" t="n"/>
      <c r="N1955" s="211" t="n"/>
      <c r="Q1955" s="271" t="n"/>
      <c r="R1955" s="282" t="n"/>
    </row>
    <row r="1956" ht="18" customHeight="1" s="305">
      <c r="A1956" s="8" t="n">
        <v>2844</v>
      </c>
      <c r="B1956" s="5" t="n">
        <v>98</v>
      </c>
      <c r="C1956" s="72" t="inlineStr">
        <is>
          <t>X</t>
        </is>
      </c>
      <c r="D1956" s="5" t="n">
        <v>335</v>
      </c>
      <c r="E1956" s="73">
        <f>B1956*D1956/10000</f>
        <v/>
      </c>
      <c r="F1956" s="74">
        <f>B1956/30.48</f>
        <v/>
      </c>
      <c r="G1956" s="74">
        <f>D1956/30.48</f>
        <v/>
      </c>
      <c r="H1956" s="615" t="n"/>
      <c r="N1956" s="211" t="n"/>
      <c r="Q1956" s="271" t="n"/>
      <c r="R1956" s="282" t="n"/>
    </row>
    <row r="1957" ht="18" customHeight="1" s="305">
      <c r="A1957" s="8" t="n">
        <v>2847</v>
      </c>
      <c r="B1957" s="5" t="n">
        <v>101</v>
      </c>
      <c r="C1957" s="72" t="inlineStr">
        <is>
          <t>X</t>
        </is>
      </c>
      <c r="D1957" s="5" t="n">
        <v>276</v>
      </c>
      <c r="E1957" s="73">
        <f>B1957*D1957/10000</f>
        <v/>
      </c>
      <c r="F1957" s="74">
        <f>B1957/30.48</f>
        <v/>
      </c>
      <c r="G1957" s="74">
        <f>D1957/30.48</f>
        <v/>
      </c>
      <c r="H1957" s="615" t="n"/>
      <c r="N1957" s="211" t="n"/>
      <c r="Q1957" s="271" t="n"/>
      <c r="R1957" s="282" t="n"/>
    </row>
    <row r="1958" ht="18" customHeight="1" s="305">
      <c r="A1958" s="8" t="n">
        <v>2848</v>
      </c>
      <c r="B1958" s="5" t="n">
        <v>105</v>
      </c>
      <c r="C1958" s="72" t="inlineStr">
        <is>
          <t>X</t>
        </is>
      </c>
      <c r="D1958" s="5" t="n">
        <v>207</v>
      </c>
      <c r="E1958" s="73">
        <f>B1958*D1958/10000</f>
        <v/>
      </c>
      <c r="F1958" s="74">
        <f>B1958/30.48</f>
        <v/>
      </c>
      <c r="G1958" s="74">
        <f>D1958/30.48</f>
        <v/>
      </c>
      <c r="H1958" s="615" t="n"/>
      <c r="N1958" s="211" t="n"/>
      <c r="Q1958" s="271" t="n"/>
      <c r="R1958" s="282" t="n"/>
    </row>
    <row r="1959" ht="18" customHeight="1" s="305">
      <c r="A1959" s="8" t="n">
        <v>2850</v>
      </c>
      <c r="B1959" s="5" t="n">
        <v>139</v>
      </c>
      <c r="C1959" s="72" t="inlineStr">
        <is>
          <t>X</t>
        </is>
      </c>
      <c r="D1959" s="5" t="n">
        <v>221</v>
      </c>
      <c r="E1959" s="73">
        <f>B1959*D1959/10000</f>
        <v/>
      </c>
      <c r="F1959" s="74">
        <f>B1959/30.48</f>
        <v/>
      </c>
      <c r="G1959" s="74">
        <f>D1959/30.48</f>
        <v/>
      </c>
      <c r="H1959" s="615" t="n"/>
      <c r="N1959" s="211" t="n"/>
      <c r="Q1959" s="271" t="n"/>
      <c r="R1959" s="282" t="n"/>
    </row>
    <row r="1960" ht="18" customHeight="1" s="305">
      <c r="A1960" s="8" t="n">
        <v>2851</v>
      </c>
      <c r="B1960" s="5" t="n">
        <v>123</v>
      </c>
      <c r="C1960" s="72" t="inlineStr">
        <is>
          <t>X</t>
        </is>
      </c>
      <c r="D1960" s="5" t="n">
        <v>256</v>
      </c>
      <c r="E1960" s="73">
        <f>B1960*D1960/10000</f>
        <v/>
      </c>
      <c r="F1960" s="74">
        <f>B1960/30.48</f>
        <v/>
      </c>
      <c r="G1960" s="74">
        <f>D1960/30.48</f>
        <v/>
      </c>
      <c r="H1960" s="615" t="n"/>
      <c r="N1960" s="211" t="n"/>
      <c r="Q1960" s="271" t="n"/>
      <c r="R1960" s="282" t="n"/>
    </row>
    <row r="1961" ht="18" customHeight="1" s="305">
      <c r="A1961" s="8" t="n">
        <v>2852</v>
      </c>
      <c r="B1961" s="5" t="n">
        <v>90</v>
      </c>
      <c r="C1961" s="72" t="inlineStr">
        <is>
          <t>X</t>
        </is>
      </c>
      <c r="D1961" s="5" t="n">
        <v>370</v>
      </c>
      <c r="E1961" s="73">
        <f>B1961*D1961/10000</f>
        <v/>
      </c>
      <c r="F1961" s="74">
        <f>B1961/30.48</f>
        <v/>
      </c>
      <c r="G1961" s="74">
        <f>D1961/30.48</f>
        <v/>
      </c>
      <c r="H1961" s="615" t="n"/>
      <c r="N1961" s="211" t="n"/>
      <c r="Q1961" s="271" t="n"/>
      <c r="R1961" s="282" t="n"/>
    </row>
    <row r="1962" ht="18" customHeight="1" s="305">
      <c r="A1962" s="8" t="n">
        <v>2857</v>
      </c>
      <c r="B1962" s="5" t="n">
        <v>157</v>
      </c>
      <c r="C1962" s="72" t="inlineStr">
        <is>
          <t>X</t>
        </is>
      </c>
      <c r="D1962" s="5" t="n">
        <v>241</v>
      </c>
      <c r="E1962" s="73">
        <f>B1962*D1962/10000</f>
        <v/>
      </c>
      <c r="F1962" s="74">
        <f>B1962/30.48</f>
        <v/>
      </c>
      <c r="G1962" s="74">
        <f>D1962/30.48</f>
        <v/>
      </c>
      <c r="H1962" s="615" t="n"/>
      <c r="N1962" s="211" t="n"/>
      <c r="Q1962" s="271" t="n"/>
      <c r="R1962" s="282" t="n"/>
    </row>
    <row r="1963" ht="18" customHeight="1" s="305">
      <c r="A1963" s="8" t="n">
        <v>2858</v>
      </c>
      <c r="B1963" s="5" t="n">
        <v>160</v>
      </c>
      <c r="C1963" s="72" t="inlineStr">
        <is>
          <t>X</t>
        </is>
      </c>
      <c r="D1963" s="5" t="n">
        <v>234</v>
      </c>
      <c r="E1963" s="73">
        <f>B1963*D1963/10000</f>
        <v/>
      </c>
      <c r="F1963" s="74">
        <f>B1963/30.48</f>
        <v/>
      </c>
      <c r="G1963" s="74">
        <f>D1963/30.48</f>
        <v/>
      </c>
      <c r="H1963" s="615" t="n"/>
      <c r="N1963" s="211" t="n"/>
      <c r="Q1963" s="271" t="n"/>
      <c r="R1963" s="282" t="n"/>
    </row>
    <row r="1964" ht="18" customHeight="1" s="305">
      <c r="A1964" s="8" t="n">
        <v>2862</v>
      </c>
      <c r="B1964" s="5" t="n">
        <v>146</v>
      </c>
      <c r="C1964" s="72" t="inlineStr">
        <is>
          <t>X</t>
        </is>
      </c>
      <c r="D1964" s="5" t="n">
        <v>236</v>
      </c>
      <c r="E1964" s="73">
        <f>B1964*D1964/10000</f>
        <v/>
      </c>
      <c r="F1964" s="74">
        <f>B1964/30.48</f>
        <v/>
      </c>
      <c r="G1964" s="74">
        <f>D1964/30.48</f>
        <v/>
      </c>
      <c r="H1964" s="615" t="n"/>
      <c r="N1964" s="211" t="n"/>
      <c r="Q1964" s="271" t="n"/>
      <c r="R1964" s="282" t="n"/>
    </row>
    <row r="1965" ht="18" customHeight="1" s="305">
      <c r="A1965" s="8" t="n">
        <v>2863</v>
      </c>
      <c r="B1965" s="5" t="n">
        <v>222</v>
      </c>
      <c r="C1965" s="72" t="inlineStr">
        <is>
          <t>X</t>
        </is>
      </c>
      <c r="D1965" s="5" t="n">
        <v>327</v>
      </c>
      <c r="E1965" s="73">
        <f>B1965*D1965/10000</f>
        <v/>
      </c>
      <c r="F1965" s="74">
        <f>B1965/30.48</f>
        <v/>
      </c>
      <c r="G1965" s="74">
        <f>D1965/30.48</f>
        <v/>
      </c>
      <c r="H1965" s="615" t="n"/>
      <c r="N1965" s="211" t="n"/>
      <c r="Q1965" s="271" t="n"/>
      <c r="R1965" s="282" t="n"/>
    </row>
    <row r="1966" ht="18" customHeight="1" s="305">
      <c r="A1966" s="8" t="n">
        <v>2864</v>
      </c>
      <c r="B1966" s="5" t="n">
        <v>227</v>
      </c>
      <c r="C1966" s="72" t="inlineStr">
        <is>
          <t>X</t>
        </is>
      </c>
      <c r="D1966" s="5" t="n">
        <v>321</v>
      </c>
      <c r="E1966" s="73">
        <f>B1966*D1966/10000</f>
        <v/>
      </c>
      <c r="F1966" s="74">
        <f>B1966/30.48</f>
        <v/>
      </c>
      <c r="G1966" s="74">
        <f>D1966/30.48</f>
        <v/>
      </c>
      <c r="H1966" s="615" t="n"/>
      <c r="N1966" s="211" t="n"/>
      <c r="Q1966" s="271" t="n"/>
      <c r="R1966" s="282" t="n"/>
    </row>
    <row r="1967" ht="18" customHeight="1" s="305">
      <c r="A1967" s="8" t="n">
        <v>2865</v>
      </c>
      <c r="B1967" s="5" t="n">
        <v>153</v>
      </c>
      <c r="C1967" s="72" t="inlineStr">
        <is>
          <t>X</t>
        </is>
      </c>
      <c r="D1967" s="5" t="n">
        <v>237</v>
      </c>
      <c r="E1967" s="73">
        <f>B1967*D1967/10000</f>
        <v/>
      </c>
      <c r="F1967" s="74">
        <f>B1967/30.48</f>
        <v/>
      </c>
      <c r="G1967" s="74">
        <f>D1967/30.48</f>
        <v/>
      </c>
      <c r="H1967" s="615" t="n"/>
      <c r="N1967" s="211" t="n"/>
      <c r="Q1967" s="271" t="n"/>
      <c r="R1967" s="282" t="n"/>
    </row>
    <row r="1968" ht="18" customHeight="1" s="305">
      <c r="A1968" s="8" t="n">
        <v>2866</v>
      </c>
      <c r="B1968" s="5" t="n">
        <v>114</v>
      </c>
      <c r="C1968" s="72" t="inlineStr">
        <is>
          <t>X</t>
        </is>
      </c>
      <c r="D1968" s="5" t="n">
        <v>200</v>
      </c>
      <c r="E1968" s="73">
        <f>B1968*D1968/10000</f>
        <v/>
      </c>
      <c r="F1968" s="74">
        <f>B1968/30.48</f>
        <v/>
      </c>
      <c r="G1968" s="74">
        <f>D1968/30.48</f>
        <v/>
      </c>
      <c r="H1968" s="615" t="n"/>
      <c r="N1968" s="211" t="n"/>
      <c r="Q1968" s="271" t="n"/>
      <c r="R1968" s="282" t="n"/>
    </row>
    <row r="1969" ht="18" customHeight="1" s="305">
      <c r="A1969" s="8" t="n">
        <v>2867</v>
      </c>
      <c r="B1969" s="5" t="n">
        <v>124</v>
      </c>
      <c r="C1969" s="72" t="inlineStr">
        <is>
          <t>X</t>
        </is>
      </c>
      <c r="D1969" s="5" t="n">
        <v>191</v>
      </c>
      <c r="E1969" s="73">
        <f>B1969*D1969/10000</f>
        <v/>
      </c>
      <c r="F1969" s="74">
        <f>B1969/30.48</f>
        <v/>
      </c>
      <c r="G1969" s="74">
        <f>D1969/30.48</f>
        <v/>
      </c>
      <c r="H1969" s="615" t="n"/>
      <c r="N1969" s="211" t="n"/>
      <c r="Q1969" s="271" t="n"/>
      <c r="R1969" s="282" t="n"/>
    </row>
    <row r="1970" ht="18" customHeight="1" s="305">
      <c r="A1970" s="8" t="n">
        <v>2868</v>
      </c>
      <c r="B1970" s="5" t="n">
        <v>120</v>
      </c>
      <c r="C1970" s="72" t="inlineStr">
        <is>
          <t>X</t>
        </is>
      </c>
      <c r="D1970" s="5" t="n">
        <v>177</v>
      </c>
      <c r="E1970" s="73">
        <f>B1970*D1970/10000</f>
        <v/>
      </c>
      <c r="F1970" s="74">
        <f>B1970/30.48</f>
        <v/>
      </c>
      <c r="G1970" s="74">
        <f>D1970/30.48</f>
        <v/>
      </c>
      <c r="H1970" s="615" t="n"/>
      <c r="N1970" s="211" t="n"/>
      <c r="Q1970" s="271" t="n"/>
      <c r="R1970" s="282" t="n"/>
    </row>
    <row r="1971" ht="18" customHeight="1" s="305">
      <c r="A1971" s="8" t="n">
        <v>2869</v>
      </c>
      <c r="B1971" s="5" t="n">
        <v>118</v>
      </c>
      <c r="C1971" s="72" t="inlineStr">
        <is>
          <t>X</t>
        </is>
      </c>
      <c r="D1971" s="5" t="n">
        <v>258</v>
      </c>
      <c r="E1971" s="73">
        <f>B1971*D1971/10000</f>
        <v/>
      </c>
      <c r="F1971" s="74">
        <f>B1971/30.48</f>
        <v/>
      </c>
      <c r="G1971" s="74">
        <f>D1971/30.48</f>
        <v/>
      </c>
      <c r="H1971" s="615" t="n"/>
      <c r="N1971" s="211" t="n"/>
      <c r="Q1971" s="271" t="n"/>
      <c r="R1971" s="282" t="n"/>
    </row>
    <row r="1972" ht="18" customHeight="1" s="305">
      <c r="A1972" s="8" t="n">
        <v>2871</v>
      </c>
      <c r="B1972" s="5" t="n">
        <v>205</v>
      </c>
      <c r="C1972" s="72" t="inlineStr">
        <is>
          <t>X</t>
        </is>
      </c>
      <c r="D1972" s="5" t="n">
        <v>310</v>
      </c>
      <c r="E1972" s="73">
        <f>B1972*D1972/10000</f>
        <v/>
      </c>
      <c r="F1972" s="74">
        <f>B1972/30.48</f>
        <v/>
      </c>
      <c r="G1972" s="74">
        <f>D1972/30.48</f>
        <v/>
      </c>
      <c r="H1972" s="615" t="n"/>
      <c r="N1972" s="211" t="n"/>
      <c r="Q1972" s="271" t="n"/>
      <c r="R1972" s="282" t="n"/>
    </row>
    <row r="1973" ht="18" customHeight="1" s="305">
      <c r="A1973" s="8" t="n">
        <v>2872</v>
      </c>
      <c r="B1973" s="5" t="n">
        <v>178</v>
      </c>
      <c r="C1973" s="72" t="inlineStr">
        <is>
          <t>X</t>
        </is>
      </c>
      <c r="D1973" s="5" t="n">
        <v>244</v>
      </c>
      <c r="E1973" s="73">
        <f>B1973*D1973/10000</f>
        <v/>
      </c>
      <c r="F1973" s="74">
        <f>B1973/30.48</f>
        <v/>
      </c>
      <c r="G1973" s="74">
        <f>D1973/30.48</f>
        <v/>
      </c>
      <c r="H1973" s="615" t="n"/>
      <c r="N1973" s="211" t="n"/>
      <c r="Q1973" s="271" t="n"/>
      <c r="R1973" s="282" t="n"/>
    </row>
    <row r="1974" ht="18" customHeight="1" s="305">
      <c r="A1974" s="8" t="n">
        <v>2873</v>
      </c>
      <c r="B1974" s="5" t="n">
        <v>202</v>
      </c>
      <c r="C1974" s="72" t="inlineStr">
        <is>
          <t>X</t>
        </is>
      </c>
      <c r="D1974" s="5" t="n">
        <v>307</v>
      </c>
      <c r="E1974" s="73">
        <f>B1974*D1974/10000</f>
        <v/>
      </c>
      <c r="F1974" s="74">
        <f>B1974/30.48</f>
        <v/>
      </c>
      <c r="G1974" s="74">
        <f>D1974/30.48</f>
        <v/>
      </c>
      <c r="H1974" s="615" t="n"/>
      <c r="N1974" s="211" t="n"/>
      <c r="Q1974" s="271" t="n"/>
      <c r="R1974" s="282" t="n"/>
    </row>
    <row r="1975" ht="18" customHeight="1" s="305">
      <c r="A1975" s="8" t="n">
        <v>2874</v>
      </c>
      <c r="B1975" s="5" t="n">
        <v>129</v>
      </c>
      <c r="C1975" s="72" t="inlineStr">
        <is>
          <t>X</t>
        </is>
      </c>
      <c r="D1975" s="5" t="n">
        <v>277</v>
      </c>
      <c r="E1975" s="73">
        <f>B1975*D1975/10000</f>
        <v/>
      </c>
      <c r="F1975" s="74">
        <f>B1975/30.48</f>
        <v/>
      </c>
      <c r="G1975" s="74">
        <f>D1975/30.48</f>
        <v/>
      </c>
      <c r="H1975" s="615" t="n"/>
      <c r="N1975" s="211" t="n"/>
      <c r="Q1975" s="271" t="n"/>
      <c r="R1975" s="282" t="n"/>
    </row>
    <row r="1976" ht="18" customHeight="1" s="305">
      <c r="A1976" s="8" t="n">
        <v>2875</v>
      </c>
      <c r="B1976" s="5" t="n">
        <v>147</v>
      </c>
      <c r="C1976" s="72" t="inlineStr">
        <is>
          <t>X</t>
        </is>
      </c>
      <c r="D1976" s="5" t="n">
        <v>241</v>
      </c>
      <c r="E1976" s="73">
        <f>B1976*D1976/10000</f>
        <v/>
      </c>
      <c r="F1976" s="74">
        <f>B1976/30.48</f>
        <v/>
      </c>
      <c r="G1976" s="74">
        <f>D1976/30.48</f>
        <v/>
      </c>
      <c r="H1976" s="615" t="n"/>
      <c r="N1976" s="211" t="n"/>
      <c r="Q1976" s="271" t="n"/>
      <c r="R1976" s="282" t="n"/>
    </row>
    <row r="1977" ht="18" customHeight="1" s="305">
      <c r="A1977" s="8" t="n">
        <v>2876</v>
      </c>
      <c r="B1977" s="5" t="n">
        <v>215</v>
      </c>
      <c r="C1977" s="72" t="inlineStr">
        <is>
          <t>X</t>
        </is>
      </c>
      <c r="D1977" s="5" t="n">
        <v>327</v>
      </c>
      <c r="E1977" s="73">
        <f>B1977*D1977/10000</f>
        <v/>
      </c>
      <c r="F1977" s="74">
        <f>B1977/30.48</f>
        <v/>
      </c>
      <c r="G1977" s="74">
        <f>D1977/30.48</f>
        <v/>
      </c>
      <c r="H1977" s="615" t="n"/>
      <c r="N1977" s="211" t="n"/>
      <c r="Q1977" s="271" t="n"/>
      <c r="R1977" s="282" t="n"/>
    </row>
    <row r="1978" ht="18" customHeight="1" s="305">
      <c r="A1978" s="8" t="n">
        <v>2877</v>
      </c>
      <c r="B1978" s="5" t="n">
        <v>111</v>
      </c>
      <c r="C1978" s="72" t="inlineStr">
        <is>
          <t>X</t>
        </is>
      </c>
      <c r="D1978" s="5" t="n">
        <v>439</v>
      </c>
      <c r="E1978" s="73">
        <f>B1978*D1978/10000</f>
        <v/>
      </c>
      <c r="F1978" s="74">
        <f>B1978/30.48</f>
        <v/>
      </c>
      <c r="G1978" s="74">
        <f>D1978/30.48</f>
        <v/>
      </c>
      <c r="H1978" s="615" t="n"/>
      <c r="N1978" s="211" t="n"/>
      <c r="Q1978" s="271" t="n"/>
      <c r="R1978" s="282" t="n"/>
    </row>
    <row r="1979" ht="18" customHeight="1" s="305">
      <c r="A1979" s="8" t="n">
        <v>2880</v>
      </c>
      <c r="B1979" s="5" t="n">
        <v>140</v>
      </c>
      <c r="C1979" s="72" t="inlineStr">
        <is>
          <t>X</t>
        </is>
      </c>
      <c r="D1979" s="5" t="n">
        <v>234</v>
      </c>
      <c r="E1979" s="73">
        <f>B1979*D1979/10000</f>
        <v/>
      </c>
      <c r="F1979" s="74">
        <f>B1979/30.48</f>
        <v/>
      </c>
      <c r="G1979" s="74">
        <f>D1979/30.48</f>
        <v/>
      </c>
      <c r="H1979" s="615" t="n"/>
      <c r="N1979" s="211" t="n"/>
      <c r="Q1979" s="271" t="n"/>
      <c r="R1979" s="282" t="n"/>
    </row>
    <row r="1980" ht="18" customHeight="1" s="305">
      <c r="A1980" s="8" t="n">
        <v>2883</v>
      </c>
      <c r="B1980" s="5" t="n">
        <v>212</v>
      </c>
      <c r="C1980" s="72" t="inlineStr">
        <is>
          <t>X</t>
        </is>
      </c>
      <c r="D1980" s="5" t="n">
        <v>300</v>
      </c>
      <c r="E1980" s="73">
        <f>B1980*D1980/10000</f>
        <v/>
      </c>
      <c r="F1980" s="74">
        <f>B1980/30.48</f>
        <v/>
      </c>
      <c r="G1980" s="74">
        <f>D1980/30.48</f>
        <v/>
      </c>
      <c r="H1980" s="615" t="n"/>
      <c r="N1980" s="211" t="n"/>
      <c r="Q1980" s="271" t="n"/>
      <c r="R1980" s="282" t="n"/>
    </row>
    <row r="1981" ht="18" customHeight="1" s="305">
      <c r="A1981" s="8" t="n">
        <v>2886</v>
      </c>
      <c r="B1981" s="5" t="n">
        <v>109</v>
      </c>
      <c r="C1981" s="72" t="inlineStr">
        <is>
          <t>X</t>
        </is>
      </c>
      <c r="D1981" s="5" t="n">
        <v>307</v>
      </c>
      <c r="E1981" s="73">
        <f>B1981*D1981/10000</f>
        <v/>
      </c>
      <c r="F1981" s="74">
        <f>B1981/30.48</f>
        <v/>
      </c>
      <c r="G1981" s="74">
        <f>D1981/30.48</f>
        <v/>
      </c>
      <c r="H1981" s="615" t="n"/>
      <c r="N1981" s="211" t="n"/>
      <c r="Q1981" s="271" t="n"/>
      <c r="R1981" s="282" t="n"/>
    </row>
    <row r="1982" ht="18" customHeight="1" s="305">
      <c r="A1982" s="8" t="n">
        <v>2887</v>
      </c>
      <c r="B1982" s="5" t="n">
        <v>73</v>
      </c>
      <c r="C1982" s="72" t="inlineStr">
        <is>
          <t>X</t>
        </is>
      </c>
      <c r="D1982" s="5" t="n">
        <v>278</v>
      </c>
      <c r="E1982" s="73">
        <f>B1982*D1982/10000</f>
        <v/>
      </c>
      <c r="F1982" s="74">
        <f>B1982/30.48</f>
        <v/>
      </c>
      <c r="G1982" s="74">
        <f>D1982/30.48</f>
        <v/>
      </c>
      <c r="H1982" s="615" t="n"/>
      <c r="N1982" s="211" t="n"/>
      <c r="Q1982" s="271" t="n"/>
      <c r="R1982" s="282" t="n"/>
    </row>
    <row r="1983" ht="18" customHeight="1" s="305">
      <c r="A1983" s="8" t="n">
        <v>2889</v>
      </c>
      <c r="B1983" s="5" t="n">
        <v>123</v>
      </c>
      <c r="C1983" s="72" t="inlineStr">
        <is>
          <t>X</t>
        </is>
      </c>
      <c r="D1983" s="5" t="n">
        <v>182</v>
      </c>
      <c r="E1983" s="73">
        <f>B1983*D1983/10000</f>
        <v/>
      </c>
      <c r="F1983" s="74">
        <f>B1983/30.48</f>
        <v/>
      </c>
      <c r="G1983" s="74">
        <f>D1983/30.48</f>
        <v/>
      </c>
      <c r="H1983" s="615" t="n"/>
      <c r="N1983" s="211" t="n"/>
      <c r="Q1983" s="271" t="n"/>
      <c r="R1983" s="282" t="n"/>
    </row>
    <row r="1984" ht="18" customHeight="1" s="305">
      <c r="A1984" s="8" t="n">
        <v>2890</v>
      </c>
      <c r="B1984" s="5" t="n">
        <v>225</v>
      </c>
      <c r="C1984" s="72" t="inlineStr">
        <is>
          <t>X</t>
        </is>
      </c>
      <c r="D1984" s="5" t="n">
        <v>349</v>
      </c>
      <c r="E1984" s="73">
        <f>B1984*D1984/10000</f>
        <v/>
      </c>
      <c r="F1984" s="74">
        <f>B1984/30.48</f>
        <v/>
      </c>
      <c r="G1984" s="74">
        <f>D1984/30.48</f>
        <v/>
      </c>
      <c r="H1984" s="615" t="n"/>
      <c r="N1984" s="211" t="n"/>
      <c r="Q1984" s="271" t="n"/>
      <c r="R1984" s="282" t="n"/>
    </row>
    <row r="1985" ht="18" customHeight="1" s="305">
      <c r="A1985" s="8" t="n">
        <v>2891</v>
      </c>
      <c r="B1985" s="5" t="n">
        <v>129</v>
      </c>
      <c r="C1985" s="72" t="inlineStr">
        <is>
          <t>X</t>
        </is>
      </c>
      <c r="D1985" s="5" t="n">
        <v>194</v>
      </c>
      <c r="E1985" s="73">
        <f>B1985*D1985/10000</f>
        <v/>
      </c>
      <c r="F1985" s="74">
        <f>B1985/30.48</f>
        <v/>
      </c>
      <c r="G1985" s="74">
        <f>D1985/30.48</f>
        <v/>
      </c>
      <c r="H1985" s="615" t="n"/>
      <c r="N1985" s="211" t="n"/>
      <c r="Q1985" s="271" t="n"/>
      <c r="R1985" s="282" t="n"/>
    </row>
    <row r="1986" ht="18" customHeight="1" s="305">
      <c r="A1986" s="8" t="n">
        <v>2892</v>
      </c>
      <c r="B1986" s="5" t="n">
        <v>123</v>
      </c>
      <c r="C1986" s="72" t="inlineStr">
        <is>
          <t>X</t>
        </is>
      </c>
      <c r="D1986" s="5" t="n">
        <v>230</v>
      </c>
      <c r="E1986" s="73">
        <f>B1986*D1986/10000</f>
        <v/>
      </c>
      <c r="F1986" s="74">
        <f>B1986/30.48</f>
        <v/>
      </c>
      <c r="G1986" s="74">
        <f>D1986/30.48</f>
        <v/>
      </c>
      <c r="H1986" s="615" t="n"/>
      <c r="N1986" s="211" t="n"/>
      <c r="Q1986" s="271" t="n"/>
      <c r="R1986" s="282" t="n"/>
    </row>
    <row r="1987" ht="18" customHeight="1" s="305">
      <c r="A1987" s="8" t="n">
        <v>2894</v>
      </c>
      <c r="B1987" s="5" t="n">
        <v>167</v>
      </c>
      <c r="C1987" s="72" t="inlineStr">
        <is>
          <t>X</t>
        </is>
      </c>
      <c r="D1987" s="5" t="n">
        <v>262</v>
      </c>
      <c r="E1987" s="73">
        <f>B1987*D1987/10000</f>
        <v/>
      </c>
      <c r="F1987" s="74">
        <f>B1987/30.48</f>
        <v/>
      </c>
      <c r="G1987" s="74">
        <f>D1987/30.48</f>
        <v/>
      </c>
      <c r="H1987" s="615" t="n"/>
      <c r="N1987" s="211" t="n"/>
      <c r="Q1987" s="271" t="n"/>
      <c r="R1987" s="282" t="n"/>
    </row>
    <row r="1988" ht="18" customHeight="1" s="305">
      <c r="A1988" s="8" t="n">
        <v>2896</v>
      </c>
      <c r="B1988" s="5" t="n">
        <v>95</v>
      </c>
      <c r="C1988" s="72" t="inlineStr">
        <is>
          <t>X</t>
        </is>
      </c>
      <c r="D1988" s="5" t="n">
        <v>285</v>
      </c>
      <c r="E1988" s="73">
        <f>B1988*D1988/10000</f>
        <v/>
      </c>
      <c r="F1988" s="74">
        <f>B1988/30.48</f>
        <v/>
      </c>
      <c r="G1988" s="74">
        <f>D1988/30.48</f>
        <v/>
      </c>
      <c r="H1988" s="615" t="n"/>
      <c r="N1988" s="211" t="n"/>
      <c r="Q1988" s="271" t="n"/>
      <c r="R1988" s="282" t="n"/>
    </row>
    <row r="1989" ht="18" customHeight="1" s="305">
      <c r="A1989" s="8" t="n">
        <v>2897</v>
      </c>
      <c r="B1989" s="5" t="n">
        <v>200</v>
      </c>
      <c r="C1989" s="72" t="inlineStr">
        <is>
          <t>X</t>
        </is>
      </c>
      <c r="D1989" s="5" t="n">
        <v>249</v>
      </c>
      <c r="E1989" s="73">
        <f>B1989*D1989/10000</f>
        <v/>
      </c>
      <c r="F1989" s="74">
        <f>B1989/30.48</f>
        <v/>
      </c>
      <c r="G1989" s="74">
        <f>D1989/30.48</f>
        <v/>
      </c>
      <c r="H1989" s="615" t="n"/>
      <c r="N1989" s="211" t="n"/>
      <c r="Q1989" s="271" t="n"/>
      <c r="R1989" s="282" t="n"/>
    </row>
    <row r="1990" ht="18" customHeight="1" s="305">
      <c r="A1990" s="8" t="n">
        <v>2900</v>
      </c>
      <c r="B1990" s="5" t="n">
        <v>105</v>
      </c>
      <c r="C1990" s="72" t="inlineStr">
        <is>
          <t>X</t>
        </is>
      </c>
      <c r="D1990" s="5" t="n">
        <v>207</v>
      </c>
      <c r="E1990" s="73">
        <f>B1990*D1990/10000</f>
        <v/>
      </c>
      <c r="F1990" s="74">
        <f>B1990/30.48</f>
        <v/>
      </c>
      <c r="G1990" s="74">
        <f>D1990/30.48</f>
        <v/>
      </c>
      <c r="H1990" s="615" t="n"/>
      <c r="N1990" s="211" t="n"/>
      <c r="Q1990" s="271" t="n"/>
      <c r="R1990" s="282" t="n"/>
    </row>
    <row r="1991" ht="18" customHeight="1" s="305">
      <c r="A1991" s="8" t="n">
        <v>2901</v>
      </c>
      <c r="B1991" s="5" t="n">
        <v>124</v>
      </c>
      <c r="C1991" s="72" t="inlineStr">
        <is>
          <t>X</t>
        </is>
      </c>
      <c r="D1991" s="5" t="n">
        <v>188</v>
      </c>
      <c r="E1991" s="73">
        <f>B1991*D1991/10000</f>
        <v/>
      </c>
      <c r="F1991" s="74">
        <f>B1991/30.48</f>
        <v/>
      </c>
      <c r="G1991" s="74">
        <f>D1991/30.48</f>
        <v/>
      </c>
      <c r="H1991" s="615" t="n"/>
      <c r="N1991" s="211" t="n"/>
      <c r="Q1991" s="271" t="n"/>
      <c r="R1991" s="282" t="n"/>
    </row>
    <row r="1992" ht="18" customHeight="1" s="305">
      <c r="A1992" s="8" t="n">
        <v>2902</v>
      </c>
      <c r="B1992" s="5" t="n">
        <v>149</v>
      </c>
      <c r="C1992" s="72" t="inlineStr">
        <is>
          <t>X</t>
        </is>
      </c>
      <c r="D1992" s="5" t="n">
        <v>254</v>
      </c>
      <c r="E1992" s="73">
        <f>B1992*D1992/10000</f>
        <v/>
      </c>
      <c r="F1992" s="74">
        <f>B1992/30.48</f>
        <v/>
      </c>
      <c r="G1992" s="74">
        <f>D1992/30.48</f>
        <v/>
      </c>
      <c r="H1992" s="615" t="n"/>
      <c r="N1992" s="211" t="n"/>
      <c r="Q1992" s="271" t="n"/>
      <c r="R1992" s="282" t="n"/>
    </row>
    <row r="1993" ht="18" customHeight="1" s="305">
      <c r="A1993" s="8" t="n">
        <v>2904</v>
      </c>
      <c r="B1993" s="5" t="n">
        <v>207</v>
      </c>
      <c r="C1993" s="72" t="inlineStr">
        <is>
          <t>X</t>
        </is>
      </c>
      <c r="D1993" s="5" t="n">
        <v>300</v>
      </c>
      <c r="E1993" s="73">
        <f>B1993*D1993/10000</f>
        <v/>
      </c>
      <c r="F1993" s="74">
        <f>B1993/30.48</f>
        <v/>
      </c>
      <c r="G1993" s="74">
        <f>D1993/30.48</f>
        <v/>
      </c>
      <c r="H1993" s="615" t="n"/>
      <c r="N1993" s="211" t="n"/>
      <c r="Q1993" s="271" t="n"/>
      <c r="R1993" s="282" t="n"/>
    </row>
    <row r="1994" ht="18" customHeight="1" s="305">
      <c r="A1994" s="8" t="n">
        <v>2905</v>
      </c>
      <c r="B1994" s="5" t="n">
        <v>190</v>
      </c>
      <c r="C1994" s="72" t="inlineStr">
        <is>
          <t>X</t>
        </is>
      </c>
      <c r="D1994" s="5" t="n">
        <v>289</v>
      </c>
      <c r="E1994" s="73">
        <f>B1994*D1994/10000</f>
        <v/>
      </c>
      <c r="F1994" s="74">
        <f>B1994/30.48</f>
        <v/>
      </c>
      <c r="G1994" s="74">
        <f>D1994/30.48</f>
        <v/>
      </c>
      <c r="H1994" s="615" t="n"/>
      <c r="N1994" s="211" t="n"/>
      <c r="Q1994" s="271" t="n"/>
      <c r="R1994" s="282" t="n"/>
    </row>
    <row r="1995" ht="18" customHeight="1" s="305">
      <c r="A1995" s="8" t="n">
        <v>2908</v>
      </c>
      <c r="B1995" s="5" t="n">
        <v>123</v>
      </c>
      <c r="C1995" s="72" t="inlineStr">
        <is>
          <t>X</t>
        </is>
      </c>
      <c r="D1995" s="5" t="n">
        <v>203</v>
      </c>
      <c r="E1995" s="73">
        <f>B1995*D1995/10000</f>
        <v/>
      </c>
      <c r="F1995" s="74">
        <f>B1995/30.48</f>
        <v/>
      </c>
      <c r="G1995" s="74">
        <f>D1995/30.48</f>
        <v/>
      </c>
      <c r="H1995" s="615" t="n"/>
      <c r="N1995" s="211" t="n"/>
      <c r="Q1995" s="271" t="n"/>
      <c r="R1995" s="282" t="n"/>
    </row>
    <row r="1996" ht="18" customHeight="1" s="305">
      <c r="A1996" s="8" t="n">
        <v>2909</v>
      </c>
      <c r="B1996" s="5" t="n">
        <v>164</v>
      </c>
      <c r="C1996" s="72" t="inlineStr">
        <is>
          <t>X</t>
        </is>
      </c>
      <c r="D1996" s="5" t="n">
        <v>245</v>
      </c>
      <c r="E1996" s="73">
        <f>B1996*D1996/10000</f>
        <v/>
      </c>
      <c r="F1996" s="74">
        <f>B1996/30.48</f>
        <v/>
      </c>
      <c r="G1996" s="74">
        <f>D1996/30.48</f>
        <v/>
      </c>
      <c r="H1996" s="615" t="n"/>
      <c r="N1996" s="211" t="n"/>
      <c r="Q1996" s="271" t="n"/>
      <c r="R1996" s="282" t="n"/>
    </row>
    <row r="1997" ht="18" customHeight="1" s="305">
      <c r="A1997" s="8" t="n">
        <v>2910</v>
      </c>
      <c r="B1997" s="5" t="n">
        <v>84</v>
      </c>
      <c r="C1997" s="72" t="inlineStr">
        <is>
          <t>X</t>
        </is>
      </c>
      <c r="D1997" s="5" t="n">
        <v>376</v>
      </c>
      <c r="E1997" s="73">
        <f>B1997*D1997/10000</f>
        <v/>
      </c>
      <c r="F1997" s="74">
        <f>B1997/30.48</f>
        <v/>
      </c>
      <c r="G1997" s="74">
        <f>D1997/30.48</f>
        <v/>
      </c>
      <c r="H1997" s="615" t="n"/>
      <c r="N1997" s="211" t="n"/>
      <c r="Q1997" s="271" t="n"/>
      <c r="R1997" s="282" t="n"/>
    </row>
    <row r="1998" ht="18" customHeight="1" s="305">
      <c r="A1998" s="8" t="n">
        <v>2913</v>
      </c>
      <c r="B1998" s="5" t="n">
        <v>89</v>
      </c>
      <c r="C1998" s="72" t="inlineStr">
        <is>
          <t>X</t>
        </is>
      </c>
      <c r="D1998" s="5" t="n">
        <v>397</v>
      </c>
      <c r="E1998" s="73">
        <f>B1998*D1998/10000</f>
        <v/>
      </c>
      <c r="F1998" s="74">
        <f>B1998/30.48</f>
        <v/>
      </c>
      <c r="G1998" s="74">
        <f>D1998/30.48</f>
        <v/>
      </c>
      <c r="H1998" s="615" t="n"/>
      <c r="N1998" s="211" t="n"/>
      <c r="Q1998" s="271" t="n"/>
      <c r="R1998" s="282" t="n"/>
    </row>
    <row r="1999" ht="18" customHeight="1" s="305">
      <c r="A1999" s="8" t="n">
        <v>2916</v>
      </c>
      <c r="B1999" s="5" t="n">
        <v>71</v>
      </c>
      <c r="C1999" s="72" t="inlineStr">
        <is>
          <t>X</t>
        </is>
      </c>
      <c r="D1999" s="5" t="n">
        <v>115</v>
      </c>
      <c r="E1999" s="73">
        <f>B1999*D1999/10000</f>
        <v/>
      </c>
      <c r="F1999" s="74">
        <f>B1999/30.48</f>
        <v/>
      </c>
      <c r="G1999" s="74">
        <f>D1999/30.48</f>
        <v/>
      </c>
      <c r="H1999" s="615" t="n"/>
      <c r="N1999" s="211" t="n"/>
      <c r="Q1999" s="271" t="n"/>
      <c r="R1999" s="282" t="n"/>
    </row>
    <row r="2000" ht="18" customHeight="1" s="305">
      <c r="A2000" s="8" t="n">
        <v>2917</v>
      </c>
      <c r="B2000" s="5" t="n">
        <v>83</v>
      </c>
      <c r="C2000" s="72" t="inlineStr">
        <is>
          <t>X</t>
        </is>
      </c>
      <c r="D2000" s="5" t="n">
        <v>396</v>
      </c>
      <c r="E2000" s="73">
        <f>B2000*D2000/10000</f>
        <v/>
      </c>
      <c r="F2000" s="74">
        <f>B2000/30.48</f>
        <v/>
      </c>
      <c r="G2000" s="74">
        <f>D2000/30.48</f>
        <v/>
      </c>
      <c r="H2000" s="615" t="n"/>
      <c r="N2000" s="211" t="n"/>
      <c r="Q2000" s="271" t="n"/>
      <c r="R2000" s="282" t="n"/>
    </row>
    <row r="2001" ht="18" customHeight="1" s="305">
      <c r="A2001" s="8" t="n">
        <v>2920</v>
      </c>
      <c r="B2001" s="5" t="n">
        <v>83</v>
      </c>
      <c r="C2001" s="72" t="inlineStr">
        <is>
          <t>X</t>
        </is>
      </c>
      <c r="D2001" s="5" t="n">
        <v>398</v>
      </c>
      <c r="E2001" s="73">
        <f>B2001*D2001/10000</f>
        <v/>
      </c>
      <c r="F2001" s="74">
        <f>B2001/30.48</f>
        <v/>
      </c>
      <c r="G2001" s="74">
        <f>D2001/30.48</f>
        <v/>
      </c>
      <c r="H2001" s="615" t="n"/>
      <c r="N2001" s="211" t="n"/>
      <c r="Q2001" s="271" t="n"/>
      <c r="R2001" s="282" t="n"/>
    </row>
    <row r="2002" ht="18" customHeight="1" s="305">
      <c r="A2002" s="8" t="n">
        <v>2921</v>
      </c>
      <c r="B2002" s="5" t="n">
        <v>76</v>
      </c>
      <c r="C2002" s="72" t="inlineStr">
        <is>
          <t>X</t>
        </is>
      </c>
      <c r="D2002" s="5" t="n">
        <v>6</v>
      </c>
      <c r="E2002" s="73">
        <f>B2002*D2002/10000</f>
        <v/>
      </c>
      <c r="F2002" s="74">
        <f>B2002/30.48</f>
        <v/>
      </c>
      <c r="G2002" s="74">
        <f>D2002/30.48</f>
        <v/>
      </c>
      <c r="H2002" s="615" t="n"/>
      <c r="N2002" s="211" t="n"/>
      <c r="Q2002" s="271" t="n"/>
      <c r="R2002" s="282" t="n"/>
    </row>
    <row r="2003" ht="18" customHeight="1" s="305">
      <c r="A2003" s="8" t="n">
        <v>2922</v>
      </c>
      <c r="B2003" s="5" t="n">
        <v>66</v>
      </c>
      <c r="C2003" s="72" t="inlineStr">
        <is>
          <t>X</t>
        </is>
      </c>
      <c r="D2003" s="5" t="n">
        <v>98</v>
      </c>
      <c r="E2003" s="73">
        <f>B2003*D2003/10000</f>
        <v/>
      </c>
      <c r="F2003" s="74">
        <f>B2003/30.48</f>
        <v/>
      </c>
      <c r="G2003" s="74">
        <f>D2003/30.48</f>
        <v/>
      </c>
      <c r="H2003" s="615" t="n"/>
      <c r="N2003" s="211" t="n"/>
      <c r="Q2003" s="271" t="n"/>
      <c r="R2003" s="282" t="n"/>
    </row>
    <row r="2004" ht="18" customHeight="1" s="305">
      <c r="A2004" s="8" t="n">
        <v>2924</v>
      </c>
      <c r="B2004" s="5" t="n">
        <v>79</v>
      </c>
      <c r="C2004" s="72" t="inlineStr">
        <is>
          <t>X</t>
        </is>
      </c>
      <c r="D2004" s="5" t="n">
        <v>363</v>
      </c>
      <c r="E2004" s="73">
        <f>B2004*D2004/10000</f>
        <v/>
      </c>
      <c r="F2004" s="74">
        <f>B2004/30.48</f>
        <v/>
      </c>
      <c r="G2004" s="74">
        <f>D2004/30.48</f>
        <v/>
      </c>
      <c r="H2004" s="615" t="n"/>
      <c r="N2004" s="211" t="n"/>
      <c r="Q2004" s="271" t="n"/>
      <c r="R2004" s="282" t="n"/>
    </row>
    <row r="2005" ht="18" customHeight="1" s="305">
      <c r="A2005" s="8" t="n">
        <v>2926</v>
      </c>
      <c r="B2005" s="5" t="n">
        <v>77</v>
      </c>
      <c r="C2005" s="72" t="inlineStr">
        <is>
          <t>X</t>
        </is>
      </c>
      <c r="D2005" s="5" t="n">
        <v>321</v>
      </c>
      <c r="E2005" s="73">
        <f>B2005*D2005/10000</f>
        <v/>
      </c>
      <c r="F2005" s="74">
        <f>B2005/30.48</f>
        <v/>
      </c>
      <c r="G2005" s="74">
        <f>D2005/30.48</f>
        <v/>
      </c>
      <c r="H2005" s="615" t="n"/>
      <c r="N2005" s="211" t="n"/>
      <c r="Q2005" s="271" t="n"/>
      <c r="R2005" s="282" t="n"/>
    </row>
    <row r="2006" ht="18" customHeight="1" s="305">
      <c r="A2006" s="8" t="n">
        <v>2927</v>
      </c>
      <c r="B2006" s="5" t="n">
        <v>101</v>
      </c>
      <c r="C2006" s="72" t="inlineStr">
        <is>
          <t>X</t>
        </is>
      </c>
      <c r="D2006" s="5" t="n">
        <v>329</v>
      </c>
      <c r="E2006" s="73">
        <f>B2006*D2006/10000</f>
        <v/>
      </c>
      <c r="F2006" s="74">
        <f>B2006/30.48</f>
        <v/>
      </c>
      <c r="G2006" s="74">
        <f>D2006/30.48</f>
        <v/>
      </c>
      <c r="H2006" s="615" t="n"/>
      <c r="N2006" s="211" t="n"/>
      <c r="Q2006" s="271" t="n"/>
      <c r="R2006" s="282" t="n"/>
    </row>
    <row r="2007" ht="18" customHeight="1" s="305">
      <c r="A2007" s="8" t="n">
        <v>2928</v>
      </c>
      <c r="B2007" s="5" t="n">
        <v>86</v>
      </c>
      <c r="C2007" s="72" t="inlineStr">
        <is>
          <t>X</t>
        </is>
      </c>
      <c r="D2007" s="5" t="n">
        <v>285</v>
      </c>
      <c r="E2007" s="73">
        <f>B2007*D2007/10000</f>
        <v/>
      </c>
      <c r="F2007" s="74">
        <f>B2007/30.48</f>
        <v/>
      </c>
      <c r="G2007" s="74">
        <f>D2007/30.48</f>
        <v/>
      </c>
      <c r="H2007" s="615" t="n"/>
      <c r="N2007" s="211" t="n"/>
      <c r="Q2007" s="271" t="n"/>
      <c r="R2007" s="282" t="n"/>
    </row>
    <row r="2008" ht="18" customHeight="1" s="305">
      <c r="A2008" s="8" t="n">
        <v>2929</v>
      </c>
      <c r="B2008" s="5" t="n">
        <v>88</v>
      </c>
      <c r="C2008" s="72" t="inlineStr">
        <is>
          <t>X</t>
        </is>
      </c>
      <c r="D2008" s="5" t="n">
        <v>349</v>
      </c>
      <c r="E2008" s="73">
        <f>B2008*D2008/10000</f>
        <v/>
      </c>
      <c r="F2008" s="74">
        <f>B2008/30.48</f>
        <v/>
      </c>
      <c r="G2008" s="74">
        <f>D2008/30.48</f>
        <v/>
      </c>
      <c r="H2008" s="615" t="n"/>
      <c r="N2008" s="211" t="n"/>
      <c r="Q2008" s="271" t="n"/>
      <c r="R2008" s="282" t="n"/>
    </row>
    <row r="2009" ht="18" customHeight="1" s="305">
      <c r="A2009" s="8" t="n">
        <v>2930</v>
      </c>
      <c r="B2009" s="5" t="n">
        <v>80</v>
      </c>
      <c r="C2009" s="72" t="inlineStr">
        <is>
          <t>X</t>
        </is>
      </c>
      <c r="D2009" s="5" t="n">
        <v>381</v>
      </c>
      <c r="E2009" s="73">
        <f>B2009*D2009/10000</f>
        <v/>
      </c>
      <c r="F2009" s="74">
        <f>B2009/30.48</f>
        <v/>
      </c>
      <c r="G2009" s="74">
        <f>D2009/30.48</f>
        <v/>
      </c>
      <c r="H2009" s="615" t="n"/>
      <c r="N2009" s="211" t="n"/>
      <c r="Q2009" s="271" t="n"/>
      <c r="R2009" s="282" t="n"/>
    </row>
    <row r="2010" ht="18" customHeight="1" s="305">
      <c r="A2010" s="8" t="n">
        <v>2934</v>
      </c>
      <c r="B2010" s="5" t="n">
        <v>71</v>
      </c>
      <c r="C2010" s="72" t="inlineStr">
        <is>
          <t>X</t>
        </is>
      </c>
      <c r="D2010" s="5" t="n">
        <v>138</v>
      </c>
      <c r="E2010" s="73">
        <f>B2010*D2010/10000</f>
        <v/>
      </c>
      <c r="F2010" s="74">
        <f>B2010/30.48</f>
        <v/>
      </c>
      <c r="G2010" s="74">
        <f>D2010/30.48</f>
        <v/>
      </c>
      <c r="H2010" s="615" t="n"/>
      <c r="N2010" s="211" t="n"/>
      <c r="Q2010" s="271" t="n"/>
      <c r="R2010" s="282" t="n"/>
    </row>
    <row r="2011" ht="18" customHeight="1" s="305">
      <c r="A2011" s="8" t="n">
        <v>2937</v>
      </c>
      <c r="B2011" s="5" t="n">
        <v>91</v>
      </c>
      <c r="C2011" s="72" t="inlineStr">
        <is>
          <t>X</t>
        </is>
      </c>
      <c r="D2011" s="5" t="n">
        <v>389</v>
      </c>
      <c r="E2011" s="73">
        <f>B2011*D2011/10000</f>
        <v/>
      </c>
      <c r="F2011" s="74">
        <f>B2011/30.48</f>
        <v/>
      </c>
      <c r="G2011" s="74">
        <f>D2011/30.48</f>
        <v/>
      </c>
      <c r="H2011" s="615" t="n"/>
      <c r="N2011" s="211" t="n"/>
      <c r="Q2011" s="271" t="n"/>
      <c r="R2011" s="282" t="n"/>
    </row>
    <row r="2012" ht="18" customHeight="1" s="305">
      <c r="A2012" s="8" t="n">
        <v>2937</v>
      </c>
      <c r="B2012" s="5" t="n">
        <v>88</v>
      </c>
      <c r="C2012" s="72" t="inlineStr">
        <is>
          <t>X</t>
        </is>
      </c>
      <c r="D2012" s="5" t="n">
        <v>318</v>
      </c>
      <c r="E2012" s="73">
        <f>B2012*D2012/10000</f>
        <v/>
      </c>
      <c r="F2012" s="74">
        <f>B2012/30.48</f>
        <v/>
      </c>
      <c r="G2012" s="74">
        <f>D2012/30.48</f>
        <v/>
      </c>
      <c r="H2012" s="615" t="n"/>
      <c r="N2012" s="211" t="n"/>
      <c r="Q2012" s="271" t="n"/>
      <c r="R2012" s="282" t="n"/>
    </row>
    <row r="2013" ht="18" customHeight="1" s="305">
      <c r="A2013" s="8" t="n">
        <v>2943</v>
      </c>
      <c r="B2013" s="5" t="n">
        <v>88</v>
      </c>
      <c r="C2013" s="72" t="inlineStr">
        <is>
          <t>X</t>
        </is>
      </c>
      <c r="D2013" s="5" t="n">
        <v>370</v>
      </c>
      <c r="E2013" s="73">
        <f>B2013*D2013/10000</f>
        <v/>
      </c>
      <c r="F2013" s="74">
        <f>B2013/30.48</f>
        <v/>
      </c>
      <c r="G2013" s="74">
        <f>D2013/30.48</f>
        <v/>
      </c>
      <c r="H2013" s="615" t="n"/>
      <c r="N2013" s="211" t="n"/>
      <c r="Q2013" s="271" t="n"/>
      <c r="R2013" s="282" t="n"/>
    </row>
    <row r="2014" ht="18" customHeight="1" s="305">
      <c r="A2014" s="8" t="n">
        <v>2948</v>
      </c>
      <c r="B2014" s="5" t="n">
        <v>85</v>
      </c>
      <c r="C2014" s="72" t="inlineStr">
        <is>
          <t>X</t>
        </is>
      </c>
      <c r="D2014" s="5" t="n">
        <v>396</v>
      </c>
      <c r="E2014" s="73">
        <f>B2014*D2014/10000</f>
        <v/>
      </c>
      <c r="F2014" s="74">
        <f>B2014/30.48</f>
        <v/>
      </c>
      <c r="G2014" s="74">
        <f>D2014/30.48</f>
        <v/>
      </c>
      <c r="H2014" s="615" t="n"/>
      <c r="N2014" s="211" t="n"/>
      <c r="Q2014" s="271" t="n"/>
      <c r="R2014" s="282" t="n"/>
    </row>
    <row r="2015" ht="18" customHeight="1" s="305">
      <c r="A2015" s="8" t="n">
        <v>2949</v>
      </c>
      <c r="B2015" s="5" t="n">
        <v>84</v>
      </c>
      <c r="C2015" s="72" t="inlineStr">
        <is>
          <t>X</t>
        </is>
      </c>
      <c r="D2015" s="5" t="n">
        <v>480</v>
      </c>
      <c r="E2015" s="73">
        <f>B2015*D2015/10000</f>
        <v/>
      </c>
      <c r="F2015" s="74">
        <f>B2015/30.48</f>
        <v/>
      </c>
      <c r="G2015" s="74">
        <f>D2015/30.48</f>
        <v/>
      </c>
      <c r="H2015" s="615" t="n"/>
      <c r="N2015" s="211" t="n"/>
      <c r="Q2015" s="271" t="n"/>
      <c r="R2015" s="282" t="n"/>
    </row>
    <row r="2016" ht="18" customHeight="1" s="305">
      <c r="A2016" s="8" t="n">
        <v>2954</v>
      </c>
      <c r="B2016" s="5" t="n">
        <v>80</v>
      </c>
      <c r="C2016" s="72" t="inlineStr">
        <is>
          <t>X</t>
        </is>
      </c>
      <c r="D2016" s="5" t="n">
        <v>287</v>
      </c>
      <c r="E2016" s="73">
        <f>B2016*D2016/10000</f>
        <v/>
      </c>
      <c r="F2016" s="74">
        <f>B2016/30.48</f>
        <v/>
      </c>
      <c r="G2016" s="74">
        <f>D2016/30.48</f>
        <v/>
      </c>
      <c r="H2016" s="615" t="n"/>
      <c r="N2016" s="211" t="n"/>
      <c r="Q2016" s="271" t="n"/>
      <c r="R2016" s="282" t="n"/>
    </row>
    <row r="2017" ht="18" customHeight="1" s="305">
      <c r="A2017" s="8" t="n">
        <v>2956</v>
      </c>
      <c r="B2017" s="5" t="n">
        <v>88</v>
      </c>
      <c r="C2017" s="72" t="inlineStr">
        <is>
          <t>X</t>
        </is>
      </c>
      <c r="D2017" s="5" t="n">
        <v>322</v>
      </c>
      <c r="E2017" s="73">
        <f>B2017*D2017/10000</f>
        <v/>
      </c>
      <c r="F2017" s="74">
        <f>B2017/30.48</f>
        <v/>
      </c>
      <c r="G2017" s="74">
        <f>D2017/30.48</f>
        <v/>
      </c>
      <c r="H2017" s="615" t="n"/>
      <c r="N2017" s="211" t="n"/>
      <c r="Q2017" s="271" t="n"/>
      <c r="R2017" s="282" t="n"/>
    </row>
    <row r="2018" ht="18" customHeight="1" s="305">
      <c r="A2018" s="8" t="n">
        <v>2957</v>
      </c>
      <c r="B2018" s="5" t="n">
        <v>110</v>
      </c>
      <c r="C2018" s="72" t="inlineStr">
        <is>
          <t>X</t>
        </is>
      </c>
      <c r="D2018" s="5" t="n">
        <v>221</v>
      </c>
      <c r="E2018" s="73">
        <f>B2018*D2018/10000</f>
        <v/>
      </c>
      <c r="F2018" s="74">
        <f>B2018/30.48</f>
        <v/>
      </c>
      <c r="G2018" s="74">
        <f>D2018/30.48</f>
        <v/>
      </c>
      <c r="H2018" s="615" t="n"/>
      <c r="N2018" s="211" t="n"/>
      <c r="Q2018" s="271" t="n"/>
      <c r="R2018" s="282" t="n"/>
    </row>
    <row r="2019" ht="18" customHeight="1" s="305">
      <c r="A2019" s="8" t="n">
        <v>2958</v>
      </c>
      <c r="B2019" s="5" t="n">
        <v>93</v>
      </c>
      <c r="C2019" s="72" t="inlineStr">
        <is>
          <t>X</t>
        </is>
      </c>
      <c r="D2019" s="5" t="n">
        <v>341</v>
      </c>
      <c r="E2019" s="73">
        <f>B2019*D2019/10000</f>
        <v/>
      </c>
      <c r="F2019" s="74">
        <f>B2019/30.48</f>
        <v/>
      </c>
      <c r="G2019" s="74">
        <f>D2019/30.48</f>
        <v/>
      </c>
      <c r="H2019" s="615" t="n"/>
      <c r="N2019" s="211" t="n"/>
      <c r="Q2019" s="271" t="n"/>
      <c r="R2019" s="282" t="n"/>
    </row>
    <row r="2020" ht="18" customHeight="1" s="305">
      <c r="A2020" s="8" t="n">
        <v>2959</v>
      </c>
      <c r="B2020" s="5" t="n">
        <v>73</v>
      </c>
      <c r="C2020" s="72" t="inlineStr">
        <is>
          <t>X</t>
        </is>
      </c>
      <c r="D2020" s="5" t="n">
        <v>203</v>
      </c>
      <c r="E2020" s="73">
        <f>B2020*D2020/10000</f>
        <v/>
      </c>
      <c r="F2020" s="74">
        <f>B2020/30.48</f>
        <v/>
      </c>
      <c r="G2020" s="74">
        <f>D2020/30.48</f>
        <v/>
      </c>
      <c r="H2020" s="615" t="n"/>
      <c r="N2020" s="211" t="n"/>
      <c r="Q2020" s="271" t="n"/>
      <c r="R2020" s="282" t="n"/>
    </row>
    <row r="2021" ht="18" customHeight="1" s="305">
      <c r="A2021" s="8" t="n">
        <v>2960</v>
      </c>
      <c r="B2021" s="5" t="n">
        <v>72</v>
      </c>
      <c r="C2021" s="72" t="inlineStr">
        <is>
          <t>X</t>
        </is>
      </c>
      <c r="D2021" s="5" t="n">
        <v>292</v>
      </c>
      <c r="E2021" s="73">
        <f>B2021*D2021/10000</f>
        <v/>
      </c>
      <c r="F2021" s="74">
        <f>B2021/30.48</f>
        <v/>
      </c>
      <c r="G2021" s="74">
        <f>D2021/30.48</f>
        <v/>
      </c>
      <c r="H2021" s="615" t="n"/>
      <c r="N2021" s="211" t="n"/>
      <c r="Q2021" s="271" t="n"/>
      <c r="R2021" s="282" t="n"/>
    </row>
    <row r="2022" ht="18" customHeight="1" s="305">
      <c r="A2022" s="8" t="n">
        <v>2963</v>
      </c>
      <c r="B2022" s="5" t="n">
        <v>78</v>
      </c>
      <c r="C2022" s="72" t="inlineStr">
        <is>
          <t>X</t>
        </is>
      </c>
      <c r="D2022" s="5" t="n">
        <v>299</v>
      </c>
      <c r="E2022" s="73">
        <f>B2022*D2022/10000</f>
        <v/>
      </c>
      <c r="F2022" s="74">
        <f>B2022/30.48</f>
        <v/>
      </c>
      <c r="G2022" s="74">
        <f>D2022/30.48</f>
        <v/>
      </c>
      <c r="H2022" s="615" t="n"/>
      <c r="N2022" s="211" t="n"/>
      <c r="Q2022" s="271" t="n"/>
      <c r="R2022" s="282" t="n"/>
    </row>
    <row r="2023" ht="18" customHeight="1" s="305">
      <c r="A2023" s="8" t="n">
        <v>2965</v>
      </c>
      <c r="B2023" s="5" t="n">
        <v>84</v>
      </c>
      <c r="C2023" s="72" t="inlineStr">
        <is>
          <t>X</t>
        </is>
      </c>
      <c r="D2023" s="5" t="n">
        <v>385</v>
      </c>
      <c r="E2023" s="73">
        <f>B2023*D2023/10000</f>
        <v/>
      </c>
      <c r="F2023" s="74">
        <f>B2023/30.48</f>
        <v/>
      </c>
      <c r="G2023" s="74">
        <f>D2023/30.48</f>
        <v/>
      </c>
      <c r="H2023" s="615" t="n"/>
      <c r="N2023" s="211" t="n"/>
      <c r="Q2023" s="271" t="n"/>
      <c r="R2023" s="282" t="n"/>
    </row>
    <row r="2024" ht="18" customHeight="1" s="305">
      <c r="A2024" s="8" t="n">
        <v>2966</v>
      </c>
      <c r="B2024" s="5" t="n">
        <v>65</v>
      </c>
      <c r="C2024" s="72" t="inlineStr">
        <is>
          <t>X</t>
        </is>
      </c>
      <c r="D2024" s="5" t="n">
        <v>244</v>
      </c>
      <c r="E2024" s="73">
        <f>B2024*D2024/10000</f>
        <v/>
      </c>
      <c r="F2024" s="74">
        <f>B2024/30.48</f>
        <v/>
      </c>
      <c r="G2024" s="74">
        <f>D2024/30.48</f>
        <v/>
      </c>
      <c r="H2024" s="615" t="n"/>
      <c r="N2024" s="211" t="n"/>
      <c r="Q2024" s="271" t="n"/>
      <c r="R2024" s="282" t="n"/>
    </row>
    <row r="2025" ht="18" customHeight="1" s="305">
      <c r="A2025" s="8" t="n">
        <v>2968</v>
      </c>
      <c r="B2025" s="5" t="n">
        <v>88</v>
      </c>
      <c r="C2025" s="72" t="inlineStr">
        <is>
          <t>X</t>
        </is>
      </c>
      <c r="D2025" s="5" t="n">
        <v>377</v>
      </c>
      <c r="E2025" s="73">
        <f>B2025*D2025/10000</f>
        <v/>
      </c>
      <c r="F2025" s="74">
        <f>B2025/30.48</f>
        <v/>
      </c>
      <c r="G2025" s="74">
        <f>D2025/30.48</f>
        <v/>
      </c>
      <c r="H2025" s="615" t="n"/>
      <c r="N2025" s="211" t="n"/>
      <c r="Q2025" s="271" t="n"/>
      <c r="R2025" s="282" t="n"/>
    </row>
    <row r="2026" ht="18" customHeight="1" s="305">
      <c r="A2026" s="8" t="n">
        <v>2971</v>
      </c>
      <c r="B2026" s="5" t="n">
        <v>51</v>
      </c>
      <c r="C2026" s="72" t="inlineStr">
        <is>
          <t>X</t>
        </is>
      </c>
      <c r="D2026" s="5" t="n">
        <v>166</v>
      </c>
      <c r="E2026" s="73">
        <f>B2026*D2026/10000</f>
        <v/>
      </c>
      <c r="F2026" s="74">
        <f>B2026/30.48</f>
        <v/>
      </c>
      <c r="G2026" s="74">
        <f>D2026/30.48</f>
        <v/>
      </c>
      <c r="H2026" s="615" t="n"/>
      <c r="N2026" s="211" t="n"/>
      <c r="Q2026" s="271" t="n"/>
      <c r="R2026" s="282" t="n"/>
    </row>
    <row r="2027" ht="18" customHeight="1" s="305">
      <c r="A2027" s="8" t="n">
        <v>2977</v>
      </c>
      <c r="B2027" s="5" t="n">
        <v>90</v>
      </c>
      <c r="C2027" s="72" t="inlineStr">
        <is>
          <t>X</t>
        </is>
      </c>
      <c r="D2027" s="5" t="n">
        <v>376</v>
      </c>
      <c r="E2027" s="73">
        <f>B2027*D2027/10000</f>
        <v/>
      </c>
      <c r="F2027" s="74">
        <f>B2027/30.48</f>
        <v/>
      </c>
      <c r="G2027" s="74">
        <f>D2027/30.48</f>
        <v/>
      </c>
      <c r="H2027" s="615" t="n"/>
      <c r="N2027" s="211" t="n"/>
      <c r="Q2027" s="271" t="n"/>
      <c r="R2027" s="282" t="n"/>
    </row>
    <row r="2028" ht="18" customHeight="1" s="305">
      <c r="A2028" s="8" t="n">
        <v>2979</v>
      </c>
      <c r="B2028" s="5" t="n">
        <v>81</v>
      </c>
      <c r="C2028" s="72" t="inlineStr">
        <is>
          <t>X</t>
        </is>
      </c>
      <c r="D2028" s="5" t="n">
        <v>398</v>
      </c>
      <c r="E2028" s="73">
        <f>B2028*D2028/10000</f>
        <v/>
      </c>
      <c r="F2028" s="74">
        <f>B2028/30.48</f>
        <v/>
      </c>
      <c r="G2028" s="74">
        <f>D2028/30.48</f>
        <v/>
      </c>
      <c r="H2028" s="615" t="n"/>
      <c r="N2028" s="211" t="n"/>
      <c r="Q2028" s="271" t="n"/>
      <c r="R2028" s="282" t="n"/>
    </row>
    <row r="2029" ht="18" customHeight="1" s="305">
      <c r="A2029" s="8" t="n">
        <v>2981</v>
      </c>
      <c r="B2029" s="5" t="n">
        <v>168</v>
      </c>
      <c r="C2029" s="72" t="inlineStr">
        <is>
          <t>X</t>
        </is>
      </c>
      <c r="D2029" s="5" t="n">
        <v>283</v>
      </c>
      <c r="E2029" s="73">
        <f>B2029*D2029/10000</f>
        <v/>
      </c>
      <c r="F2029" s="74">
        <f>B2029/30.48</f>
        <v/>
      </c>
      <c r="G2029" s="74">
        <f>D2029/30.48</f>
        <v/>
      </c>
      <c r="H2029" s="615" t="n"/>
      <c r="N2029" s="211" t="n"/>
      <c r="Q2029" s="271" t="n"/>
      <c r="R2029" s="282" t="n"/>
    </row>
    <row r="2030" ht="18" customHeight="1" s="305">
      <c r="A2030" s="8" t="n">
        <v>2983</v>
      </c>
      <c r="B2030" s="5" t="n">
        <v>83</v>
      </c>
      <c r="C2030" s="72" t="inlineStr">
        <is>
          <t>X</t>
        </is>
      </c>
      <c r="D2030" s="5" t="n">
        <v>393</v>
      </c>
      <c r="E2030" s="73">
        <f>B2030*D2030/10000</f>
        <v/>
      </c>
      <c r="F2030" s="74">
        <f>B2030/30.48</f>
        <v/>
      </c>
      <c r="G2030" s="74">
        <f>D2030/30.48</f>
        <v/>
      </c>
      <c r="H2030" s="615" t="n"/>
      <c r="N2030" s="211" t="n"/>
      <c r="Q2030" s="271" t="n"/>
      <c r="R2030" s="282" t="n"/>
    </row>
    <row r="2031" ht="18" customHeight="1" s="305">
      <c r="A2031" s="8" t="n">
        <v>2984</v>
      </c>
      <c r="B2031" s="5" t="n">
        <v>75</v>
      </c>
      <c r="C2031" s="72" t="inlineStr">
        <is>
          <t>X</t>
        </is>
      </c>
      <c r="D2031" s="5" t="n">
        <v>325</v>
      </c>
      <c r="E2031" s="73">
        <f>B2031*D2031/10000</f>
        <v/>
      </c>
      <c r="F2031" s="74">
        <f>B2031/30.48</f>
        <v/>
      </c>
      <c r="G2031" s="74">
        <f>D2031/30.48</f>
        <v/>
      </c>
      <c r="H2031" s="615" t="n"/>
      <c r="N2031" s="211" t="n"/>
      <c r="Q2031" s="271" t="n"/>
      <c r="R2031" s="282" t="n"/>
    </row>
    <row r="2032" ht="18" customHeight="1" s="305">
      <c r="A2032" s="8" t="n">
        <v>2985</v>
      </c>
      <c r="B2032" s="5" t="n">
        <v>81</v>
      </c>
      <c r="C2032" s="72" t="inlineStr">
        <is>
          <t>X</t>
        </is>
      </c>
      <c r="D2032" s="5" t="n">
        <v>353</v>
      </c>
      <c r="E2032" s="73">
        <f>B2032*D2032/10000</f>
        <v/>
      </c>
      <c r="F2032" s="74">
        <f>B2032/30.48</f>
        <v/>
      </c>
      <c r="G2032" s="74">
        <f>D2032/30.48</f>
        <v/>
      </c>
      <c r="H2032" s="615" t="n"/>
      <c r="N2032" s="211" t="n"/>
      <c r="P2032" s="261" t="inlineStr">
        <is>
          <t>wvn</t>
        </is>
      </c>
      <c r="Q2032" s="271" t="n"/>
      <c r="R2032" s="282" t="inlineStr">
        <is>
          <t>wvn</t>
        </is>
      </c>
    </row>
    <row r="2033" ht="18" customHeight="1" s="305">
      <c r="A2033" s="8" t="n">
        <v>2986</v>
      </c>
      <c r="B2033" s="5" t="n">
        <v>75</v>
      </c>
      <c r="C2033" s="72" t="inlineStr">
        <is>
          <t>X</t>
        </is>
      </c>
      <c r="D2033" s="5" t="n">
        <v>141</v>
      </c>
      <c r="E2033" s="73">
        <f>B2033*D2033/10000</f>
        <v/>
      </c>
      <c r="F2033" s="74">
        <f>B2033/30.48</f>
        <v/>
      </c>
      <c r="G2033" s="74">
        <f>D2033/30.48</f>
        <v/>
      </c>
      <c r="H2033" s="615" t="n"/>
      <c r="N2033" s="211" t="n"/>
      <c r="Q2033" s="271" t="n"/>
      <c r="R2033" s="282" t="n"/>
    </row>
    <row r="2034" ht="18" customHeight="1" s="305">
      <c r="A2034" s="8" t="n">
        <v>2987</v>
      </c>
      <c r="B2034" s="5" t="n">
        <v>73</v>
      </c>
      <c r="C2034" s="72" t="inlineStr">
        <is>
          <t>X</t>
        </is>
      </c>
      <c r="D2034" s="5" t="n">
        <v>159</v>
      </c>
      <c r="E2034" s="73">
        <f>B2034*D2034/10000</f>
        <v/>
      </c>
      <c r="F2034" s="74">
        <f>B2034/30.48</f>
        <v/>
      </c>
      <c r="G2034" s="74">
        <f>D2034/30.48</f>
        <v/>
      </c>
      <c r="H2034" s="615" t="n"/>
      <c r="N2034" s="211" t="n"/>
      <c r="Q2034" s="271" t="n"/>
      <c r="R2034" s="282" t="n"/>
    </row>
    <row r="2035" ht="18" customHeight="1" s="305">
      <c r="A2035" s="8" t="n">
        <v>2990</v>
      </c>
      <c r="B2035" s="5" t="n">
        <v>90</v>
      </c>
      <c r="C2035" s="72" t="inlineStr">
        <is>
          <t>X</t>
        </is>
      </c>
      <c r="D2035" s="5" t="n">
        <v>400</v>
      </c>
      <c r="E2035" s="73">
        <f>B2035*D2035/10000</f>
        <v/>
      </c>
      <c r="F2035" s="74">
        <f>B2035/30.48</f>
        <v/>
      </c>
      <c r="G2035" s="74">
        <f>D2035/30.48</f>
        <v/>
      </c>
      <c r="H2035" s="615" t="n"/>
      <c r="N2035" s="211" t="n"/>
      <c r="Q2035" s="271" t="n"/>
      <c r="R2035" s="282" t="n"/>
    </row>
    <row r="2036" ht="18" customHeight="1" s="305">
      <c r="A2036" s="8" t="n">
        <v>2992</v>
      </c>
      <c r="B2036" s="5" t="n">
        <v>200</v>
      </c>
      <c r="C2036" s="72" t="inlineStr">
        <is>
          <t>X</t>
        </is>
      </c>
      <c r="D2036" s="5" t="n">
        <v>307</v>
      </c>
      <c r="E2036" s="73">
        <f>B2036*D2036/10000</f>
        <v/>
      </c>
      <c r="F2036" s="74">
        <f>B2036/30.48</f>
        <v/>
      </c>
      <c r="G2036" s="74">
        <f>D2036/30.48</f>
        <v/>
      </c>
      <c r="H2036" s="615" t="n"/>
      <c r="N2036" s="211" t="n"/>
      <c r="Q2036" s="271" t="n"/>
      <c r="R2036" s="282" t="n"/>
    </row>
    <row r="2037" ht="18" customHeight="1" s="305">
      <c r="A2037" s="8" t="n">
        <v>2993</v>
      </c>
      <c r="B2037" s="5" t="n">
        <v>77</v>
      </c>
      <c r="C2037" s="72" t="inlineStr">
        <is>
          <t>X</t>
        </is>
      </c>
      <c r="D2037" s="5" t="n">
        <v>286</v>
      </c>
      <c r="E2037" s="73">
        <f>B2037*D2037/10000</f>
        <v/>
      </c>
      <c r="F2037" s="74">
        <f>B2037/30.48</f>
        <v/>
      </c>
      <c r="G2037" s="74">
        <f>D2037/30.48</f>
        <v/>
      </c>
      <c r="H2037" s="615" t="n"/>
      <c r="N2037" s="211" t="n"/>
      <c r="Q2037" s="271" t="n"/>
      <c r="R2037" s="282" t="n"/>
    </row>
    <row r="2038" ht="18" customHeight="1" s="305">
      <c r="A2038" s="8" t="n">
        <v>2995</v>
      </c>
      <c r="B2038" s="5" t="n">
        <v>85</v>
      </c>
      <c r="C2038" s="72" t="inlineStr">
        <is>
          <t>X</t>
        </is>
      </c>
      <c r="D2038" s="5" t="n">
        <v>275</v>
      </c>
      <c r="E2038" s="73">
        <f>B2038*D2038/10000</f>
        <v/>
      </c>
      <c r="F2038" s="74">
        <f>B2038/30.48</f>
        <v/>
      </c>
      <c r="G2038" s="74">
        <f>D2038/30.48</f>
        <v/>
      </c>
      <c r="H2038" s="615" t="n"/>
      <c r="N2038" s="211" t="n"/>
      <c r="Q2038" s="271" t="n"/>
      <c r="R2038" s="282" t="n"/>
    </row>
    <row r="2039" ht="18" customHeight="1" s="305">
      <c r="A2039" s="8" t="n">
        <v>2998</v>
      </c>
      <c r="B2039" s="5" t="n">
        <v>119</v>
      </c>
      <c r="C2039" s="72" t="inlineStr">
        <is>
          <t>X</t>
        </is>
      </c>
      <c r="D2039" s="5" t="n">
        <v>192</v>
      </c>
      <c r="E2039" s="73">
        <f>B2039*D2039/10000</f>
        <v/>
      </c>
      <c r="F2039" s="74">
        <f>B2039/30.48</f>
        <v/>
      </c>
      <c r="G2039" s="74">
        <f>D2039/30.48</f>
        <v/>
      </c>
      <c r="H2039" s="615" t="n"/>
      <c r="N2039" s="211" t="n"/>
      <c r="Q2039" s="271" t="n"/>
      <c r="R2039" s="282" t="n"/>
    </row>
    <row r="2040" ht="18" customHeight="1" s="305">
      <c r="A2040" s="8" t="n">
        <v>3000</v>
      </c>
      <c r="B2040" s="5" t="n">
        <v>109</v>
      </c>
      <c r="C2040" s="72" t="inlineStr">
        <is>
          <t>X</t>
        </is>
      </c>
      <c r="D2040" s="5" t="n">
        <v>153</v>
      </c>
      <c r="E2040" s="73">
        <f>B2040*D2040/10000</f>
        <v/>
      </c>
      <c r="F2040" s="74">
        <f>B2040/30.48</f>
        <v/>
      </c>
      <c r="G2040" s="74">
        <f>D2040/30.48</f>
        <v/>
      </c>
      <c r="H2040" s="615" t="n"/>
      <c r="N2040" s="211" t="n"/>
      <c r="Q2040" s="271" t="n"/>
      <c r="R2040" s="282" t="n"/>
    </row>
    <row r="2041" ht="18" customHeight="1" s="305">
      <c r="A2041" s="8" t="n">
        <v>3003</v>
      </c>
      <c r="B2041" s="5" t="n">
        <v>71</v>
      </c>
      <c r="C2041" s="72" t="inlineStr">
        <is>
          <t>X</t>
        </is>
      </c>
      <c r="D2041" s="5" t="n">
        <v>293</v>
      </c>
      <c r="E2041" s="73">
        <f>B2041*D2041/10000</f>
        <v/>
      </c>
      <c r="F2041" s="74">
        <f>B2041/30.48</f>
        <v/>
      </c>
      <c r="G2041" s="74">
        <f>D2041/30.48</f>
        <v/>
      </c>
      <c r="H2041" s="615" t="n"/>
      <c r="N2041" s="211" t="n"/>
      <c r="Q2041" s="271" t="n"/>
      <c r="R2041" s="282" t="n"/>
    </row>
    <row r="2042" ht="18" customHeight="1" s="305">
      <c r="A2042" s="8" t="n">
        <v>3004</v>
      </c>
      <c r="B2042" s="5" t="n">
        <v>83</v>
      </c>
      <c r="C2042" s="72" t="inlineStr">
        <is>
          <t>X</t>
        </is>
      </c>
      <c r="D2042" s="5" t="n">
        <v>272</v>
      </c>
      <c r="E2042" s="73">
        <f>B2042*D2042/10000</f>
        <v/>
      </c>
      <c r="F2042" s="74">
        <f>B2042/30.48</f>
        <v/>
      </c>
      <c r="G2042" s="74">
        <f>D2042/30.48</f>
        <v/>
      </c>
      <c r="H2042" s="615" t="n"/>
      <c r="N2042" s="211" t="n"/>
      <c r="Q2042" s="271" t="n"/>
      <c r="R2042" s="282" t="n"/>
    </row>
    <row r="2043" ht="18" customHeight="1" s="305">
      <c r="A2043" s="8" t="n">
        <v>3005</v>
      </c>
      <c r="B2043" s="5" t="n">
        <v>111</v>
      </c>
      <c r="C2043" s="72" t="inlineStr">
        <is>
          <t>X</t>
        </is>
      </c>
      <c r="D2043" s="5" t="n">
        <v>203</v>
      </c>
      <c r="E2043" s="73">
        <f>B2043*D2043/10000</f>
        <v/>
      </c>
      <c r="F2043" s="74">
        <f>B2043/30.48</f>
        <v/>
      </c>
      <c r="G2043" s="74">
        <f>D2043/30.48</f>
        <v/>
      </c>
      <c r="H2043" s="615" t="n"/>
      <c r="N2043" s="211" t="n"/>
      <c r="Q2043" s="271" t="n"/>
      <c r="R2043" s="282" t="n"/>
    </row>
    <row r="2044" ht="18" customHeight="1" s="305">
      <c r="A2044" s="8" t="n">
        <v>3006</v>
      </c>
      <c r="B2044" s="5" t="n">
        <v>120</v>
      </c>
      <c r="C2044" s="72" t="inlineStr">
        <is>
          <t>X</t>
        </is>
      </c>
      <c r="D2044" s="5" t="n">
        <v>195</v>
      </c>
      <c r="E2044" s="73">
        <f>B2044*D2044/10000</f>
        <v/>
      </c>
      <c r="F2044" s="74">
        <f>B2044/30.48</f>
        <v/>
      </c>
      <c r="G2044" s="74">
        <f>D2044/30.48</f>
        <v/>
      </c>
      <c r="H2044" s="615" t="n"/>
      <c r="N2044" s="211" t="n"/>
      <c r="Q2044" s="271" t="n"/>
      <c r="R2044" s="282" t="n"/>
    </row>
    <row r="2045" ht="18" customHeight="1" s="305">
      <c r="A2045" s="8" t="n">
        <v>3008</v>
      </c>
      <c r="B2045" s="5" t="n">
        <v>82</v>
      </c>
      <c r="C2045" s="72" t="inlineStr">
        <is>
          <t>X</t>
        </is>
      </c>
      <c r="D2045" s="5" t="n">
        <v>263</v>
      </c>
      <c r="E2045" s="73">
        <f>B2045*D2045/10000</f>
        <v/>
      </c>
      <c r="F2045" s="74">
        <f>B2045/30.48</f>
        <v/>
      </c>
      <c r="G2045" s="74">
        <f>D2045/30.48</f>
        <v/>
      </c>
      <c r="H2045" s="615" t="n"/>
      <c r="N2045" s="211" t="n"/>
      <c r="Q2045" s="271" t="n"/>
      <c r="R2045" s="282" t="n"/>
    </row>
    <row r="2046" ht="18" customHeight="1" s="305">
      <c r="A2046" s="8" t="n">
        <v>3009</v>
      </c>
      <c r="B2046" s="5" t="n">
        <v>80</v>
      </c>
      <c r="C2046" s="72" t="inlineStr">
        <is>
          <t>X</t>
        </is>
      </c>
      <c r="D2046" s="5" t="n">
        <v>221</v>
      </c>
      <c r="E2046" s="73">
        <f>B2046*D2046/10000</f>
        <v/>
      </c>
      <c r="F2046" s="74">
        <f>B2046/30.48</f>
        <v/>
      </c>
      <c r="G2046" s="74">
        <f>D2046/30.48</f>
        <v/>
      </c>
      <c r="H2046" s="615" t="n"/>
      <c r="N2046" s="211" t="n"/>
      <c r="Q2046" s="271" t="n"/>
      <c r="R2046" s="282" t="n"/>
    </row>
    <row r="2047" ht="18" customHeight="1" s="305">
      <c r="A2047" s="8" t="n">
        <v>3010</v>
      </c>
      <c r="B2047" s="5" t="n">
        <v>85</v>
      </c>
      <c r="C2047" s="72" t="inlineStr">
        <is>
          <t>X</t>
        </is>
      </c>
      <c r="D2047" s="5" t="n">
        <v>281</v>
      </c>
      <c r="E2047" s="73">
        <f>B2047*D2047/10000</f>
        <v/>
      </c>
      <c r="F2047" s="74">
        <f>B2047/30.48</f>
        <v/>
      </c>
      <c r="G2047" s="74">
        <f>D2047/30.48</f>
        <v/>
      </c>
      <c r="H2047" s="615" t="n"/>
      <c r="N2047" s="211" t="n"/>
      <c r="Q2047" s="271" t="n"/>
      <c r="R2047" s="282" t="n"/>
    </row>
    <row r="2048" ht="18" customHeight="1" s="305">
      <c r="A2048" s="8" t="n">
        <v>3013</v>
      </c>
      <c r="B2048" s="5" t="n">
        <v>122</v>
      </c>
      <c r="C2048" s="72" t="inlineStr">
        <is>
          <t>X</t>
        </is>
      </c>
      <c r="D2048" s="5" t="n">
        <v>172</v>
      </c>
      <c r="E2048" s="73">
        <f>B2048*D2048/10000</f>
        <v/>
      </c>
      <c r="F2048" s="74">
        <f>B2048/30.48</f>
        <v/>
      </c>
      <c r="G2048" s="74">
        <f>D2048/30.48</f>
        <v/>
      </c>
      <c r="H2048" s="615" t="n"/>
      <c r="N2048" s="211" t="n"/>
      <c r="Q2048" s="271" t="n"/>
      <c r="R2048" s="282" t="n"/>
    </row>
    <row r="2049" ht="18" customHeight="1" s="305">
      <c r="A2049" s="8" t="n">
        <v>3014</v>
      </c>
      <c r="B2049" s="5" t="n">
        <v>95</v>
      </c>
      <c r="C2049" s="72" t="inlineStr">
        <is>
          <t>X</t>
        </is>
      </c>
      <c r="D2049" s="5" t="n">
        <v>185</v>
      </c>
      <c r="E2049" s="73">
        <f>B2049*D2049/10000</f>
        <v/>
      </c>
      <c r="F2049" s="74">
        <f>B2049/30.48</f>
        <v/>
      </c>
      <c r="G2049" s="74">
        <f>D2049/30.48</f>
        <v/>
      </c>
      <c r="H2049" s="615" t="n"/>
      <c r="N2049" s="211" t="n"/>
      <c r="Q2049" s="271" t="n"/>
      <c r="R2049" s="282" t="n"/>
    </row>
    <row r="2050" ht="18" customHeight="1" s="305">
      <c r="A2050" s="8" t="n">
        <v>3015</v>
      </c>
      <c r="B2050" s="5" t="n">
        <v>123</v>
      </c>
      <c r="C2050" s="72" t="inlineStr">
        <is>
          <t>X</t>
        </is>
      </c>
      <c r="D2050" s="5" t="n">
        <v>136</v>
      </c>
      <c r="E2050" s="73">
        <f>B2050*D2050/10000</f>
        <v/>
      </c>
      <c r="F2050" s="74">
        <f>B2050/30.48</f>
        <v/>
      </c>
      <c r="G2050" s="74">
        <f>D2050/30.48</f>
        <v/>
      </c>
      <c r="H2050" s="615" t="n"/>
      <c r="N2050" s="211" t="n"/>
      <c r="Q2050" s="271" t="n"/>
      <c r="R2050" s="282" t="n"/>
    </row>
    <row r="2051" ht="18" customHeight="1" s="305">
      <c r="A2051" s="8" t="n">
        <v>3016</v>
      </c>
      <c r="B2051" s="5" t="n">
        <v>123</v>
      </c>
      <c r="C2051" s="72" t="inlineStr">
        <is>
          <t>X</t>
        </is>
      </c>
      <c r="D2051" s="5" t="n">
        <v>192</v>
      </c>
      <c r="E2051" s="73">
        <f>B2051*D2051/10000</f>
        <v/>
      </c>
      <c r="F2051" s="74">
        <f>B2051/30.48</f>
        <v/>
      </c>
      <c r="G2051" s="74">
        <f>D2051/30.48</f>
        <v/>
      </c>
      <c r="H2051" s="615" t="n"/>
      <c r="N2051" s="211" t="n"/>
      <c r="Q2051" s="271" t="n"/>
      <c r="R2051" s="282" t="n"/>
    </row>
    <row r="2052" ht="18" customHeight="1" s="305">
      <c r="A2052" s="8" t="n">
        <v>3017</v>
      </c>
      <c r="B2052" s="5" t="n">
        <v>124</v>
      </c>
      <c r="C2052" s="72" t="inlineStr">
        <is>
          <t>X</t>
        </is>
      </c>
      <c r="D2052" s="5" t="n">
        <v>190</v>
      </c>
      <c r="E2052" s="73">
        <f>B2052*D2052/10000</f>
        <v/>
      </c>
      <c r="F2052" s="74">
        <f>B2052/30.48</f>
        <v/>
      </c>
      <c r="G2052" s="74">
        <f>D2052/30.48</f>
        <v/>
      </c>
      <c r="H2052" s="615" t="n"/>
      <c r="N2052" s="211" t="n"/>
      <c r="Q2052" s="271" t="n"/>
      <c r="R2052" s="282" t="n"/>
    </row>
    <row r="2053" ht="18" customHeight="1" s="305">
      <c r="A2053" s="8" t="n">
        <v>3018</v>
      </c>
      <c r="B2053" s="5" t="n">
        <v>167</v>
      </c>
      <c r="C2053" s="72" t="inlineStr">
        <is>
          <t>X</t>
        </is>
      </c>
      <c r="D2053" s="5" t="n">
        <v>276</v>
      </c>
      <c r="E2053" s="73">
        <f>B2053*D2053/10000</f>
        <v/>
      </c>
      <c r="F2053" s="74">
        <f>B2053/30.48</f>
        <v/>
      </c>
      <c r="G2053" s="74">
        <f>D2053/30.48</f>
        <v/>
      </c>
      <c r="H2053" s="615" t="n"/>
      <c r="N2053" s="211" t="n"/>
      <c r="Q2053" s="271" t="n"/>
      <c r="R2053" s="282" t="n"/>
    </row>
    <row r="2054" ht="18" customHeight="1" s="305">
      <c r="A2054" s="8" t="n">
        <v>3019</v>
      </c>
      <c r="B2054" s="5" t="n">
        <v>119</v>
      </c>
      <c r="C2054" s="72" t="inlineStr">
        <is>
          <t>X</t>
        </is>
      </c>
      <c r="D2054" s="5" t="n">
        <v>211</v>
      </c>
      <c r="E2054" s="73">
        <f>B2054*D2054/10000</f>
        <v/>
      </c>
      <c r="F2054" s="74">
        <f>B2054/30.48</f>
        <v/>
      </c>
      <c r="G2054" s="74">
        <f>D2054/30.48</f>
        <v/>
      </c>
      <c r="H2054" s="615" t="n"/>
      <c r="N2054" s="211" t="n"/>
      <c r="Q2054" s="271" t="n"/>
      <c r="R2054" s="282" t="n"/>
    </row>
    <row r="2055" ht="18" customHeight="1" s="305">
      <c r="A2055" s="8" t="n">
        <v>3020</v>
      </c>
      <c r="B2055" s="5" t="n">
        <v>80</v>
      </c>
      <c r="C2055" s="72" t="inlineStr">
        <is>
          <t>X</t>
        </is>
      </c>
      <c r="D2055" s="5" t="n">
        <v>277</v>
      </c>
      <c r="E2055" s="73">
        <f>B2055*D2055/10000</f>
        <v/>
      </c>
      <c r="F2055" s="74">
        <f>B2055/30.48</f>
        <v/>
      </c>
      <c r="G2055" s="74">
        <f>D2055/30.48</f>
        <v/>
      </c>
      <c r="H2055" s="615" t="n"/>
      <c r="N2055" s="211" t="n"/>
      <c r="Q2055" s="271" t="n"/>
      <c r="R2055" s="282" t="n"/>
    </row>
    <row r="2056" ht="18" customHeight="1" s="305">
      <c r="A2056" s="8" t="n">
        <v>3021</v>
      </c>
      <c r="B2056" s="5" t="n">
        <v>78</v>
      </c>
      <c r="C2056" s="72" t="inlineStr">
        <is>
          <t>X</t>
        </is>
      </c>
      <c r="D2056" s="5" t="n">
        <v>340</v>
      </c>
      <c r="E2056" s="73">
        <f>B2056*D2056/10000</f>
        <v/>
      </c>
      <c r="F2056" s="74">
        <f>B2056/30.48</f>
        <v/>
      </c>
      <c r="G2056" s="74">
        <f>D2056/30.48</f>
        <v/>
      </c>
      <c r="H2056" s="615" t="n"/>
      <c r="N2056" s="211" t="n"/>
      <c r="Q2056" s="271" t="n"/>
      <c r="R2056" s="282" t="n"/>
    </row>
    <row r="2057" ht="18" customHeight="1" s="305">
      <c r="A2057" s="8" t="n">
        <v>3022</v>
      </c>
      <c r="B2057" s="5" t="n">
        <v>83</v>
      </c>
      <c r="C2057" s="72" t="inlineStr">
        <is>
          <t>X</t>
        </is>
      </c>
      <c r="D2057" s="5" t="n">
        <v>276</v>
      </c>
      <c r="E2057" s="73">
        <f>B2057*D2057/10000</f>
        <v/>
      </c>
      <c r="F2057" s="74">
        <f>B2057/30.48</f>
        <v/>
      </c>
      <c r="G2057" s="74">
        <f>D2057/30.48</f>
        <v/>
      </c>
      <c r="H2057" s="615" t="n"/>
      <c r="N2057" s="211" t="n"/>
      <c r="Q2057" s="271" t="n"/>
      <c r="R2057" s="282" t="n"/>
    </row>
    <row r="2058" ht="18" customHeight="1" s="305">
      <c r="A2058" s="8" t="n">
        <v>3023</v>
      </c>
      <c r="B2058" s="5" t="n">
        <v>82</v>
      </c>
      <c r="C2058" s="72" t="inlineStr">
        <is>
          <t>X</t>
        </is>
      </c>
      <c r="D2058" s="5" t="n">
        <v>282</v>
      </c>
      <c r="E2058" s="73">
        <f>B2058*D2058/10000</f>
        <v/>
      </c>
      <c r="F2058" s="74">
        <f>B2058/30.48</f>
        <v/>
      </c>
      <c r="G2058" s="74">
        <f>D2058/30.48</f>
        <v/>
      </c>
      <c r="H2058" s="615" t="n"/>
      <c r="N2058" s="211" t="n"/>
      <c r="Q2058" s="271" t="n"/>
      <c r="R2058" s="282" t="n"/>
    </row>
    <row r="2059" ht="18" customHeight="1" s="305">
      <c r="A2059" s="8" t="n">
        <v>3024</v>
      </c>
      <c r="B2059" s="5" t="n">
        <v>76</v>
      </c>
      <c r="C2059" s="72" t="inlineStr">
        <is>
          <t>X</t>
        </is>
      </c>
      <c r="D2059" s="5" t="n">
        <v>288</v>
      </c>
      <c r="E2059" s="73">
        <f>B2059*D2059/10000</f>
        <v/>
      </c>
      <c r="F2059" s="74">
        <f>B2059/30.48</f>
        <v/>
      </c>
      <c r="G2059" s="74">
        <f>D2059/30.48</f>
        <v/>
      </c>
      <c r="H2059" s="615" t="n"/>
      <c r="N2059" s="211" t="n"/>
      <c r="Q2059" s="271" t="n"/>
      <c r="R2059" s="282" t="n"/>
    </row>
    <row r="2060" ht="18" customHeight="1" s="305">
      <c r="A2060" s="8" t="n">
        <v>3025</v>
      </c>
      <c r="B2060" s="5" t="n">
        <v>91</v>
      </c>
      <c r="C2060" s="72" t="inlineStr">
        <is>
          <t>X</t>
        </is>
      </c>
      <c r="D2060" s="5" t="n">
        <v>394</v>
      </c>
      <c r="E2060" s="73">
        <f>B2060*D2060/10000</f>
        <v/>
      </c>
      <c r="F2060" s="74">
        <f>B2060/30.48</f>
        <v/>
      </c>
      <c r="G2060" s="74">
        <f>D2060/30.48</f>
        <v/>
      </c>
      <c r="H2060" s="615" t="n"/>
      <c r="N2060" s="211" t="n"/>
      <c r="Q2060" s="271" t="n"/>
      <c r="R2060" s="282" t="n"/>
    </row>
    <row r="2061" ht="18" customHeight="1" s="305">
      <c r="A2061" s="8" t="n">
        <v>3026</v>
      </c>
      <c r="B2061" s="5" t="n">
        <v>119</v>
      </c>
      <c r="C2061" s="72" t="inlineStr">
        <is>
          <t>X</t>
        </is>
      </c>
      <c r="D2061" s="5" t="n">
        <v>199</v>
      </c>
      <c r="E2061" s="73">
        <f>B2061*D2061/10000</f>
        <v/>
      </c>
      <c r="F2061" s="74">
        <f>B2061/30.48</f>
        <v/>
      </c>
      <c r="G2061" s="74">
        <f>D2061/30.48</f>
        <v/>
      </c>
      <c r="H2061" s="615" t="n"/>
      <c r="N2061" s="211" t="n"/>
      <c r="Q2061" s="271" t="n"/>
      <c r="R2061" s="282" t="n"/>
    </row>
    <row r="2062" ht="18" customHeight="1" s="305">
      <c r="A2062" s="8" t="n">
        <v>3027</v>
      </c>
      <c r="B2062" s="5" t="n">
        <v>79</v>
      </c>
      <c r="C2062" s="72" t="inlineStr">
        <is>
          <t>X</t>
        </is>
      </c>
      <c r="D2062" s="5" t="n">
        <v>131</v>
      </c>
      <c r="E2062" s="73">
        <f>B2062*D2062/10000</f>
        <v/>
      </c>
      <c r="F2062" s="74">
        <f>B2062/30.48</f>
        <v/>
      </c>
      <c r="G2062" s="74">
        <f>D2062/30.48</f>
        <v/>
      </c>
      <c r="H2062" s="615" t="n"/>
      <c r="N2062" s="211" t="n"/>
      <c r="Q2062" s="271" t="n"/>
      <c r="R2062" s="282" t="n"/>
    </row>
    <row r="2063" ht="18" customHeight="1" s="305">
      <c r="A2063" s="8" t="n">
        <v>3028</v>
      </c>
      <c r="B2063" s="5" t="n">
        <v>81</v>
      </c>
      <c r="C2063" s="72" t="inlineStr">
        <is>
          <t>X</t>
        </is>
      </c>
      <c r="D2063" s="5" t="n">
        <v>294</v>
      </c>
      <c r="E2063" s="73">
        <f>B2063*D2063/10000</f>
        <v/>
      </c>
      <c r="F2063" s="74">
        <f>B2063/30.48</f>
        <v/>
      </c>
      <c r="G2063" s="74">
        <f>D2063/30.48</f>
        <v/>
      </c>
      <c r="H2063" s="615" t="n"/>
      <c r="N2063" s="211" t="n"/>
      <c r="Q2063" s="271" t="n"/>
      <c r="R2063" s="282" t="n"/>
    </row>
    <row r="2064" ht="18" customHeight="1" s="305">
      <c r="A2064" s="8" t="n">
        <v>3029</v>
      </c>
      <c r="B2064" s="5" t="n">
        <v>159</v>
      </c>
      <c r="C2064" s="72" t="inlineStr">
        <is>
          <t>X</t>
        </is>
      </c>
      <c r="D2064" s="5" t="n">
        <v>278</v>
      </c>
      <c r="E2064" s="73">
        <f>B2064*D2064/10000</f>
        <v/>
      </c>
      <c r="F2064" s="74">
        <f>B2064/30.48</f>
        <v/>
      </c>
      <c r="G2064" s="74">
        <f>D2064/30.48</f>
        <v/>
      </c>
      <c r="H2064" s="615" t="n"/>
      <c r="N2064" s="211" t="n"/>
      <c r="Q2064" s="271" t="n"/>
      <c r="R2064" s="282" t="n"/>
    </row>
    <row r="2065" ht="18" customHeight="1" s="305">
      <c r="A2065" s="8" t="n">
        <v>3031</v>
      </c>
      <c r="B2065" s="5" t="n">
        <v>174</v>
      </c>
      <c r="C2065" s="72" t="inlineStr">
        <is>
          <t>X</t>
        </is>
      </c>
      <c r="D2065" s="5" t="n">
        <v>244</v>
      </c>
      <c r="E2065" s="73">
        <f>B2065*D2065/10000</f>
        <v/>
      </c>
      <c r="F2065" s="74">
        <f>B2065/30.48</f>
        <v/>
      </c>
      <c r="G2065" s="74">
        <f>D2065/30.48</f>
        <v/>
      </c>
      <c r="H2065" s="615" t="n"/>
      <c r="N2065" s="211" t="n"/>
      <c r="Q2065" s="271" t="n"/>
      <c r="R2065" s="282" t="n"/>
    </row>
    <row r="2066" ht="18" customHeight="1" s="305">
      <c r="A2066" s="8" t="n">
        <v>3032</v>
      </c>
      <c r="B2066" s="5" t="n">
        <v>115</v>
      </c>
      <c r="C2066" s="72" t="inlineStr">
        <is>
          <t>X</t>
        </is>
      </c>
      <c r="D2066" s="5" t="n">
        <v>194</v>
      </c>
      <c r="E2066" s="73">
        <f>B2066*D2066/10000</f>
        <v/>
      </c>
      <c r="F2066" s="74">
        <f>B2066/30.48</f>
        <v/>
      </c>
      <c r="G2066" s="74">
        <f>D2066/30.48</f>
        <v/>
      </c>
      <c r="H2066" s="615" t="n"/>
      <c r="N2066" s="211" t="n"/>
      <c r="Q2066" s="271" t="n"/>
      <c r="R2066" s="282" t="n"/>
    </row>
    <row r="2067" ht="18" customHeight="1" s="305">
      <c r="A2067" s="8" t="n">
        <v>3033</v>
      </c>
      <c r="B2067" s="5" t="n">
        <v>109</v>
      </c>
      <c r="C2067" s="72" t="inlineStr">
        <is>
          <t>X</t>
        </is>
      </c>
      <c r="D2067" s="5" t="n">
        <v>157</v>
      </c>
      <c r="E2067" s="73">
        <f>B2067*D2067/10000</f>
        <v/>
      </c>
      <c r="F2067" s="74">
        <f>B2067/30.48</f>
        <v/>
      </c>
      <c r="G2067" s="74">
        <f>D2067/30.48</f>
        <v/>
      </c>
      <c r="H2067" s="615" t="n"/>
      <c r="N2067" s="211" t="n"/>
      <c r="Q2067" s="271" t="n"/>
      <c r="R2067" s="282" t="n"/>
    </row>
    <row r="2068" ht="18" customHeight="1" s="305">
      <c r="A2068" s="8" t="n">
        <v>3035</v>
      </c>
      <c r="B2068" s="5" t="n">
        <v>119</v>
      </c>
      <c r="C2068" s="72" t="inlineStr">
        <is>
          <t>X</t>
        </is>
      </c>
      <c r="D2068" s="5" t="n">
        <v>184</v>
      </c>
      <c r="E2068" s="73">
        <f>B2068*D2068/10000</f>
        <v/>
      </c>
      <c r="F2068" s="74">
        <f>B2068/30.48</f>
        <v/>
      </c>
      <c r="G2068" s="74">
        <f>D2068/30.48</f>
        <v/>
      </c>
      <c r="H2068" s="615" t="n"/>
      <c r="N2068" s="211" t="n"/>
      <c r="Q2068" s="271" t="n"/>
      <c r="R2068" s="282" t="n"/>
    </row>
    <row r="2069" ht="18" customHeight="1" s="305">
      <c r="A2069" s="8" t="n">
        <v>3036</v>
      </c>
      <c r="B2069" s="5" t="n">
        <v>152</v>
      </c>
      <c r="C2069" s="72" t="inlineStr">
        <is>
          <t>X</t>
        </is>
      </c>
      <c r="D2069" s="5" t="n">
        <v>235</v>
      </c>
      <c r="E2069" s="73">
        <f>B2069*D2069/10000</f>
        <v/>
      </c>
      <c r="F2069" s="74">
        <f>B2069/30.48</f>
        <v/>
      </c>
      <c r="G2069" s="74">
        <f>D2069/30.48</f>
        <v/>
      </c>
      <c r="H2069" s="615" t="n"/>
      <c r="N2069" s="211" t="n"/>
      <c r="Q2069" s="271" t="n"/>
      <c r="R2069" s="282" t="n"/>
    </row>
    <row r="2070" ht="18" customHeight="1" s="305">
      <c r="A2070" s="8" t="n">
        <v>3037</v>
      </c>
      <c r="B2070" s="5" t="n">
        <v>112</v>
      </c>
      <c r="C2070" s="72" t="inlineStr">
        <is>
          <t>X</t>
        </is>
      </c>
      <c r="D2070" s="5" t="n">
        <v>172</v>
      </c>
      <c r="E2070" s="73">
        <f>B2070*D2070/10000</f>
        <v/>
      </c>
      <c r="F2070" s="74">
        <f>B2070/30.48</f>
        <v/>
      </c>
      <c r="G2070" s="74">
        <f>D2070/30.48</f>
        <v/>
      </c>
      <c r="H2070" s="615" t="n"/>
      <c r="N2070" s="211" t="n"/>
      <c r="Q2070" s="271" t="n"/>
      <c r="R2070" s="282" t="n"/>
    </row>
    <row r="2071" ht="18" customHeight="1" s="305">
      <c r="A2071" s="8" t="n">
        <v>3038</v>
      </c>
      <c r="B2071" s="5" t="n">
        <v>197</v>
      </c>
      <c r="C2071" s="72" t="inlineStr">
        <is>
          <t>X</t>
        </is>
      </c>
      <c r="D2071" s="5" t="n">
        <v>283</v>
      </c>
      <c r="E2071" s="73">
        <f>B2071*D2071/10000</f>
        <v/>
      </c>
      <c r="F2071" s="74">
        <f>B2071/30.48</f>
        <v/>
      </c>
      <c r="G2071" s="74">
        <f>D2071/30.48</f>
        <v/>
      </c>
      <c r="H2071" s="615" t="n"/>
      <c r="N2071" s="211" t="n"/>
      <c r="Q2071" s="271" t="n"/>
      <c r="R2071" s="282" t="n"/>
    </row>
    <row r="2072" ht="18" customHeight="1" s="305">
      <c r="A2072" s="8" t="n">
        <v>3039</v>
      </c>
      <c r="B2072" s="5" t="n">
        <v>92</v>
      </c>
      <c r="C2072" s="72" t="inlineStr">
        <is>
          <t>X</t>
        </is>
      </c>
      <c r="D2072" s="5" t="n">
        <v>109</v>
      </c>
      <c r="E2072" s="73">
        <f>B2072*D2072/10000</f>
        <v/>
      </c>
      <c r="F2072" s="74">
        <f>B2072/30.48</f>
        <v/>
      </c>
      <c r="G2072" s="74">
        <f>D2072/30.48</f>
        <v/>
      </c>
      <c r="H2072" s="615" t="n"/>
      <c r="N2072" s="211" t="n"/>
      <c r="Q2072" s="271" t="n"/>
      <c r="R2072" s="282" t="n"/>
    </row>
    <row r="2073" ht="18" customHeight="1" s="305">
      <c r="A2073" s="8" t="n">
        <v>3040</v>
      </c>
      <c r="B2073" s="5" t="n">
        <v>162</v>
      </c>
      <c r="C2073" s="72" t="inlineStr">
        <is>
          <t>X</t>
        </is>
      </c>
      <c r="D2073" s="5" t="n">
        <v>213</v>
      </c>
      <c r="E2073" s="73">
        <f>B2073*D2073/10000</f>
        <v/>
      </c>
      <c r="F2073" s="74">
        <f>B2073/30.48</f>
        <v/>
      </c>
      <c r="G2073" s="74">
        <f>D2073/30.48</f>
        <v/>
      </c>
      <c r="H2073" s="615" t="n"/>
      <c r="N2073" s="211" t="n"/>
      <c r="Q2073" s="271" t="n"/>
      <c r="R2073" s="282" t="n"/>
    </row>
    <row r="2074" ht="18" customHeight="1" s="305">
      <c r="A2074" s="8" t="n">
        <v>3041</v>
      </c>
      <c r="B2074" s="5" t="n">
        <v>85</v>
      </c>
      <c r="C2074" s="72" t="inlineStr">
        <is>
          <t>X</t>
        </is>
      </c>
      <c r="D2074" s="5" t="n">
        <v>284</v>
      </c>
      <c r="E2074" s="73">
        <f>B2074*D2074/10000</f>
        <v/>
      </c>
      <c r="F2074" s="74">
        <f>B2074/30.48</f>
        <v/>
      </c>
      <c r="G2074" s="74">
        <f>D2074/30.48</f>
        <v/>
      </c>
      <c r="H2074" s="615" t="n"/>
      <c r="N2074" s="211" t="n"/>
      <c r="Q2074" s="271" t="n"/>
      <c r="R2074" s="282" t="n"/>
    </row>
    <row r="2075" ht="18" customHeight="1" s="305">
      <c r="A2075" s="8" t="n">
        <v>3042</v>
      </c>
      <c r="B2075" s="5" t="n">
        <v>117</v>
      </c>
      <c r="C2075" s="72" t="inlineStr">
        <is>
          <t>X</t>
        </is>
      </c>
      <c r="D2075" s="5" t="n">
        <v>173</v>
      </c>
      <c r="E2075" s="73">
        <f>B2075*D2075/10000</f>
        <v/>
      </c>
      <c r="F2075" s="74">
        <f>B2075/30.48</f>
        <v/>
      </c>
      <c r="G2075" s="74">
        <f>D2075/30.48</f>
        <v/>
      </c>
      <c r="H2075" s="615" t="n"/>
      <c r="N2075" s="211" t="n"/>
      <c r="Q2075" s="271" t="n"/>
      <c r="R2075" s="282" t="n"/>
    </row>
    <row r="2076" ht="18" customHeight="1" s="305">
      <c r="A2076" s="8" t="n">
        <v>3043</v>
      </c>
      <c r="B2076" s="5" t="n">
        <v>115</v>
      </c>
      <c r="C2076" s="72" t="inlineStr">
        <is>
          <t>X</t>
        </is>
      </c>
      <c r="D2076" s="5" t="n">
        <v>197</v>
      </c>
      <c r="E2076" s="73">
        <f>B2076*D2076/10000</f>
        <v/>
      </c>
      <c r="F2076" s="74">
        <f>B2076/30.48</f>
        <v/>
      </c>
      <c r="G2076" s="74">
        <f>D2076/30.48</f>
        <v/>
      </c>
      <c r="H2076" s="615" t="n"/>
      <c r="N2076" s="211" t="n"/>
      <c r="Q2076" s="271" t="n"/>
      <c r="R2076" s="282" t="n"/>
    </row>
    <row r="2077" ht="18" customHeight="1" s="305">
      <c r="A2077" s="8" t="n">
        <v>3045</v>
      </c>
      <c r="B2077" s="5" t="n">
        <v>123</v>
      </c>
      <c r="C2077" s="72" t="inlineStr">
        <is>
          <t>X</t>
        </is>
      </c>
      <c r="D2077" s="5" t="n">
        <v>206</v>
      </c>
      <c r="E2077" s="73">
        <f>B2077*D2077/10000</f>
        <v/>
      </c>
      <c r="F2077" s="74">
        <f>B2077/30.48</f>
        <v/>
      </c>
      <c r="G2077" s="74">
        <f>D2077/30.48</f>
        <v/>
      </c>
      <c r="H2077" s="615" t="n"/>
      <c r="N2077" s="211" t="n"/>
      <c r="Q2077" s="271" t="n"/>
      <c r="R2077" s="282" t="n"/>
    </row>
    <row r="2078" ht="18" customHeight="1" s="305">
      <c r="A2078" s="8" t="n">
        <v>3046</v>
      </c>
      <c r="B2078" s="5" t="n">
        <v>152</v>
      </c>
      <c r="C2078" s="72" t="inlineStr">
        <is>
          <t>X</t>
        </is>
      </c>
      <c r="D2078" s="5" t="n">
        <v>194</v>
      </c>
      <c r="E2078" s="73">
        <f>B2078*D2078/10000</f>
        <v/>
      </c>
      <c r="F2078" s="74">
        <f>B2078/30.48</f>
        <v/>
      </c>
      <c r="G2078" s="74">
        <f>D2078/30.48</f>
        <v/>
      </c>
      <c r="H2078" s="615" t="n"/>
      <c r="N2078" s="211" t="n"/>
      <c r="Q2078" s="271" t="n"/>
      <c r="R2078" s="282" t="n"/>
    </row>
    <row r="2079" ht="18" customHeight="1" s="305">
      <c r="A2079" s="8" t="n">
        <v>3047</v>
      </c>
      <c r="B2079" s="5" t="n">
        <v>73</v>
      </c>
      <c r="C2079" s="72" t="inlineStr">
        <is>
          <t>X</t>
        </is>
      </c>
      <c r="D2079" s="5" t="n">
        <v>266</v>
      </c>
      <c r="E2079" s="73">
        <f>B2079*D2079/10000</f>
        <v/>
      </c>
      <c r="F2079" s="74">
        <f>B2079/30.48</f>
        <v/>
      </c>
      <c r="G2079" s="74">
        <f>D2079/30.48</f>
        <v/>
      </c>
      <c r="H2079" s="615" t="n"/>
      <c r="N2079" s="211" t="n"/>
      <c r="Q2079" s="271" t="n"/>
      <c r="R2079" s="282" t="n"/>
    </row>
    <row r="2080" ht="18" customHeight="1" s="305">
      <c r="A2080" s="8" t="n">
        <v>3048</v>
      </c>
      <c r="B2080" s="5" t="n">
        <v>180</v>
      </c>
      <c r="C2080" s="72" t="inlineStr">
        <is>
          <t>X</t>
        </is>
      </c>
      <c r="D2080" s="5" t="n">
        <v>245</v>
      </c>
      <c r="E2080" s="73">
        <f>B2080*D2080/10000</f>
        <v/>
      </c>
      <c r="F2080" s="74">
        <f>B2080/30.48</f>
        <v/>
      </c>
      <c r="G2080" s="74">
        <f>D2080/30.48</f>
        <v/>
      </c>
      <c r="H2080" s="615" t="n"/>
      <c r="N2080" s="211" t="n"/>
      <c r="Q2080" s="271" t="n"/>
      <c r="R2080" s="282" t="n"/>
    </row>
    <row r="2081" ht="18" customHeight="1" s="305">
      <c r="A2081" s="8" t="n">
        <v>3050</v>
      </c>
      <c r="B2081" s="5" t="n">
        <v>158</v>
      </c>
      <c r="C2081" s="72" t="inlineStr">
        <is>
          <t>X</t>
        </is>
      </c>
      <c r="D2081" s="5" t="n">
        <v>223</v>
      </c>
      <c r="E2081" s="73">
        <f>B2081*D2081/10000</f>
        <v/>
      </c>
      <c r="F2081" s="74">
        <f>B2081/30.48</f>
        <v/>
      </c>
      <c r="G2081" s="74">
        <f>D2081/30.48</f>
        <v/>
      </c>
      <c r="H2081" s="615" t="n"/>
      <c r="N2081" s="211" t="n"/>
      <c r="Q2081" s="271" t="n"/>
      <c r="R2081" s="282" t="n"/>
    </row>
    <row r="2082" ht="18" customHeight="1" s="305">
      <c r="A2082" s="8" t="n">
        <v>3052</v>
      </c>
      <c r="B2082" s="5" t="n">
        <v>163</v>
      </c>
      <c r="C2082" s="72" t="inlineStr">
        <is>
          <t>X</t>
        </is>
      </c>
      <c r="D2082" s="5" t="n">
        <v>238</v>
      </c>
      <c r="E2082" s="73">
        <f>B2082*D2082/10000</f>
        <v/>
      </c>
      <c r="F2082" s="74">
        <f>B2082/30.48</f>
        <v/>
      </c>
      <c r="G2082" s="74">
        <f>D2082/30.48</f>
        <v/>
      </c>
      <c r="H2082" s="615" t="n"/>
      <c r="N2082" s="211" t="n"/>
      <c r="Q2082" s="271" t="n"/>
      <c r="R2082" s="282" t="n"/>
    </row>
    <row r="2083" ht="18" customHeight="1" s="305">
      <c r="A2083" s="8" t="n">
        <v>3054</v>
      </c>
      <c r="B2083" s="5" t="n">
        <v>203</v>
      </c>
      <c r="C2083" s="72" t="inlineStr">
        <is>
          <t>X</t>
        </is>
      </c>
      <c r="D2083" s="5" t="n">
        <v>281</v>
      </c>
      <c r="E2083" s="73">
        <f>B2083*D2083/10000</f>
        <v/>
      </c>
      <c r="F2083" s="74">
        <f>B2083/30.48</f>
        <v/>
      </c>
      <c r="G2083" s="74">
        <f>D2083/30.48</f>
        <v/>
      </c>
      <c r="H2083" s="615" t="n"/>
      <c r="N2083" s="211" t="n"/>
      <c r="Q2083" s="271" t="n"/>
      <c r="R2083" s="282" t="n"/>
    </row>
    <row r="2084" ht="18" customHeight="1" s="305">
      <c r="A2084" s="8" t="n">
        <v>3055</v>
      </c>
      <c r="B2084" s="5" t="n">
        <v>109</v>
      </c>
      <c r="C2084" s="72" t="inlineStr">
        <is>
          <t>X</t>
        </is>
      </c>
      <c r="D2084" s="5" t="n">
        <v>393</v>
      </c>
      <c r="E2084" s="73">
        <f>B2084*D2084/10000</f>
        <v/>
      </c>
      <c r="F2084" s="74">
        <f>B2084/30.48</f>
        <v/>
      </c>
      <c r="G2084" s="74">
        <f>D2084/30.48</f>
        <v/>
      </c>
      <c r="H2084" s="615" t="n"/>
      <c r="N2084" s="211" t="n"/>
      <c r="Q2084" s="271" t="n"/>
      <c r="R2084" s="282" t="n"/>
    </row>
    <row r="2085" ht="18" customHeight="1" s="305">
      <c r="A2085" s="8" t="n">
        <v>3056</v>
      </c>
      <c r="B2085" s="5" t="n">
        <v>175</v>
      </c>
      <c r="C2085" s="72" t="inlineStr">
        <is>
          <t>X</t>
        </is>
      </c>
      <c r="D2085" s="5" t="n">
        <v>214</v>
      </c>
      <c r="E2085" s="73">
        <f>B2085*D2085/10000</f>
        <v/>
      </c>
      <c r="F2085" s="74">
        <f>B2085/30.48</f>
        <v/>
      </c>
      <c r="G2085" s="74">
        <f>D2085/30.48</f>
        <v/>
      </c>
      <c r="H2085" s="615" t="n"/>
      <c r="N2085" s="211" t="n"/>
      <c r="Q2085" s="271" t="n"/>
      <c r="R2085" s="282" t="n"/>
    </row>
    <row r="2086" ht="18" customHeight="1" s="305">
      <c r="A2086" s="8" t="n">
        <v>3057</v>
      </c>
      <c r="B2086" s="5" t="n">
        <v>194</v>
      </c>
      <c r="C2086" s="72" t="inlineStr">
        <is>
          <t>X</t>
        </is>
      </c>
      <c r="D2086" s="5" t="n">
        <v>277</v>
      </c>
      <c r="E2086" s="73">
        <f>B2086*D2086/10000</f>
        <v/>
      </c>
      <c r="F2086" s="74">
        <f>B2086/30.48</f>
        <v/>
      </c>
      <c r="G2086" s="74">
        <f>D2086/30.48</f>
        <v/>
      </c>
      <c r="H2086" s="615" t="n"/>
      <c r="N2086" s="211" t="n"/>
      <c r="Q2086" s="271" t="n"/>
      <c r="R2086" s="282" t="n"/>
    </row>
    <row r="2087" ht="18" customHeight="1" s="305">
      <c r="A2087" s="8" t="n">
        <v>3058</v>
      </c>
      <c r="B2087" s="5" t="n">
        <v>142</v>
      </c>
      <c r="C2087" s="72" t="inlineStr">
        <is>
          <t>X</t>
        </is>
      </c>
      <c r="D2087" s="5" t="n">
        <v>221</v>
      </c>
      <c r="E2087" s="73">
        <f>B2087*D2087/10000</f>
        <v/>
      </c>
      <c r="F2087" s="74">
        <f>B2087/30.48</f>
        <v/>
      </c>
      <c r="G2087" s="74">
        <f>D2087/30.48</f>
        <v/>
      </c>
      <c r="H2087" s="615" t="n"/>
      <c r="N2087" s="211" t="n"/>
      <c r="Q2087" s="271" t="n"/>
      <c r="R2087" s="282" t="n"/>
    </row>
    <row r="2088" ht="18" customHeight="1" s="305">
      <c r="A2088" s="8" t="n">
        <v>3059</v>
      </c>
      <c r="B2088" s="5" t="n">
        <v>194</v>
      </c>
      <c r="C2088" s="72" t="inlineStr">
        <is>
          <t>X</t>
        </is>
      </c>
      <c r="D2088" s="5" t="n">
        <v>292</v>
      </c>
      <c r="E2088" s="73">
        <f>B2088*D2088/10000</f>
        <v/>
      </c>
      <c r="F2088" s="74">
        <f>B2088/30.48</f>
        <v/>
      </c>
      <c r="G2088" s="74">
        <f>D2088/30.48</f>
        <v/>
      </c>
      <c r="H2088" s="615" t="n"/>
      <c r="N2088" s="211" t="n"/>
      <c r="Q2088" s="271" t="n"/>
      <c r="R2088" s="282" t="n"/>
    </row>
    <row r="2089" ht="18" customHeight="1" s="305">
      <c r="A2089" s="8" t="n">
        <v>3060</v>
      </c>
      <c r="B2089" s="5" t="n">
        <v>70</v>
      </c>
      <c r="C2089" s="72" t="inlineStr">
        <is>
          <t>X</t>
        </is>
      </c>
      <c r="D2089" s="5" t="n">
        <v>110</v>
      </c>
      <c r="E2089" s="73">
        <f>B2089*D2089/10000</f>
        <v/>
      </c>
      <c r="F2089" s="74">
        <f>B2089/30.48</f>
        <v/>
      </c>
      <c r="G2089" s="74">
        <f>D2089/30.48</f>
        <v/>
      </c>
      <c r="H2089" s="615" t="n"/>
      <c r="N2089" s="211" t="n"/>
      <c r="Q2089" s="271" t="n"/>
      <c r="R2089" s="282" t="n"/>
    </row>
    <row r="2090" ht="18" customHeight="1" s="305">
      <c r="A2090" s="8" t="n">
        <v>3061</v>
      </c>
      <c r="B2090" s="5" t="n">
        <v>133</v>
      </c>
      <c r="C2090" s="72" t="inlineStr">
        <is>
          <t>X</t>
        </is>
      </c>
      <c r="D2090" s="5" t="n">
        <v>207</v>
      </c>
      <c r="E2090" s="73">
        <f>B2090*D2090/10000</f>
        <v/>
      </c>
      <c r="F2090" s="74">
        <f>B2090/30.48</f>
        <v/>
      </c>
      <c r="G2090" s="74">
        <f>D2090/30.48</f>
        <v/>
      </c>
      <c r="H2090" s="615" t="n"/>
      <c r="N2090" s="211" t="n"/>
      <c r="Q2090" s="271" t="n"/>
      <c r="R2090" s="282" t="n"/>
    </row>
    <row r="2091" ht="18" customHeight="1" s="305">
      <c r="A2091" s="8" t="n">
        <v>3062</v>
      </c>
      <c r="B2091" s="5" t="n">
        <v>120</v>
      </c>
      <c r="C2091" s="72" t="inlineStr">
        <is>
          <t>X</t>
        </is>
      </c>
      <c r="D2091" s="5" t="n">
        <v>177</v>
      </c>
      <c r="E2091" s="73">
        <f>B2091*D2091/10000</f>
        <v/>
      </c>
      <c r="F2091" s="74">
        <f>B2091/30.48</f>
        <v/>
      </c>
      <c r="G2091" s="74">
        <f>D2091/30.48</f>
        <v/>
      </c>
      <c r="H2091" s="615" t="n"/>
      <c r="N2091" s="211" t="n"/>
      <c r="Q2091" s="271" t="n"/>
      <c r="R2091" s="282" t="n"/>
    </row>
    <row r="2092" ht="18" customHeight="1" s="305">
      <c r="A2092" s="8" t="n">
        <v>3066</v>
      </c>
      <c r="B2092" s="5" t="n">
        <v>130</v>
      </c>
      <c r="C2092" s="72" t="inlineStr">
        <is>
          <t>X</t>
        </is>
      </c>
      <c r="D2092" s="5" t="n">
        <v>324</v>
      </c>
      <c r="E2092" s="73">
        <f>B2092*D2092/10000</f>
        <v/>
      </c>
      <c r="F2092" s="74">
        <f>B2092/30.48</f>
        <v/>
      </c>
      <c r="G2092" s="74">
        <f>D2092/30.48</f>
        <v/>
      </c>
      <c r="H2092" s="615" t="n"/>
      <c r="N2092" s="211" t="n"/>
      <c r="Q2092" s="271" t="n"/>
      <c r="R2092" s="282" t="n"/>
    </row>
    <row r="2093" ht="18" customHeight="1" s="305">
      <c r="A2093" s="8" t="n">
        <v>3067</v>
      </c>
      <c r="B2093" s="5" t="n">
        <v>121</v>
      </c>
      <c r="C2093" s="72" t="inlineStr">
        <is>
          <t>X</t>
        </is>
      </c>
      <c r="D2093" s="5" t="n">
        <v>226</v>
      </c>
      <c r="E2093" s="73">
        <f>B2093*D2093/10000</f>
        <v/>
      </c>
      <c r="F2093" s="74">
        <f>B2093/30.48</f>
        <v/>
      </c>
      <c r="G2093" s="74">
        <f>D2093/30.48</f>
        <v/>
      </c>
      <c r="H2093" s="615" t="n"/>
      <c r="N2093" s="211" t="n"/>
      <c r="Q2093" s="271" t="n"/>
      <c r="R2093" s="282" t="n"/>
    </row>
    <row r="2094" ht="18" customHeight="1" s="305">
      <c r="A2094" s="8" t="n">
        <v>3068</v>
      </c>
      <c r="B2094" s="5" t="n">
        <v>144</v>
      </c>
      <c r="C2094" s="72" t="inlineStr">
        <is>
          <t>X</t>
        </is>
      </c>
      <c r="D2094" s="5" t="n">
        <v>266</v>
      </c>
      <c r="E2094" s="73">
        <f>B2094*D2094/10000</f>
        <v/>
      </c>
      <c r="F2094" s="74">
        <f>B2094/30.48</f>
        <v/>
      </c>
      <c r="G2094" s="74">
        <f>D2094/30.48</f>
        <v/>
      </c>
      <c r="H2094" s="615" t="n"/>
      <c r="N2094" s="211" t="n"/>
      <c r="Q2094" s="271" t="n"/>
      <c r="R2094" s="282" t="n"/>
    </row>
    <row r="2095" ht="18" customHeight="1" s="305">
      <c r="A2095" s="8" t="n">
        <v>3070</v>
      </c>
      <c r="B2095" s="5" t="n">
        <v>100</v>
      </c>
      <c r="C2095" s="72" t="inlineStr">
        <is>
          <t>X</t>
        </is>
      </c>
      <c r="D2095" s="5" t="n">
        <v>320</v>
      </c>
      <c r="E2095" s="73">
        <f>B2095*D2095/10000</f>
        <v/>
      </c>
      <c r="F2095" s="74">
        <f>B2095/30.48</f>
        <v/>
      </c>
      <c r="G2095" s="74">
        <f>D2095/30.48</f>
        <v/>
      </c>
      <c r="H2095" s="615" t="n"/>
      <c r="N2095" s="211" t="n"/>
      <c r="Q2095" s="271" t="n"/>
      <c r="R2095" s="282" t="n"/>
    </row>
    <row r="2096" ht="18" customHeight="1" s="305">
      <c r="A2096" s="8" t="n">
        <v>3071</v>
      </c>
      <c r="B2096" s="5" t="n">
        <v>164</v>
      </c>
      <c r="C2096" s="72" t="inlineStr">
        <is>
          <t>X</t>
        </is>
      </c>
      <c r="D2096" s="5" t="n">
        <v>277</v>
      </c>
      <c r="E2096" s="73">
        <f>B2096*D2096/10000</f>
        <v/>
      </c>
      <c r="F2096" s="74">
        <f>B2096/30.48</f>
        <v/>
      </c>
      <c r="G2096" s="74">
        <f>D2096/30.48</f>
        <v/>
      </c>
      <c r="H2096" s="615" t="n"/>
      <c r="N2096" s="211" t="n"/>
      <c r="Q2096" s="271" t="n"/>
      <c r="R2096" s="282" t="n"/>
    </row>
    <row r="2097" ht="18" customHeight="1" s="305">
      <c r="A2097" s="8" t="n">
        <v>3073</v>
      </c>
      <c r="B2097" s="5" t="n">
        <v>151</v>
      </c>
      <c r="C2097" s="72" t="inlineStr">
        <is>
          <t>X</t>
        </is>
      </c>
      <c r="D2097" s="5" t="n">
        <v>247</v>
      </c>
      <c r="E2097" s="73">
        <f>B2097*D2097/10000</f>
        <v/>
      </c>
      <c r="F2097" s="74">
        <f>B2097/30.48</f>
        <v/>
      </c>
      <c r="G2097" s="74">
        <f>D2097/30.48</f>
        <v/>
      </c>
      <c r="H2097" s="615" t="n"/>
      <c r="N2097" s="211" t="n"/>
      <c r="Q2097" s="271" t="n"/>
      <c r="R2097" s="282" t="n"/>
    </row>
    <row r="2098" ht="18" customHeight="1" s="305">
      <c r="A2098" s="8" t="n">
        <v>3075</v>
      </c>
      <c r="B2098" s="5" t="n">
        <v>174</v>
      </c>
      <c r="C2098" s="72" t="inlineStr">
        <is>
          <t>X</t>
        </is>
      </c>
      <c r="D2098" s="5" t="n">
        <v>241</v>
      </c>
      <c r="E2098" s="73">
        <f>B2098*D2098/10000</f>
        <v/>
      </c>
      <c r="F2098" s="74">
        <f>B2098/30.48</f>
        <v/>
      </c>
      <c r="G2098" s="74">
        <f>D2098/30.48</f>
        <v/>
      </c>
      <c r="H2098" s="615" t="n"/>
      <c r="N2098" s="211" t="n"/>
      <c r="Q2098" s="271" t="n"/>
      <c r="R2098" s="282" t="n"/>
    </row>
    <row r="2099" ht="18" customHeight="1" s="305">
      <c r="A2099" s="8" t="n">
        <v>3076</v>
      </c>
      <c r="B2099" s="5" t="n">
        <v>159</v>
      </c>
      <c r="C2099" s="72" t="inlineStr">
        <is>
          <t>X</t>
        </is>
      </c>
      <c r="D2099" s="5" t="n">
        <v>240</v>
      </c>
      <c r="E2099" s="73">
        <f>B2099*D2099/10000</f>
        <v/>
      </c>
      <c r="F2099" s="74">
        <f>B2099/30.48</f>
        <v/>
      </c>
      <c r="G2099" s="74">
        <f>D2099/30.48</f>
        <v/>
      </c>
      <c r="H2099" s="615" t="n"/>
      <c r="N2099" s="211" t="n"/>
      <c r="Q2099" s="271" t="n"/>
      <c r="R2099" s="282" t="n"/>
    </row>
    <row r="2100" ht="18" customHeight="1" s="305">
      <c r="A2100" s="8" t="n">
        <v>3077</v>
      </c>
      <c r="B2100" s="5" t="n">
        <v>195</v>
      </c>
      <c r="C2100" s="72" t="inlineStr">
        <is>
          <t>X</t>
        </is>
      </c>
      <c r="D2100" s="5" t="n">
        <v>304</v>
      </c>
      <c r="E2100" s="73">
        <f>B2100*D2100/10000</f>
        <v/>
      </c>
      <c r="F2100" s="74">
        <f>B2100/30.48</f>
        <v/>
      </c>
      <c r="G2100" s="74">
        <f>D2100/30.48</f>
        <v/>
      </c>
      <c r="H2100" s="615" t="n"/>
      <c r="N2100" s="211" t="n"/>
      <c r="Q2100" s="271" t="n"/>
      <c r="R2100" s="282" t="n"/>
    </row>
    <row r="2101" ht="18" customHeight="1" s="305">
      <c r="A2101" s="8" t="n">
        <v>3078</v>
      </c>
      <c r="B2101" s="5" t="n">
        <v>88</v>
      </c>
      <c r="C2101" s="72" t="inlineStr">
        <is>
          <t>X</t>
        </is>
      </c>
      <c r="D2101" s="5" t="n">
        <v>240</v>
      </c>
      <c r="E2101" s="73">
        <f>B2101*D2101/10000</f>
        <v/>
      </c>
      <c r="F2101" s="74">
        <f>B2101/30.48</f>
        <v/>
      </c>
      <c r="G2101" s="74">
        <f>D2101/30.48</f>
        <v/>
      </c>
      <c r="H2101" s="615" t="n"/>
      <c r="N2101" s="211" t="n"/>
      <c r="Q2101" s="271" t="n"/>
      <c r="R2101" s="282" t="n"/>
    </row>
    <row r="2102" ht="18" customHeight="1" s="305">
      <c r="A2102" s="8" t="n">
        <v>3080</v>
      </c>
      <c r="B2102" s="5" t="n">
        <v>158</v>
      </c>
      <c r="C2102" s="72" t="inlineStr">
        <is>
          <t>X</t>
        </is>
      </c>
      <c r="D2102" s="5" t="n">
        <v>246</v>
      </c>
      <c r="E2102" s="73">
        <f>B2102*D2102/10000</f>
        <v/>
      </c>
      <c r="F2102" s="74">
        <f>B2102/30.48</f>
        <v/>
      </c>
      <c r="G2102" s="74">
        <f>D2102/30.48</f>
        <v/>
      </c>
      <c r="H2102" s="615" t="n"/>
      <c r="N2102" s="211" t="n"/>
      <c r="Q2102" s="271" t="n"/>
      <c r="R2102" s="282" t="n"/>
    </row>
    <row r="2103" ht="18" customHeight="1" s="305">
      <c r="A2103" s="8" t="n">
        <v>3083</v>
      </c>
      <c r="B2103" s="5" t="n">
        <v>128</v>
      </c>
      <c r="C2103" s="72" t="inlineStr">
        <is>
          <t>X</t>
        </is>
      </c>
      <c r="D2103" s="5" t="n">
        <v>225</v>
      </c>
      <c r="E2103" s="73">
        <f>B2103*D2103/10000</f>
        <v/>
      </c>
      <c r="F2103" s="74">
        <f>B2103/30.48</f>
        <v/>
      </c>
      <c r="G2103" s="74">
        <f>D2103/30.48</f>
        <v/>
      </c>
      <c r="H2103" s="615" t="n"/>
      <c r="N2103" s="211" t="n"/>
      <c r="Q2103" s="271" t="n"/>
      <c r="R2103" s="282" t="n"/>
    </row>
    <row r="2104" ht="18" customHeight="1" s="305">
      <c r="A2104" s="8" t="n">
        <v>3084</v>
      </c>
      <c r="B2104" s="5" t="n">
        <v>143</v>
      </c>
      <c r="C2104" s="72" t="inlineStr">
        <is>
          <t>X</t>
        </is>
      </c>
      <c r="D2104" s="5" t="n">
        <v>225</v>
      </c>
      <c r="E2104" s="73">
        <f>B2104*D2104/10000</f>
        <v/>
      </c>
      <c r="F2104" s="74">
        <f>B2104/30.48</f>
        <v/>
      </c>
      <c r="G2104" s="74">
        <f>D2104/30.48</f>
        <v/>
      </c>
      <c r="H2104" s="615" t="n"/>
      <c r="N2104" s="211" t="n"/>
      <c r="Q2104" s="271" t="n"/>
      <c r="R2104" s="282" t="n"/>
    </row>
    <row r="2105" ht="18" customHeight="1" s="305">
      <c r="A2105" s="8" t="n">
        <v>3086</v>
      </c>
      <c r="B2105" s="5" t="n">
        <v>208</v>
      </c>
      <c r="C2105" s="72" t="inlineStr">
        <is>
          <t>X</t>
        </is>
      </c>
      <c r="D2105" s="5" t="n">
        <v>285</v>
      </c>
      <c r="E2105" s="73">
        <f>B2105*D2105/10000</f>
        <v/>
      </c>
      <c r="F2105" s="74">
        <f>B2105/30.48</f>
        <v/>
      </c>
      <c r="G2105" s="74">
        <f>D2105/30.48</f>
        <v/>
      </c>
      <c r="H2105" s="615" t="n"/>
      <c r="N2105" s="211" t="n"/>
      <c r="Q2105" s="271" t="n"/>
      <c r="R2105" s="282" t="n"/>
    </row>
    <row r="2106" ht="18" customHeight="1" s="305">
      <c r="A2106" s="8" t="n">
        <v>3087</v>
      </c>
      <c r="B2106" s="5" t="n">
        <v>78</v>
      </c>
      <c r="C2106" s="72" t="inlineStr">
        <is>
          <t>X</t>
        </is>
      </c>
      <c r="D2106" s="5" t="n">
        <v>291</v>
      </c>
      <c r="E2106" s="73">
        <f>B2106*D2106/10000</f>
        <v/>
      </c>
      <c r="F2106" s="74">
        <f>B2106/30.48</f>
        <v/>
      </c>
      <c r="G2106" s="74">
        <f>D2106/30.48</f>
        <v/>
      </c>
      <c r="H2106" s="615" t="n"/>
      <c r="N2106" s="211" t="n"/>
      <c r="Q2106" s="271" t="n"/>
      <c r="R2106" s="282" t="n"/>
    </row>
    <row r="2107" ht="18" customHeight="1" s="305">
      <c r="A2107" s="8" t="n">
        <v>3088</v>
      </c>
      <c r="B2107" s="5" t="n">
        <v>121</v>
      </c>
      <c r="C2107" s="72" t="inlineStr">
        <is>
          <t>X</t>
        </is>
      </c>
      <c r="D2107" s="5" t="n">
        <v>204</v>
      </c>
      <c r="E2107" s="73">
        <f>B2107*D2107/10000</f>
        <v/>
      </c>
      <c r="F2107" s="74">
        <f>B2107/30.48</f>
        <v/>
      </c>
      <c r="G2107" s="74">
        <f>D2107/30.48</f>
        <v/>
      </c>
      <c r="H2107" s="615" t="n"/>
      <c r="N2107" s="211" t="n"/>
      <c r="Q2107" s="271" t="n"/>
      <c r="R2107" s="282" t="n"/>
    </row>
    <row r="2108" ht="18" customHeight="1" s="305">
      <c r="A2108" s="8" t="n">
        <v>3089</v>
      </c>
      <c r="B2108" s="5" t="n">
        <v>203</v>
      </c>
      <c r="C2108" s="72" t="inlineStr">
        <is>
          <t>X</t>
        </is>
      </c>
      <c r="D2108" s="5" t="n">
        <v>278</v>
      </c>
      <c r="E2108" s="73">
        <f>B2108*D2108/10000</f>
        <v/>
      </c>
      <c r="F2108" s="74">
        <f>B2108/30.48</f>
        <v/>
      </c>
      <c r="G2108" s="74">
        <f>D2108/30.48</f>
        <v/>
      </c>
      <c r="H2108" s="615" t="n"/>
      <c r="N2108" s="211" t="n"/>
      <c r="Q2108" s="271" t="n"/>
      <c r="R2108" s="282" t="n"/>
    </row>
    <row r="2109" ht="18" customHeight="1" s="305">
      <c r="A2109" s="8" t="n">
        <v>3090</v>
      </c>
      <c r="B2109" s="5" t="n">
        <v>118</v>
      </c>
      <c r="C2109" s="72" t="inlineStr">
        <is>
          <t>X</t>
        </is>
      </c>
      <c r="D2109" s="5" t="n">
        <v>189</v>
      </c>
      <c r="E2109" s="73">
        <f>B2109*D2109/10000</f>
        <v/>
      </c>
      <c r="F2109" s="74">
        <f>B2109/30.48</f>
        <v/>
      </c>
      <c r="G2109" s="74">
        <f>D2109/30.48</f>
        <v/>
      </c>
      <c r="H2109" s="615" t="n"/>
      <c r="N2109" s="211" t="n"/>
      <c r="Q2109" s="271" t="n"/>
      <c r="R2109" s="282" t="n"/>
    </row>
    <row r="2110" ht="18" customHeight="1" s="305">
      <c r="A2110" s="8" t="n">
        <v>3091</v>
      </c>
      <c r="B2110" s="5" t="n">
        <v>168</v>
      </c>
      <c r="C2110" s="72" t="inlineStr">
        <is>
          <t>X</t>
        </is>
      </c>
      <c r="D2110" s="5" t="n">
        <v>238</v>
      </c>
      <c r="E2110" s="73">
        <f>B2110*D2110/10000</f>
        <v/>
      </c>
      <c r="F2110" s="74" t="inlineStr">
        <is>
          <t>D305</t>
        </is>
      </c>
      <c r="G2110" s="74">
        <f>D2110/30.48</f>
        <v/>
      </c>
      <c r="H2110" s="615" t="n"/>
      <c r="N2110" s="211" t="n"/>
      <c r="Q2110" s="271" t="n"/>
      <c r="R2110" s="282" t="n"/>
    </row>
    <row r="2111" ht="18" customHeight="1" s="305">
      <c r="A2111" s="8" t="n">
        <v>3095</v>
      </c>
      <c r="B2111" s="5" t="n">
        <v>162</v>
      </c>
      <c r="C2111" s="72" t="inlineStr">
        <is>
          <t>X</t>
        </is>
      </c>
      <c r="D2111" s="5" t="n">
        <v>250</v>
      </c>
      <c r="E2111" s="73">
        <f>B2111*D2111/10000</f>
        <v/>
      </c>
      <c r="F2111" s="74">
        <f>B2111/30.48</f>
        <v/>
      </c>
      <c r="G2111" s="74">
        <f>D2111/30.48</f>
        <v/>
      </c>
      <c r="H2111" s="615" t="n"/>
      <c r="N2111" s="211" t="n"/>
      <c r="Q2111" s="271" t="n"/>
      <c r="R2111" s="282" t="n"/>
    </row>
    <row r="2112" ht="18" customHeight="1" s="305">
      <c r="A2112" s="8" t="n">
        <v>3096</v>
      </c>
      <c r="B2112" s="5" t="n">
        <v>147</v>
      </c>
      <c r="C2112" s="72" t="inlineStr">
        <is>
          <t>X</t>
        </is>
      </c>
      <c r="D2112" s="5" t="n">
        <v>190</v>
      </c>
      <c r="E2112" s="73">
        <f>B2112*D2112/10000</f>
        <v/>
      </c>
      <c r="F2112" s="74">
        <f>B2112/30.48</f>
        <v/>
      </c>
      <c r="G2112" s="74">
        <f>D2112/30.48</f>
        <v/>
      </c>
      <c r="H2112" s="615" t="n"/>
      <c r="N2112" s="211" t="n"/>
      <c r="Q2112" s="271" t="n"/>
      <c r="R2112" s="282" t="n"/>
    </row>
    <row r="2113" ht="18" customHeight="1" s="305">
      <c r="A2113" s="8" t="n">
        <v>3097</v>
      </c>
      <c r="B2113" s="5" t="n">
        <v>200</v>
      </c>
      <c r="C2113" s="72" t="inlineStr">
        <is>
          <t>X</t>
        </is>
      </c>
      <c r="D2113" s="5" t="n">
        <v>274</v>
      </c>
      <c r="E2113" s="73">
        <f>B2113*D2113/10000</f>
        <v/>
      </c>
      <c r="F2113" s="74">
        <f>B2113/30.48</f>
        <v/>
      </c>
      <c r="G2113" s="74">
        <f>D2113/30.48</f>
        <v/>
      </c>
      <c r="H2113" s="615" t="n"/>
      <c r="N2113" s="211" t="n"/>
      <c r="Q2113" s="271" t="n"/>
      <c r="R2113" s="282" t="n"/>
    </row>
    <row r="2114" ht="18" customHeight="1" s="305">
      <c r="A2114" s="8" t="n">
        <v>3098</v>
      </c>
      <c r="B2114" s="5" t="n">
        <v>119</v>
      </c>
      <c r="C2114" s="72" t="inlineStr">
        <is>
          <t>X</t>
        </is>
      </c>
      <c r="D2114" s="5" t="n">
        <v>174</v>
      </c>
      <c r="E2114" s="73">
        <f>B2114*D2114/10000</f>
        <v/>
      </c>
      <c r="F2114" s="74">
        <f>B2114/30.48</f>
        <v/>
      </c>
      <c r="G2114" s="74">
        <f>D2114/30.48</f>
        <v/>
      </c>
      <c r="H2114" s="615" t="n"/>
      <c r="N2114" s="211" t="n"/>
      <c r="Q2114" s="271" t="n"/>
      <c r="R2114" s="282" t="n"/>
    </row>
    <row r="2115" ht="18" customHeight="1" s="305">
      <c r="A2115" s="8" t="n">
        <v>3099</v>
      </c>
      <c r="B2115" s="5" t="n">
        <v>184</v>
      </c>
      <c r="C2115" s="72" t="inlineStr">
        <is>
          <t>X</t>
        </is>
      </c>
      <c r="D2115" s="5" t="n">
        <v>282</v>
      </c>
      <c r="E2115" s="73">
        <f>B2115*D2115/10000</f>
        <v/>
      </c>
      <c r="F2115" s="74">
        <f>B2115/30.48</f>
        <v/>
      </c>
      <c r="G2115" s="74">
        <f>D2115/30.48</f>
        <v/>
      </c>
      <c r="H2115" s="615" t="n"/>
      <c r="N2115" s="211" t="n"/>
      <c r="Q2115" s="271" t="n"/>
      <c r="R2115" s="282" t="n"/>
    </row>
    <row r="2116" ht="18" customHeight="1" s="305">
      <c r="A2116" s="8" t="n">
        <v>3100</v>
      </c>
      <c r="B2116" s="5" t="n">
        <v>124</v>
      </c>
      <c r="C2116" s="72" t="inlineStr">
        <is>
          <t>X</t>
        </is>
      </c>
      <c r="D2116" s="5" t="n">
        <v>178</v>
      </c>
      <c r="E2116" s="73">
        <f>B2116*D2116/10000</f>
        <v/>
      </c>
      <c r="F2116" s="74">
        <f>B2116/30.48</f>
        <v/>
      </c>
      <c r="G2116" s="74">
        <f>D2116/30.48</f>
        <v/>
      </c>
      <c r="H2116" s="615" t="n"/>
      <c r="N2116" s="211" t="n"/>
      <c r="Q2116" s="271" t="n"/>
      <c r="R2116" s="282" t="n"/>
    </row>
    <row r="2117" ht="18" customHeight="1" s="305">
      <c r="A2117" s="8" t="n">
        <v>3101</v>
      </c>
      <c r="B2117" s="5" t="n">
        <v>193</v>
      </c>
      <c r="C2117" s="72" t="inlineStr">
        <is>
          <t>X</t>
        </is>
      </c>
      <c r="D2117" s="5" t="n">
        <v>301</v>
      </c>
      <c r="E2117" s="73">
        <f>B2117*D2117/10000</f>
        <v/>
      </c>
      <c r="F2117" s="74">
        <f>B2117/30.48</f>
        <v/>
      </c>
      <c r="G2117" s="74">
        <f>D2117/30.48</f>
        <v/>
      </c>
      <c r="H2117" s="615" t="n"/>
      <c r="N2117" s="211" t="n"/>
      <c r="Q2117" s="271" t="n"/>
      <c r="R2117" s="282" t="n"/>
    </row>
    <row r="2118" ht="18" customHeight="1" s="305">
      <c r="A2118" s="8" t="n">
        <v>3102</v>
      </c>
      <c r="B2118" s="5" t="n">
        <v>118</v>
      </c>
      <c r="C2118" s="72" t="inlineStr">
        <is>
          <t>X</t>
        </is>
      </c>
      <c r="D2118" s="5" t="n">
        <v>209</v>
      </c>
      <c r="E2118" s="73">
        <f>B2118*D2118/10000</f>
        <v/>
      </c>
      <c r="F2118" s="74">
        <f>B2118/30.48</f>
        <v/>
      </c>
      <c r="G2118" s="74">
        <f>D2118/30.48</f>
        <v/>
      </c>
      <c r="H2118" s="615" t="n"/>
      <c r="N2118" s="211" t="n"/>
      <c r="Q2118" s="271" t="n"/>
      <c r="R2118" s="282" t="n"/>
    </row>
    <row r="2119" ht="18" customHeight="1" s="305">
      <c r="A2119" s="8" t="n">
        <v>3103</v>
      </c>
      <c r="B2119" s="5" t="n">
        <v>197</v>
      </c>
      <c r="C2119" s="72" t="inlineStr">
        <is>
          <t>X</t>
        </is>
      </c>
      <c r="D2119" s="5" t="n">
        <v>287</v>
      </c>
      <c r="E2119" s="73">
        <f>B2119*D2119/10000</f>
        <v/>
      </c>
      <c r="F2119" s="74">
        <f>B2119/30.48</f>
        <v/>
      </c>
      <c r="G2119" s="74">
        <f>D2119/30.48</f>
        <v/>
      </c>
      <c r="H2119" s="615" t="n"/>
      <c r="N2119" s="211" t="n"/>
      <c r="Q2119" s="271" t="n"/>
      <c r="R2119" s="282" t="n"/>
    </row>
    <row r="2120" ht="18" customHeight="1" s="305">
      <c r="A2120" s="8" t="n">
        <v>3104</v>
      </c>
      <c r="B2120" s="5" t="n">
        <v>155</v>
      </c>
      <c r="C2120" s="72" t="inlineStr">
        <is>
          <t>X</t>
        </is>
      </c>
      <c r="D2120" s="5" t="n">
        <v>200</v>
      </c>
      <c r="E2120" s="73">
        <f>B2120*D2120/10000</f>
        <v/>
      </c>
      <c r="F2120" s="74">
        <f>B2120/30.48</f>
        <v/>
      </c>
      <c r="G2120" s="74">
        <f>D2120/30.48</f>
        <v/>
      </c>
      <c r="H2120" s="615" t="n"/>
      <c r="N2120" s="211" t="n"/>
      <c r="Q2120" s="271" t="n"/>
      <c r="R2120" s="282" t="n"/>
    </row>
    <row r="2121" ht="18" customHeight="1" s="305">
      <c r="A2121" s="8" t="n">
        <v>3105</v>
      </c>
      <c r="B2121" s="5" t="n">
        <v>158</v>
      </c>
      <c r="C2121" s="72" t="inlineStr">
        <is>
          <t>X</t>
        </is>
      </c>
      <c r="D2121" s="5" t="n">
        <v>239</v>
      </c>
      <c r="E2121" s="73">
        <f>B2121*D2121/10000</f>
        <v/>
      </c>
      <c r="F2121" s="74">
        <f>B2121/30.48</f>
        <v/>
      </c>
      <c r="G2121" s="74">
        <f>D2121/30.48</f>
        <v/>
      </c>
      <c r="H2121" s="615" t="n"/>
      <c r="N2121" s="211" t="n"/>
      <c r="Q2121" s="271" t="n"/>
      <c r="R2121" s="282" t="n"/>
    </row>
    <row r="2122" ht="18" customHeight="1" s="305">
      <c r="A2122" s="8" t="n">
        <v>3109</v>
      </c>
      <c r="B2122" s="5" t="n">
        <v>185</v>
      </c>
      <c r="C2122" s="72" t="inlineStr">
        <is>
          <t>X</t>
        </is>
      </c>
      <c r="D2122" s="5" t="n">
        <v>216</v>
      </c>
      <c r="E2122" s="73">
        <f>B2122*D2122/10000</f>
        <v/>
      </c>
      <c r="F2122" s="74">
        <f>B2122/30.48</f>
        <v/>
      </c>
      <c r="G2122" s="74">
        <f>D2122/30.48</f>
        <v/>
      </c>
      <c r="H2122" s="615" t="n"/>
      <c r="N2122" s="211" t="n"/>
      <c r="Q2122" s="271" t="n"/>
      <c r="R2122" s="282" t="n"/>
    </row>
    <row r="2123" ht="18" customHeight="1" s="305">
      <c r="A2123" s="8" t="n">
        <v>3112</v>
      </c>
      <c r="B2123" s="5" t="n">
        <v>124</v>
      </c>
      <c r="C2123" s="72" t="inlineStr">
        <is>
          <t>X</t>
        </is>
      </c>
      <c r="D2123" s="5" t="n">
        <v>202</v>
      </c>
      <c r="E2123" s="73">
        <f>B2123*D2123/10000</f>
        <v/>
      </c>
      <c r="F2123" s="74">
        <f>B2123/30.48</f>
        <v/>
      </c>
      <c r="G2123" s="74">
        <f>D2123/30.48</f>
        <v/>
      </c>
      <c r="H2123" s="615" t="n"/>
      <c r="N2123" s="211" t="n"/>
      <c r="Q2123" s="271" t="n"/>
      <c r="R2123" s="282" t="n"/>
    </row>
    <row r="2124" ht="18" customHeight="1" s="305">
      <c r="A2124" s="8" t="n">
        <v>3113</v>
      </c>
      <c r="B2124" s="5" t="n">
        <v>178</v>
      </c>
      <c r="C2124" s="72" t="inlineStr">
        <is>
          <t>X</t>
        </is>
      </c>
      <c r="D2124" s="5" t="n">
        <v>263</v>
      </c>
      <c r="E2124" s="73">
        <f>B2124*D2124/10000</f>
        <v/>
      </c>
      <c r="F2124" s="74">
        <f>B2124/30.48</f>
        <v/>
      </c>
      <c r="G2124" s="74">
        <f>D2124/30.48</f>
        <v/>
      </c>
      <c r="H2124" s="615" t="n"/>
      <c r="K2124" s="51" t="inlineStr">
        <is>
          <t>PAC</t>
        </is>
      </c>
      <c r="N2124" s="211" t="n"/>
      <c r="Q2124" s="271" t="n"/>
      <c r="R2124" s="282" t="n"/>
    </row>
    <row r="2125" ht="18" customHeight="1" s="305">
      <c r="A2125" s="8" t="n">
        <v>3114</v>
      </c>
      <c r="B2125" s="5" t="n">
        <v>117</v>
      </c>
      <c r="C2125" s="72" t="inlineStr">
        <is>
          <t>X</t>
        </is>
      </c>
      <c r="D2125" s="5" t="n">
        <v>177</v>
      </c>
      <c r="E2125" s="73">
        <f>B2125*D2125/10000</f>
        <v/>
      </c>
      <c r="F2125" s="74">
        <f>B2125/30.48</f>
        <v/>
      </c>
      <c r="G2125" s="74">
        <f>D2125/30.48</f>
        <v/>
      </c>
      <c r="H2125" s="615" t="n"/>
      <c r="N2125" s="211" t="n"/>
      <c r="Q2125" s="271" t="n"/>
      <c r="R2125" s="282" t="n"/>
    </row>
    <row r="2126" ht="18" customHeight="1" s="305">
      <c r="A2126" s="8" t="n">
        <v>3118</v>
      </c>
      <c r="B2126" s="5" t="n">
        <v>115</v>
      </c>
      <c r="C2126" s="72" t="inlineStr">
        <is>
          <t>X</t>
        </is>
      </c>
      <c r="D2126" s="5" t="n">
        <v>170</v>
      </c>
      <c r="E2126" s="73">
        <f>B2126*D2126/10000</f>
        <v/>
      </c>
      <c r="F2126" s="74">
        <f>B2126/30.48</f>
        <v/>
      </c>
      <c r="G2126" s="74">
        <f>D2126/30.48</f>
        <v/>
      </c>
      <c r="H2126" s="615" t="n"/>
      <c r="N2126" s="211" t="n"/>
      <c r="Q2126" s="271" t="n"/>
      <c r="R2126" s="282" t="n"/>
    </row>
    <row r="2127" ht="18" customHeight="1" s="305">
      <c r="A2127" s="8" t="n">
        <v>3119</v>
      </c>
      <c r="B2127" s="5" t="n">
        <v>169</v>
      </c>
      <c r="C2127" s="72" t="inlineStr">
        <is>
          <t>X</t>
        </is>
      </c>
      <c r="D2127" s="5" t="n">
        <v>254</v>
      </c>
      <c r="E2127" s="73">
        <f>B2127*D2127/10000</f>
        <v/>
      </c>
      <c r="F2127" s="74">
        <f>B2127/30.48</f>
        <v/>
      </c>
      <c r="G2127" s="74">
        <f>D2127/30.48</f>
        <v/>
      </c>
      <c r="H2127" s="615" t="n"/>
      <c r="N2127" s="211" t="n"/>
      <c r="Q2127" s="271" t="n"/>
      <c r="R2127" s="282" t="n"/>
    </row>
    <row r="2128" ht="18" customHeight="1" s="305">
      <c r="A2128" s="8" t="n">
        <v>3120</v>
      </c>
      <c r="B2128" s="5" t="n">
        <v>83</v>
      </c>
      <c r="C2128" s="72" t="inlineStr">
        <is>
          <t>X</t>
        </is>
      </c>
      <c r="D2128" s="5" t="n">
        <v>282</v>
      </c>
      <c r="E2128" s="73">
        <f>B2128*D2128/10000</f>
        <v/>
      </c>
      <c r="F2128" s="74">
        <f>B2128/30.48</f>
        <v/>
      </c>
      <c r="G2128" s="74">
        <f>D2128/30.48</f>
        <v/>
      </c>
      <c r="H2128" s="615" t="n"/>
      <c r="N2128" s="211" t="n"/>
      <c r="Q2128" s="271" t="n"/>
      <c r="R2128" s="282" t="n"/>
    </row>
    <row r="2129" ht="18" customHeight="1" s="305">
      <c r="A2129" s="8" t="n">
        <v>3121</v>
      </c>
      <c r="B2129" s="5" t="n">
        <v>186</v>
      </c>
      <c r="C2129" s="72" t="inlineStr">
        <is>
          <t>X</t>
        </is>
      </c>
      <c r="D2129" s="5" t="n">
        <v>235</v>
      </c>
      <c r="E2129" s="73">
        <f>B2129*D2129/10000</f>
        <v/>
      </c>
      <c r="F2129" s="74">
        <f>B2129/30.48</f>
        <v/>
      </c>
      <c r="G2129" s="74">
        <f>D2129/30.48</f>
        <v/>
      </c>
      <c r="H2129" s="615" t="n"/>
      <c r="N2129" s="211" t="n"/>
      <c r="Q2129" s="271" t="n"/>
      <c r="R2129" s="282" t="n"/>
    </row>
    <row r="2130" ht="18" customHeight="1" s="305">
      <c r="A2130" s="8" t="n">
        <v>3123</v>
      </c>
      <c r="B2130" s="5" t="n">
        <v>72</v>
      </c>
      <c r="C2130" s="72" t="inlineStr">
        <is>
          <t>X</t>
        </is>
      </c>
      <c r="D2130" s="5" t="n">
        <v>130</v>
      </c>
      <c r="E2130" s="73">
        <f>B2130*D2130/10000</f>
        <v/>
      </c>
      <c r="F2130" s="74">
        <f>B2130/30.48</f>
        <v/>
      </c>
      <c r="G2130" s="74">
        <f>D2130/30.48</f>
        <v/>
      </c>
      <c r="H2130" s="615" t="n"/>
      <c r="N2130" s="211" t="n"/>
      <c r="Q2130" s="271" t="n"/>
      <c r="R2130" s="282" t="n"/>
    </row>
    <row r="2131" ht="18" customHeight="1" s="305">
      <c r="A2131" s="8" t="n">
        <v>3124</v>
      </c>
      <c r="B2131" s="5" t="n">
        <v>65</v>
      </c>
      <c r="C2131" s="72" t="inlineStr">
        <is>
          <t>X</t>
        </is>
      </c>
      <c r="D2131" s="5" t="n">
        <v>153</v>
      </c>
      <c r="E2131" s="73">
        <f>B2131*D2131/10000</f>
        <v/>
      </c>
      <c r="F2131" s="74">
        <f>B2131/30.48</f>
        <v/>
      </c>
      <c r="G2131" s="74">
        <f>D2131/30.48</f>
        <v/>
      </c>
      <c r="H2131" s="615" t="n"/>
      <c r="N2131" s="211" t="n"/>
      <c r="Q2131" s="271" t="n"/>
      <c r="R2131" s="282" t="n"/>
    </row>
    <row r="2132" ht="18" customHeight="1" s="305">
      <c r="A2132" s="8" t="n">
        <v>3125</v>
      </c>
      <c r="B2132" s="5" t="n">
        <v>150</v>
      </c>
      <c r="C2132" s="72" t="inlineStr">
        <is>
          <t>X</t>
        </is>
      </c>
      <c r="D2132" s="5" t="n">
        <v>248</v>
      </c>
      <c r="E2132" s="73">
        <f>B2132*D2132/10000</f>
        <v/>
      </c>
      <c r="F2132" s="74">
        <f>B2132/30.48</f>
        <v/>
      </c>
      <c r="G2132" s="74">
        <f>D2132/30.48</f>
        <v/>
      </c>
      <c r="H2132" s="615" t="n"/>
      <c r="N2132" s="211" t="n"/>
      <c r="Q2132" s="271" t="n"/>
      <c r="R2132" s="282" t="n"/>
    </row>
    <row r="2133" ht="18" customHeight="1" s="305">
      <c r="A2133" s="8" t="n">
        <v>3126</v>
      </c>
      <c r="B2133" s="5" t="n">
        <v>201</v>
      </c>
      <c r="C2133" s="72" t="inlineStr">
        <is>
          <t>X</t>
        </is>
      </c>
      <c r="D2133" s="5" t="n">
        <v>296</v>
      </c>
      <c r="E2133" s="73">
        <f>B2133*D2133/10000</f>
        <v/>
      </c>
      <c r="F2133" s="74">
        <f>B2133/30.48</f>
        <v/>
      </c>
      <c r="G2133" s="74">
        <f>D2133/30.48</f>
        <v/>
      </c>
      <c r="H2133" s="615" t="n"/>
      <c r="N2133" s="211" t="n"/>
      <c r="Q2133" s="271" t="n"/>
      <c r="R2133" s="282" t="n"/>
    </row>
    <row r="2134" ht="18" customHeight="1" s="305">
      <c r="A2134" s="8" t="n">
        <v>3128</v>
      </c>
      <c r="B2134" s="5" t="n">
        <v>117</v>
      </c>
      <c r="C2134" s="72" t="inlineStr">
        <is>
          <t>X</t>
        </is>
      </c>
      <c r="D2134" s="5" t="n">
        <v>170</v>
      </c>
      <c r="E2134" s="73">
        <f>B2134*D2134/10000</f>
        <v/>
      </c>
      <c r="F2134" s="74">
        <f>B2134/30.48</f>
        <v/>
      </c>
      <c r="G2134" s="74">
        <f>D2134/30.48</f>
        <v/>
      </c>
      <c r="H2134" s="615" t="n"/>
      <c r="N2134" s="211" t="n"/>
      <c r="Q2134" s="271" t="n"/>
      <c r="R2134" s="282" t="n"/>
    </row>
    <row r="2135" ht="18" customHeight="1" s="305">
      <c r="A2135" s="8" t="n">
        <v>3129</v>
      </c>
      <c r="B2135" s="5" t="n">
        <v>177</v>
      </c>
      <c r="C2135" s="72" t="inlineStr">
        <is>
          <t>X</t>
        </is>
      </c>
      <c r="D2135" s="5" t="n">
        <v>262</v>
      </c>
      <c r="E2135" s="73">
        <f>B2135*D2135/10000</f>
        <v/>
      </c>
      <c r="F2135" s="74">
        <f>B2135/30.48</f>
        <v/>
      </c>
      <c r="G2135" s="74">
        <f>D2135/30.48</f>
        <v/>
      </c>
      <c r="H2135" s="615" t="n"/>
      <c r="N2135" s="211" t="n"/>
      <c r="Q2135" s="271" t="n"/>
      <c r="R2135" s="282" t="n"/>
    </row>
    <row r="2136" ht="18" customHeight="1" s="305">
      <c r="A2136" s="8" t="n">
        <v>3130</v>
      </c>
      <c r="B2136" s="5" t="n">
        <v>104</v>
      </c>
      <c r="C2136" s="72" t="inlineStr">
        <is>
          <t>X</t>
        </is>
      </c>
      <c r="D2136" s="5" t="n">
        <v>161</v>
      </c>
      <c r="E2136" s="73">
        <f>B2136*D2136/10000</f>
        <v/>
      </c>
      <c r="F2136" s="74">
        <f>B2136/30.48</f>
        <v/>
      </c>
      <c r="G2136" s="74">
        <f>D2136/30.48</f>
        <v/>
      </c>
      <c r="H2136" s="615" t="n"/>
      <c r="N2136" s="211" t="n"/>
      <c r="Q2136" s="271" t="n"/>
      <c r="R2136" s="282" t="n"/>
    </row>
    <row r="2137" ht="18" customHeight="1" s="305">
      <c r="A2137" s="8" t="n">
        <v>3131</v>
      </c>
      <c r="B2137" s="5" t="n">
        <v>178</v>
      </c>
      <c r="C2137" s="72" t="inlineStr">
        <is>
          <t>X</t>
        </is>
      </c>
      <c r="D2137" s="5" t="n">
        <v>250</v>
      </c>
      <c r="E2137" s="73">
        <f>B2137*D2137/10000</f>
        <v/>
      </c>
      <c r="F2137" s="74">
        <f>B2137/30.48</f>
        <v/>
      </c>
      <c r="G2137" s="74">
        <f>D2137/30.48</f>
        <v/>
      </c>
      <c r="H2137" s="615" t="n"/>
      <c r="N2137" s="211" t="n"/>
      <c r="Q2137" s="271" t="n"/>
      <c r="R2137" s="282" t="n"/>
    </row>
    <row r="2138" ht="18" customHeight="1" s="305">
      <c r="A2138" s="8" t="n">
        <v>3132</v>
      </c>
      <c r="B2138" s="5" t="n">
        <v>123</v>
      </c>
      <c r="C2138" s="72" t="inlineStr">
        <is>
          <t>X</t>
        </is>
      </c>
      <c r="D2138" s="5" t="n">
        <v>176</v>
      </c>
      <c r="E2138" s="73">
        <f>B2138*D2138/10000</f>
        <v/>
      </c>
      <c r="F2138" s="74">
        <f>B2138/30.48</f>
        <v/>
      </c>
      <c r="G2138" s="74">
        <f>D2138/30.48</f>
        <v/>
      </c>
      <c r="H2138" s="615" t="n"/>
      <c r="N2138" s="211" t="n"/>
      <c r="Q2138" s="271" t="n"/>
      <c r="R2138" s="282" t="n"/>
    </row>
    <row r="2139" ht="18" customHeight="1" s="305">
      <c r="A2139" s="8" t="n">
        <v>3133</v>
      </c>
      <c r="B2139" s="5" t="n">
        <v>197</v>
      </c>
      <c r="C2139" s="72" t="inlineStr">
        <is>
          <t>X</t>
        </is>
      </c>
      <c r="D2139" s="5" t="n">
        <v>282</v>
      </c>
      <c r="E2139" s="73">
        <f>B2139*D2139/10000</f>
        <v/>
      </c>
      <c r="F2139" s="74">
        <f>B2139/30.48</f>
        <v/>
      </c>
      <c r="G2139" s="74">
        <f>D2139/30.48</f>
        <v/>
      </c>
      <c r="H2139" s="615" t="n"/>
      <c r="N2139" s="211" t="n"/>
      <c r="Q2139" s="271" t="n"/>
      <c r="R2139" s="282" t="n"/>
    </row>
    <row r="2140" ht="18" customHeight="1" s="305">
      <c r="A2140" s="8" t="n">
        <v>3134</v>
      </c>
      <c r="B2140" s="5" t="n">
        <v>77</v>
      </c>
      <c r="C2140" s="72" t="inlineStr">
        <is>
          <t>X</t>
        </is>
      </c>
      <c r="D2140" s="5" t="n">
        <v>287</v>
      </c>
      <c r="E2140" s="73">
        <f>B2140*D2140/10000</f>
        <v/>
      </c>
      <c r="F2140" s="74">
        <f>B2140/30.48</f>
        <v/>
      </c>
      <c r="G2140" s="74">
        <f>D2140/30.48</f>
        <v/>
      </c>
      <c r="H2140" s="615" t="n"/>
      <c r="N2140" s="211" t="n"/>
      <c r="Q2140" s="271" t="n"/>
      <c r="R2140" s="282" t="n"/>
    </row>
    <row r="2141" ht="18" customHeight="1" s="305">
      <c r="A2141" s="8" t="n">
        <v>3135</v>
      </c>
      <c r="B2141" s="5" t="n">
        <v>219</v>
      </c>
      <c r="C2141" s="72" t="inlineStr">
        <is>
          <t>X</t>
        </is>
      </c>
      <c r="D2141" s="5" t="n">
        <v>336</v>
      </c>
      <c r="E2141" s="73">
        <f>B2141*D2141/10000</f>
        <v/>
      </c>
      <c r="F2141" s="74">
        <f>B2141/30.48</f>
        <v/>
      </c>
      <c r="G2141" s="74">
        <f>D2141/30.48</f>
        <v/>
      </c>
      <c r="H2141" s="615" t="n"/>
      <c r="N2141" s="211" t="n"/>
      <c r="Q2141" s="271" t="n"/>
      <c r="R2141" s="282" t="n"/>
    </row>
    <row r="2142" ht="18" customHeight="1" s="305">
      <c r="A2142" s="8" t="n">
        <v>3136</v>
      </c>
      <c r="B2142" s="5" t="n">
        <v>152</v>
      </c>
      <c r="C2142" s="72" t="inlineStr">
        <is>
          <t>X</t>
        </is>
      </c>
      <c r="D2142" s="5" t="n">
        <v>252</v>
      </c>
      <c r="E2142" s="73">
        <f>B2142*D2142/10000</f>
        <v/>
      </c>
      <c r="F2142" s="74">
        <f>B2142/30.48</f>
        <v/>
      </c>
      <c r="G2142" s="74">
        <f>D2142/30.48</f>
        <v/>
      </c>
      <c r="H2142" s="615" t="n"/>
      <c r="N2142" s="211" t="n"/>
      <c r="Q2142" s="271" t="n"/>
      <c r="R2142" s="282" t="n"/>
    </row>
    <row r="2143" ht="18" customHeight="1" s="305">
      <c r="A2143" s="8" t="n">
        <v>3137</v>
      </c>
      <c r="B2143" s="5" t="n">
        <v>187</v>
      </c>
      <c r="C2143" s="72" t="inlineStr">
        <is>
          <t>X</t>
        </is>
      </c>
      <c r="D2143" s="5" t="n">
        <v>265</v>
      </c>
      <c r="E2143" s="73">
        <f>B2143*D2143/10000</f>
        <v/>
      </c>
      <c r="F2143" s="74">
        <f>B2143/30.48</f>
        <v/>
      </c>
      <c r="G2143" s="74">
        <f>D2143/30.48</f>
        <v/>
      </c>
      <c r="H2143" s="615" t="n"/>
      <c r="N2143" s="211" t="n"/>
      <c r="Q2143" s="271" t="n"/>
      <c r="R2143" s="282" t="n"/>
    </row>
    <row r="2144" ht="18" customHeight="1" s="305">
      <c r="A2144" s="8" t="n">
        <v>3138</v>
      </c>
      <c r="B2144" s="5" t="n">
        <v>159</v>
      </c>
      <c r="C2144" s="72" t="inlineStr">
        <is>
          <t>X</t>
        </is>
      </c>
      <c r="D2144" s="5" t="n">
        <v>247</v>
      </c>
      <c r="E2144" s="73">
        <f>B2144*D2144/10000</f>
        <v/>
      </c>
      <c r="F2144" s="74">
        <f>B2144/30.48</f>
        <v/>
      </c>
      <c r="G2144" s="74">
        <f>D2144/30.48</f>
        <v/>
      </c>
      <c r="H2144" s="615" t="n"/>
      <c r="N2144" s="211" t="n"/>
      <c r="Q2144" s="271" t="n"/>
      <c r="R2144" s="282" t="n"/>
    </row>
    <row r="2145" ht="18" customHeight="1" s="305">
      <c r="A2145" s="8" t="n">
        <v>3139</v>
      </c>
      <c r="B2145" s="5" t="n">
        <v>158</v>
      </c>
      <c r="C2145" s="72" t="inlineStr">
        <is>
          <t>X</t>
        </is>
      </c>
      <c r="D2145" s="5" t="n">
        <v>253</v>
      </c>
      <c r="E2145" s="73">
        <f>B2145*D2145/10000</f>
        <v/>
      </c>
      <c r="F2145" s="74">
        <f>B2145/30.48</f>
        <v/>
      </c>
      <c r="G2145" s="74">
        <f>D2145/30.48</f>
        <v/>
      </c>
      <c r="H2145" s="615" t="n"/>
      <c r="N2145" s="211" t="n"/>
      <c r="Q2145" s="271" t="n"/>
      <c r="R2145" s="282" t="n"/>
    </row>
    <row r="2146" ht="18" customHeight="1" s="305">
      <c r="A2146" s="8" t="n">
        <v>3140</v>
      </c>
      <c r="B2146" s="5" t="n">
        <v>120</v>
      </c>
      <c r="C2146" s="72" t="inlineStr">
        <is>
          <t>X</t>
        </is>
      </c>
      <c r="D2146" s="5" t="n">
        <v>199</v>
      </c>
      <c r="E2146" s="73">
        <f>B2146*D2146/10000</f>
        <v/>
      </c>
      <c r="F2146" s="74">
        <f>B2146/30.48</f>
        <v/>
      </c>
      <c r="G2146" s="74">
        <f>D2146/30.48</f>
        <v/>
      </c>
      <c r="H2146" s="615" t="n"/>
      <c r="N2146" s="211" t="n"/>
      <c r="Q2146" s="271" t="n"/>
      <c r="R2146" s="282" t="n"/>
    </row>
    <row r="2147" ht="18" customHeight="1" s="305">
      <c r="A2147" s="8" t="n">
        <v>3142</v>
      </c>
      <c r="B2147" s="5" t="n">
        <v>206</v>
      </c>
      <c r="C2147" s="72" t="inlineStr">
        <is>
          <t>X</t>
        </is>
      </c>
      <c r="D2147" s="5" t="n">
        <v>259</v>
      </c>
      <c r="E2147" s="73">
        <f>B2147*D2147/10000</f>
        <v/>
      </c>
      <c r="F2147" s="74">
        <f>B2147/30.48</f>
        <v/>
      </c>
      <c r="G2147" s="74">
        <f>D2147/30.48</f>
        <v/>
      </c>
      <c r="H2147" s="615" t="n"/>
      <c r="N2147" s="211" t="n"/>
      <c r="Q2147" s="271" t="n"/>
      <c r="R2147" s="282" t="n"/>
    </row>
    <row r="2148" ht="18" customHeight="1" s="305">
      <c r="A2148" s="8" t="n">
        <v>3143</v>
      </c>
      <c r="B2148" s="5" t="n">
        <v>81</v>
      </c>
      <c r="C2148" s="72" t="inlineStr">
        <is>
          <t>X</t>
        </is>
      </c>
      <c r="D2148" s="5" t="n">
        <v>291</v>
      </c>
      <c r="E2148" s="73">
        <f>B2148*D2148/10000</f>
        <v/>
      </c>
      <c r="F2148" s="74">
        <f>B2148/30.48</f>
        <v/>
      </c>
      <c r="G2148" s="74">
        <f>D2148/30.48</f>
        <v/>
      </c>
      <c r="H2148" s="615" t="n"/>
      <c r="N2148" s="211" t="n"/>
      <c r="Q2148" s="271" t="n"/>
      <c r="R2148" s="282" t="n"/>
    </row>
    <row r="2149" ht="18" customHeight="1" s="305">
      <c r="A2149" s="8" t="n">
        <v>3144</v>
      </c>
      <c r="B2149" s="5" t="n">
        <v>160</v>
      </c>
      <c r="C2149" s="72" t="inlineStr">
        <is>
          <t>X</t>
        </is>
      </c>
      <c r="D2149" s="5" t="n">
        <v>238</v>
      </c>
      <c r="E2149" s="73">
        <f>B2149*D2149/10000</f>
        <v/>
      </c>
      <c r="F2149" s="74">
        <f>B2149/30.48</f>
        <v/>
      </c>
      <c r="G2149" s="74">
        <f>D2149/30.48</f>
        <v/>
      </c>
      <c r="H2149" s="615" t="n"/>
      <c r="N2149" s="211" t="n"/>
      <c r="Q2149" s="271" t="n"/>
      <c r="R2149" s="282" t="n"/>
    </row>
    <row r="2150" ht="18" customHeight="1" s="305">
      <c r="A2150" s="8" t="n">
        <v>3146</v>
      </c>
      <c r="B2150" s="5" t="n">
        <v>152</v>
      </c>
      <c r="C2150" s="72" t="inlineStr">
        <is>
          <t>X</t>
        </is>
      </c>
      <c r="D2150" s="5" t="n">
        <v>207</v>
      </c>
      <c r="E2150" s="73">
        <f>B2150*D2150/10000</f>
        <v/>
      </c>
      <c r="F2150" s="74">
        <f>B2150/30.48</f>
        <v/>
      </c>
      <c r="G2150" s="74">
        <f>D2150/30.48</f>
        <v/>
      </c>
      <c r="H2150" s="615" t="n"/>
      <c r="N2150" s="211" t="n"/>
      <c r="Q2150" s="271" t="n"/>
      <c r="R2150" s="282" t="n"/>
    </row>
    <row r="2151" ht="18" customHeight="1" s="305">
      <c r="A2151" s="8" t="n">
        <v>3148</v>
      </c>
      <c r="B2151" s="5" t="n">
        <v>170</v>
      </c>
      <c r="C2151" s="72" t="inlineStr">
        <is>
          <t>X</t>
        </is>
      </c>
      <c r="D2151" s="5" t="n">
        <v>227</v>
      </c>
      <c r="E2151" s="73">
        <f>B2151*D2151/10000</f>
        <v/>
      </c>
      <c r="F2151" s="74">
        <f>B2151/30.48</f>
        <v/>
      </c>
      <c r="G2151" s="74">
        <f>D2151/30.48</f>
        <v/>
      </c>
      <c r="H2151" s="615" t="n"/>
      <c r="N2151" s="211" t="n"/>
      <c r="Q2151" s="271" t="n"/>
      <c r="R2151" s="282" t="n"/>
    </row>
    <row r="2152" ht="18" customHeight="1" s="305">
      <c r="A2152" s="8" t="n">
        <v>3149</v>
      </c>
      <c r="B2152" s="5" t="n">
        <v>202</v>
      </c>
      <c r="C2152" s="72" t="inlineStr">
        <is>
          <t>X</t>
        </is>
      </c>
      <c r="D2152" s="5" t="n">
        <v>297</v>
      </c>
      <c r="E2152" s="73">
        <f>B2152*D2152/10000</f>
        <v/>
      </c>
      <c r="F2152" s="74">
        <f>B2152/30.48</f>
        <v/>
      </c>
      <c r="G2152" s="74">
        <f>D2152/30.48</f>
        <v/>
      </c>
      <c r="H2152" s="615" t="n"/>
      <c r="N2152" s="211" t="n"/>
      <c r="Q2152" s="271" t="n"/>
      <c r="R2152" s="282" t="n"/>
    </row>
    <row r="2153" ht="18" customHeight="1" s="305">
      <c r="A2153" s="8" t="n">
        <v>3151</v>
      </c>
      <c r="B2153" s="5" t="n">
        <v>103</v>
      </c>
      <c r="C2153" s="72" t="inlineStr">
        <is>
          <t>X</t>
        </is>
      </c>
      <c r="D2153" s="5" t="n">
        <v>171</v>
      </c>
      <c r="E2153" s="73">
        <f>B2153*D2153/10000</f>
        <v/>
      </c>
      <c r="F2153" s="74">
        <f>B2153/30.48</f>
        <v/>
      </c>
      <c r="G2153" s="74">
        <f>D2153/30.48</f>
        <v/>
      </c>
      <c r="H2153" s="615" t="n"/>
      <c r="N2153" s="211" t="n"/>
      <c r="Q2153" s="271" t="n"/>
      <c r="R2153" s="282" t="n"/>
    </row>
    <row r="2154" ht="18" customHeight="1" s="305">
      <c r="A2154" s="8" t="n">
        <v>3152</v>
      </c>
      <c r="B2154" s="5" t="n">
        <v>191</v>
      </c>
      <c r="C2154" s="72" t="inlineStr">
        <is>
          <t>X</t>
        </is>
      </c>
      <c r="D2154" s="5" t="n">
        <v>301</v>
      </c>
      <c r="E2154" s="73">
        <f>B2154*D2154/10000</f>
        <v/>
      </c>
      <c r="F2154" s="74">
        <f>B2154/30.48</f>
        <v/>
      </c>
      <c r="G2154" s="74">
        <f>D2154/30.48</f>
        <v/>
      </c>
      <c r="H2154" s="615" t="n"/>
      <c r="N2154" s="211" t="n"/>
      <c r="Q2154" s="271" t="n"/>
      <c r="R2154" s="282" t="n"/>
    </row>
    <row r="2155" ht="18" customHeight="1" s="305">
      <c r="A2155" s="8" t="n">
        <v>3154</v>
      </c>
      <c r="B2155" s="5" t="n">
        <v>194</v>
      </c>
      <c r="C2155" s="72" t="inlineStr">
        <is>
          <t>X</t>
        </is>
      </c>
      <c r="D2155" s="5" t="n">
        <v>262</v>
      </c>
      <c r="E2155" s="73">
        <f>B2155*D2155/10000</f>
        <v/>
      </c>
      <c r="F2155" s="74">
        <f>B2155/30.48</f>
        <v/>
      </c>
      <c r="G2155" s="74">
        <f>D2155/30.48</f>
        <v/>
      </c>
      <c r="H2155" s="615" t="n"/>
      <c r="K2155" s="51" t="inlineStr">
        <is>
          <t>PAC</t>
        </is>
      </c>
      <c r="N2155" s="211" t="n"/>
      <c r="Q2155" s="271" t="n"/>
      <c r="R2155" s="282" t="n"/>
    </row>
    <row r="2156" ht="18" customHeight="1" s="305">
      <c r="A2156" s="8" t="n">
        <v>3157</v>
      </c>
      <c r="B2156" s="5" t="n">
        <v>195</v>
      </c>
      <c r="C2156" s="72" t="inlineStr">
        <is>
          <t>X</t>
        </is>
      </c>
      <c r="D2156" s="5" t="n">
        <v>281</v>
      </c>
      <c r="E2156" s="73">
        <f>B2156*D2156/10000</f>
        <v/>
      </c>
      <c r="F2156" s="74">
        <f>B2156/30.48</f>
        <v/>
      </c>
      <c r="G2156" s="74">
        <f>D2156/30.48</f>
        <v/>
      </c>
      <c r="H2156" s="615" t="n"/>
      <c r="N2156" s="211" t="n"/>
      <c r="Q2156" s="271" t="n"/>
      <c r="R2156" s="282" t="n"/>
    </row>
    <row r="2157" ht="18" customHeight="1" s="305">
      <c r="A2157" s="8" t="n">
        <v>3159</v>
      </c>
      <c r="B2157" s="5" t="n">
        <v>125</v>
      </c>
      <c r="C2157" s="72" t="inlineStr">
        <is>
          <t>X</t>
        </is>
      </c>
      <c r="D2157" s="5" t="n">
        <v>170</v>
      </c>
      <c r="E2157" s="73">
        <f>B2157*D2157/10000</f>
        <v/>
      </c>
      <c r="F2157" s="74">
        <f>B2157/30.48</f>
        <v/>
      </c>
      <c r="G2157" s="74">
        <f>D2157/30.48</f>
        <v/>
      </c>
      <c r="H2157" s="615" t="n"/>
      <c r="N2157" s="211" t="n"/>
      <c r="Q2157" s="271" t="n"/>
      <c r="R2157" s="282" t="n"/>
    </row>
    <row r="2158" ht="18" customHeight="1" s="305">
      <c r="A2158" s="8" t="n">
        <v>3160</v>
      </c>
      <c r="B2158" s="5" t="n">
        <v>196</v>
      </c>
      <c r="C2158" s="72" t="inlineStr">
        <is>
          <t>X</t>
        </is>
      </c>
      <c r="D2158" s="5" t="n">
        <v>293</v>
      </c>
      <c r="E2158" s="73">
        <f>B2158*D2158/10000</f>
        <v/>
      </c>
      <c r="F2158" s="74">
        <f>B2158/30.48</f>
        <v/>
      </c>
      <c r="G2158" s="74">
        <f>D2158/30.48</f>
        <v/>
      </c>
      <c r="H2158" s="615" t="n"/>
      <c r="N2158" s="211" t="n"/>
      <c r="Q2158" s="271" t="n"/>
      <c r="R2158" s="282" t="n"/>
    </row>
    <row r="2159" ht="18" customHeight="1" s="305">
      <c r="A2159" s="8" t="n">
        <v>3161</v>
      </c>
      <c r="B2159" s="5" t="n">
        <v>76</v>
      </c>
      <c r="C2159" s="72" t="inlineStr">
        <is>
          <t>X</t>
        </is>
      </c>
      <c r="D2159" s="5" t="n">
        <v>220</v>
      </c>
      <c r="E2159" s="73">
        <f>B2159*D2159/10000</f>
        <v/>
      </c>
      <c r="F2159" s="74">
        <f>B2159/30.48</f>
        <v/>
      </c>
      <c r="G2159" s="74">
        <f>D2159/30.48</f>
        <v/>
      </c>
      <c r="H2159" s="615" t="n"/>
      <c r="N2159" s="211" t="n"/>
      <c r="Q2159" s="271" t="n"/>
      <c r="R2159" s="282" t="n"/>
    </row>
    <row r="2160" ht="18" customHeight="1" s="305">
      <c r="A2160" s="8" t="n">
        <v>3163</v>
      </c>
      <c r="B2160" s="5" t="n">
        <v>189</v>
      </c>
      <c r="C2160" s="72" t="inlineStr">
        <is>
          <t>X</t>
        </is>
      </c>
      <c r="D2160" s="5" t="n">
        <v>305</v>
      </c>
      <c r="E2160" s="73">
        <f>B2160*D2160/10000</f>
        <v/>
      </c>
      <c r="F2160" s="74">
        <f>B2160/30.48</f>
        <v/>
      </c>
      <c r="G2160" s="74">
        <f>D2160/30.48</f>
        <v/>
      </c>
      <c r="H2160" s="615" t="n"/>
      <c r="N2160" s="211" t="n"/>
      <c r="Q2160" s="271" t="n"/>
      <c r="R2160" s="282" t="n"/>
    </row>
    <row r="2161" ht="18" customHeight="1" s="305">
      <c r="A2161" s="8" t="n">
        <v>3164</v>
      </c>
      <c r="B2161" s="5" t="n">
        <v>123</v>
      </c>
      <c r="C2161" s="72" t="inlineStr">
        <is>
          <t>X</t>
        </is>
      </c>
      <c r="D2161" s="5" t="n">
        <v>192</v>
      </c>
      <c r="E2161" s="73">
        <f>B2161*D2161/10000</f>
        <v/>
      </c>
      <c r="F2161" s="74">
        <f>B2161/30.48</f>
        <v/>
      </c>
      <c r="G2161" s="74">
        <f>D2161/30.48</f>
        <v/>
      </c>
      <c r="H2161" s="615" t="n"/>
      <c r="N2161" s="211" t="n"/>
      <c r="Q2161" s="271" t="n"/>
      <c r="R2161" s="282" t="n"/>
    </row>
    <row r="2162" ht="18" customHeight="1" s="305">
      <c r="A2162" s="8" t="n">
        <v>3167</v>
      </c>
      <c r="B2162" s="5" t="n">
        <v>215</v>
      </c>
      <c r="C2162" s="72" t="inlineStr">
        <is>
          <t>X</t>
        </is>
      </c>
      <c r="D2162" s="5" t="n">
        <v>282</v>
      </c>
      <c r="E2162" s="73">
        <f>B2162*D2162/10000</f>
        <v/>
      </c>
      <c r="F2162" s="74">
        <f>B2162/30.48</f>
        <v/>
      </c>
      <c r="G2162" s="74">
        <f>D2162/30.48</f>
        <v/>
      </c>
      <c r="H2162" s="615" t="n"/>
      <c r="N2162" s="211" t="n"/>
      <c r="Q2162" s="271" t="n"/>
      <c r="R2162" s="282" t="n"/>
    </row>
    <row r="2163" ht="18" customHeight="1" s="305">
      <c r="A2163" s="8" t="n">
        <v>3168</v>
      </c>
      <c r="B2163" s="5" t="n">
        <v>170</v>
      </c>
      <c r="C2163" s="72" t="inlineStr">
        <is>
          <t>X</t>
        </is>
      </c>
      <c r="D2163" s="5" t="n">
        <v>253</v>
      </c>
      <c r="E2163" s="73">
        <f>B2163*D2163/10000</f>
        <v/>
      </c>
      <c r="F2163" s="74">
        <f>B2163/30.48</f>
        <v/>
      </c>
      <c r="G2163" s="74">
        <f>D2163/30.48</f>
        <v/>
      </c>
      <c r="H2163" s="615" t="n"/>
      <c r="N2163" s="211" t="n"/>
      <c r="Q2163" s="271" t="n"/>
      <c r="R2163" s="282" t="n"/>
    </row>
    <row r="2164" ht="18" customHeight="1" s="305">
      <c r="A2164" s="8" t="n">
        <v>3169</v>
      </c>
      <c r="B2164" s="5" t="n">
        <v>206</v>
      </c>
      <c r="C2164" s="72" t="inlineStr">
        <is>
          <t>X</t>
        </is>
      </c>
      <c r="D2164" s="5" t="n">
        <v>301</v>
      </c>
      <c r="E2164" s="73">
        <f>B2164*D2164/10000</f>
        <v/>
      </c>
      <c r="F2164" s="74">
        <f>B2164/30.48</f>
        <v/>
      </c>
      <c r="G2164" s="74">
        <f>D2164/30.48</f>
        <v/>
      </c>
      <c r="H2164" s="615" t="n"/>
      <c r="N2164" s="211" t="n"/>
      <c r="Q2164" s="271" t="n"/>
      <c r="R2164" s="282" t="n"/>
    </row>
    <row r="2165" ht="18" customHeight="1" s="305">
      <c r="A2165" s="8" t="n">
        <v>3171</v>
      </c>
      <c r="B2165" s="5" t="n">
        <v>118</v>
      </c>
      <c r="C2165" s="72" t="inlineStr">
        <is>
          <t>X</t>
        </is>
      </c>
      <c r="D2165" s="5" t="n">
        <v>323</v>
      </c>
      <c r="E2165" s="73">
        <f>B2165*D2165/10000</f>
        <v/>
      </c>
      <c r="F2165" s="74">
        <f>B2165/30.48</f>
        <v/>
      </c>
      <c r="G2165" s="74">
        <f>D2165/30.48</f>
        <v/>
      </c>
      <c r="H2165" s="615" t="inlineStr">
        <is>
          <t>özel fiyat</t>
        </is>
      </c>
      <c r="N2165" s="211" t="n"/>
      <c r="Q2165" s="271" t="n"/>
      <c r="R2165" s="282" t="n"/>
    </row>
    <row r="2166" ht="18" customHeight="1" s="305">
      <c r="A2166" s="8" t="n">
        <v>3173</v>
      </c>
      <c r="B2166" s="5" t="n">
        <v>188</v>
      </c>
      <c r="C2166" s="72" t="inlineStr">
        <is>
          <t>X</t>
        </is>
      </c>
      <c r="D2166" s="5" t="n">
        <v>261</v>
      </c>
      <c r="E2166" s="73">
        <f>B2166*D2166/10000</f>
        <v/>
      </c>
      <c r="F2166" s="74">
        <f>B2166/30.48</f>
        <v/>
      </c>
      <c r="G2166" s="74">
        <f>D2166/30.48</f>
        <v/>
      </c>
      <c r="H2166" s="615" t="n"/>
      <c r="N2166" s="211" t="n"/>
      <c r="Q2166" s="271" t="n"/>
      <c r="R2166" s="282" t="n"/>
    </row>
    <row r="2167" ht="18" customHeight="1" s="305">
      <c r="A2167" s="8" t="n">
        <v>3174</v>
      </c>
      <c r="B2167" s="5" t="n">
        <v>119</v>
      </c>
      <c r="C2167" s="72" t="inlineStr">
        <is>
          <t>X</t>
        </is>
      </c>
      <c r="D2167" s="5" t="n">
        <v>191</v>
      </c>
      <c r="E2167" s="73">
        <f>B2167*D2167/10000</f>
        <v/>
      </c>
      <c r="F2167" s="74">
        <f>B2167/30.48</f>
        <v/>
      </c>
      <c r="G2167" s="74">
        <f>D2167/30.48</f>
        <v/>
      </c>
      <c r="H2167" s="615" t="n"/>
      <c r="N2167" s="211" t="n"/>
      <c r="Q2167" s="271" t="n"/>
      <c r="R2167" s="282" t="n"/>
    </row>
    <row r="2168" ht="18" customHeight="1" s="305">
      <c r="A2168" s="8" t="n">
        <v>3175</v>
      </c>
      <c r="B2168" s="5" t="n">
        <v>190</v>
      </c>
      <c r="C2168" s="72" t="inlineStr">
        <is>
          <t>X</t>
        </is>
      </c>
      <c r="D2168" s="5" t="n">
        <v>267</v>
      </c>
      <c r="E2168" s="73">
        <f>B2168*D2168/10000</f>
        <v/>
      </c>
      <c r="F2168" s="74">
        <f>B2168/30.48</f>
        <v/>
      </c>
      <c r="G2168" s="74">
        <f>D2168/30.48</f>
        <v/>
      </c>
      <c r="H2168" s="615" t="n"/>
      <c r="N2168" s="211" t="n"/>
      <c r="Q2168" s="271" t="n"/>
      <c r="R2168" s="282" t="n"/>
    </row>
    <row r="2169" ht="18" customHeight="1" s="305">
      <c r="A2169" s="8" t="n">
        <v>3177</v>
      </c>
      <c r="B2169" s="5" t="n">
        <v>167</v>
      </c>
      <c r="C2169" s="72" t="inlineStr">
        <is>
          <t>X</t>
        </is>
      </c>
      <c r="D2169" s="5" t="n">
        <v>237</v>
      </c>
      <c r="E2169" s="73">
        <f>B2169*D2169/10000</f>
        <v/>
      </c>
      <c r="F2169" s="74">
        <f>B2169/30.48</f>
        <v/>
      </c>
      <c r="G2169" s="74">
        <f>D2169/30.48</f>
        <v/>
      </c>
      <c r="H2169" s="615" t="n"/>
      <c r="N2169" s="211" t="n"/>
      <c r="Q2169" s="271" t="n"/>
      <c r="R2169" s="282" t="n"/>
    </row>
    <row r="2170" ht="18" customHeight="1" s="305">
      <c r="A2170" s="8" t="n">
        <v>3178</v>
      </c>
      <c r="B2170" s="5" t="n">
        <v>83</v>
      </c>
      <c r="C2170" s="72" t="inlineStr">
        <is>
          <t>X</t>
        </is>
      </c>
      <c r="D2170" s="5" t="n">
        <v>129</v>
      </c>
      <c r="E2170" s="73">
        <f>B2170*D2170/10000</f>
        <v/>
      </c>
      <c r="F2170" s="74">
        <f>B2170/30.48</f>
        <v/>
      </c>
      <c r="G2170" s="74">
        <f>D2170/30.48</f>
        <v/>
      </c>
      <c r="H2170" s="615" t="n"/>
      <c r="N2170" s="211" t="n"/>
      <c r="Q2170" s="271" t="n"/>
      <c r="R2170" s="282" t="n"/>
    </row>
    <row r="2171" ht="18" customHeight="1" s="305">
      <c r="A2171" s="8" t="n">
        <v>3179</v>
      </c>
      <c r="B2171" s="5" t="n">
        <v>128</v>
      </c>
      <c r="C2171" s="72" t="inlineStr">
        <is>
          <t>X</t>
        </is>
      </c>
      <c r="D2171" s="5" t="n">
        <v>190</v>
      </c>
      <c r="E2171" s="73">
        <f>B2171*D2171/10000</f>
        <v/>
      </c>
      <c r="F2171" s="74">
        <f>B2171/30.48</f>
        <v/>
      </c>
      <c r="G2171" s="74">
        <f>D2171/30.48</f>
        <v/>
      </c>
      <c r="H2171" s="615" t="n"/>
      <c r="N2171" s="211" t="n"/>
      <c r="Q2171" s="271" t="n"/>
      <c r="R2171" s="282" t="n"/>
    </row>
    <row r="2172" ht="18" customHeight="1" s="305">
      <c r="A2172" s="8" t="n">
        <v>3181</v>
      </c>
      <c r="B2172" s="5" t="n">
        <v>204</v>
      </c>
      <c r="C2172" s="72" t="inlineStr">
        <is>
          <t>X</t>
        </is>
      </c>
      <c r="D2172" s="5" t="n">
        <v>283</v>
      </c>
      <c r="E2172" s="73">
        <f>B2172*D2172/10000</f>
        <v/>
      </c>
      <c r="F2172" s="74">
        <f>B2172/30.48</f>
        <v/>
      </c>
      <c r="G2172" s="74">
        <f>D2172/30.48</f>
        <v/>
      </c>
      <c r="H2172" s="615" t="n"/>
      <c r="N2172" s="211" t="n"/>
      <c r="Q2172" s="271" t="n"/>
      <c r="R2172" s="282" t="n"/>
    </row>
    <row r="2173" ht="18" customHeight="1" s="305">
      <c r="A2173" s="8" t="n">
        <v>3183</v>
      </c>
      <c r="B2173" s="5" t="n">
        <v>111</v>
      </c>
      <c r="C2173" s="72" t="inlineStr">
        <is>
          <t>X</t>
        </is>
      </c>
      <c r="D2173" s="5" t="n">
        <v>350</v>
      </c>
      <c r="E2173" s="73">
        <f>B2173*D2173/10000</f>
        <v/>
      </c>
      <c r="F2173" s="74">
        <f>B2173/30.48</f>
        <v/>
      </c>
      <c r="G2173" s="74">
        <f>D2173/30.48</f>
        <v/>
      </c>
      <c r="H2173" s="615" t="n"/>
      <c r="N2173" s="211" t="n"/>
      <c r="Q2173" s="271" t="n"/>
      <c r="R2173" s="282" t="n"/>
    </row>
    <row r="2174" ht="18" customHeight="1" s="305">
      <c r="A2174" s="8" t="n">
        <v>3184</v>
      </c>
      <c r="B2174" s="5" t="n">
        <v>90</v>
      </c>
      <c r="C2174" s="72" t="inlineStr">
        <is>
          <t>X</t>
        </is>
      </c>
      <c r="D2174" s="5" t="n">
        <v>135</v>
      </c>
      <c r="E2174" s="73">
        <f>B2174*D2174/10000</f>
        <v/>
      </c>
      <c r="F2174" s="74">
        <f>B2174/30.48</f>
        <v/>
      </c>
      <c r="G2174" s="74">
        <f>D2174/30.48</f>
        <v/>
      </c>
      <c r="H2174" s="615" t="n"/>
      <c r="N2174" s="211" t="n"/>
      <c r="Q2174" s="271" t="n"/>
      <c r="R2174" s="282" t="n"/>
    </row>
    <row r="2175" ht="18" customHeight="1" s="305">
      <c r="A2175" s="8" t="n">
        <v>3185</v>
      </c>
      <c r="B2175" s="5" t="n">
        <v>93</v>
      </c>
      <c r="C2175" s="72" t="inlineStr">
        <is>
          <t>X</t>
        </is>
      </c>
      <c r="D2175" s="5" t="n">
        <v>132</v>
      </c>
      <c r="E2175" s="73">
        <f>B2175*D2175/10000</f>
        <v/>
      </c>
      <c r="F2175" s="74">
        <f>B2175/30.48</f>
        <v/>
      </c>
      <c r="G2175" s="74">
        <f>D2175/30.48</f>
        <v/>
      </c>
      <c r="H2175" s="615" t="n"/>
      <c r="N2175" s="211" t="n"/>
      <c r="Q2175" s="271" t="n"/>
      <c r="R2175" s="282" t="n"/>
    </row>
    <row r="2176" ht="18" customHeight="1" s="305">
      <c r="A2176" s="8" t="n">
        <v>3186</v>
      </c>
      <c r="B2176" s="5" t="n">
        <v>191</v>
      </c>
      <c r="C2176" s="72" t="inlineStr">
        <is>
          <t>X</t>
        </is>
      </c>
      <c r="D2176" s="5" t="n">
        <v>239</v>
      </c>
      <c r="E2176" s="73">
        <f>B2176*D2176/10000</f>
        <v/>
      </c>
      <c r="F2176" s="74">
        <f>B2176/30.48</f>
        <v/>
      </c>
      <c r="G2176" s="74">
        <f>D2176/30.48</f>
        <v/>
      </c>
      <c r="H2176" s="615" t="n"/>
      <c r="N2176" s="211" t="n"/>
      <c r="Q2176" s="271" t="n"/>
      <c r="R2176" s="282" t="n"/>
    </row>
    <row r="2177" ht="18" customHeight="1" s="305">
      <c r="A2177" s="8" t="n">
        <v>3187</v>
      </c>
      <c r="B2177" s="5" t="n">
        <v>74</v>
      </c>
      <c r="C2177" s="72" t="inlineStr">
        <is>
          <t>X</t>
        </is>
      </c>
      <c r="D2177" s="5" t="n">
        <v>284</v>
      </c>
      <c r="E2177" s="73">
        <f>B2177*D2177/10000</f>
        <v/>
      </c>
      <c r="F2177" s="74">
        <f>B2177/30.48</f>
        <v/>
      </c>
      <c r="G2177" s="74">
        <f>D2177/30.48</f>
        <v/>
      </c>
      <c r="H2177" s="615" t="n"/>
      <c r="N2177" s="211" t="n"/>
      <c r="Q2177" s="271" t="n"/>
      <c r="R2177" s="282" t="n"/>
    </row>
    <row r="2178" ht="18" customHeight="1" s="305">
      <c r="A2178" s="8" t="n">
        <v>3188</v>
      </c>
      <c r="B2178" s="5" t="n">
        <v>166</v>
      </c>
      <c r="C2178" s="72" t="inlineStr">
        <is>
          <t>X</t>
        </is>
      </c>
      <c r="D2178" s="5" t="n">
        <v>243</v>
      </c>
      <c r="E2178" s="73">
        <f>B2178*D2178/10000</f>
        <v/>
      </c>
      <c r="F2178" s="74">
        <f>B2178/30.48</f>
        <v/>
      </c>
      <c r="G2178" s="74">
        <f>D2178/30.48</f>
        <v/>
      </c>
      <c r="H2178" s="615" t="n"/>
      <c r="N2178" s="211" t="n"/>
      <c r="Q2178" s="271" t="n"/>
      <c r="R2178" s="282" t="n"/>
    </row>
    <row r="2179" ht="18" customHeight="1" s="305">
      <c r="A2179" s="8" t="n">
        <v>3190</v>
      </c>
      <c r="B2179" s="5" t="n">
        <v>142</v>
      </c>
      <c r="C2179" s="72" t="inlineStr">
        <is>
          <t>X</t>
        </is>
      </c>
      <c r="D2179" s="5" t="n">
        <v>241</v>
      </c>
      <c r="E2179" s="73">
        <f>B2179*D2179/10000</f>
        <v/>
      </c>
      <c r="F2179" s="74">
        <f>B2179/30.48</f>
        <v/>
      </c>
      <c r="G2179" s="74">
        <f>D2179/30.48</f>
        <v/>
      </c>
      <c r="H2179" s="615" t="n"/>
      <c r="N2179" s="211" t="n"/>
      <c r="Q2179" s="271" t="n"/>
      <c r="R2179" s="282" t="n"/>
    </row>
    <row r="2180" ht="18" customHeight="1" s="305">
      <c r="A2180" s="8" t="n">
        <v>3191</v>
      </c>
      <c r="B2180" s="5" t="n">
        <v>80</v>
      </c>
      <c r="C2180" s="72" t="inlineStr">
        <is>
          <t>X</t>
        </is>
      </c>
      <c r="D2180" s="5" t="n">
        <v>126</v>
      </c>
      <c r="E2180" s="73">
        <f>B2180*D2180/10000</f>
        <v/>
      </c>
      <c r="F2180" s="74">
        <f>B2180/30.48</f>
        <v/>
      </c>
      <c r="G2180" s="74">
        <f>D2180/30.48</f>
        <v/>
      </c>
      <c r="H2180" s="615" t="n"/>
      <c r="N2180" s="211" t="n"/>
      <c r="Q2180" s="271" t="n"/>
      <c r="R2180" s="282" t="n"/>
    </row>
    <row r="2181" ht="18" customHeight="1" s="305">
      <c r="A2181" s="8" t="n">
        <v>3192</v>
      </c>
      <c r="B2181" s="5" t="n">
        <v>117</v>
      </c>
      <c r="C2181" s="72" t="inlineStr">
        <is>
          <t>X</t>
        </is>
      </c>
      <c r="D2181" s="5" t="n">
        <v>216</v>
      </c>
      <c r="E2181" s="73">
        <f>B2181*D2181/10000</f>
        <v/>
      </c>
      <c r="F2181" s="74">
        <f>B2181/30.48</f>
        <v/>
      </c>
      <c r="G2181" s="74">
        <f>D2181/30.48</f>
        <v/>
      </c>
      <c r="H2181" s="615" t="n"/>
      <c r="N2181" s="211" t="n"/>
      <c r="Q2181" s="271" t="n"/>
      <c r="R2181" s="282" t="n"/>
    </row>
    <row r="2182" ht="18" customHeight="1" s="305">
      <c r="A2182" s="8" t="n">
        <v>3193</v>
      </c>
      <c r="B2182" s="5" t="n">
        <v>158</v>
      </c>
      <c r="C2182" s="72" t="inlineStr">
        <is>
          <t>X</t>
        </is>
      </c>
      <c r="D2182" s="5" t="n">
        <v>250</v>
      </c>
      <c r="E2182" s="73">
        <f>B2182*D2182/10000</f>
        <v/>
      </c>
      <c r="F2182" s="74">
        <f>B2182/30.48</f>
        <v/>
      </c>
      <c r="G2182" s="74">
        <f>D2182/30.48</f>
        <v/>
      </c>
      <c r="H2182" s="615" t="n"/>
      <c r="N2182" s="211" t="n"/>
      <c r="Q2182" s="271" t="n"/>
      <c r="R2182" s="282" t="n"/>
    </row>
    <row r="2183" ht="18" customHeight="1" s="305">
      <c r="A2183" s="8" t="n">
        <v>3195</v>
      </c>
      <c r="B2183" s="5" t="n">
        <v>122</v>
      </c>
      <c r="C2183" s="72" t="inlineStr">
        <is>
          <t>X</t>
        </is>
      </c>
      <c r="D2183" s="5" t="n">
        <v>205</v>
      </c>
      <c r="E2183" s="73">
        <f>B2183*D2183/10000</f>
        <v/>
      </c>
      <c r="F2183" s="74">
        <f>B2183/30.48</f>
        <v/>
      </c>
      <c r="G2183" s="74">
        <f>D2183/30.48</f>
        <v/>
      </c>
      <c r="H2183" s="615" t="n"/>
      <c r="N2183" s="211" t="n"/>
      <c r="Q2183" s="271" t="n"/>
      <c r="R2183" s="282" t="n"/>
    </row>
    <row r="2184" ht="18" customHeight="1" s="305">
      <c r="A2184" s="8" t="n">
        <v>3196</v>
      </c>
      <c r="B2184" s="5" t="n">
        <v>81</v>
      </c>
      <c r="C2184" s="72" t="inlineStr">
        <is>
          <t>X</t>
        </is>
      </c>
      <c r="D2184" s="5" t="n">
        <v>261</v>
      </c>
      <c r="E2184" s="73">
        <f>B2184*D2184/10000</f>
        <v/>
      </c>
      <c r="F2184" s="74">
        <f>B2184/30.48</f>
        <v/>
      </c>
      <c r="G2184" s="74">
        <f>D2184/30.48</f>
        <v/>
      </c>
      <c r="H2184" s="615" t="n"/>
      <c r="N2184" s="211" t="n"/>
      <c r="Q2184" s="271" t="n"/>
      <c r="R2184" s="282" t="n"/>
    </row>
    <row r="2185" ht="18" customHeight="1" s="305">
      <c r="A2185" s="8" t="n">
        <v>3197</v>
      </c>
      <c r="B2185" s="5" t="n">
        <v>210</v>
      </c>
      <c r="C2185" s="72" t="inlineStr">
        <is>
          <t>X</t>
        </is>
      </c>
      <c r="D2185" s="5" t="n">
        <v>305</v>
      </c>
      <c r="E2185" s="73">
        <f>B2185*D2185/10000</f>
        <v/>
      </c>
      <c r="F2185" s="74">
        <f>B2185/30.48</f>
        <v/>
      </c>
      <c r="G2185" s="74">
        <f>D2185/30.48</f>
        <v/>
      </c>
      <c r="H2185" s="615" t="n"/>
      <c r="N2185" s="211" t="n"/>
      <c r="Q2185" s="271" t="n"/>
      <c r="R2185" s="282" t="n"/>
    </row>
    <row r="2186" ht="18" customHeight="1" s="305">
      <c r="A2186" s="8" t="n">
        <v>3198</v>
      </c>
      <c r="B2186" s="5" t="n">
        <v>124</v>
      </c>
      <c r="C2186" s="72" t="inlineStr">
        <is>
          <t>X</t>
        </is>
      </c>
      <c r="D2186" s="5" t="n">
        <v>188</v>
      </c>
      <c r="E2186" s="73">
        <f>B2186*D2186/10000</f>
        <v/>
      </c>
      <c r="F2186" s="74">
        <f>B2186/30.48</f>
        <v/>
      </c>
      <c r="G2186" s="74">
        <f>D2186/30.48</f>
        <v/>
      </c>
      <c r="H2186" s="615" t="n"/>
      <c r="N2186" s="211" t="n"/>
      <c r="Q2186" s="271" t="n"/>
      <c r="R2186" s="282" t="n"/>
    </row>
    <row r="2187" ht="18" customHeight="1" s="305">
      <c r="A2187" s="8" t="n">
        <v>3199</v>
      </c>
      <c r="B2187" s="5" t="n">
        <v>93</v>
      </c>
      <c r="C2187" s="72" t="inlineStr">
        <is>
          <t>X</t>
        </is>
      </c>
      <c r="D2187" s="5" t="n">
        <v>198</v>
      </c>
      <c r="E2187" s="73">
        <f>B2187*D2187/10000</f>
        <v/>
      </c>
      <c r="F2187" s="74">
        <f>B2187/30.48</f>
        <v/>
      </c>
      <c r="G2187" s="74">
        <f>D2187/30.48</f>
        <v/>
      </c>
      <c r="H2187" s="615" t="n"/>
      <c r="N2187" s="211" t="n"/>
      <c r="Q2187" s="271" t="n"/>
      <c r="R2187" s="282" t="n"/>
    </row>
    <row r="2188" ht="18" customHeight="1" s="305">
      <c r="A2188" s="8" t="n">
        <v>3202</v>
      </c>
      <c r="B2188" s="5" t="n">
        <v>124</v>
      </c>
      <c r="C2188" s="72" t="inlineStr">
        <is>
          <t>X</t>
        </is>
      </c>
      <c r="D2188" s="5" t="n">
        <v>198</v>
      </c>
      <c r="E2188" s="73">
        <f>B2188*D2188/10000</f>
        <v/>
      </c>
      <c r="F2188" s="74">
        <f>B2188/30.48</f>
        <v/>
      </c>
      <c r="G2188" s="74">
        <f>D2188/30.48</f>
        <v/>
      </c>
      <c r="H2188" s="615" t="n"/>
      <c r="N2188" s="211" t="n"/>
      <c r="Q2188" s="271" t="n"/>
      <c r="R2188" s="282" t="n"/>
    </row>
    <row r="2189" ht="18" customHeight="1" s="305">
      <c r="A2189" s="8" t="n">
        <v>3203</v>
      </c>
      <c r="B2189" s="5" t="n">
        <v>194</v>
      </c>
      <c r="C2189" s="72" t="inlineStr">
        <is>
          <t>X</t>
        </is>
      </c>
      <c r="D2189" s="5" t="n">
        <v>276</v>
      </c>
      <c r="E2189" s="73">
        <f>B2189*D2189/10000</f>
        <v/>
      </c>
      <c r="F2189" s="74">
        <f>B2189/30.48</f>
        <v/>
      </c>
      <c r="G2189" s="74">
        <f>D2189/30.48</f>
        <v/>
      </c>
      <c r="H2189" s="615" t="n"/>
      <c r="N2189" s="211" t="n"/>
      <c r="Q2189" s="271" t="n"/>
      <c r="R2189" s="282" t="n"/>
    </row>
    <row r="2190" ht="18" customHeight="1" s="305">
      <c r="A2190" s="8" t="n">
        <v>3206</v>
      </c>
      <c r="B2190" s="5" t="n">
        <v>85</v>
      </c>
      <c r="C2190" s="72" t="inlineStr">
        <is>
          <t>X</t>
        </is>
      </c>
      <c r="D2190" s="5" t="n">
        <v>310</v>
      </c>
      <c r="E2190" s="73">
        <f>B2190*D2190/10000</f>
        <v/>
      </c>
      <c r="F2190" s="74">
        <f>B2190/30.48</f>
        <v/>
      </c>
      <c r="G2190" s="74">
        <f>D2190/30.48</f>
        <v/>
      </c>
      <c r="H2190" s="615" t="n"/>
      <c r="N2190" s="211" t="n"/>
      <c r="Q2190" s="271" t="n"/>
      <c r="R2190" s="282" t="n"/>
    </row>
    <row r="2191" ht="18" customHeight="1" s="305">
      <c r="A2191" s="8" t="n">
        <v>3207</v>
      </c>
      <c r="B2191" s="5" t="n">
        <v>83</v>
      </c>
      <c r="C2191" s="72" t="inlineStr">
        <is>
          <t>X</t>
        </is>
      </c>
      <c r="D2191" s="5" t="n">
        <v>272</v>
      </c>
      <c r="E2191" s="73">
        <f>B2191*D2191/10000</f>
        <v/>
      </c>
      <c r="F2191" s="74">
        <f>B2191/30.48</f>
        <v/>
      </c>
      <c r="G2191" s="74">
        <f>D2191/30.48</f>
        <v/>
      </c>
      <c r="H2191" s="615" t="n"/>
      <c r="N2191" s="211" t="n"/>
      <c r="Q2191" s="271" t="n"/>
      <c r="R2191" s="282" t="n"/>
    </row>
    <row r="2192" ht="18" customHeight="1" s="305">
      <c r="A2192" s="8" t="n">
        <v>3209</v>
      </c>
      <c r="B2192" s="5" t="n">
        <v>132</v>
      </c>
      <c r="C2192" s="72" t="inlineStr">
        <is>
          <t>X</t>
        </is>
      </c>
      <c r="D2192" s="5" t="n">
        <v>216</v>
      </c>
      <c r="E2192" s="73">
        <f>B2192*D2192/10000</f>
        <v/>
      </c>
      <c r="F2192" s="74">
        <f>B2192/30.48</f>
        <v/>
      </c>
      <c r="G2192" s="74">
        <f>D2192/30.48</f>
        <v/>
      </c>
      <c r="H2192" s="615" t="n"/>
      <c r="N2192" s="211" t="n"/>
      <c r="Q2192" s="271" t="n"/>
      <c r="R2192" s="282" t="n"/>
    </row>
    <row r="2193" ht="18" customHeight="1" s="305">
      <c r="A2193" s="8" t="n">
        <v>3210</v>
      </c>
      <c r="B2193" s="5" t="n">
        <v>117</v>
      </c>
      <c r="C2193" s="72" t="inlineStr">
        <is>
          <t>X</t>
        </is>
      </c>
      <c r="D2193" s="5" t="n">
        <v>189</v>
      </c>
      <c r="E2193" s="73">
        <f>B2193*D2193/10000</f>
        <v/>
      </c>
      <c r="F2193" s="74">
        <f>B2193/30.48</f>
        <v/>
      </c>
      <c r="G2193" s="74">
        <f>D2193/30.48</f>
        <v/>
      </c>
      <c r="H2193" s="615" t="n"/>
      <c r="N2193" s="211" t="n"/>
      <c r="Q2193" s="271" t="n"/>
      <c r="R2193" s="282" t="n"/>
    </row>
    <row r="2194" ht="18" customHeight="1" s="305">
      <c r="A2194" s="8" t="n">
        <v>3211</v>
      </c>
      <c r="B2194" s="5" t="n">
        <v>173</v>
      </c>
      <c r="C2194" s="72" t="inlineStr">
        <is>
          <t>X</t>
        </is>
      </c>
      <c r="D2194" s="5" t="n">
        <v>249</v>
      </c>
      <c r="E2194" s="73">
        <f>B2194*D2194/10000</f>
        <v/>
      </c>
      <c r="F2194" s="74">
        <f>B2194/30.48</f>
        <v/>
      </c>
      <c r="G2194" s="74">
        <f>D2194/30.48</f>
        <v/>
      </c>
      <c r="H2194" s="615" t="n"/>
      <c r="N2194" s="211" t="n"/>
      <c r="Q2194" s="271" t="n"/>
      <c r="R2194" s="282" t="n"/>
    </row>
    <row r="2195" ht="18" customHeight="1" s="305">
      <c r="A2195" s="8" t="n">
        <v>3212</v>
      </c>
      <c r="B2195" s="5" t="n">
        <v>127</v>
      </c>
      <c r="C2195" s="72" t="inlineStr">
        <is>
          <t>X</t>
        </is>
      </c>
      <c r="D2195" s="5" t="n">
        <v>203</v>
      </c>
      <c r="E2195" s="73">
        <f>B2195*D2195/10000</f>
        <v/>
      </c>
      <c r="F2195" s="74">
        <f>B2195/30.48</f>
        <v/>
      </c>
      <c r="G2195" s="74">
        <f>D2195/30.48</f>
        <v/>
      </c>
      <c r="H2195" s="615" t="n"/>
      <c r="N2195" s="211" t="n"/>
      <c r="Q2195" s="271" t="n"/>
      <c r="R2195" s="282" t="n"/>
    </row>
    <row r="2196" ht="18" customHeight="1" s="305">
      <c r="A2196" s="8" t="n">
        <v>3213</v>
      </c>
      <c r="B2196" s="5" t="n">
        <v>86</v>
      </c>
      <c r="C2196" s="72" t="inlineStr">
        <is>
          <t>X</t>
        </is>
      </c>
      <c r="D2196" s="5" t="n">
        <v>263</v>
      </c>
      <c r="E2196" s="73">
        <f>B2196*D2196/10000</f>
        <v/>
      </c>
      <c r="F2196" s="74">
        <f>B2196/30.48</f>
        <v/>
      </c>
      <c r="G2196" s="74">
        <f>D2196/30.48</f>
        <v/>
      </c>
      <c r="H2196" s="615" t="n"/>
      <c r="N2196" s="211" t="n"/>
      <c r="Q2196" s="271" t="n"/>
      <c r="R2196" s="282" t="n"/>
    </row>
    <row r="2197" ht="18" customHeight="1" s="305">
      <c r="A2197" s="8" t="n">
        <v>3214</v>
      </c>
      <c r="B2197" s="5" t="n">
        <v>170</v>
      </c>
      <c r="C2197" s="72" t="inlineStr">
        <is>
          <t>X</t>
        </is>
      </c>
      <c r="D2197" s="5" t="n">
        <v>264</v>
      </c>
      <c r="E2197" s="73">
        <f>B2197*D2197/10000</f>
        <v/>
      </c>
      <c r="F2197" s="74">
        <f>B2197/30.48</f>
        <v/>
      </c>
      <c r="G2197" s="74">
        <f>D2197/30.48</f>
        <v/>
      </c>
      <c r="H2197" s="615" t="n"/>
      <c r="N2197" s="211" t="n"/>
      <c r="Q2197" s="271" t="n"/>
      <c r="R2197" s="282" t="n"/>
    </row>
    <row r="2198" ht="18" customHeight="1" s="305">
      <c r="A2198" s="8" t="n">
        <v>3215</v>
      </c>
      <c r="B2198" s="5" t="n">
        <v>108</v>
      </c>
      <c r="C2198" s="72" t="inlineStr">
        <is>
          <t>X</t>
        </is>
      </c>
      <c r="D2198" s="5" t="n">
        <v>308</v>
      </c>
      <c r="E2198" s="73">
        <f>B2198*D2198/10000</f>
        <v/>
      </c>
      <c r="F2198" s="74">
        <f>B2198/30.48</f>
        <v/>
      </c>
      <c r="G2198" s="74">
        <f>D2198/30.48</f>
        <v/>
      </c>
      <c r="H2198" s="615" t="n"/>
      <c r="N2198" s="211" t="n"/>
      <c r="Q2198" s="271" t="n"/>
      <c r="R2198" s="282" t="n"/>
    </row>
    <row r="2199" ht="18" customHeight="1" s="305">
      <c r="A2199" s="8" t="n">
        <v>3216</v>
      </c>
      <c r="B2199" s="5" t="n">
        <v>90</v>
      </c>
      <c r="C2199" s="72" t="inlineStr">
        <is>
          <t>X</t>
        </is>
      </c>
      <c r="D2199" s="5" t="n">
        <v>385</v>
      </c>
      <c r="E2199" s="73">
        <f>B2199*D2199/10000</f>
        <v/>
      </c>
      <c r="F2199" s="74">
        <f>B2199/30.48</f>
        <v/>
      </c>
      <c r="G2199" s="74">
        <f>D2199/30.48</f>
        <v/>
      </c>
      <c r="H2199" s="615" t="n"/>
      <c r="N2199" s="211" t="n"/>
      <c r="Q2199" s="271" t="n"/>
      <c r="R2199" s="282" t="n"/>
    </row>
    <row r="2200" ht="18" customHeight="1" s="305">
      <c r="A2200" s="8" t="n">
        <v>3217</v>
      </c>
      <c r="B2200" s="5" t="n">
        <v>72</v>
      </c>
      <c r="C2200" s="72" t="inlineStr">
        <is>
          <t>X</t>
        </is>
      </c>
      <c r="D2200" s="5" t="n">
        <v>287</v>
      </c>
      <c r="E2200" s="73">
        <f>B2200*D2200/10000</f>
        <v/>
      </c>
      <c r="F2200" s="74">
        <f>B2200/30.48</f>
        <v/>
      </c>
      <c r="G2200" s="74">
        <f>D2200/30.48</f>
        <v/>
      </c>
      <c r="H2200" s="615" t="n"/>
      <c r="N2200" s="211" t="n"/>
      <c r="Q2200" s="271" t="n"/>
      <c r="R2200" s="282" t="n"/>
    </row>
    <row r="2201" ht="18" customHeight="1" s="305">
      <c r="A2201" s="8" t="n">
        <v>3218</v>
      </c>
      <c r="B2201" s="5" t="n">
        <v>71</v>
      </c>
      <c r="C2201" s="72" t="inlineStr">
        <is>
          <t>X</t>
        </is>
      </c>
      <c r="D2201" s="5" t="n">
        <v>363</v>
      </c>
      <c r="E2201" s="73">
        <f>B2201*D2201/10000</f>
        <v/>
      </c>
      <c r="F2201" s="74">
        <f>B2201/30.48</f>
        <v/>
      </c>
      <c r="G2201" s="74">
        <f>D2201/30.48</f>
        <v/>
      </c>
      <c r="H2201" s="615" t="n"/>
      <c r="N2201" s="211" t="n"/>
      <c r="Q2201" s="271" t="n"/>
      <c r="R2201" s="282" t="n"/>
    </row>
    <row r="2202">
      <c r="H2202" s="615" t="n"/>
      <c r="N2202" s="211" t="n"/>
      <c r="Q2202" s="271" t="n"/>
      <c r="R2202" s="282" t="n"/>
    </row>
    <row r="2203" ht="18" customHeight="1" s="305">
      <c r="A2203" s="8" t="n">
        <v>3221</v>
      </c>
      <c r="B2203" s="5" t="n">
        <v>79</v>
      </c>
      <c r="C2203" s="72" t="inlineStr">
        <is>
          <t>X</t>
        </is>
      </c>
      <c r="D2203" s="5" t="n">
        <v>274</v>
      </c>
      <c r="E2203" s="73">
        <f>B2203*D2203/10000</f>
        <v/>
      </c>
      <c r="F2203" s="74">
        <f>B2203/30.48</f>
        <v/>
      </c>
      <c r="G2203" s="74">
        <f>D2203/30.48</f>
        <v/>
      </c>
      <c r="H2203" s="615" t="n"/>
      <c r="N2203" s="211" t="n"/>
      <c r="Q2203" s="271" t="n"/>
      <c r="R2203" s="282" t="n"/>
    </row>
    <row r="2204" ht="18" customHeight="1" s="305">
      <c r="A2204" s="8" t="n">
        <v>3222</v>
      </c>
      <c r="B2204" s="5" t="n">
        <v>87</v>
      </c>
      <c r="C2204" s="72" t="inlineStr">
        <is>
          <t>X</t>
        </is>
      </c>
      <c r="D2204" s="5" t="n">
        <v>135</v>
      </c>
      <c r="E2204" s="73">
        <f>B2204*D2204/10000</f>
        <v/>
      </c>
      <c r="F2204" s="74">
        <f>B2204/30.48</f>
        <v/>
      </c>
      <c r="G2204" s="74">
        <f>D2204/30.48</f>
        <v/>
      </c>
      <c r="H2204" s="615" t="n"/>
      <c r="N2204" s="211" t="n"/>
      <c r="Q2204" s="271" t="n"/>
      <c r="R2204" s="282" t="n"/>
    </row>
    <row r="2205">
      <c r="H2205" s="615" t="n"/>
      <c r="N2205" s="211" t="n"/>
      <c r="Q2205" s="271" t="n"/>
      <c r="R2205" s="282" t="n"/>
    </row>
    <row r="2206" ht="18" customHeight="1" s="305">
      <c r="A2206" s="8" t="n">
        <v>3224</v>
      </c>
      <c r="B2206" s="5" t="n">
        <v>210</v>
      </c>
      <c r="C2206" s="72" t="inlineStr">
        <is>
          <t>X</t>
        </is>
      </c>
      <c r="D2206" s="5" t="n">
        <v>269</v>
      </c>
      <c r="E2206" s="73">
        <f>B2206*D2206/10000</f>
        <v/>
      </c>
      <c r="F2206" s="74">
        <f>B2206/30.48</f>
        <v/>
      </c>
      <c r="G2206" s="74">
        <f>D2206/30.48</f>
        <v/>
      </c>
      <c r="H2206" s="615" t="n"/>
      <c r="N2206" s="211" t="n"/>
      <c r="Q2206" s="271" t="n"/>
      <c r="R2206" s="282" t="n"/>
    </row>
    <row r="2207" ht="18" customHeight="1" s="305">
      <c r="A2207" s="8" t="n">
        <v>3225</v>
      </c>
      <c r="B2207" s="5" t="n">
        <v>131</v>
      </c>
      <c r="C2207" s="72" t="inlineStr">
        <is>
          <t>X</t>
        </is>
      </c>
      <c r="D2207" s="5" t="n">
        <v>186</v>
      </c>
      <c r="E2207" s="73">
        <f>B2207*D2207/10000</f>
        <v/>
      </c>
      <c r="F2207" s="74">
        <f>B2207/30.48</f>
        <v/>
      </c>
      <c r="G2207" s="74">
        <f>D2207/30.48</f>
        <v/>
      </c>
      <c r="H2207" s="615" t="n"/>
      <c r="N2207" s="211" t="n"/>
      <c r="Q2207" s="271" t="n"/>
      <c r="R2207" s="282" t="n"/>
    </row>
    <row r="2208" ht="18" customHeight="1" s="305">
      <c r="A2208" s="8" t="n">
        <v>3227</v>
      </c>
      <c r="B2208" s="5" t="n">
        <v>190</v>
      </c>
      <c r="C2208" s="72" t="inlineStr">
        <is>
          <t>X</t>
        </is>
      </c>
      <c r="D2208" s="5" t="n">
        <v>282</v>
      </c>
      <c r="E2208" s="73">
        <f>B2208*D2208/10000</f>
        <v/>
      </c>
      <c r="F2208" s="74">
        <f>B2208/30.48</f>
        <v/>
      </c>
      <c r="G2208" s="74">
        <f>D2208/30.48</f>
        <v/>
      </c>
      <c r="H2208" s="615" t="n"/>
      <c r="N2208" s="211" t="n"/>
      <c r="Q2208" s="271" t="n"/>
      <c r="R2208" s="282" t="n"/>
    </row>
    <row r="2209" ht="18" customHeight="1" s="305">
      <c r="A2209" s="8" t="n">
        <v>3228</v>
      </c>
      <c r="B2209" s="5" t="n">
        <v>83</v>
      </c>
      <c r="C2209" s="72" t="inlineStr">
        <is>
          <t>X</t>
        </is>
      </c>
      <c r="D2209" s="5" t="n">
        <v>183</v>
      </c>
      <c r="E2209" s="73">
        <f>B2209*D2209/10000</f>
        <v/>
      </c>
      <c r="F2209" s="74">
        <f>B2209/30.48</f>
        <v/>
      </c>
      <c r="G2209" s="74">
        <f>D2209/30.48</f>
        <v/>
      </c>
      <c r="H2209" s="615" t="n"/>
      <c r="N2209" s="211" t="n"/>
      <c r="Q2209" s="271" t="n"/>
      <c r="R2209" s="282" t="n"/>
    </row>
    <row r="2210" ht="18" customHeight="1" s="305">
      <c r="A2210" s="8" t="n">
        <v>3229</v>
      </c>
      <c r="B2210" s="5" t="n">
        <v>94</v>
      </c>
      <c r="C2210" s="72" t="inlineStr">
        <is>
          <t>X</t>
        </is>
      </c>
      <c r="D2210" s="5" t="n">
        <v>372</v>
      </c>
      <c r="E2210" s="73">
        <f>B2210*D2210/10000</f>
        <v/>
      </c>
      <c r="F2210" s="74">
        <f>B2210/30.48</f>
        <v/>
      </c>
      <c r="G2210" s="74">
        <f>D2210/30.48</f>
        <v/>
      </c>
      <c r="H2210" s="615" t="n"/>
      <c r="N2210" s="211" t="n"/>
      <c r="Q2210" s="271" t="n"/>
      <c r="R2210" s="282" t="n"/>
    </row>
    <row r="2211" ht="18" customHeight="1" s="305">
      <c r="A2211" s="8" t="n">
        <v>3230</v>
      </c>
      <c r="B2211" s="5" t="n">
        <v>189</v>
      </c>
      <c r="C2211" s="72" t="inlineStr">
        <is>
          <t>X</t>
        </is>
      </c>
      <c r="D2211" s="5" t="n">
        <v>318</v>
      </c>
      <c r="E2211" s="73">
        <f>B2211*D2211/10000</f>
        <v/>
      </c>
      <c r="F2211" s="74">
        <f>B2211/30.48</f>
        <v/>
      </c>
      <c r="G2211" s="74">
        <f>D2211/30.48</f>
        <v/>
      </c>
      <c r="H2211" s="615" t="n"/>
      <c r="N2211" s="211" t="n"/>
      <c r="Q2211" s="271" t="n"/>
      <c r="R2211" s="282" t="n"/>
    </row>
    <row r="2212" ht="18" customHeight="1" s="305">
      <c r="A2212" s="8" t="n">
        <v>3231</v>
      </c>
      <c r="B2212" s="5" t="n">
        <v>86</v>
      </c>
      <c r="C2212" s="72" t="inlineStr">
        <is>
          <t>X</t>
        </is>
      </c>
      <c r="D2212" s="5" t="n">
        <v>300</v>
      </c>
      <c r="E2212" s="73">
        <f>B2212*D2212/10000</f>
        <v/>
      </c>
      <c r="F2212" s="74">
        <f>B2212/30.48</f>
        <v/>
      </c>
      <c r="G2212" s="74">
        <f>D2212/30.48</f>
        <v/>
      </c>
      <c r="H2212" s="615" t="n"/>
      <c r="N2212" s="211" t="n"/>
      <c r="Q2212" s="271" t="n"/>
      <c r="R2212" s="282" t="n"/>
    </row>
    <row r="2213" ht="18" customHeight="1" s="305">
      <c r="A2213" s="8" t="n">
        <v>3232</v>
      </c>
      <c r="B2213" s="5" t="n">
        <v>81</v>
      </c>
      <c r="C2213" s="72" t="inlineStr">
        <is>
          <t>X</t>
        </is>
      </c>
      <c r="D2213" s="5" t="n">
        <v>296</v>
      </c>
      <c r="E2213" s="73">
        <f>B2213*D2213/10000</f>
        <v/>
      </c>
      <c r="F2213" s="74">
        <f>B2213/30.48</f>
        <v/>
      </c>
      <c r="G2213" s="74">
        <f>D2213/30.48</f>
        <v/>
      </c>
      <c r="H2213" s="615" t="n"/>
      <c r="N2213" s="211" t="n"/>
      <c r="Q2213" s="271" t="n"/>
      <c r="R2213" s="282" t="n"/>
    </row>
    <row r="2214" ht="18" customHeight="1" s="305">
      <c r="A2214" s="8" t="n">
        <v>3233</v>
      </c>
      <c r="B2214" s="5" t="n">
        <v>190</v>
      </c>
      <c r="C2214" s="72" t="inlineStr">
        <is>
          <t>X</t>
        </is>
      </c>
      <c r="D2214" s="5" t="n">
        <v>268</v>
      </c>
      <c r="E2214" s="73">
        <f>B2214*D2214/10000</f>
        <v/>
      </c>
      <c r="F2214" s="74">
        <f>B2214/30.48</f>
        <v/>
      </c>
      <c r="G2214" s="74">
        <f>D2214/30.48</f>
        <v/>
      </c>
      <c r="H2214" s="615" t="n"/>
      <c r="N2214" s="211" t="n"/>
      <c r="Q2214" s="271" t="n"/>
      <c r="R2214" s="282" t="n"/>
    </row>
    <row r="2215" ht="18" customHeight="1" s="305">
      <c r="A2215" s="8" t="n">
        <v>3234</v>
      </c>
      <c r="B2215" s="5" t="n">
        <v>166</v>
      </c>
      <c r="C2215" s="72" t="inlineStr">
        <is>
          <t>X</t>
        </is>
      </c>
      <c r="D2215" s="5" t="n">
        <v>230</v>
      </c>
      <c r="E2215" s="73">
        <f>B2215*D2215/10000</f>
        <v/>
      </c>
      <c r="F2215" s="74">
        <f>B2215/30.48</f>
        <v/>
      </c>
      <c r="G2215" s="74">
        <f>D2215/30.48</f>
        <v/>
      </c>
      <c r="H2215" s="615" t="n"/>
      <c r="N2215" s="211" t="n"/>
      <c r="Q2215" s="271" t="n"/>
      <c r="R2215" s="282" t="n"/>
    </row>
    <row r="2216" ht="18" customHeight="1" s="305">
      <c r="A2216" s="8" t="n">
        <v>3236</v>
      </c>
      <c r="B2216" s="5" t="n">
        <v>167</v>
      </c>
      <c r="C2216" s="72" t="inlineStr">
        <is>
          <t>X</t>
        </is>
      </c>
      <c r="D2216" s="5" t="n">
        <v>250</v>
      </c>
      <c r="E2216" s="73">
        <f>B2216*D2216/10000</f>
        <v/>
      </c>
      <c r="F2216" s="74">
        <f>B2216/30.48</f>
        <v/>
      </c>
      <c r="G2216" s="74">
        <f>D2216/30.48</f>
        <v/>
      </c>
      <c r="H2216" s="615" t="n"/>
      <c r="K2216" s="51" t="inlineStr">
        <is>
          <t>PAC</t>
        </is>
      </c>
      <c r="N2216" s="211" t="n"/>
      <c r="Q2216" s="271" t="n"/>
      <c r="R2216" s="282" t="n"/>
    </row>
    <row r="2217" ht="18" customHeight="1" s="305">
      <c r="A2217" s="8" t="n">
        <v>3239</v>
      </c>
      <c r="B2217" s="5" t="n">
        <v>208</v>
      </c>
      <c r="C2217" s="72" t="inlineStr">
        <is>
          <t>X</t>
        </is>
      </c>
      <c r="D2217" s="5" t="n">
        <v>283</v>
      </c>
      <c r="E2217" s="73">
        <f>B2217*D2217/10000</f>
        <v/>
      </c>
      <c r="F2217" s="74">
        <f>B2217/30.48</f>
        <v/>
      </c>
      <c r="G2217" s="74">
        <f>D2217/30.48</f>
        <v/>
      </c>
      <c r="H2217" s="615" t="n"/>
      <c r="N2217" s="211" t="n"/>
      <c r="Q2217" s="271" t="n"/>
      <c r="R2217" s="282" t="n"/>
    </row>
    <row r="2218" ht="18" customHeight="1" s="305">
      <c r="A2218" s="8" t="n">
        <v>3244</v>
      </c>
      <c r="B2218" s="5" t="n">
        <v>201</v>
      </c>
      <c r="C2218" s="72" t="inlineStr">
        <is>
          <t>X</t>
        </is>
      </c>
      <c r="D2218" s="5" t="n">
        <v>275</v>
      </c>
      <c r="E2218" s="73">
        <f>B2218*D2218/10000</f>
        <v/>
      </c>
      <c r="F2218" s="74">
        <f>B2218/30.48</f>
        <v/>
      </c>
      <c r="G2218" s="74">
        <f>D2218/30.48</f>
        <v/>
      </c>
      <c r="H2218" s="615" t="n"/>
      <c r="K2218" s="51" t="inlineStr">
        <is>
          <t>PAC</t>
        </is>
      </c>
      <c r="N2218" s="211" t="n"/>
      <c r="Q2218" s="271" t="n"/>
      <c r="R2218" s="282" t="n"/>
    </row>
    <row r="2219" ht="18" customHeight="1" s="305">
      <c r="A2219" s="8" t="n">
        <v>3246</v>
      </c>
      <c r="B2219" s="5" t="n">
        <v>125</v>
      </c>
      <c r="C2219" s="72" t="inlineStr">
        <is>
          <t>X</t>
        </is>
      </c>
      <c r="D2219" s="5" t="n">
        <v>189</v>
      </c>
      <c r="E2219" s="73">
        <f>B2219*D2219/10000</f>
        <v/>
      </c>
      <c r="F2219" s="74">
        <f>B2219/30.48</f>
        <v/>
      </c>
      <c r="G2219" s="74">
        <f>D2219/30.48</f>
        <v/>
      </c>
      <c r="H2219" s="615" t="n"/>
      <c r="N2219" s="211" t="n"/>
      <c r="Q2219" s="271" t="n"/>
      <c r="R2219" s="282" t="n"/>
    </row>
    <row r="2220" ht="18" customHeight="1" s="305">
      <c r="A2220" s="8" t="n">
        <v>3247</v>
      </c>
      <c r="B2220" s="5" t="n">
        <v>133</v>
      </c>
      <c r="C2220" s="72" t="inlineStr">
        <is>
          <t>X</t>
        </is>
      </c>
      <c r="D2220" s="5" t="n">
        <v>201</v>
      </c>
      <c r="E2220" s="73">
        <f>B2220*D2220/10000</f>
        <v/>
      </c>
      <c r="F2220" s="74">
        <f>B2220/30.48</f>
        <v/>
      </c>
      <c r="G2220" s="74">
        <f>D2220/30.48</f>
        <v/>
      </c>
      <c r="H2220" s="615" t="n"/>
      <c r="N2220" s="211" t="n"/>
      <c r="Q2220" s="271" t="n"/>
      <c r="R2220" s="282" t="n"/>
    </row>
    <row r="2221" ht="18" customHeight="1" s="305">
      <c r="A2221" s="8" t="n">
        <v>3248</v>
      </c>
      <c r="B2221" s="5" t="n">
        <v>181</v>
      </c>
      <c r="C2221" s="72" t="inlineStr">
        <is>
          <t>X</t>
        </is>
      </c>
      <c r="D2221" s="5" t="n">
        <v>263</v>
      </c>
      <c r="E2221" s="73">
        <f>B2221*D2221/10000</f>
        <v/>
      </c>
      <c r="F2221" s="74">
        <f>B2221/30.48</f>
        <v/>
      </c>
      <c r="G2221" s="74">
        <f>D2221/30.48</f>
        <v/>
      </c>
      <c r="H2221" s="615" t="n"/>
      <c r="K2221" s="51" t="inlineStr">
        <is>
          <t>PAC</t>
        </is>
      </c>
      <c r="N2221" s="211" t="n"/>
      <c r="Q2221" s="271" t="n"/>
      <c r="R2221" s="282" t="n"/>
    </row>
    <row r="2222" ht="18" customHeight="1" s="305">
      <c r="A2222" s="8" t="n">
        <v>3250</v>
      </c>
      <c r="B2222" s="5" t="n">
        <v>158</v>
      </c>
      <c r="C2222" s="72" t="inlineStr">
        <is>
          <t>X</t>
        </is>
      </c>
      <c r="D2222" s="5" t="n">
        <v>199</v>
      </c>
      <c r="E2222" s="73">
        <f>B2222*D2222/10000</f>
        <v/>
      </c>
      <c r="F2222" s="74">
        <f>B2222/30.48</f>
        <v/>
      </c>
      <c r="G2222" s="74">
        <f>D2222/30.48</f>
        <v/>
      </c>
      <c r="H2222" s="615" t="n"/>
      <c r="N2222" s="211" t="n"/>
      <c r="Q2222" s="271" t="n"/>
      <c r="R2222" s="282" t="n"/>
    </row>
    <row r="2223" ht="18" customHeight="1" s="305">
      <c r="A2223" s="8" t="n">
        <v>3251</v>
      </c>
      <c r="B2223" s="5" t="n">
        <v>146</v>
      </c>
      <c r="C2223" s="72" t="inlineStr">
        <is>
          <t>X</t>
        </is>
      </c>
      <c r="D2223" s="5" t="n">
        <v>175</v>
      </c>
      <c r="E2223" s="73">
        <f>B2223*D2223/10000</f>
        <v/>
      </c>
      <c r="F2223" s="74">
        <f>B2223/30.48</f>
        <v/>
      </c>
      <c r="G2223" s="74">
        <f>D2223/30.48</f>
        <v/>
      </c>
      <c r="H2223" s="615" t="n"/>
      <c r="N2223" s="211" t="n"/>
      <c r="Q2223" s="271" t="n"/>
      <c r="R2223" s="282" t="n"/>
    </row>
    <row r="2224" ht="18" customHeight="1" s="305">
      <c r="A2224" s="8" t="n">
        <v>3254</v>
      </c>
      <c r="B2224" s="5" t="n">
        <v>85</v>
      </c>
      <c r="C2224" s="72" t="inlineStr">
        <is>
          <t>X</t>
        </is>
      </c>
      <c r="D2224" s="5" t="n">
        <v>127</v>
      </c>
      <c r="E2224" s="73">
        <f>B2224*D2224/10000</f>
        <v/>
      </c>
      <c r="F2224" s="74">
        <f>B2224/30.48</f>
        <v/>
      </c>
      <c r="G2224" s="74">
        <f>D2224/30.48</f>
        <v/>
      </c>
      <c r="H2224" s="615" t="n"/>
      <c r="N2224" s="211" t="n"/>
      <c r="Q2224" s="271" t="n"/>
      <c r="R2224" s="282" t="n"/>
    </row>
    <row r="2225" ht="18" customHeight="1" s="305">
      <c r="A2225" s="8" t="n">
        <v>3255</v>
      </c>
      <c r="B2225" s="5" t="n">
        <v>117</v>
      </c>
      <c r="C2225" s="72" t="inlineStr">
        <is>
          <t>X</t>
        </is>
      </c>
      <c r="D2225" s="5" t="n">
        <v>203</v>
      </c>
      <c r="E2225" s="73">
        <f>B2225*D2225/10000</f>
        <v/>
      </c>
      <c r="F2225" s="74">
        <f>B2225/30.48</f>
        <v/>
      </c>
      <c r="G2225" s="74">
        <f>D2225/30.48</f>
        <v/>
      </c>
      <c r="H2225" s="615" t="n"/>
      <c r="N2225" s="211" t="n"/>
      <c r="Q2225" s="271" t="n"/>
      <c r="R2225" s="282" t="n"/>
    </row>
    <row r="2226" ht="18" customHeight="1" s="305">
      <c r="A2226" s="8" t="n">
        <v>3256</v>
      </c>
      <c r="B2226" s="5" t="n">
        <v>185</v>
      </c>
      <c r="C2226" s="72" t="inlineStr">
        <is>
          <t>X</t>
        </is>
      </c>
      <c r="D2226" s="5" t="n">
        <v>241</v>
      </c>
      <c r="E2226" s="73">
        <f>B2226*D2226/10000</f>
        <v/>
      </c>
      <c r="F2226" s="74">
        <f>B2226/30.48</f>
        <v/>
      </c>
      <c r="G2226" s="74">
        <f>D2226/30.48</f>
        <v/>
      </c>
      <c r="H2226" s="615" t="n"/>
      <c r="N2226" s="211" t="n"/>
      <c r="Q2226" s="271" t="n"/>
      <c r="R2226" s="282" t="n"/>
    </row>
    <row r="2227" ht="18" customHeight="1" s="305">
      <c r="A2227" s="8" t="n">
        <v>3257</v>
      </c>
      <c r="B2227" s="5" t="n">
        <v>84</v>
      </c>
      <c r="C2227" s="72" t="inlineStr">
        <is>
          <t>X</t>
        </is>
      </c>
      <c r="D2227" s="5" t="n">
        <v>265</v>
      </c>
      <c r="E2227" s="73">
        <f>B2227*D2227/10000</f>
        <v/>
      </c>
      <c r="F2227" s="74">
        <f>B2227/30.48</f>
        <v/>
      </c>
      <c r="G2227" s="74">
        <f>D2227/30.48</f>
        <v/>
      </c>
      <c r="H2227" s="615" t="n"/>
      <c r="N2227" s="211" t="n"/>
      <c r="Q2227" s="271" t="n"/>
      <c r="R2227" s="282" t="n"/>
    </row>
    <row r="2228" ht="18" customHeight="1" s="305">
      <c r="A2228" s="8" t="n">
        <v>3258</v>
      </c>
      <c r="B2228" s="5" t="n">
        <v>150</v>
      </c>
      <c r="C2228" s="72" t="inlineStr">
        <is>
          <t>X</t>
        </is>
      </c>
      <c r="D2228" s="5" t="n">
        <v>190</v>
      </c>
      <c r="E2228" s="73">
        <f>B2228*D2228/10000</f>
        <v/>
      </c>
      <c r="F2228" s="74">
        <f>B2228/30.48</f>
        <v/>
      </c>
      <c r="G2228" s="74">
        <f>D2228/30.48</f>
        <v/>
      </c>
      <c r="H2228" s="615" t="n"/>
      <c r="N2228" s="211" t="n"/>
      <c r="Q2228" s="271" t="n"/>
      <c r="R2228" s="282" t="n"/>
    </row>
    <row r="2229" ht="18" customHeight="1" s="305">
      <c r="A2229" s="8" t="n">
        <v>3260</v>
      </c>
      <c r="B2229" s="5" t="n">
        <v>80</v>
      </c>
      <c r="C2229" s="72" t="inlineStr">
        <is>
          <t>X</t>
        </is>
      </c>
      <c r="D2229" s="5" t="n">
        <v>124</v>
      </c>
      <c r="E2229" s="73">
        <f>B2229*D2229/10000</f>
        <v/>
      </c>
      <c r="F2229" s="74">
        <f>B2229/30.48</f>
        <v/>
      </c>
      <c r="G2229" s="74">
        <f>D2229/30.48</f>
        <v/>
      </c>
      <c r="H2229" s="615" t="n"/>
      <c r="N2229" s="211" t="n"/>
      <c r="Q2229" s="271" t="n"/>
      <c r="R2229" s="282" t="n"/>
    </row>
    <row r="2230" ht="18" customHeight="1" s="305">
      <c r="A2230" s="8" t="n">
        <v>3261</v>
      </c>
      <c r="B2230" s="5" t="n">
        <v>79</v>
      </c>
      <c r="C2230" s="72" t="inlineStr">
        <is>
          <t>X</t>
        </is>
      </c>
      <c r="D2230" s="5" t="n">
        <v>314</v>
      </c>
      <c r="E2230" s="73">
        <f>B2230*D2230/10000</f>
        <v/>
      </c>
      <c r="F2230" s="74">
        <f>B2230/30.48</f>
        <v/>
      </c>
      <c r="G2230" s="74">
        <f>D2230/30.48</f>
        <v/>
      </c>
      <c r="H2230" s="615" t="n"/>
      <c r="N2230" s="211" t="n"/>
      <c r="Q2230" s="271" t="n"/>
      <c r="R2230" s="282" t="n"/>
    </row>
    <row r="2231" ht="18" customHeight="1" s="305">
      <c r="A2231" s="8" t="n">
        <v>3262</v>
      </c>
      <c r="B2231" s="5" t="n">
        <v>85</v>
      </c>
      <c r="C2231" s="72" t="inlineStr">
        <is>
          <t>X</t>
        </is>
      </c>
      <c r="D2231" s="5" t="n">
        <v>129</v>
      </c>
      <c r="E2231" s="73">
        <f>B2231*D2231/10000</f>
        <v/>
      </c>
      <c r="F2231" s="74">
        <f>B2231/30.48</f>
        <v/>
      </c>
      <c r="G2231" s="74">
        <f>D2231/30.48</f>
        <v/>
      </c>
      <c r="H2231" s="615" t="n"/>
      <c r="N2231" s="211" t="n"/>
      <c r="Q2231" s="271" t="n"/>
      <c r="R2231" s="282" t="n"/>
    </row>
    <row r="2232" ht="18" customHeight="1" s="305">
      <c r="A2232" s="8" t="n">
        <v>3263</v>
      </c>
      <c r="B2232" s="5" t="n">
        <v>120</v>
      </c>
      <c r="C2232" s="72" t="inlineStr">
        <is>
          <t>X</t>
        </is>
      </c>
      <c r="D2232" s="5" t="n">
        <v>185</v>
      </c>
      <c r="E2232" s="73">
        <f>B2232*D2232/10000</f>
        <v/>
      </c>
      <c r="F2232" s="74">
        <f>B2232/30.48</f>
        <v/>
      </c>
      <c r="G2232" s="74">
        <f>D2232/30.48</f>
        <v/>
      </c>
      <c r="H2232" s="615" t="n"/>
      <c r="N2232" s="211" t="n"/>
      <c r="Q2232" s="271" t="n"/>
      <c r="R2232" s="282" t="n"/>
    </row>
    <row r="2233" ht="18" customHeight="1" s="305">
      <c r="A2233" s="8" t="n">
        <v>3265</v>
      </c>
      <c r="B2233" s="5" t="n">
        <v>142</v>
      </c>
      <c r="C2233" s="72" t="inlineStr">
        <is>
          <t>X</t>
        </is>
      </c>
      <c r="D2233" s="5" t="n">
        <v>221</v>
      </c>
      <c r="E2233" s="73">
        <f>B2233*D2233/10000</f>
        <v/>
      </c>
      <c r="F2233" s="74">
        <f>B2233/30.48</f>
        <v/>
      </c>
      <c r="G2233" s="74">
        <f>D2233/30.48</f>
        <v/>
      </c>
      <c r="H2233" s="615" t="n"/>
      <c r="N2233" s="211" t="n"/>
      <c r="Q2233" s="271" t="n"/>
      <c r="R2233" s="282" t="n"/>
    </row>
    <row r="2234" ht="18" customHeight="1" s="305">
      <c r="A2234" s="8" t="n">
        <v>3266</v>
      </c>
      <c r="B2234" s="5" t="n">
        <v>85</v>
      </c>
      <c r="C2234" s="72" t="inlineStr">
        <is>
          <t>X</t>
        </is>
      </c>
      <c r="D2234" s="5" t="n">
        <v>330</v>
      </c>
      <c r="E2234" s="73">
        <f>B2234*D2234/10000</f>
        <v/>
      </c>
      <c r="F2234" s="74">
        <f>B2234/30.48</f>
        <v/>
      </c>
      <c r="G2234" s="74">
        <f>D2234/30.48</f>
        <v/>
      </c>
      <c r="H2234" s="615" t="n"/>
      <c r="N2234" s="211" t="n"/>
      <c r="Q2234" s="271" t="n"/>
      <c r="R2234" s="282" t="n"/>
    </row>
    <row r="2235" ht="18" customHeight="1" s="305">
      <c r="A2235" s="8" t="n">
        <v>3268</v>
      </c>
      <c r="B2235" s="5" t="n">
        <v>202</v>
      </c>
      <c r="C2235" s="72" t="inlineStr">
        <is>
          <t>X</t>
        </is>
      </c>
      <c r="D2235" s="5" t="n">
        <v>265</v>
      </c>
      <c r="E2235" s="73">
        <f>B2235*D2235/10000</f>
        <v/>
      </c>
      <c r="F2235" s="74">
        <f>B2235/30.48</f>
        <v/>
      </c>
      <c r="G2235" s="74">
        <f>D2235/30.48</f>
        <v/>
      </c>
      <c r="H2235" s="615" t="n"/>
      <c r="N2235" s="211" t="n"/>
      <c r="Q2235" s="271" t="n"/>
      <c r="R2235" s="282" t="n"/>
    </row>
    <row r="2236" ht="18" customHeight="1" s="305">
      <c r="A2236" s="8" t="n">
        <v>3269</v>
      </c>
      <c r="B2236" s="5" t="n">
        <v>80</v>
      </c>
      <c r="C2236" s="72" t="inlineStr">
        <is>
          <t>X</t>
        </is>
      </c>
      <c r="D2236" s="5" t="n">
        <v>213</v>
      </c>
      <c r="E2236" s="73">
        <f>B2236*D2236/10000</f>
        <v/>
      </c>
      <c r="F2236" s="74">
        <f>B2236/30.48</f>
        <v/>
      </c>
      <c r="G2236" s="74">
        <f>D2236/30.48</f>
        <v/>
      </c>
      <c r="H2236" s="615" t="n"/>
      <c r="N2236" s="211" t="n"/>
      <c r="Q2236" s="271" t="n"/>
      <c r="R2236" s="282" t="n"/>
    </row>
    <row r="2237" ht="18" customHeight="1" s="305">
      <c r="A2237" s="8" t="n">
        <v>3270</v>
      </c>
      <c r="B2237" s="5" t="n">
        <v>144</v>
      </c>
      <c r="C2237" s="72" t="inlineStr">
        <is>
          <t>X</t>
        </is>
      </c>
      <c r="D2237" s="5" t="n">
        <v>242</v>
      </c>
      <c r="E2237" s="73">
        <f>B2237*D2237/10000</f>
        <v/>
      </c>
      <c r="F2237" s="74">
        <f>B2237/30.48</f>
        <v/>
      </c>
      <c r="G2237" s="74">
        <f>D2237/30.48</f>
        <v/>
      </c>
      <c r="H2237" s="615" t="n"/>
      <c r="N2237" s="211" t="n"/>
      <c r="Q2237" s="271" t="n"/>
      <c r="R2237" s="282" t="n"/>
    </row>
    <row r="2238" ht="18" customHeight="1" s="305">
      <c r="A2238" s="8" t="n">
        <v>3272</v>
      </c>
      <c r="B2238" s="5" t="n">
        <v>128</v>
      </c>
      <c r="C2238" s="72" t="inlineStr">
        <is>
          <t>X</t>
        </is>
      </c>
      <c r="D2238" s="5" t="n">
        <v>178</v>
      </c>
      <c r="E2238" s="73">
        <f>B2238*D2238/10000</f>
        <v/>
      </c>
      <c r="F2238" s="74">
        <f>B2238/30.48</f>
        <v/>
      </c>
      <c r="G2238" s="74">
        <f>D2238/30.48</f>
        <v/>
      </c>
      <c r="H2238" s="615" t="n"/>
      <c r="N2238" s="211" t="n"/>
      <c r="Q2238" s="271" t="n"/>
      <c r="R2238" s="282" t="n"/>
    </row>
    <row r="2239" ht="18" customHeight="1" s="305">
      <c r="A2239" s="8" t="n">
        <v>3273</v>
      </c>
      <c r="B2239" s="5" t="n">
        <v>199</v>
      </c>
      <c r="C2239" s="72" t="inlineStr">
        <is>
          <t>X</t>
        </is>
      </c>
      <c r="D2239" s="5" t="n">
        <v>340</v>
      </c>
      <c r="E2239" s="73">
        <f>B2239*D2239/10000</f>
        <v/>
      </c>
      <c r="F2239" s="74">
        <f>B2239/30.48</f>
        <v/>
      </c>
      <c r="G2239" s="74">
        <f>D2239/30.48</f>
        <v/>
      </c>
      <c r="H2239" s="615" t="n"/>
      <c r="N2239" s="211" t="n"/>
      <c r="Q2239" s="271" t="n"/>
      <c r="R2239" s="282" t="n"/>
    </row>
    <row r="2240" ht="18" customHeight="1" s="305">
      <c r="A2240" s="8" t="n">
        <v>3274</v>
      </c>
      <c r="B2240" s="5" t="n">
        <v>159</v>
      </c>
      <c r="C2240" s="72" t="inlineStr">
        <is>
          <t>X</t>
        </is>
      </c>
      <c r="D2240" s="5" t="n">
        <v>234</v>
      </c>
      <c r="E2240" s="73">
        <f>B2240*D2240/10000</f>
        <v/>
      </c>
      <c r="F2240" s="74">
        <f>B2240/30.48</f>
        <v/>
      </c>
      <c r="G2240" s="74">
        <f>D2240/30.48</f>
        <v/>
      </c>
      <c r="H2240" s="615" t="n"/>
      <c r="N2240" s="211" t="n"/>
      <c r="Q2240" s="271" t="n"/>
      <c r="R2240" s="282" t="n"/>
    </row>
    <row r="2241" ht="18" customHeight="1" s="305">
      <c r="A2241" s="8" t="n">
        <v>3275</v>
      </c>
      <c r="B2241" s="5" t="n">
        <v>231</v>
      </c>
      <c r="C2241" s="72" t="inlineStr">
        <is>
          <t>X</t>
        </is>
      </c>
      <c r="D2241" s="5" t="n">
        <v>319</v>
      </c>
      <c r="E2241" s="73">
        <f>B2241*D2241/10000</f>
        <v/>
      </c>
      <c r="F2241" s="74">
        <f>B2241/30.48</f>
        <v/>
      </c>
      <c r="G2241" s="74">
        <f>D2241/30.48</f>
        <v/>
      </c>
      <c r="H2241" s="615" t="n"/>
      <c r="N2241" s="211" t="n"/>
      <c r="Q2241" s="271" t="n"/>
      <c r="R2241" s="282" t="n"/>
    </row>
    <row r="2242" ht="18" customHeight="1" s="305">
      <c r="A2242" s="8" t="n">
        <v>3276</v>
      </c>
      <c r="B2242" s="5" t="n">
        <v>82</v>
      </c>
      <c r="C2242" s="72" t="inlineStr">
        <is>
          <t>X</t>
        </is>
      </c>
      <c r="D2242" s="5" t="n">
        <v>133</v>
      </c>
      <c r="E2242" s="73">
        <f>B2242*D2242/10000</f>
        <v/>
      </c>
      <c r="F2242" s="74">
        <f>B2242/30.48</f>
        <v/>
      </c>
      <c r="G2242" s="74">
        <f>D2242/30.48</f>
        <v/>
      </c>
      <c r="H2242" s="615" t="n"/>
      <c r="N2242" s="211" t="n"/>
      <c r="Q2242" s="271" t="n"/>
      <c r="R2242" s="282" t="n"/>
    </row>
    <row r="2243" ht="18" customHeight="1" s="305">
      <c r="A2243" s="8" t="n">
        <v>3277</v>
      </c>
      <c r="B2243" s="5" t="n">
        <v>197</v>
      </c>
      <c r="C2243" s="72" t="inlineStr">
        <is>
          <t>X</t>
        </is>
      </c>
      <c r="D2243" s="5" t="n">
        <v>279</v>
      </c>
      <c r="E2243" s="73">
        <f>B2243*D2243/10000</f>
        <v/>
      </c>
      <c r="F2243" s="74">
        <f>B2243/30.48</f>
        <v/>
      </c>
      <c r="G2243" s="74">
        <f>D2243/30.48</f>
        <v/>
      </c>
      <c r="H2243" s="615" t="n"/>
      <c r="N2243" s="211" t="n"/>
      <c r="Q2243" s="271" t="n"/>
      <c r="R2243" s="282" t="n"/>
    </row>
    <row r="2244" ht="18" customHeight="1" s="305">
      <c r="A2244" s="8" t="n">
        <v>3278</v>
      </c>
      <c r="B2244" s="5" t="n">
        <v>157</v>
      </c>
      <c r="C2244" s="72" t="inlineStr">
        <is>
          <t>X</t>
        </is>
      </c>
      <c r="D2244" s="5" t="n">
        <v>257</v>
      </c>
      <c r="E2244" s="73">
        <f>B2244*D2244/10000</f>
        <v/>
      </c>
      <c r="F2244" s="74">
        <f>B2244/30.48</f>
        <v/>
      </c>
      <c r="G2244" s="74">
        <f>D2244/30.48</f>
        <v/>
      </c>
      <c r="H2244" s="615" t="n"/>
      <c r="N2244" s="211" t="n"/>
      <c r="Q2244" s="271" t="n"/>
      <c r="R2244" s="282" t="n"/>
    </row>
    <row r="2245" ht="18" customHeight="1" s="305">
      <c r="A2245" s="8" t="n">
        <v>3280</v>
      </c>
      <c r="B2245" s="5" t="n">
        <v>141</v>
      </c>
      <c r="C2245" s="72" t="inlineStr">
        <is>
          <t>X</t>
        </is>
      </c>
      <c r="D2245" s="5" t="n">
        <v>201</v>
      </c>
      <c r="E2245" s="73">
        <f>B2245*D2245/10000</f>
        <v/>
      </c>
      <c r="F2245" s="74">
        <f>B2245/30.48</f>
        <v/>
      </c>
      <c r="G2245" s="74">
        <f>D2245/30.48</f>
        <v/>
      </c>
      <c r="H2245" s="615" t="n"/>
      <c r="N2245" s="211" t="n"/>
      <c r="Q2245" s="271" t="n"/>
      <c r="R2245" s="282" t="n"/>
    </row>
    <row r="2246" ht="18" customHeight="1" s="305">
      <c r="A2246" s="8" t="n">
        <v>3281</v>
      </c>
      <c r="B2246" s="5" t="n">
        <v>199</v>
      </c>
      <c r="C2246" s="72" t="inlineStr">
        <is>
          <t>X</t>
        </is>
      </c>
      <c r="D2246" s="5" t="n">
        <v>297</v>
      </c>
      <c r="E2246" s="73">
        <f>B2246*D2246/10000</f>
        <v/>
      </c>
      <c r="F2246" s="74">
        <f>B2246/30.48</f>
        <v/>
      </c>
      <c r="G2246" s="74">
        <f>D2246/30.48</f>
        <v/>
      </c>
      <c r="H2246" s="615" t="n"/>
      <c r="N2246" s="211" t="n"/>
      <c r="Q2246" s="271" t="n"/>
      <c r="R2246" s="282" t="n"/>
    </row>
    <row r="2247" ht="18" customHeight="1" s="305">
      <c r="A2247" s="8" t="n">
        <v>3282</v>
      </c>
      <c r="B2247" s="5" t="n">
        <v>160</v>
      </c>
      <c r="C2247" s="72" t="inlineStr">
        <is>
          <t>X</t>
        </is>
      </c>
      <c r="D2247" s="5" t="n">
        <v>219</v>
      </c>
      <c r="E2247" s="73">
        <f>B2247*D2247/10000</f>
        <v/>
      </c>
      <c r="F2247" s="74">
        <f>B2247/30.48</f>
        <v/>
      </c>
      <c r="G2247" s="74">
        <f>D2247/30.48</f>
        <v/>
      </c>
      <c r="H2247" s="615" t="n"/>
      <c r="N2247" s="211" t="n"/>
      <c r="Q2247" s="271" t="n"/>
      <c r="R2247" s="282" t="n"/>
    </row>
    <row r="2248" ht="18" customHeight="1" s="305">
      <c r="A2248" s="8" t="n">
        <v>3285</v>
      </c>
      <c r="B2248" s="5" t="n">
        <v>160</v>
      </c>
      <c r="C2248" s="72" t="inlineStr">
        <is>
          <t>X</t>
        </is>
      </c>
      <c r="D2248" s="5" t="n">
        <v>244</v>
      </c>
      <c r="E2248" s="73">
        <f>B2248*D2248/10000</f>
        <v/>
      </c>
      <c r="F2248" s="74">
        <f>B2248/30.48</f>
        <v/>
      </c>
      <c r="G2248" s="74">
        <f>D2248/30.48</f>
        <v/>
      </c>
      <c r="H2248" s="615" t="n"/>
      <c r="N2248" s="211" t="n"/>
      <c r="Q2248" s="271" t="n"/>
      <c r="R2248" s="282" t="n"/>
    </row>
    <row r="2249" ht="18" customHeight="1" s="305">
      <c r="A2249" s="8" t="n">
        <v>3286</v>
      </c>
      <c r="B2249" s="5" t="n">
        <v>155</v>
      </c>
      <c r="C2249" s="72" t="inlineStr">
        <is>
          <t>X</t>
        </is>
      </c>
      <c r="D2249" s="5" t="n">
        <v>236</v>
      </c>
      <c r="E2249" s="73">
        <f>B2249*D2249/10000</f>
        <v/>
      </c>
      <c r="F2249" s="74">
        <f>B2249/30.48</f>
        <v/>
      </c>
      <c r="G2249" s="74">
        <f>D2249/30.48</f>
        <v/>
      </c>
      <c r="H2249" s="615" t="n"/>
      <c r="N2249" s="211" t="n"/>
      <c r="Q2249" s="271" t="n"/>
      <c r="R2249" s="282" t="n"/>
    </row>
    <row r="2250" ht="18" customHeight="1" s="305">
      <c r="A2250" s="8" t="n">
        <v>3287</v>
      </c>
      <c r="B2250" s="5" t="n">
        <v>208</v>
      </c>
      <c r="C2250" s="72" t="inlineStr">
        <is>
          <t>X</t>
        </is>
      </c>
      <c r="D2250" s="5" t="n">
        <v>293</v>
      </c>
      <c r="E2250" s="73">
        <f>B2250*D2250/10000</f>
        <v/>
      </c>
      <c r="F2250" s="74">
        <f>B2250/30.48</f>
        <v/>
      </c>
      <c r="G2250" s="74">
        <f>D2250/30.48</f>
        <v/>
      </c>
      <c r="H2250" s="615" t="n"/>
      <c r="N2250" s="211" t="n"/>
      <c r="Q2250" s="271" t="n"/>
      <c r="R2250" s="282" t="n"/>
    </row>
    <row r="2251" ht="18" customHeight="1" s="305">
      <c r="A2251" s="8" t="n">
        <v>3288</v>
      </c>
      <c r="B2251" s="5" t="n">
        <v>97</v>
      </c>
      <c r="C2251" s="72" t="inlineStr">
        <is>
          <t>X</t>
        </is>
      </c>
      <c r="D2251" s="5" t="n">
        <v>131</v>
      </c>
      <c r="E2251" s="73">
        <f>B2251*D2251/10000</f>
        <v/>
      </c>
      <c r="F2251" s="74">
        <f>B2251/30.48</f>
        <v/>
      </c>
      <c r="G2251" s="74">
        <f>D2251/30.48</f>
        <v/>
      </c>
      <c r="H2251" s="615" t="n"/>
      <c r="N2251" s="211" t="n"/>
      <c r="Q2251" s="271" t="n"/>
      <c r="R2251" s="282" t="n"/>
    </row>
    <row r="2252" ht="18" customHeight="1" s="305">
      <c r="A2252" s="8" t="n">
        <v>3289</v>
      </c>
      <c r="B2252" s="5" t="n">
        <v>140</v>
      </c>
      <c r="C2252" s="72" t="inlineStr">
        <is>
          <t>X</t>
        </is>
      </c>
      <c r="D2252" s="5" t="n">
        <v>200</v>
      </c>
      <c r="E2252" s="73">
        <f>B2252*D2252/10000</f>
        <v/>
      </c>
      <c r="F2252" s="74">
        <f>B2252/30.48</f>
        <v/>
      </c>
      <c r="G2252" s="74">
        <f>D2252/30.48</f>
        <v/>
      </c>
      <c r="H2252" s="615" t="n"/>
      <c r="N2252" s="211" t="n"/>
      <c r="Q2252" s="271" t="n"/>
      <c r="R2252" s="282" t="n"/>
    </row>
    <row r="2253" ht="18" customHeight="1" s="305">
      <c r="A2253" s="8" t="n">
        <v>3290</v>
      </c>
      <c r="B2253" s="5" t="n">
        <v>80</v>
      </c>
      <c r="C2253" s="72" t="inlineStr">
        <is>
          <t>X</t>
        </is>
      </c>
      <c r="D2253" s="5" t="n">
        <v>159</v>
      </c>
      <c r="E2253" s="73">
        <f>B2253*D2253/10000</f>
        <v/>
      </c>
      <c r="F2253" s="74">
        <f>B2253/30.48</f>
        <v/>
      </c>
      <c r="G2253" s="74">
        <f>D2253/30.48</f>
        <v/>
      </c>
      <c r="H2253" s="615" t="n"/>
      <c r="N2253" s="211" t="n"/>
      <c r="Q2253" s="271" t="n"/>
      <c r="R2253" s="282" t="n"/>
    </row>
    <row r="2254" ht="18" customHeight="1" s="305">
      <c r="A2254" s="8" t="n">
        <v>3291</v>
      </c>
      <c r="B2254" s="5" t="n">
        <v>129</v>
      </c>
      <c r="C2254" s="72" t="inlineStr">
        <is>
          <t>X</t>
        </is>
      </c>
      <c r="D2254" s="5" t="n">
        <v>191</v>
      </c>
      <c r="E2254" s="73">
        <f>B2254*D2254/10000</f>
        <v/>
      </c>
      <c r="F2254" s="74">
        <f>B2254/30.48</f>
        <v/>
      </c>
      <c r="G2254" s="74">
        <f>D2254/30.48</f>
        <v/>
      </c>
      <c r="H2254" s="615" t="n"/>
      <c r="N2254" s="211" t="n"/>
      <c r="Q2254" s="271" t="n"/>
      <c r="R2254" s="282" t="n"/>
    </row>
    <row r="2255" ht="18" customHeight="1" s="305">
      <c r="A2255" s="8" t="n">
        <v>3292</v>
      </c>
      <c r="B2255" s="5" t="n">
        <v>117</v>
      </c>
      <c r="C2255" s="72" t="inlineStr">
        <is>
          <t>X</t>
        </is>
      </c>
      <c r="D2255" s="5" t="n">
        <v>193</v>
      </c>
      <c r="E2255" s="73">
        <f>B2255*D2255/10000</f>
        <v/>
      </c>
      <c r="F2255" s="74">
        <f>B2255/30.48</f>
        <v/>
      </c>
      <c r="G2255" s="74">
        <f>D2255/30.48</f>
        <v/>
      </c>
      <c r="H2255" s="615" t="n"/>
      <c r="N2255" s="211" t="n"/>
      <c r="Q2255" s="271" t="n"/>
      <c r="R2255" s="282" t="n"/>
    </row>
    <row r="2256" ht="18" customHeight="1" s="305">
      <c r="A2256" s="8" t="n">
        <v>3294</v>
      </c>
      <c r="B2256" s="5" t="n">
        <v>75</v>
      </c>
      <c r="C2256" s="72" t="inlineStr">
        <is>
          <t>X</t>
        </is>
      </c>
      <c r="D2256" s="5" t="n">
        <v>128</v>
      </c>
      <c r="E2256" s="73">
        <f>B2256*D2256/10000</f>
        <v/>
      </c>
      <c r="F2256" s="74">
        <f>B2256/30.48</f>
        <v/>
      </c>
      <c r="G2256" s="74">
        <f>D2256/30.48</f>
        <v/>
      </c>
      <c r="H2256" s="615" t="n"/>
      <c r="N2256" s="211" t="n"/>
      <c r="Q2256" s="271" t="n"/>
      <c r="R2256" s="282" t="n"/>
    </row>
    <row r="2257" ht="18" customHeight="1" s="305">
      <c r="A2257" s="8" t="n">
        <v>3295</v>
      </c>
      <c r="B2257" s="5" t="n">
        <v>136</v>
      </c>
      <c r="C2257" s="72" t="inlineStr">
        <is>
          <t>X</t>
        </is>
      </c>
      <c r="D2257" s="5" t="n">
        <v>204</v>
      </c>
      <c r="E2257" s="73">
        <f>B2257*D2257/10000</f>
        <v/>
      </c>
      <c r="F2257" s="74">
        <f>B2257/30.48</f>
        <v/>
      </c>
      <c r="G2257" s="74">
        <f>D2257/30.48</f>
        <v/>
      </c>
      <c r="H2257" s="615" t="n"/>
      <c r="N2257" s="211" t="n"/>
      <c r="Q2257" s="271" t="n"/>
      <c r="R2257" s="282" t="n"/>
    </row>
    <row r="2258" ht="18" customHeight="1" s="305">
      <c r="A2258" s="8" t="n">
        <v>3296</v>
      </c>
      <c r="B2258" s="5" t="n">
        <v>120</v>
      </c>
      <c r="C2258" s="72" t="inlineStr">
        <is>
          <t>X</t>
        </is>
      </c>
      <c r="D2258" s="5" t="n">
        <v>202</v>
      </c>
      <c r="E2258" s="73">
        <f>B2258*D2258/10000</f>
        <v/>
      </c>
      <c r="F2258" s="74">
        <f>B2258/30.48</f>
        <v/>
      </c>
      <c r="G2258" s="74">
        <f>D2258/30.48</f>
        <v/>
      </c>
      <c r="H2258" s="615" t="n"/>
      <c r="N2258" s="211" t="n"/>
      <c r="Q2258" s="271" t="n"/>
      <c r="R2258" s="282" t="n"/>
    </row>
    <row r="2259" ht="18" customHeight="1" s="305">
      <c r="A2259" s="8" t="n">
        <v>3297</v>
      </c>
      <c r="B2259" s="5" t="n">
        <v>87</v>
      </c>
      <c r="C2259" s="72" t="inlineStr">
        <is>
          <t>X</t>
        </is>
      </c>
      <c r="D2259" s="5" t="n">
        <v>364</v>
      </c>
      <c r="E2259" s="73">
        <f>B2259*D2259/10000</f>
        <v/>
      </c>
      <c r="F2259" s="74">
        <f>B2259/30.48</f>
        <v/>
      </c>
      <c r="G2259" s="74">
        <f>D2259/30.48</f>
        <v/>
      </c>
      <c r="H2259" s="615" t="n"/>
      <c r="N2259" s="211" t="n"/>
      <c r="Q2259" s="271" t="n"/>
      <c r="R2259" s="282" t="n"/>
    </row>
    <row r="2260" ht="18" customHeight="1" s="305">
      <c r="A2260" s="8" t="n">
        <v>3301</v>
      </c>
      <c r="B2260" s="5" t="n">
        <v>170</v>
      </c>
      <c r="C2260" s="72" t="inlineStr">
        <is>
          <t>X</t>
        </is>
      </c>
      <c r="D2260" s="5" t="n">
        <v>246</v>
      </c>
      <c r="E2260" s="73">
        <f>B2260*D2260/10000</f>
        <v/>
      </c>
      <c r="F2260" s="74">
        <f>B2260/30.48</f>
        <v/>
      </c>
      <c r="G2260" s="74">
        <f>D2260/30.48</f>
        <v/>
      </c>
      <c r="H2260" s="615" t="n"/>
      <c r="N2260" s="211" t="n"/>
      <c r="Q2260" s="271" t="n"/>
      <c r="R2260" s="282" t="n"/>
    </row>
    <row r="2261" ht="18" customHeight="1" s="305">
      <c r="A2261" s="8" t="n">
        <v>3302</v>
      </c>
      <c r="B2261" s="5" t="n">
        <v>207</v>
      </c>
      <c r="C2261" s="72" t="inlineStr">
        <is>
          <t>X</t>
        </is>
      </c>
      <c r="D2261" s="5" t="n">
        <v>279</v>
      </c>
      <c r="E2261" s="73">
        <f>B2261*D2261/10000</f>
        <v/>
      </c>
      <c r="F2261" s="74">
        <f>B2261/30.48</f>
        <v/>
      </c>
      <c r="G2261" s="74">
        <f>D2261/30.48</f>
        <v/>
      </c>
      <c r="H2261" s="615" t="n"/>
      <c r="N2261" s="211" t="n"/>
      <c r="Q2261" s="271" t="n"/>
      <c r="R2261" s="282" t="n"/>
    </row>
    <row r="2262" ht="18" customHeight="1" s="305">
      <c r="A2262" s="8" t="n">
        <v>3303</v>
      </c>
      <c r="B2262" s="5" t="n">
        <v>210</v>
      </c>
      <c r="C2262" s="72" t="inlineStr">
        <is>
          <t>X</t>
        </is>
      </c>
      <c r="D2262" s="5" t="n">
        <v>295</v>
      </c>
      <c r="E2262" s="73">
        <f>B2262*D2262/10000</f>
        <v/>
      </c>
      <c r="F2262" s="74">
        <f>B2262/30.48</f>
        <v/>
      </c>
      <c r="G2262" s="74">
        <f>D2262/30.48</f>
        <v/>
      </c>
      <c r="H2262" s="615" t="n"/>
      <c r="N2262" s="211" t="n"/>
      <c r="Q2262" s="271" t="n"/>
      <c r="R2262" s="282" t="n"/>
    </row>
    <row r="2263" ht="18" customHeight="1" s="305">
      <c r="A2263" s="8" t="n">
        <v>3304</v>
      </c>
      <c r="B2263" s="5" t="n">
        <v>216</v>
      </c>
      <c r="C2263" s="72" t="inlineStr">
        <is>
          <t>X</t>
        </is>
      </c>
      <c r="D2263" s="5" t="n">
        <v>277</v>
      </c>
      <c r="E2263" s="73">
        <f>B2263*D2263/10000</f>
        <v/>
      </c>
      <c r="F2263" s="74">
        <f>B2263/30.48</f>
        <v/>
      </c>
      <c r="G2263" s="74">
        <f>D2263/30.48</f>
        <v/>
      </c>
      <c r="H2263" s="615" t="n"/>
      <c r="N2263" s="211" t="n"/>
      <c r="Q2263" s="271" t="n"/>
      <c r="R2263" s="282" t="n"/>
    </row>
    <row r="2264" ht="18" customHeight="1" s="305">
      <c r="A2264" s="8" t="n">
        <v>3305</v>
      </c>
      <c r="B2264" s="5" t="n">
        <v>135</v>
      </c>
      <c r="C2264" s="72" t="inlineStr">
        <is>
          <t>X</t>
        </is>
      </c>
      <c r="D2264" s="5" t="n">
        <v>193</v>
      </c>
      <c r="E2264" s="73">
        <f>B2264*D2264/10000</f>
        <v/>
      </c>
      <c r="F2264" s="74">
        <f>B2264/30.48</f>
        <v/>
      </c>
      <c r="G2264" s="74">
        <f>D2264/30.48</f>
        <v/>
      </c>
      <c r="H2264" s="615" t="n"/>
      <c r="N2264" s="211" t="n"/>
      <c r="Q2264" s="271" t="n"/>
      <c r="R2264" s="282" t="n"/>
    </row>
    <row r="2265" ht="18" customHeight="1" s="305">
      <c r="A2265" s="8" t="n">
        <v>3306</v>
      </c>
      <c r="B2265" s="5" t="n">
        <v>209</v>
      </c>
      <c r="C2265" s="72" t="inlineStr">
        <is>
          <t>X</t>
        </is>
      </c>
      <c r="D2265" s="5" t="n">
        <v>307</v>
      </c>
      <c r="E2265" s="73">
        <f>B2265*D2265/10000</f>
        <v/>
      </c>
      <c r="F2265" s="74">
        <f>B2265/30.48</f>
        <v/>
      </c>
      <c r="G2265" s="74">
        <f>D2265/30.48</f>
        <v/>
      </c>
      <c r="H2265" s="615" t="n"/>
      <c r="N2265" s="211" t="n"/>
      <c r="Q2265" s="271" t="n"/>
      <c r="R2265" s="282" t="n"/>
    </row>
    <row r="2266" ht="18" customHeight="1" s="305">
      <c r="A2266" s="8" t="n">
        <v>3307</v>
      </c>
      <c r="B2266" s="5" t="n">
        <v>209</v>
      </c>
      <c r="C2266" s="72" t="inlineStr">
        <is>
          <t>X</t>
        </is>
      </c>
      <c r="D2266" s="5" t="n">
        <v>268</v>
      </c>
      <c r="E2266" s="73">
        <f>B2266*D2266/10000</f>
        <v/>
      </c>
      <c r="F2266" s="74">
        <f>B2266/30.48</f>
        <v/>
      </c>
      <c r="G2266" s="74">
        <f>D2266/30.48</f>
        <v/>
      </c>
      <c r="H2266" s="615" t="n"/>
      <c r="N2266" s="211" t="n"/>
      <c r="Q2266" s="271" t="n"/>
      <c r="R2266" s="282" t="n"/>
    </row>
    <row r="2267" ht="18" customHeight="1" s="305">
      <c r="A2267" s="8" t="n">
        <v>3308</v>
      </c>
      <c r="B2267" s="5" t="n">
        <v>129</v>
      </c>
      <c r="C2267" s="72" t="inlineStr">
        <is>
          <t>X</t>
        </is>
      </c>
      <c r="D2267" s="5" t="n">
        <v>174</v>
      </c>
      <c r="E2267" s="73">
        <f>B2267*D2267/10000</f>
        <v/>
      </c>
      <c r="F2267" s="74">
        <f>B2267/30.48</f>
        <v/>
      </c>
      <c r="G2267" s="74">
        <f>D2267/30.48</f>
        <v/>
      </c>
      <c r="H2267" s="615" t="n"/>
      <c r="N2267" s="211" t="n"/>
      <c r="Q2267" s="271" t="n"/>
      <c r="R2267" s="282" t="n"/>
    </row>
    <row r="2268" ht="18" customHeight="1" s="305">
      <c r="A2268" s="8" t="n">
        <v>3309</v>
      </c>
      <c r="B2268" s="5" t="n">
        <v>199</v>
      </c>
      <c r="C2268" s="72" t="inlineStr">
        <is>
          <t>X</t>
        </is>
      </c>
      <c r="D2268" s="5" t="n">
        <v>280</v>
      </c>
      <c r="E2268" s="73">
        <f>B2268*D2268/10000</f>
        <v/>
      </c>
      <c r="F2268" s="74">
        <f>B2268/30.48</f>
        <v/>
      </c>
      <c r="G2268" s="74">
        <f>D2268/30.48</f>
        <v/>
      </c>
      <c r="H2268" s="615" t="n"/>
      <c r="N2268" s="211" t="n"/>
      <c r="Q2268" s="271" t="n"/>
      <c r="R2268" s="282" t="n"/>
    </row>
    <row r="2269" ht="18" customHeight="1" s="305">
      <c r="A2269" s="8" t="n">
        <v>3310</v>
      </c>
      <c r="B2269" s="5" t="n">
        <v>159</v>
      </c>
      <c r="C2269" s="72" t="inlineStr">
        <is>
          <t>X</t>
        </is>
      </c>
      <c r="D2269" s="5" t="n">
        <v>221</v>
      </c>
      <c r="E2269" s="73">
        <f>B2269*D2269/10000</f>
        <v/>
      </c>
      <c r="F2269" s="74">
        <f>B2269/30.48</f>
        <v/>
      </c>
      <c r="G2269" s="74">
        <f>D2269/30.48</f>
        <v/>
      </c>
      <c r="H2269" s="615" t="n"/>
      <c r="N2269" s="211" t="n"/>
      <c r="Q2269" s="271" t="n"/>
      <c r="R2269" s="282" t="n"/>
    </row>
    <row r="2270" ht="18" customHeight="1" s="305">
      <c r="A2270" s="8" t="n">
        <v>3312</v>
      </c>
      <c r="B2270" s="5" t="n">
        <v>120</v>
      </c>
      <c r="C2270" s="72" t="inlineStr">
        <is>
          <t>X</t>
        </is>
      </c>
      <c r="D2270" s="5" t="n">
        <v>184</v>
      </c>
      <c r="E2270" s="73">
        <f>B2270*D2270/10000</f>
        <v/>
      </c>
      <c r="F2270" s="74">
        <f>B2270/30.48</f>
        <v/>
      </c>
      <c r="G2270" s="74">
        <f>D2270/30.48</f>
        <v/>
      </c>
      <c r="H2270" s="615" t="n"/>
      <c r="N2270" s="211" t="n"/>
      <c r="Q2270" s="271" t="n"/>
      <c r="R2270" s="282" t="n"/>
    </row>
    <row r="2271" ht="18" customHeight="1" s="305">
      <c r="A2271" s="8" t="n">
        <v>3314</v>
      </c>
      <c r="B2271" s="5" t="n">
        <v>107</v>
      </c>
      <c r="C2271" s="72" t="inlineStr">
        <is>
          <t>X</t>
        </is>
      </c>
      <c r="D2271" s="5" t="n">
        <v>314</v>
      </c>
      <c r="E2271" s="73">
        <f>B2271*D2271/10000</f>
        <v/>
      </c>
      <c r="F2271" s="74">
        <f>B2271/30.48</f>
        <v/>
      </c>
      <c r="G2271" s="74">
        <f>D2271/30.48</f>
        <v/>
      </c>
      <c r="H2271" s="615" t="n"/>
      <c r="N2271" s="211" t="n"/>
      <c r="Q2271" s="271" t="n"/>
      <c r="R2271" s="282" t="n"/>
    </row>
    <row r="2272" ht="18" customHeight="1" s="305">
      <c r="A2272" s="8" t="n">
        <v>3315</v>
      </c>
      <c r="B2272" s="5" t="n">
        <v>190</v>
      </c>
      <c r="C2272" s="72" t="inlineStr">
        <is>
          <t>X</t>
        </is>
      </c>
      <c r="D2272" s="5" t="n">
        <v>280</v>
      </c>
      <c r="E2272" s="73">
        <f>B2272*D2272/10000</f>
        <v/>
      </c>
      <c r="F2272" s="74">
        <f>B2272/30.48</f>
        <v/>
      </c>
      <c r="G2272" s="74">
        <f>D2272/30.48</f>
        <v/>
      </c>
      <c r="H2272" s="615" t="n"/>
      <c r="N2272" s="211" t="n"/>
      <c r="Q2272" s="271" t="n"/>
      <c r="R2272" s="282" t="n"/>
    </row>
    <row r="2273" ht="18" customHeight="1" s="305">
      <c r="A2273" s="8" t="n">
        <v>3317</v>
      </c>
      <c r="B2273" s="5" t="n">
        <v>174</v>
      </c>
      <c r="C2273" s="72" t="inlineStr">
        <is>
          <t>X</t>
        </is>
      </c>
      <c r="D2273" s="5" t="n">
        <v>238</v>
      </c>
      <c r="E2273" s="73">
        <f>B2273*D2273/10000</f>
        <v/>
      </c>
      <c r="F2273" s="74">
        <f>B2273/30.48</f>
        <v/>
      </c>
      <c r="G2273" s="74">
        <f>D2273/30.48</f>
        <v/>
      </c>
      <c r="H2273" s="615" t="n"/>
      <c r="N2273" s="211" t="n"/>
      <c r="Q2273" s="271" t="n"/>
      <c r="R2273" s="282" t="n"/>
    </row>
    <row r="2274" ht="18" customHeight="1" s="305">
      <c r="A2274" s="8" t="n">
        <v>3318</v>
      </c>
      <c r="B2274" s="5" t="n">
        <v>232</v>
      </c>
      <c r="C2274" s="72" t="inlineStr">
        <is>
          <t>X</t>
        </is>
      </c>
      <c r="D2274" s="5" t="n">
        <v>301</v>
      </c>
      <c r="E2274" s="73">
        <f>B2274*D2274/10000</f>
        <v/>
      </c>
      <c r="F2274" s="74">
        <f>B2274/30.48</f>
        <v/>
      </c>
      <c r="G2274" s="74">
        <f>D2274/30.48</f>
        <v/>
      </c>
      <c r="H2274" s="615" t="n"/>
      <c r="N2274" s="211" t="n"/>
      <c r="Q2274" s="271" t="n"/>
      <c r="R2274" s="282" t="n"/>
    </row>
    <row r="2275" ht="18" customHeight="1" s="305">
      <c r="A2275" s="8" t="n">
        <v>3319</v>
      </c>
      <c r="B2275" s="5" t="n">
        <v>169</v>
      </c>
      <c r="C2275" s="72" t="inlineStr">
        <is>
          <t>X</t>
        </is>
      </c>
      <c r="D2275" s="5" t="n">
        <v>189</v>
      </c>
      <c r="E2275" s="73">
        <f>B2275*D2275/10000</f>
        <v/>
      </c>
      <c r="F2275" s="74">
        <f>B2275/30.48</f>
        <v/>
      </c>
      <c r="G2275" s="74">
        <f>D2275/30.48</f>
        <v/>
      </c>
      <c r="H2275" s="615" t="n"/>
      <c r="N2275" s="211" t="n"/>
      <c r="Q2275" s="271" t="n"/>
      <c r="R2275" s="282" t="n"/>
    </row>
    <row r="2276" ht="18" customHeight="1" s="305">
      <c r="A2276" s="8" t="n">
        <v>3320</v>
      </c>
      <c r="B2276" s="5" t="n">
        <v>197</v>
      </c>
      <c r="C2276" s="72" t="inlineStr">
        <is>
          <t>X</t>
        </is>
      </c>
      <c r="D2276" s="5" t="n">
        <v>270</v>
      </c>
      <c r="E2276" s="73">
        <f>B2276*D2276/10000</f>
        <v/>
      </c>
      <c r="F2276" s="74">
        <f>B2276/30.48</f>
        <v/>
      </c>
      <c r="G2276" s="74">
        <f>D2276/30.48</f>
        <v/>
      </c>
      <c r="H2276" s="615" t="n"/>
      <c r="N2276" s="211" t="n"/>
      <c r="Q2276" s="271" t="n"/>
      <c r="R2276" s="282" t="n"/>
    </row>
    <row r="2277" ht="18" customHeight="1" s="305">
      <c r="A2277" s="8" t="n">
        <v>3321</v>
      </c>
      <c r="B2277" s="5" t="n">
        <v>153</v>
      </c>
      <c r="C2277" s="72" t="inlineStr">
        <is>
          <t>X</t>
        </is>
      </c>
      <c r="D2277" s="5" t="n">
        <v>253</v>
      </c>
      <c r="E2277" s="73">
        <f>B2277*D2277/10000</f>
        <v/>
      </c>
      <c r="F2277" s="74">
        <f>B2277/30.48</f>
        <v/>
      </c>
      <c r="G2277" s="74">
        <f>D2277/30.48</f>
        <v/>
      </c>
      <c r="H2277" s="615" t="n"/>
      <c r="N2277" s="211" t="n"/>
      <c r="Q2277" s="271" t="n"/>
      <c r="R2277" s="282" t="n"/>
    </row>
    <row r="2278" ht="18" customHeight="1" s="305">
      <c r="A2278" s="8" t="n">
        <v>3322</v>
      </c>
      <c r="B2278" s="5" t="n">
        <v>182</v>
      </c>
      <c r="C2278" s="72" t="inlineStr">
        <is>
          <t>X</t>
        </is>
      </c>
      <c r="D2278" s="5" t="n">
        <v>292</v>
      </c>
      <c r="E2278" s="73">
        <f>B2278*D2278/10000</f>
        <v/>
      </c>
      <c r="F2278" s="74">
        <f>B2278/30.48</f>
        <v/>
      </c>
      <c r="G2278" s="74">
        <f>D2278/30.48</f>
        <v/>
      </c>
      <c r="H2278" s="615" t="n"/>
      <c r="N2278" s="211" t="n"/>
      <c r="Q2278" s="271" t="n"/>
      <c r="R2278" s="282" t="n"/>
    </row>
    <row r="2279" ht="18" customHeight="1" s="305">
      <c r="A2279" s="8" t="inlineStr">
        <is>
          <t>H 295</t>
        </is>
      </c>
      <c r="B2279" s="5" t="n">
        <v>81</v>
      </c>
      <c r="C2279" s="72" t="inlineStr">
        <is>
          <t>X</t>
        </is>
      </c>
      <c r="D2279" s="5" t="n">
        <v>401</v>
      </c>
      <c r="E2279" s="73">
        <f>B2279*D2279/10000</f>
        <v/>
      </c>
      <c r="F2279" s="74">
        <f>B2279/30.48</f>
        <v/>
      </c>
      <c r="G2279" s="74">
        <f>D2279/30.48</f>
        <v/>
      </c>
      <c r="H2279" s="615" t="n"/>
      <c r="N2279" s="211" t="n"/>
      <c r="Q2279" s="271" t="n"/>
      <c r="R2279" s="282" t="n"/>
    </row>
    <row r="2280" ht="18" customHeight="1" s="305">
      <c r="A2280" s="8" t="inlineStr">
        <is>
          <t>H 297</t>
        </is>
      </c>
      <c r="B2280" s="5" t="n">
        <v>128</v>
      </c>
      <c r="C2280" s="72" t="inlineStr">
        <is>
          <t>X</t>
        </is>
      </c>
      <c r="D2280" s="5" t="n">
        <v>323</v>
      </c>
      <c r="E2280" s="73" t="n">
        <v>4.13</v>
      </c>
      <c r="F2280" s="74">
        <f>B2280/30.48</f>
        <v/>
      </c>
      <c r="G2280" s="74">
        <f>D2280/30.48</f>
        <v/>
      </c>
      <c r="H2280" s="615" t="n"/>
      <c r="N2280" s="211" t="n"/>
      <c r="Q2280" s="271" t="n"/>
      <c r="R2280" s="282" t="n"/>
    </row>
    <row r="2281" ht="18" customHeight="1" s="305">
      <c r="A2281" s="8" t="inlineStr">
        <is>
          <t>H 297</t>
        </is>
      </c>
      <c r="B2281" s="5" t="n">
        <v>80</v>
      </c>
      <c r="C2281" s="72" t="inlineStr">
        <is>
          <t>X</t>
        </is>
      </c>
      <c r="D2281" s="5" t="n">
        <v>393</v>
      </c>
      <c r="E2281" s="73">
        <f>B2281*D2281/10000</f>
        <v/>
      </c>
      <c r="F2281" s="74">
        <f>B2281/30.48</f>
        <v/>
      </c>
      <c r="G2281" s="74">
        <f>D2281/30.48</f>
        <v/>
      </c>
      <c r="H2281" s="615" t="n"/>
      <c r="N2281" s="211" t="n"/>
      <c r="Q2281" s="271" t="n"/>
      <c r="R2281" s="282" t="n"/>
    </row>
    <row r="2282" ht="18" customHeight="1" s="305">
      <c r="A2282" s="8" t="n">
        <v>3328</v>
      </c>
      <c r="B2282" s="5" t="n">
        <v>74</v>
      </c>
      <c r="C2282" s="72" t="inlineStr">
        <is>
          <t>X</t>
        </is>
      </c>
      <c r="D2282" s="5" t="n">
        <v>344</v>
      </c>
      <c r="E2282" s="73">
        <f>B2282*D2282/10000</f>
        <v/>
      </c>
      <c r="F2282" s="74">
        <f>B2282/30.48</f>
        <v/>
      </c>
      <c r="G2282" s="74">
        <f>D2282/30.48</f>
        <v/>
      </c>
      <c r="H2282" s="615" t="n"/>
      <c r="N2282" s="211" t="n"/>
      <c r="Q2282" s="271" t="n"/>
      <c r="R2282" s="282" t="n"/>
    </row>
    <row r="2283" ht="18" customHeight="1" s="305">
      <c r="A2283" s="8" t="n">
        <v>3330</v>
      </c>
      <c r="B2283" s="5" t="n">
        <v>73</v>
      </c>
      <c r="C2283" s="72" t="inlineStr">
        <is>
          <t>X</t>
        </is>
      </c>
      <c r="D2283" s="5" t="n">
        <v>147</v>
      </c>
      <c r="E2283" s="73">
        <f>B2283*D2283/10000</f>
        <v/>
      </c>
      <c r="F2283" s="74">
        <f>B2283/30.48</f>
        <v/>
      </c>
      <c r="G2283" s="74">
        <f>D2283/30.48</f>
        <v/>
      </c>
      <c r="H2283" s="615" t="n"/>
      <c r="N2283" s="211" t="n"/>
      <c r="Q2283" s="271" t="n"/>
      <c r="R2283" s="282" t="n"/>
    </row>
    <row r="2284" ht="18" customHeight="1" s="305">
      <c r="A2284" s="8" t="n">
        <v>3334</v>
      </c>
      <c r="B2284" s="5" t="n">
        <v>85</v>
      </c>
      <c r="C2284" s="72" t="inlineStr">
        <is>
          <t>X</t>
        </is>
      </c>
      <c r="D2284" s="5" t="n">
        <v>379</v>
      </c>
      <c r="E2284" s="73">
        <f>B2284*D2284/10000</f>
        <v/>
      </c>
      <c r="F2284" s="74">
        <f>B2284/30.48</f>
        <v/>
      </c>
      <c r="G2284" s="74">
        <f>D2284/30.48</f>
        <v/>
      </c>
      <c r="H2284" s="615" t="n"/>
      <c r="N2284" s="211" t="n"/>
      <c r="Q2284" s="271" t="n"/>
      <c r="R2284" s="282" t="n"/>
    </row>
    <row r="2285" ht="18" customHeight="1" s="305">
      <c r="A2285" s="8" t="n">
        <v>3337</v>
      </c>
      <c r="B2285" s="5" t="n">
        <v>84</v>
      </c>
      <c r="C2285" s="72" t="inlineStr">
        <is>
          <t>X</t>
        </is>
      </c>
      <c r="D2285" s="5" t="n">
        <v>118</v>
      </c>
      <c r="E2285" s="73">
        <f>B2285*D2285/10000</f>
        <v/>
      </c>
      <c r="F2285" s="74">
        <f>B2285/30.48</f>
        <v/>
      </c>
      <c r="G2285" s="74">
        <f>D2285/30.48</f>
        <v/>
      </c>
      <c r="H2285" s="615" t="n"/>
      <c r="N2285" s="211" t="n"/>
      <c r="Q2285" s="271" t="n"/>
      <c r="R2285" s="282" t="n"/>
    </row>
    <row r="2286" ht="18" customHeight="1" s="305">
      <c r="A2286" s="8" t="n">
        <v>3338</v>
      </c>
      <c r="B2286" s="5" t="n">
        <v>84</v>
      </c>
      <c r="C2286" s="72" t="inlineStr">
        <is>
          <t>X</t>
        </is>
      </c>
      <c r="D2286" s="5" t="n">
        <v>104</v>
      </c>
      <c r="E2286" s="73">
        <f>B2286*D2286/10000</f>
        <v/>
      </c>
      <c r="F2286" s="74">
        <f>B2286/30.48</f>
        <v/>
      </c>
      <c r="G2286" s="74">
        <f>D2286/30.48</f>
        <v/>
      </c>
      <c r="H2286" s="615" t="n"/>
      <c r="N2286" s="211" t="n"/>
      <c r="Q2286" s="271" t="n"/>
      <c r="R2286" s="282" t="n"/>
    </row>
    <row r="2287" ht="18" customHeight="1" s="305">
      <c r="A2287" s="8" t="n">
        <v>3340</v>
      </c>
      <c r="B2287" s="5" t="n">
        <v>85</v>
      </c>
      <c r="C2287" s="72" t="inlineStr">
        <is>
          <t>X</t>
        </is>
      </c>
      <c r="D2287" s="5" t="n">
        <v>301</v>
      </c>
      <c r="E2287" s="73">
        <f>B2287*D2287/10000</f>
        <v/>
      </c>
      <c r="F2287" s="74">
        <f>B2287/30.48</f>
        <v/>
      </c>
      <c r="G2287" s="74">
        <f>D2287/30.48</f>
        <v/>
      </c>
      <c r="H2287" s="615" t="n"/>
      <c r="N2287" s="211" t="n"/>
      <c r="Q2287" s="271" t="n"/>
      <c r="R2287" s="282" t="n"/>
    </row>
    <row r="2288" ht="18" customHeight="1" s="305">
      <c r="A2288" s="8" t="n">
        <v>3343</v>
      </c>
      <c r="B2288" s="5" t="n">
        <v>70</v>
      </c>
      <c r="C2288" s="72" t="inlineStr">
        <is>
          <t>X</t>
        </is>
      </c>
      <c r="D2288" s="5" t="n">
        <v>143</v>
      </c>
      <c r="E2288" s="73">
        <f>B2288*D2288/10000</f>
        <v/>
      </c>
      <c r="F2288" s="74">
        <f>B2288/30.48</f>
        <v/>
      </c>
      <c r="G2288" s="74">
        <f>D2288/30.48</f>
        <v/>
      </c>
      <c r="H2288" s="615" t="n"/>
      <c r="N2288" s="211" t="n"/>
      <c r="Q2288" s="271" t="n"/>
      <c r="R2288" s="282" t="n"/>
    </row>
    <row r="2289" ht="18" customHeight="1" s="305">
      <c r="A2289" s="8" t="n">
        <v>3348</v>
      </c>
      <c r="B2289" s="5" t="n">
        <v>131</v>
      </c>
      <c r="C2289" s="72" t="inlineStr">
        <is>
          <t>X</t>
        </is>
      </c>
      <c r="D2289" s="5" t="n">
        <v>205</v>
      </c>
      <c r="E2289" s="73">
        <f>B2289*D2289/10000</f>
        <v/>
      </c>
      <c r="F2289" s="74">
        <f>B2289/30.48</f>
        <v/>
      </c>
      <c r="G2289" s="74">
        <f>D2289/30.48</f>
        <v/>
      </c>
      <c r="H2289" s="615" t="n"/>
      <c r="N2289" s="211" t="n"/>
      <c r="Q2289" s="271" t="n"/>
      <c r="R2289" s="282" t="n"/>
    </row>
    <row r="2290" ht="18" customHeight="1" s="305">
      <c r="A2290" s="8" t="n">
        <v>3350</v>
      </c>
      <c r="B2290" s="5" t="n">
        <v>89</v>
      </c>
      <c r="C2290" s="72" t="inlineStr">
        <is>
          <t>X</t>
        </is>
      </c>
      <c r="D2290" s="5" t="n">
        <v>274</v>
      </c>
      <c r="E2290" s="73">
        <f>B2290*D2290/10000</f>
        <v/>
      </c>
      <c r="F2290" s="74">
        <f>B2290/30.48</f>
        <v/>
      </c>
      <c r="G2290" s="74">
        <f>D2290/30.48</f>
        <v/>
      </c>
      <c r="H2290" s="615" t="n"/>
      <c r="N2290" s="211" t="n"/>
      <c r="Q2290" s="271" t="n"/>
      <c r="R2290" s="282" t="n"/>
    </row>
    <row r="2291" ht="18" customHeight="1" s="305">
      <c r="A2291" s="8" t="n">
        <v>3353</v>
      </c>
      <c r="B2291" s="5" t="n">
        <v>116</v>
      </c>
      <c r="C2291" s="72" t="inlineStr">
        <is>
          <t>X</t>
        </is>
      </c>
      <c r="D2291" s="5" t="n">
        <v>217</v>
      </c>
      <c r="E2291" s="73">
        <f>B2291*D2291/10000</f>
        <v/>
      </c>
      <c r="F2291" s="74">
        <f>B2291/30.48</f>
        <v/>
      </c>
      <c r="G2291" s="74">
        <f>D2291/30.48</f>
        <v/>
      </c>
      <c r="H2291" s="615" t="n"/>
      <c r="N2291" s="211" t="n"/>
      <c r="Q2291" s="271" t="n"/>
      <c r="R2291" s="282" t="n"/>
    </row>
    <row r="2292" ht="18" customHeight="1" s="305">
      <c r="A2292" s="8" t="n">
        <v>3356</v>
      </c>
      <c r="B2292" s="5" t="n">
        <v>80</v>
      </c>
      <c r="C2292" s="72" t="inlineStr">
        <is>
          <t>X</t>
        </is>
      </c>
      <c r="D2292" s="5" t="n">
        <v>140</v>
      </c>
      <c r="E2292" s="73">
        <f>B2292*D2292/10000</f>
        <v/>
      </c>
      <c r="F2292" s="74">
        <f>B2292/30.48</f>
        <v/>
      </c>
      <c r="G2292" s="74">
        <f>D2292/30.48</f>
        <v/>
      </c>
      <c r="H2292" s="615" t="n"/>
      <c r="N2292" s="211" t="n"/>
      <c r="Q2292" s="271" t="n"/>
      <c r="R2292" s="282" t="n"/>
    </row>
    <row r="2293" ht="18" customHeight="1" s="305">
      <c r="A2293" s="8" t="n">
        <v>3357</v>
      </c>
      <c r="B2293" s="5" t="n">
        <v>142</v>
      </c>
      <c r="C2293" s="72" t="inlineStr">
        <is>
          <t>X</t>
        </is>
      </c>
      <c r="D2293" s="5" t="n">
        <v>233</v>
      </c>
      <c r="E2293" s="73">
        <f>B2293*D2293/10000</f>
        <v/>
      </c>
      <c r="F2293" s="74">
        <f>B2293/30.48</f>
        <v/>
      </c>
      <c r="G2293" s="74">
        <f>D2293/30.48</f>
        <v/>
      </c>
      <c r="H2293" s="615" t="n"/>
      <c r="N2293" s="211" t="n"/>
      <c r="Q2293" s="271" t="n"/>
      <c r="R2293" s="282" t="n"/>
    </row>
    <row r="2294" ht="18" customHeight="1" s="305">
      <c r="A2294" s="8" t="n">
        <v>3358</v>
      </c>
      <c r="B2294" s="5" t="n">
        <v>99</v>
      </c>
      <c r="C2294" s="72" t="inlineStr">
        <is>
          <t>X</t>
        </is>
      </c>
      <c r="D2294" s="5" t="n">
        <v>334</v>
      </c>
      <c r="E2294" s="73">
        <f>B2294*D2294/10000</f>
        <v/>
      </c>
      <c r="F2294" s="74">
        <f>B2294/30.48</f>
        <v/>
      </c>
      <c r="G2294" s="74">
        <f>D2294/30.48</f>
        <v/>
      </c>
      <c r="H2294" s="615" t="n"/>
      <c r="N2294" s="211" t="n"/>
      <c r="Q2294" s="271" t="n"/>
      <c r="R2294" s="282" t="n"/>
    </row>
    <row r="2295" ht="18" customHeight="1" s="305">
      <c r="A2295" s="8" t="n">
        <v>3359</v>
      </c>
      <c r="B2295" s="5" t="n">
        <v>65</v>
      </c>
      <c r="C2295" s="72" t="inlineStr">
        <is>
          <t>X</t>
        </is>
      </c>
      <c r="D2295" s="5" t="n">
        <v>332</v>
      </c>
      <c r="E2295" s="73">
        <f>B2295*D2295/10000</f>
        <v/>
      </c>
      <c r="F2295" s="74">
        <f>B2295/30.48</f>
        <v/>
      </c>
      <c r="G2295" s="74">
        <f>D2295/30.48</f>
        <v/>
      </c>
      <c r="H2295" s="615" t="n"/>
      <c r="N2295" s="211" t="n"/>
      <c r="Q2295" s="271" t="n"/>
      <c r="R2295" s="282" t="n"/>
    </row>
    <row r="2296" ht="18" customHeight="1" s="305">
      <c r="A2296" s="8" t="n">
        <v>3361</v>
      </c>
      <c r="B2296" s="5" t="n">
        <v>90</v>
      </c>
      <c r="C2296" s="72" t="inlineStr">
        <is>
          <t>X</t>
        </is>
      </c>
      <c r="D2296" s="5" t="n">
        <v>354</v>
      </c>
      <c r="E2296" s="73">
        <f>B2296*D2296/10000</f>
        <v/>
      </c>
      <c r="F2296" s="74">
        <f>B2296/30.48</f>
        <v/>
      </c>
      <c r="G2296" s="74">
        <f>D2296/30.48</f>
        <v/>
      </c>
      <c r="H2296" s="615" t="n"/>
      <c r="N2296" s="211" t="n"/>
      <c r="Q2296" s="271" t="n"/>
      <c r="R2296" s="282" t="n"/>
    </row>
    <row r="2297" ht="18" customHeight="1" s="305">
      <c r="A2297" s="8" t="n">
        <v>3362</v>
      </c>
      <c r="B2297" s="5" t="n">
        <v>85</v>
      </c>
      <c r="C2297" s="72" t="inlineStr">
        <is>
          <t>X</t>
        </is>
      </c>
      <c r="D2297" s="5" t="n">
        <v>315</v>
      </c>
      <c r="E2297" s="73">
        <f>B2297*D2297/10000</f>
        <v/>
      </c>
      <c r="F2297" s="74">
        <f>B2297/30.48</f>
        <v/>
      </c>
      <c r="G2297" s="74">
        <f>D2297/30.48</f>
        <v/>
      </c>
      <c r="H2297" s="615" t="n"/>
      <c r="N2297" s="211" t="n"/>
      <c r="Q2297" s="271" t="n"/>
      <c r="R2297" s="282" t="n"/>
    </row>
    <row r="2298" ht="18" customHeight="1" s="305">
      <c r="A2298" s="8" t="n">
        <v>3363</v>
      </c>
      <c r="B2298" s="5" t="n">
        <v>70</v>
      </c>
      <c r="C2298" s="72" t="inlineStr">
        <is>
          <t>X</t>
        </is>
      </c>
      <c r="D2298" s="5" t="n">
        <v>292</v>
      </c>
      <c r="E2298" s="73">
        <f>B2298*D2298/10000</f>
        <v/>
      </c>
      <c r="F2298" s="74">
        <f>B2298/30.48</f>
        <v/>
      </c>
      <c r="G2298" s="74">
        <f>D2298/30.48</f>
        <v/>
      </c>
      <c r="H2298" s="615" t="n"/>
      <c r="N2298" s="211" t="n"/>
      <c r="Q2298" s="271" t="n"/>
      <c r="R2298" s="282" t="n"/>
    </row>
    <row r="2299" ht="18" customHeight="1" s="305">
      <c r="A2299" s="8" t="n">
        <v>3367</v>
      </c>
      <c r="B2299" s="5" t="n">
        <v>101</v>
      </c>
      <c r="C2299" s="72" t="inlineStr">
        <is>
          <t>X</t>
        </is>
      </c>
      <c r="D2299" s="5" t="n">
        <v>339</v>
      </c>
      <c r="E2299" s="73">
        <f>B2299*D2299/10000</f>
        <v/>
      </c>
      <c r="F2299" s="74">
        <f>B2299/30.48</f>
        <v/>
      </c>
      <c r="G2299" s="74">
        <f>D2299/30.48</f>
        <v/>
      </c>
      <c r="H2299" s="615" t="n"/>
      <c r="N2299" s="211" t="n"/>
      <c r="Q2299" s="271" t="n"/>
      <c r="R2299" s="282" t="n"/>
    </row>
    <row r="2300" ht="18" customHeight="1" s="305">
      <c r="A2300" s="8" t="n">
        <v>3369</v>
      </c>
      <c r="B2300" s="5" t="n">
        <v>70</v>
      </c>
      <c r="C2300" s="72" t="inlineStr">
        <is>
          <t>X</t>
        </is>
      </c>
      <c r="D2300" s="5" t="n">
        <v>152</v>
      </c>
      <c r="E2300" s="73">
        <f>B2300*D2300/10000</f>
        <v/>
      </c>
      <c r="F2300" s="74">
        <f>B2300/30.48</f>
        <v/>
      </c>
      <c r="G2300" s="74">
        <f>D2300/30.48</f>
        <v/>
      </c>
      <c r="H2300" s="615" t="n"/>
      <c r="N2300" s="211" t="n"/>
      <c r="Q2300" s="271" t="n"/>
      <c r="R2300" s="282" t="n"/>
    </row>
    <row r="2301" ht="18" customHeight="1" s="305">
      <c r="A2301" s="8" t="n">
        <v>3370</v>
      </c>
      <c r="B2301" s="5" t="n">
        <v>165</v>
      </c>
      <c r="C2301" s="72" t="inlineStr">
        <is>
          <t>X</t>
        </is>
      </c>
      <c r="D2301" s="5" t="n">
        <v>277</v>
      </c>
      <c r="E2301" s="73">
        <f>B2301*D2301/10000</f>
        <v/>
      </c>
      <c r="F2301" s="74">
        <f>B2301/30.48</f>
        <v/>
      </c>
      <c r="G2301" s="74">
        <f>D2301/30.48</f>
        <v/>
      </c>
      <c r="H2301" s="615" t="n"/>
      <c r="N2301" s="211" t="n"/>
      <c r="Q2301" s="271" t="n"/>
      <c r="R2301" s="282" t="n"/>
    </row>
    <row r="2302" ht="18" customHeight="1" s="305">
      <c r="A2302" s="8" t="n">
        <v>3372</v>
      </c>
      <c r="B2302" s="5" t="n">
        <v>85</v>
      </c>
      <c r="C2302" s="72" t="inlineStr">
        <is>
          <t>X</t>
        </is>
      </c>
      <c r="D2302" s="5" t="n">
        <v>288</v>
      </c>
      <c r="E2302" s="73">
        <f>B2302*D2302/10000</f>
        <v/>
      </c>
      <c r="F2302" s="74">
        <f>B2302/30.48</f>
        <v/>
      </c>
      <c r="G2302" s="74">
        <f>D2302/30.48</f>
        <v/>
      </c>
      <c r="H2302" s="615" t="n"/>
      <c r="N2302" s="211" t="n"/>
      <c r="Q2302" s="271" t="n"/>
      <c r="R2302" s="282" t="n"/>
    </row>
    <row r="2303" ht="18" customHeight="1" s="305">
      <c r="A2303" s="8" t="n">
        <v>3373</v>
      </c>
      <c r="B2303" s="5" t="n">
        <v>70</v>
      </c>
      <c r="C2303" s="72" t="inlineStr">
        <is>
          <t>X</t>
        </is>
      </c>
      <c r="D2303" s="5" t="n">
        <v>216</v>
      </c>
      <c r="E2303" s="73">
        <f>B2303*D2303/10000</f>
        <v/>
      </c>
      <c r="F2303" s="74">
        <f>B2303/30.48</f>
        <v/>
      </c>
      <c r="G2303" s="74">
        <f>D2303/30.48</f>
        <v/>
      </c>
      <c r="H2303" s="615" t="n"/>
      <c r="N2303" s="211" t="n"/>
      <c r="Q2303" s="271" t="n"/>
      <c r="R2303" s="282" t="n"/>
    </row>
    <row r="2304" ht="18" customHeight="1" s="305">
      <c r="A2304" s="8" t="n">
        <v>3374</v>
      </c>
      <c r="B2304" s="5" t="n">
        <v>90</v>
      </c>
      <c r="C2304" s="72" t="inlineStr">
        <is>
          <t>X</t>
        </is>
      </c>
      <c r="D2304" s="5" t="n">
        <v>200</v>
      </c>
      <c r="E2304" s="73">
        <f>B2304*D2304/10000</f>
        <v/>
      </c>
      <c r="F2304" s="74">
        <f>B2304/30.48</f>
        <v/>
      </c>
      <c r="G2304" s="74">
        <f>D2304/30.48</f>
        <v/>
      </c>
      <c r="H2304" s="615" t="n"/>
      <c r="N2304" s="211" t="n"/>
      <c r="Q2304" s="271" t="n"/>
      <c r="R2304" s="282" t="n"/>
    </row>
    <row r="2305" ht="18" customHeight="1" s="305">
      <c r="A2305" s="8" t="n">
        <v>3375</v>
      </c>
      <c r="B2305" s="5" t="n">
        <v>86</v>
      </c>
      <c r="C2305" s="72" t="inlineStr">
        <is>
          <t>X</t>
        </is>
      </c>
      <c r="D2305" s="5" t="n">
        <v>245</v>
      </c>
      <c r="E2305" s="73">
        <f>B2305*D2305/10000</f>
        <v/>
      </c>
      <c r="F2305" s="74">
        <f>B2305/30.48</f>
        <v/>
      </c>
      <c r="G2305" s="74">
        <f>D2305/30.48</f>
        <v/>
      </c>
      <c r="H2305" s="615" t="n"/>
      <c r="N2305" s="211" t="n"/>
      <c r="Q2305" s="271" t="n"/>
      <c r="R2305" s="282" t="n"/>
    </row>
    <row r="2306" ht="18" customHeight="1" s="305">
      <c r="A2306" s="8" t="n">
        <v>3381</v>
      </c>
      <c r="B2306" s="5" t="n">
        <v>113</v>
      </c>
      <c r="C2306" s="72" t="inlineStr">
        <is>
          <t>X</t>
        </is>
      </c>
      <c r="D2306" s="5" t="n">
        <v>326</v>
      </c>
      <c r="E2306" s="73">
        <f>B2306*D2306/10000</f>
        <v/>
      </c>
      <c r="F2306" s="74">
        <f>B2306/30.48</f>
        <v/>
      </c>
      <c r="G2306" s="74">
        <f>D2306/30.48</f>
        <v/>
      </c>
      <c r="H2306" s="615" t="n"/>
      <c r="N2306" s="211" t="n"/>
      <c r="Q2306" s="271" t="n"/>
      <c r="R2306" s="282" t="n"/>
    </row>
    <row r="2307" ht="18" customHeight="1" s="305">
      <c r="A2307" s="8" t="n">
        <v>3383</v>
      </c>
      <c r="B2307" s="5" t="n">
        <v>127</v>
      </c>
      <c r="C2307" s="72" t="inlineStr">
        <is>
          <t>X</t>
        </is>
      </c>
      <c r="D2307" s="5" t="n">
        <v>287</v>
      </c>
      <c r="E2307" s="73">
        <f>B2307*D2307/10000</f>
        <v/>
      </c>
      <c r="F2307" s="74">
        <f>B2307/30.48</f>
        <v/>
      </c>
      <c r="G2307" s="74">
        <f>D2307/30.48</f>
        <v/>
      </c>
      <c r="H2307" s="615" t="n"/>
      <c r="N2307" s="211" t="n"/>
      <c r="Q2307" s="271" t="n"/>
      <c r="R2307" s="282" t="n"/>
    </row>
    <row r="2308" ht="18" customHeight="1" s="305">
      <c r="A2308" s="8" t="n">
        <v>3385</v>
      </c>
      <c r="B2308" s="5" t="n">
        <v>90</v>
      </c>
      <c r="C2308" s="72" t="inlineStr">
        <is>
          <t>X</t>
        </is>
      </c>
      <c r="D2308" s="5" t="n">
        <v>280</v>
      </c>
      <c r="E2308" s="73">
        <f>B2308*D2308/10000</f>
        <v/>
      </c>
      <c r="F2308" s="74">
        <f>B2308/30.48</f>
        <v/>
      </c>
      <c r="G2308" s="74">
        <f>D2308/30.48</f>
        <v/>
      </c>
      <c r="H2308" s="615" t="n"/>
      <c r="N2308" s="211" t="n"/>
      <c r="Q2308" s="271" t="n"/>
      <c r="R2308" s="282" t="n"/>
    </row>
    <row r="2309" ht="18" customHeight="1" s="305">
      <c r="A2309" s="8" t="n">
        <v>3386</v>
      </c>
      <c r="B2309" s="5" t="n">
        <v>75</v>
      </c>
      <c r="C2309" s="72" t="inlineStr">
        <is>
          <t>X</t>
        </is>
      </c>
      <c r="D2309" s="5" t="n">
        <v>244</v>
      </c>
      <c r="E2309" s="73">
        <f>B2309*D2309/10000</f>
        <v/>
      </c>
      <c r="F2309" s="74">
        <f>B2309/30.48</f>
        <v/>
      </c>
      <c r="G2309" s="74">
        <f>D2309/30.48</f>
        <v/>
      </c>
      <c r="H2309" s="615" t="n"/>
      <c r="N2309" s="211" t="n"/>
      <c r="Q2309" s="271" t="n"/>
      <c r="R2309" s="282" t="n"/>
    </row>
    <row r="2310" ht="18" customHeight="1" s="305">
      <c r="A2310" s="8" t="n">
        <v>3389</v>
      </c>
      <c r="B2310" s="5" t="n">
        <v>70</v>
      </c>
      <c r="C2310" s="72" t="inlineStr">
        <is>
          <t>X</t>
        </is>
      </c>
      <c r="D2310" s="5" t="n">
        <v>226</v>
      </c>
      <c r="E2310" s="73">
        <f>B2310*D2310/10000</f>
        <v/>
      </c>
      <c r="F2310" s="74">
        <f>B2310/30.48</f>
        <v/>
      </c>
      <c r="G2310" s="74">
        <f>D2310/30.48</f>
        <v/>
      </c>
      <c r="H2310" s="615" t="n"/>
      <c r="N2310" s="211" t="n"/>
      <c r="Q2310" s="271" t="n"/>
      <c r="R2310" s="282" t="n"/>
    </row>
    <row r="2311" ht="18" customHeight="1" s="305">
      <c r="A2311" s="8" t="n">
        <v>3391</v>
      </c>
      <c r="B2311" s="5" t="n">
        <v>93</v>
      </c>
      <c r="C2311" s="72" t="inlineStr">
        <is>
          <t>X</t>
        </is>
      </c>
      <c r="D2311" s="5" t="n">
        <v>277</v>
      </c>
      <c r="E2311" s="73">
        <f>B2311*D2311/10000</f>
        <v/>
      </c>
      <c r="F2311" s="74">
        <f>B2311/30.48</f>
        <v/>
      </c>
      <c r="G2311" s="74">
        <f>D2311/30.48</f>
        <v/>
      </c>
      <c r="H2311" s="615" t="n"/>
      <c r="N2311" s="211" t="n"/>
      <c r="Q2311" s="271" t="n"/>
      <c r="R2311" s="282" t="n"/>
    </row>
    <row r="2312" ht="18" customHeight="1" s="305">
      <c r="A2312" s="8" t="n">
        <v>3395</v>
      </c>
      <c r="B2312" s="5" t="n">
        <v>135</v>
      </c>
      <c r="C2312" s="72" t="inlineStr">
        <is>
          <t>X</t>
        </is>
      </c>
      <c r="D2312" s="5" t="n">
        <v>191</v>
      </c>
      <c r="E2312" s="73">
        <f>B2312*D2312/10000</f>
        <v/>
      </c>
      <c r="F2312" s="74">
        <f>B2312/30.48</f>
        <v/>
      </c>
      <c r="G2312" s="74">
        <f>D2312/30.48</f>
        <v/>
      </c>
      <c r="H2312" s="615" t="n"/>
      <c r="N2312" s="211" t="n"/>
      <c r="Q2312" s="271" t="n"/>
      <c r="R2312" s="282" t="n"/>
    </row>
    <row r="2313" ht="18" customHeight="1" s="305">
      <c r="A2313" s="8" t="n">
        <v>3397</v>
      </c>
      <c r="B2313" s="5" t="n">
        <v>80</v>
      </c>
      <c r="C2313" s="72" t="inlineStr">
        <is>
          <t>X</t>
        </is>
      </c>
      <c r="D2313" s="5" t="n">
        <v>290</v>
      </c>
      <c r="E2313" s="73">
        <f>B2313*D2313/10000</f>
        <v/>
      </c>
      <c r="F2313" s="74">
        <f>B2313/30.48</f>
        <v/>
      </c>
      <c r="G2313" s="74">
        <f>D2313/30.48</f>
        <v/>
      </c>
      <c r="H2313" s="615" t="n"/>
      <c r="N2313" s="211" t="n"/>
      <c r="Q2313" s="271" t="n"/>
      <c r="R2313" s="282" t="n"/>
    </row>
    <row r="2314" ht="18" customHeight="1" s="305">
      <c r="A2314" s="8" t="n">
        <v>3398</v>
      </c>
      <c r="B2314" s="5" t="n">
        <v>117</v>
      </c>
      <c r="C2314" s="72" t="inlineStr">
        <is>
          <t>X</t>
        </is>
      </c>
      <c r="D2314" s="5" t="n">
        <v>217</v>
      </c>
      <c r="E2314" s="73">
        <f>B2314*D2314/10000</f>
        <v/>
      </c>
      <c r="F2314" s="74">
        <f>B2314/30.48</f>
        <v/>
      </c>
      <c r="G2314" s="74">
        <f>D2314/30.48</f>
        <v/>
      </c>
      <c r="H2314" s="615" t="n"/>
      <c r="N2314" s="211" t="n"/>
      <c r="Q2314" s="271" t="n"/>
      <c r="R2314" s="282" t="n"/>
    </row>
    <row r="2315" ht="18" customHeight="1" s="305">
      <c r="A2315" s="8" t="n">
        <v>3399</v>
      </c>
      <c r="B2315" s="5" t="n">
        <v>114</v>
      </c>
      <c r="C2315" s="72" t="inlineStr">
        <is>
          <t>X</t>
        </is>
      </c>
      <c r="D2315" s="5" t="n">
        <v>234</v>
      </c>
      <c r="E2315" s="73">
        <f>B2315*D2315/10000</f>
        <v/>
      </c>
      <c r="F2315" s="74">
        <f>B2315/30.48</f>
        <v/>
      </c>
      <c r="G2315" s="74">
        <f>D2315/30.48</f>
        <v/>
      </c>
      <c r="H2315" s="615" t="n"/>
      <c r="N2315" s="211" t="n"/>
      <c r="Q2315" s="271" t="n"/>
      <c r="R2315" s="282" t="n"/>
    </row>
    <row r="2316" ht="18" customHeight="1" s="305">
      <c r="A2316" s="8" t="n">
        <v>3402</v>
      </c>
      <c r="B2316" s="5" t="n">
        <v>70</v>
      </c>
      <c r="C2316" s="72" t="inlineStr">
        <is>
          <t>X</t>
        </is>
      </c>
      <c r="D2316" s="5" t="n">
        <v>193</v>
      </c>
      <c r="E2316" s="73">
        <f>B2316*D2316/10000</f>
        <v/>
      </c>
      <c r="F2316" s="74">
        <f>B2316/30.48</f>
        <v/>
      </c>
      <c r="G2316" s="74">
        <f>D2316/30.48</f>
        <v/>
      </c>
      <c r="H2316" s="615" t="n"/>
      <c r="N2316" s="211" t="n"/>
      <c r="Q2316" s="271" t="n"/>
      <c r="R2316" s="282" t="n"/>
    </row>
    <row r="2317" ht="18" customHeight="1" s="305">
      <c r="A2317" s="8" t="n">
        <v>3403</v>
      </c>
      <c r="B2317" s="5" t="n">
        <v>68</v>
      </c>
      <c r="C2317" s="72" t="inlineStr">
        <is>
          <t>X</t>
        </is>
      </c>
      <c r="D2317" s="5" t="n">
        <v>123</v>
      </c>
      <c r="E2317" s="73">
        <f>B2317*D2317/10000</f>
        <v/>
      </c>
      <c r="F2317" s="74">
        <f>B2317/30.48</f>
        <v/>
      </c>
      <c r="G2317" s="74">
        <f>D2317/30.48</f>
        <v/>
      </c>
      <c r="H2317" s="615" t="n"/>
      <c r="N2317" s="211" t="n"/>
      <c r="Q2317" s="271" t="n"/>
      <c r="R2317" s="282" t="n"/>
    </row>
    <row r="2318" ht="18" customHeight="1" s="305">
      <c r="A2318" s="8" t="n">
        <v>3407</v>
      </c>
      <c r="B2318" s="5" t="n">
        <v>85</v>
      </c>
      <c r="C2318" s="72" t="inlineStr">
        <is>
          <t>X</t>
        </is>
      </c>
      <c r="D2318" s="5" t="n">
        <v>148</v>
      </c>
      <c r="E2318" s="73">
        <f>B2318*D2318/10000</f>
        <v/>
      </c>
      <c r="F2318" s="74">
        <f>B2318/30.48</f>
        <v/>
      </c>
      <c r="G2318" s="74">
        <f>D2318/30.48</f>
        <v/>
      </c>
      <c r="H2318" s="615" t="n"/>
      <c r="N2318" s="211" t="n"/>
      <c r="Q2318" s="271" t="n"/>
      <c r="R2318" s="282" t="n"/>
    </row>
    <row r="2319" ht="18" customHeight="1" s="305">
      <c r="A2319" s="8" t="n">
        <v>3408</v>
      </c>
      <c r="B2319" s="5" t="n">
        <v>59</v>
      </c>
      <c r="C2319" s="72" t="inlineStr">
        <is>
          <t>X</t>
        </is>
      </c>
      <c r="D2319" s="5" t="n">
        <v>251</v>
      </c>
      <c r="E2319" s="73">
        <f>B2319*D2319/10000</f>
        <v/>
      </c>
      <c r="F2319" s="74">
        <f>B2319/30.48</f>
        <v/>
      </c>
      <c r="G2319" s="74">
        <f>D2319/30.48</f>
        <v/>
      </c>
      <c r="H2319" s="615" t="n"/>
      <c r="N2319" s="211" t="n"/>
      <c r="Q2319" s="271" t="n"/>
      <c r="R2319" s="282" t="n"/>
    </row>
    <row r="2320" ht="18" customHeight="1" s="305">
      <c r="A2320" s="8" t="n">
        <v>3410</v>
      </c>
      <c r="B2320" s="5" t="n">
        <v>179</v>
      </c>
      <c r="C2320" s="72" t="inlineStr">
        <is>
          <t>X</t>
        </is>
      </c>
      <c r="D2320" s="5" t="n">
        <v>263</v>
      </c>
      <c r="E2320" s="73">
        <f>B2320*D2320/10000</f>
        <v/>
      </c>
      <c r="F2320" s="74">
        <f>B2320/30.48</f>
        <v/>
      </c>
      <c r="G2320" s="74">
        <f>D2320/30.48</f>
        <v/>
      </c>
      <c r="H2320" s="615" t="n"/>
      <c r="N2320" s="211" t="n"/>
      <c r="Q2320" s="271" t="n"/>
      <c r="R2320" s="282" t="n"/>
    </row>
    <row r="2321" ht="18" customHeight="1" s="305">
      <c r="A2321" s="8" t="n">
        <v>3416</v>
      </c>
      <c r="B2321" s="5" t="n">
        <v>72</v>
      </c>
      <c r="C2321" s="72" t="inlineStr">
        <is>
          <t>X</t>
        </is>
      </c>
      <c r="D2321" s="5" t="n">
        <v>139</v>
      </c>
      <c r="E2321" s="73">
        <f>B2321*D2321/10000</f>
        <v/>
      </c>
      <c r="F2321" s="74">
        <f>B2321/30.48</f>
        <v/>
      </c>
      <c r="G2321" s="74">
        <f>D2321/30.48</f>
        <v/>
      </c>
      <c r="H2321" s="615" t="n"/>
      <c r="N2321" s="211" t="n"/>
      <c r="Q2321" s="271" t="n"/>
      <c r="R2321" s="282" t="n"/>
    </row>
    <row r="2322" ht="18" customHeight="1" s="305">
      <c r="A2322" s="8" t="n">
        <v>3417</v>
      </c>
      <c r="B2322" s="5" t="n">
        <v>72</v>
      </c>
      <c r="C2322" s="72" t="inlineStr">
        <is>
          <t>X</t>
        </is>
      </c>
      <c r="D2322" s="5" t="n">
        <v>137</v>
      </c>
      <c r="E2322" s="73">
        <f>B2322*D2322/10000</f>
        <v/>
      </c>
      <c r="F2322" s="74">
        <f>B2322/30.48</f>
        <v/>
      </c>
      <c r="G2322" s="74">
        <f>D2322/30.48</f>
        <v/>
      </c>
      <c r="H2322" s="615" t="n"/>
      <c r="N2322" s="211" t="n"/>
      <c r="Q2322" s="271" t="n"/>
      <c r="R2322" s="282" t="n"/>
    </row>
    <row r="2323" ht="18" customHeight="1" s="305">
      <c r="A2323" s="8" t="n">
        <v>3420</v>
      </c>
      <c r="B2323" s="5" t="n">
        <v>106</v>
      </c>
      <c r="C2323" s="72" t="inlineStr">
        <is>
          <t>X</t>
        </is>
      </c>
      <c r="D2323" s="5" t="n">
        <v>279</v>
      </c>
      <c r="E2323" s="73">
        <f>B2323*D2323/10000</f>
        <v/>
      </c>
      <c r="F2323" s="74">
        <f>B2323/30.48</f>
        <v/>
      </c>
      <c r="G2323" s="74">
        <f>D2323/30.48</f>
        <v/>
      </c>
      <c r="H2323" s="615" t="n"/>
      <c r="N2323" s="211" t="n"/>
      <c r="Q2323" s="271" t="n"/>
      <c r="R2323" s="282" t="n"/>
    </row>
    <row r="2324" ht="18" customHeight="1" s="305">
      <c r="A2324" s="8" t="n">
        <v>3421</v>
      </c>
      <c r="B2324" s="5" t="n">
        <v>89</v>
      </c>
      <c r="C2324" s="72" t="inlineStr">
        <is>
          <t>X</t>
        </is>
      </c>
      <c r="D2324" s="5" t="n">
        <v>311</v>
      </c>
      <c r="E2324" s="73">
        <f>B2324*D2324/10000</f>
        <v/>
      </c>
      <c r="F2324" s="74">
        <f>B2324/30.48</f>
        <v/>
      </c>
      <c r="G2324" s="74">
        <f>D2324/30.48</f>
        <v/>
      </c>
      <c r="H2324" s="615" t="n"/>
      <c r="N2324" s="211" t="n"/>
      <c r="Q2324" s="271" t="n"/>
      <c r="R2324" s="282" t="n"/>
    </row>
    <row r="2325" ht="18" customHeight="1" s="305">
      <c r="A2325" s="8" t="n">
        <v>3422</v>
      </c>
      <c r="B2325" s="5" t="n">
        <v>86</v>
      </c>
      <c r="C2325" s="72" t="inlineStr">
        <is>
          <t>X</t>
        </is>
      </c>
      <c r="D2325" s="5" t="n">
        <v>359</v>
      </c>
      <c r="E2325" s="73">
        <f>B2325*D2325/10000</f>
        <v/>
      </c>
      <c r="F2325" s="74">
        <f>B2325/30.48</f>
        <v/>
      </c>
      <c r="G2325" s="74">
        <f>D2325/30.48</f>
        <v/>
      </c>
      <c r="H2325" s="615" t="n"/>
      <c r="N2325" s="211" t="n"/>
      <c r="Q2325" s="271" t="n"/>
      <c r="R2325" s="282" t="n"/>
    </row>
    <row r="2326" ht="18" customHeight="1" s="305">
      <c r="A2326" s="8" t="n">
        <v>3423</v>
      </c>
      <c r="B2326" s="5" t="n">
        <v>71</v>
      </c>
      <c r="C2326" s="72" t="inlineStr">
        <is>
          <t>X</t>
        </is>
      </c>
      <c r="D2326" s="5" t="n">
        <v>204</v>
      </c>
      <c r="E2326" s="73">
        <f>B2326*D2326/10000</f>
        <v/>
      </c>
      <c r="F2326" s="74">
        <f>B2326/30.48</f>
        <v/>
      </c>
      <c r="G2326" s="74">
        <f>D2326/30.48</f>
        <v/>
      </c>
      <c r="H2326" s="615" t="n"/>
      <c r="N2326" s="211" t="n"/>
      <c r="Q2326" s="271" t="n"/>
      <c r="R2326" s="282" t="n"/>
    </row>
    <row r="2327" ht="18" customHeight="1" s="305">
      <c r="A2327" s="8" t="n">
        <v>3424</v>
      </c>
      <c r="B2327" s="5" t="n">
        <v>93</v>
      </c>
      <c r="C2327" s="72" t="inlineStr">
        <is>
          <t>X</t>
        </is>
      </c>
      <c r="D2327" s="5" t="n">
        <v>194</v>
      </c>
      <c r="E2327" s="73">
        <f>B2327*D2327/10000</f>
        <v/>
      </c>
      <c r="F2327" s="74">
        <f>B2327/30.48</f>
        <v/>
      </c>
      <c r="G2327" s="74">
        <f>D2327/30.48</f>
        <v/>
      </c>
      <c r="H2327" s="615" t="n"/>
      <c r="N2327" s="211" t="n"/>
      <c r="Q2327" s="271" t="n"/>
      <c r="R2327" s="282" t="n"/>
    </row>
    <row r="2328" ht="18" customHeight="1" s="305">
      <c r="A2328" s="8" t="n">
        <v>3425</v>
      </c>
      <c r="B2328" s="5" t="n">
        <v>106</v>
      </c>
      <c r="C2328" s="72" t="inlineStr">
        <is>
          <t>X</t>
        </is>
      </c>
      <c r="D2328" s="5" t="n">
        <v>342</v>
      </c>
      <c r="E2328" s="73">
        <f>B2328*D2328/10000</f>
        <v/>
      </c>
      <c r="F2328" s="74">
        <f>B2328/30.48</f>
        <v/>
      </c>
      <c r="G2328" s="74">
        <f>D2328/30.48</f>
        <v/>
      </c>
      <c r="H2328" s="615" t="n"/>
      <c r="N2328" s="211" t="n"/>
      <c r="Q2328" s="271" t="n"/>
      <c r="R2328" s="282" t="n"/>
    </row>
    <row r="2329" ht="18" customHeight="1" s="305">
      <c r="A2329" s="8" t="n">
        <v>3427</v>
      </c>
      <c r="B2329" s="5" t="n">
        <v>108</v>
      </c>
      <c r="C2329" s="72" t="inlineStr">
        <is>
          <t>X</t>
        </is>
      </c>
      <c r="D2329" s="5" t="n">
        <v>124</v>
      </c>
      <c r="E2329" s="73">
        <f>B2329*D2329/10000</f>
        <v/>
      </c>
      <c r="F2329" s="74">
        <f>B2329/30.48</f>
        <v/>
      </c>
      <c r="G2329" s="74">
        <f>D2329/30.48</f>
        <v/>
      </c>
      <c r="H2329" s="615" t="n"/>
      <c r="N2329" s="211" t="n"/>
      <c r="Q2329" s="271" t="n"/>
      <c r="R2329" s="282" t="n"/>
    </row>
    <row r="2330" ht="18" customHeight="1" s="305">
      <c r="A2330" s="8" t="n">
        <v>3429</v>
      </c>
      <c r="B2330" s="5" t="n">
        <v>117</v>
      </c>
      <c r="C2330" s="72" t="inlineStr">
        <is>
          <t>X</t>
        </is>
      </c>
      <c r="D2330" s="5" t="n">
        <v>325</v>
      </c>
      <c r="E2330" s="73">
        <f>B2330*D2330/10000</f>
        <v/>
      </c>
      <c r="F2330" s="74">
        <f>B2330/30.48</f>
        <v/>
      </c>
      <c r="G2330" s="74">
        <f>D2330/30.48</f>
        <v/>
      </c>
      <c r="H2330" s="615" t="n"/>
      <c r="N2330" s="211" t="n"/>
      <c r="Q2330" s="271" t="n"/>
      <c r="R2330" s="282" t="n"/>
    </row>
    <row r="2331" ht="18" customHeight="1" s="305">
      <c r="A2331" s="8" t="n">
        <v>3430</v>
      </c>
      <c r="B2331" s="5" t="n">
        <v>163</v>
      </c>
      <c r="C2331" s="72" t="inlineStr">
        <is>
          <t>X</t>
        </is>
      </c>
      <c r="D2331" s="5" t="n">
        <v>160</v>
      </c>
      <c r="E2331" s="73">
        <f>B2331*D2331/10000</f>
        <v/>
      </c>
      <c r="F2331" s="74">
        <f>B2331/30.48</f>
        <v/>
      </c>
      <c r="G2331" s="74">
        <f>D2331/30.48</f>
        <v/>
      </c>
      <c r="H2331" s="615" t="n"/>
      <c r="N2331" s="211" t="n"/>
      <c r="Q2331" s="271" t="n"/>
      <c r="R2331" s="282" t="n"/>
    </row>
    <row r="2332" ht="18" customHeight="1" s="305">
      <c r="A2332" s="8" t="n">
        <v>3431</v>
      </c>
      <c r="B2332" s="5" t="n">
        <v>191</v>
      </c>
      <c r="C2332" s="72" t="inlineStr">
        <is>
          <t>X</t>
        </is>
      </c>
      <c r="D2332" s="5" t="n">
        <v>300</v>
      </c>
      <c r="E2332" s="73">
        <f>B2332*D2332/10000</f>
        <v/>
      </c>
      <c r="F2332" s="74">
        <f>B2332/30.48</f>
        <v/>
      </c>
      <c r="G2332" s="74">
        <f>D2332/30.48</f>
        <v/>
      </c>
      <c r="H2332" s="615" t="n"/>
      <c r="N2332" s="211" t="n"/>
      <c r="Q2332" s="271" t="n"/>
      <c r="R2332" s="282" t="n"/>
    </row>
    <row r="2333" ht="18" customHeight="1" s="305">
      <c r="A2333" s="8" t="n">
        <v>3433</v>
      </c>
      <c r="B2333" s="5" t="n">
        <v>70</v>
      </c>
      <c r="C2333" s="72" t="inlineStr">
        <is>
          <t>X</t>
        </is>
      </c>
      <c r="D2333" s="5" t="n">
        <v>281</v>
      </c>
      <c r="E2333" s="73">
        <f>B2333*D2333/10000</f>
        <v/>
      </c>
      <c r="F2333" s="74">
        <f>B2333/30.48</f>
        <v/>
      </c>
      <c r="G2333" s="74">
        <f>D2333/30.48</f>
        <v/>
      </c>
      <c r="H2333" s="615" t="n"/>
      <c r="N2333" s="211" t="n"/>
      <c r="Q2333" s="271" t="n"/>
      <c r="R2333" s="282" t="n"/>
    </row>
    <row r="2334" ht="18" customHeight="1" s="305">
      <c r="A2334" s="8" t="n">
        <v>3434</v>
      </c>
      <c r="B2334" s="5" t="n">
        <v>87</v>
      </c>
      <c r="C2334" s="72" t="inlineStr">
        <is>
          <t>X</t>
        </is>
      </c>
      <c r="D2334" s="5" t="n">
        <v>353</v>
      </c>
      <c r="E2334" s="73">
        <f>B2334*D2334/10000</f>
        <v/>
      </c>
      <c r="F2334" s="74">
        <f>B2334/30.48</f>
        <v/>
      </c>
      <c r="G2334" s="74">
        <f>D2334/30.48</f>
        <v/>
      </c>
      <c r="H2334" s="615" t="n"/>
      <c r="N2334" s="211" t="n"/>
      <c r="Q2334" s="271" t="n"/>
      <c r="R2334" s="282" t="n"/>
    </row>
    <row r="2335" ht="18" customHeight="1" s="305">
      <c r="A2335" s="8" t="n">
        <v>3436</v>
      </c>
      <c r="B2335" s="5" t="n">
        <v>80</v>
      </c>
      <c r="C2335" s="72" t="inlineStr">
        <is>
          <t>X</t>
        </is>
      </c>
      <c r="D2335" s="5" t="n">
        <v>159</v>
      </c>
      <c r="E2335" s="73">
        <f>B2335*D2335/10000</f>
        <v/>
      </c>
      <c r="F2335" s="74">
        <f>B2335/30.48</f>
        <v/>
      </c>
      <c r="G2335" s="74">
        <f>D2335/30.48</f>
        <v/>
      </c>
      <c r="H2335" s="615" t="n"/>
      <c r="N2335" s="211" t="n"/>
      <c r="Q2335" s="271" t="n"/>
      <c r="R2335" s="282" t="n"/>
    </row>
    <row r="2336" ht="18" customHeight="1" s="305">
      <c r="A2336" s="8" t="n">
        <v>3437</v>
      </c>
      <c r="B2336" s="5" t="n">
        <v>60</v>
      </c>
      <c r="C2336" s="72" t="inlineStr">
        <is>
          <t>X</t>
        </is>
      </c>
      <c r="D2336" s="5" t="n">
        <v>143</v>
      </c>
      <c r="E2336" s="73">
        <f>B2336*D2336/10000</f>
        <v/>
      </c>
      <c r="F2336" s="74">
        <f>B2336/30.48</f>
        <v/>
      </c>
      <c r="G2336" s="74">
        <f>D2336/30.48</f>
        <v/>
      </c>
      <c r="H2336" s="615" t="n"/>
      <c r="N2336" s="211" t="n"/>
      <c r="Q2336" s="271" t="n"/>
      <c r="R2336" s="282" t="n"/>
    </row>
    <row r="2337" ht="18" customHeight="1" s="305">
      <c r="A2337" s="8" t="n">
        <v>3438</v>
      </c>
      <c r="B2337" s="5" t="n">
        <v>64</v>
      </c>
      <c r="C2337" s="72" t="inlineStr">
        <is>
          <t>X</t>
        </is>
      </c>
      <c r="D2337" s="5" t="n">
        <v>157</v>
      </c>
      <c r="E2337" s="73">
        <f>B2337*D2337/10000</f>
        <v/>
      </c>
      <c r="F2337" s="74">
        <f>B2337/30.48</f>
        <v/>
      </c>
      <c r="G2337" s="74">
        <f>D2337/30.48</f>
        <v/>
      </c>
      <c r="H2337" s="615" t="n"/>
      <c r="N2337" s="211" t="n"/>
      <c r="Q2337" s="271" t="n"/>
      <c r="R2337" s="282" t="n"/>
    </row>
    <row r="2338" ht="18" customHeight="1" s="305">
      <c r="A2338" s="8" t="n">
        <v>3440</v>
      </c>
      <c r="B2338" s="5" t="n">
        <v>79</v>
      </c>
      <c r="C2338" s="72" t="inlineStr">
        <is>
          <t>X</t>
        </is>
      </c>
      <c r="D2338" s="5" t="n">
        <v>314</v>
      </c>
      <c r="E2338" s="73">
        <f>B2338*D2338/10000</f>
        <v/>
      </c>
      <c r="F2338" s="74">
        <f>B2338/30.48</f>
        <v/>
      </c>
      <c r="G2338" s="74">
        <f>D2338/30.48</f>
        <v/>
      </c>
      <c r="H2338" s="615" t="n"/>
      <c r="N2338" s="211" t="n"/>
      <c r="Q2338" s="271" t="n"/>
      <c r="R2338" s="282" t="n"/>
    </row>
    <row r="2339" ht="18" customHeight="1" s="305">
      <c r="A2339" s="8" t="n">
        <v>3443</v>
      </c>
      <c r="B2339" s="5" t="n">
        <v>59</v>
      </c>
      <c r="C2339" s="72" t="inlineStr">
        <is>
          <t>X</t>
        </is>
      </c>
      <c r="D2339" s="5" t="n">
        <v>139</v>
      </c>
      <c r="E2339" s="73">
        <f>B2339*D2339/10000</f>
        <v/>
      </c>
      <c r="F2339" s="74">
        <f>B2339/30.48</f>
        <v/>
      </c>
      <c r="G2339" s="74">
        <f>D2339/30.48</f>
        <v/>
      </c>
      <c r="H2339" s="615" t="n"/>
      <c r="N2339" s="211" t="n"/>
      <c r="Q2339" s="271" t="n"/>
      <c r="R2339" s="282" t="n"/>
    </row>
    <row r="2340" ht="18" customHeight="1" s="305">
      <c r="A2340" s="8" t="n">
        <v>3444</v>
      </c>
      <c r="B2340" s="5" t="n">
        <v>70</v>
      </c>
      <c r="C2340" s="72" t="inlineStr">
        <is>
          <t>X</t>
        </is>
      </c>
      <c r="D2340" s="5" t="n">
        <v>102</v>
      </c>
      <c r="E2340" s="73">
        <f>B2340*D2340/10000</f>
        <v/>
      </c>
      <c r="F2340" s="74">
        <f>B2340/30.48</f>
        <v/>
      </c>
      <c r="G2340" s="74">
        <f>D2340/30.48</f>
        <v/>
      </c>
      <c r="H2340" s="615" t="n"/>
      <c r="N2340" s="211" t="n"/>
      <c r="Q2340" s="271" t="n"/>
      <c r="R2340" s="282" t="n"/>
    </row>
    <row r="2341" ht="18" customHeight="1" s="305">
      <c r="A2341" s="8" t="n">
        <v>3445</v>
      </c>
      <c r="B2341" s="5" t="n">
        <v>90</v>
      </c>
      <c r="C2341" s="72" t="inlineStr">
        <is>
          <t>X</t>
        </is>
      </c>
      <c r="D2341" s="5" t="n">
        <v>263</v>
      </c>
      <c r="E2341" s="73">
        <f>B2341*D2341/10000</f>
        <v/>
      </c>
      <c r="F2341" s="74">
        <f>B2341/30.48</f>
        <v/>
      </c>
      <c r="G2341" s="74">
        <f>D2341/30.48</f>
        <v/>
      </c>
      <c r="H2341" s="615" t="n"/>
      <c r="N2341" s="211" t="n"/>
      <c r="Q2341" s="271" t="n"/>
      <c r="R2341" s="282" t="n"/>
    </row>
    <row r="2342" ht="18" customHeight="1" s="305">
      <c r="A2342" s="8" t="n">
        <v>3449</v>
      </c>
      <c r="B2342" s="5" t="n">
        <v>90</v>
      </c>
      <c r="C2342" s="72" t="inlineStr">
        <is>
          <t>X</t>
        </is>
      </c>
      <c r="D2342" s="5" t="n">
        <v>380</v>
      </c>
      <c r="E2342" s="73">
        <f>B2342*D2342/10000</f>
        <v/>
      </c>
      <c r="F2342" s="74">
        <f>B2342/30.48</f>
        <v/>
      </c>
      <c r="G2342" s="74">
        <f>D2342/30.48</f>
        <v/>
      </c>
      <c r="H2342" s="615" t="n"/>
      <c r="N2342" s="211" t="n"/>
      <c r="Q2342" s="271" t="n"/>
      <c r="R2342" s="282" t="n"/>
    </row>
    <row r="2343" ht="18" customHeight="1" s="305">
      <c r="A2343" s="8" t="n">
        <v>3450</v>
      </c>
      <c r="B2343" s="5" t="n">
        <v>80</v>
      </c>
      <c r="C2343" s="72" t="inlineStr">
        <is>
          <t>X</t>
        </is>
      </c>
      <c r="D2343" s="5" t="n">
        <v>318</v>
      </c>
      <c r="E2343" s="73">
        <f>B2343*D2343/10000</f>
        <v/>
      </c>
      <c r="F2343" s="74">
        <f>B2343/30.48</f>
        <v/>
      </c>
      <c r="G2343" s="74">
        <f>D2343/30.48</f>
        <v/>
      </c>
      <c r="H2343" s="615" t="n"/>
      <c r="N2343" s="211" t="n"/>
      <c r="Q2343" s="271" t="n"/>
      <c r="R2343" s="282" t="n"/>
    </row>
    <row r="2344" ht="18" customHeight="1" s="305">
      <c r="A2344" s="8" t="n">
        <v>3451</v>
      </c>
      <c r="B2344" s="5" t="n">
        <v>102</v>
      </c>
      <c r="C2344" s="72" t="inlineStr">
        <is>
          <t>X</t>
        </is>
      </c>
      <c r="D2344" s="5" t="n">
        <v>193</v>
      </c>
      <c r="E2344" s="73">
        <f>B2344*D2344/10000</f>
        <v/>
      </c>
      <c r="F2344" s="74">
        <f>B2344/30.48</f>
        <v/>
      </c>
      <c r="G2344" s="74">
        <f>D2344/30.48</f>
        <v/>
      </c>
      <c r="H2344" s="615" t="n"/>
      <c r="N2344" s="211" t="n"/>
      <c r="Q2344" s="271" t="n"/>
      <c r="R2344" s="282" t="n"/>
    </row>
    <row r="2345" ht="18" customHeight="1" s="305">
      <c r="A2345" s="8" t="n">
        <v>3453</v>
      </c>
      <c r="B2345" s="5" t="n">
        <v>94</v>
      </c>
      <c r="C2345" s="72" t="inlineStr">
        <is>
          <t>X</t>
        </is>
      </c>
      <c r="D2345" s="5" t="n">
        <v>366</v>
      </c>
      <c r="E2345" s="73">
        <f>B2345*D2345/10000</f>
        <v/>
      </c>
      <c r="F2345" s="74">
        <f>B2345/30.48</f>
        <v/>
      </c>
      <c r="G2345" s="74">
        <f>D2345/30.48</f>
        <v/>
      </c>
      <c r="H2345" s="615" t="n"/>
      <c r="N2345" s="211" t="n"/>
      <c r="Q2345" s="271" t="n"/>
      <c r="R2345" s="282" t="n"/>
    </row>
    <row r="2346" ht="18" customHeight="1" s="305">
      <c r="A2346" s="8" t="n">
        <v>3455</v>
      </c>
      <c r="B2346" s="5" t="n">
        <v>50</v>
      </c>
      <c r="C2346" s="72" t="inlineStr">
        <is>
          <t>X</t>
        </is>
      </c>
      <c r="D2346" s="5" t="n">
        <v>288</v>
      </c>
      <c r="E2346" s="73">
        <f>B2346*D2346/10000</f>
        <v/>
      </c>
      <c r="F2346" s="74">
        <f>B2346/30.48</f>
        <v/>
      </c>
      <c r="G2346" s="74">
        <f>D2346/30.48</f>
        <v/>
      </c>
      <c r="H2346" s="615" t="n"/>
      <c r="N2346" s="211" t="n"/>
      <c r="Q2346" s="271" t="n"/>
      <c r="R2346" s="282" t="n"/>
    </row>
    <row r="2347" ht="18" customHeight="1" s="305">
      <c r="A2347" s="8" t="n">
        <v>3457</v>
      </c>
      <c r="B2347" s="5" t="n">
        <v>65</v>
      </c>
      <c r="C2347" s="72" t="inlineStr">
        <is>
          <t>X</t>
        </is>
      </c>
      <c r="D2347" s="5" t="n">
        <v>108</v>
      </c>
      <c r="E2347" s="73">
        <f>B2347*D2347/10000</f>
        <v/>
      </c>
      <c r="F2347" s="74">
        <f>B2347/30.48</f>
        <v/>
      </c>
      <c r="G2347" s="74">
        <f>D2347/30.48</f>
        <v/>
      </c>
      <c r="H2347" s="615" t="n"/>
      <c r="N2347" s="211" t="n"/>
      <c r="Q2347" s="271" t="n"/>
      <c r="R2347" s="282" t="n"/>
    </row>
    <row r="2348" ht="18" customHeight="1" s="305">
      <c r="A2348" s="8" t="n">
        <v>3458</v>
      </c>
      <c r="B2348" s="5" t="n">
        <v>61</v>
      </c>
      <c r="C2348" s="72" t="inlineStr">
        <is>
          <t>X</t>
        </is>
      </c>
      <c r="D2348" s="5" t="n">
        <v>205</v>
      </c>
      <c r="E2348" s="73">
        <f>B2348*D2348/10000</f>
        <v/>
      </c>
      <c r="F2348" s="74">
        <f>B2348/30.48</f>
        <v/>
      </c>
      <c r="G2348" s="74">
        <f>D2348/30.48</f>
        <v/>
      </c>
      <c r="H2348" s="615" t="n"/>
      <c r="N2348" s="211" t="n"/>
      <c r="Q2348" s="271" t="n"/>
      <c r="R2348" s="282" t="n"/>
    </row>
    <row r="2349" ht="18" customHeight="1" s="305">
      <c r="A2349" s="8" t="n">
        <v>3463</v>
      </c>
      <c r="B2349" s="5" t="n">
        <v>193</v>
      </c>
      <c r="C2349" s="72" t="inlineStr">
        <is>
          <t>X</t>
        </is>
      </c>
      <c r="D2349" s="5" t="n">
        <v>274</v>
      </c>
      <c r="E2349" s="73">
        <f>B2349*D2349/10000</f>
        <v/>
      </c>
      <c r="F2349" s="74">
        <f>B2349/30.48</f>
        <v/>
      </c>
      <c r="G2349" s="74">
        <f>D2349/30.48</f>
        <v/>
      </c>
      <c r="H2349" s="615" t="n"/>
      <c r="N2349" s="211" t="n"/>
      <c r="Q2349" s="271" t="n"/>
      <c r="R2349" s="282" t="n"/>
    </row>
    <row r="2350" ht="18" customHeight="1" s="305">
      <c r="A2350" s="8" t="n">
        <v>3466</v>
      </c>
      <c r="B2350" s="5" t="n">
        <v>80</v>
      </c>
      <c r="C2350" s="72" t="inlineStr">
        <is>
          <t>X</t>
        </is>
      </c>
      <c r="D2350" s="5" t="n">
        <v>365</v>
      </c>
      <c r="E2350" s="73">
        <f>B2350*D2350/10000</f>
        <v/>
      </c>
      <c r="F2350" s="74">
        <f>B2350/30.48</f>
        <v/>
      </c>
      <c r="G2350" s="74">
        <f>D2350/30.48</f>
        <v/>
      </c>
      <c r="H2350" s="615" t="n"/>
      <c r="N2350" s="211" t="n"/>
      <c r="Q2350" s="271" t="n"/>
      <c r="R2350" s="282" t="n"/>
    </row>
    <row r="2351" ht="18" customHeight="1" s="305">
      <c r="A2351" s="8" t="n">
        <v>3470</v>
      </c>
      <c r="B2351" s="5" t="n">
        <v>80</v>
      </c>
      <c r="C2351" s="72" t="inlineStr">
        <is>
          <t>X</t>
        </is>
      </c>
      <c r="D2351" s="5" t="n">
        <v>127</v>
      </c>
      <c r="E2351" s="73">
        <f>B2351*D2351/10000</f>
        <v/>
      </c>
      <c r="F2351" s="74">
        <f>B2351/30.48</f>
        <v/>
      </c>
      <c r="G2351" s="74">
        <f>D2351/30.48</f>
        <v/>
      </c>
      <c r="H2351" s="615" t="n"/>
      <c r="N2351" s="211" t="n"/>
      <c r="Q2351" s="271" t="n"/>
      <c r="R2351" s="282" t="n"/>
    </row>
    <row r="2352" ht="18" customHeight="1" s="305">
      <c r="A2352" s="8" t="n">
        <v>3472</v>
      </c>
      <c r="B2352" s="5" t="n">
        <v>90</v>
      </c>
      <c r="C2352" s="72" t="inlineStr">
        <is>
          <t>X</t>
        </is>
      </c>
      <c r="D2352" s="5" t="n">
        <v>298</v>
      </c>
      <c r="E2352" s="73">
        <f>B2352*D2352/10000</f>
        <v/>
      </c>
      <c r="F2352" s="74">
        <f>B2352/30.48</f>
        <v/>
      </c>
      <c r="G2352" s="74">
        <f>D2352/30.48</f>
        <v/>
      </c>
      <c r="H2352" s="615" t="n"/>
      <c r="N2352" s="211" t="n"/>
      <c r="Q2352" s="271" t="n"/>
      <c r="R2352" s="282" t="n"/>
    </row>
    <row r="2353" ht="18" customHeight="1" s="305">
      <c r="A2353" s="8" t="n">
        <v>3474</v>
      </c>
      <c r="B2353" s="5" t="n">
        <v>70</v>
      </c>
      <c r="C2353" s="72" t="inlineStr">
        <is>
          <t>X</t>
        </is>
      </c>
      <c r="D2353" s="5" t="n">
        <v>237</v>
      </c>
      <c r="E2353" s="73">
        <f>B2353*D2353/10000</f>
        <v/>
      </c>
      <c r="F2353" s="74">
        <f>B2353/30.48</f>
        <v/>
      </c>
      <c r="G2353" s="74">
        <f>D2353/30.48</f>
        <v/>
      </c>
      <c r="H2353" s="615" t="n"/>
      <c r="N2353" s="211" t="n"/>
      <c r="Q2353" s="271" t="n"/>
      <c r="R2353" s="282" t="n"/>
    </row>
    <row r="2354" ht="18" customHeight="1" s="305">
      <c r="A2354" s="8" t="n">
        <v>3475</v>
      </c>
      <c r="B2354" s="5" t="n">
        <v>90</v>
      </c>
      <c r="C2354" s="72" t="inlineStr">
        <is>
          <t>X</t>
        </is>
      </c>
      <c r="D2354" s="5" t="n">
        <v>346</v>
      </c>
      <c r="E2354" s="73">
        <f>B2354*D2354/10000</f>
        <v/>
      </c>
      <c r="F2354" s="74">
        <f>B2354/30.48</f>
        <v/>
      </c>
      <c r="G2354" s="74">
        <f>D2354/30.48</f>
        <v/>
      </c>
      <c r="H2354" s="615" t="n"/>
      <c r="N2354" s="211" t="n"/>
      <c r="Q2354" s="271" t="n"/>
      <c r="R2354" s="282" t="n"/>
    </row>
    <row r="2355" ht="18" customHeight="1" s="305">
      <c r="A2355" s="8" t="n">
        <v>3476</v>
      </c>
      <c r="B2355" s="5" t="n">
        <v>192</v>
      </c>
      <c r="C2355" s="72" t="inlineStr">
        <is>
          <t>X</t>
        </is>
      </c>
      <c r="D2355" s="5" t="n">
        <v>287</v>
      </c>
      <c r="E2355" s="73">
        <f>B2355*D2355/10000</f>
        <v/>
      </c>
      <c r="F2355" s="74">
        <f>B2355/30.48</f>
        <v/>
      </c>
      <c r="G2355" s="74">
        <f>D2355/30.48</f>
        <v/>
      </c>
      <c r="H2355" s="615" t="n"/>
      <c r="N2355" s="211" t="n"/>
      <c r="Q2355" s="271" t="n"/>
      <c r="R2355" s="282" t="n"/>
    </row>
    <row r="2356" ht="18" customHeight="1" s="305">
      <c r="A2356" s="8" t="n">
        <v>3477</v>
      </c>
      <c r="B2356" s="5" t="n">
        <v>89</v>
      </c>
      <c r="C2356" s="72" t="inlineStr">
        <is>
          <t>X</t>
        </is>
      </c>
      <c r="D2356" s="5" t="n">
        <v>396</v>
      </c>
      <c r="E2356" s="73">
        <f>B2356*D2356/10000</f>
        <v/>
      </c>
      <c r="F2356" s="74">
        <f>B2356/30.48</f>
        <v/>
      </c>
      <c r="G2356" s="74">
        <f>D2356/30.48</f>
        <v/>
      </c>
      <c r="H2356" s="615" t="n"/>
      <c r="N2356" s="211" t="n"/>
      <c r="Q2356" s="271" t="n"/>
      <c r="R2356" s="282" t="n"/>
    </row>
    <row r="2357" ht="18" customHeight="1" s="305">
      <c r="A2357" s="8" t="n">
        <v>3479</v>
      </c>
      <c r="B2357" s="5" t="n">
        <v>86</v>
      </c>
      <c r="C2357" s="72" t="inlineStr">
        <is>
          <t>X</t>
        </is>
      </c>
      <c r="D2357" s="5" t="n">
        <v>311</v>
      </c>
      <c r="E2357" s="73">
        <f>B2357*D2357/10000</f>
        <v/>
      </c>
      <c r="F2357" s="74">
        <f>B2357/30.48</f>
        <v/>
      </c>
      <c r="G2357" s="74">
        <f>D2357/30.48</f>
        <v/>
      </c>
      <c r="H2357" s="615" t="n"/>
      <c r="N2357" s="211" t="n"/>
      <c r="Q2357" s="271" t="n"/>
      <c r="R2357" s="282" t="n"/>
    </row>
    <row r="2358" ht="18" customHeight="1" s="305">
      <c r="A2358" s="8" t="n">
        <v>3480</v>
      </c>
      <c r="B2358" s="5" t="n">
        <v>88</v>
      </c>
      <c r="C2358" s="72" t="inlineStr">
        <is>
          <t>X</t>
        </is>
      </c>
      <c r="D2358" s="5" t="n">
        <v>393</v>
      </c>
      <c r="E2358" s="73">
        <f>B2358*D2358/10000</f>
        <v/>
      </c>
      <c r="F2358" s="74">
        <f>B2358/30.48</f>
        <v/>
      </c>
      <c r="G2358" s="74">
        <f>D2358/30.48</f>
        <v/>
      </c>
      <c r="H2358" s="615" t="n"/>
      <c r="N2358" s="211" t="n"/>
      <c r="Q2358" s="271" t="n"/>
      <c r="R2358" s="282" t="n"/>
    </row>
    <row r="2359" ht="18" customHeight="1" s="305">
      <c r="A2359" s="8" t="n">
        <v>3482</v>
      </c>
      <c r="B2359" s="5" t="n">
        <v>65</v>
      </c>
      <c r="C2359" s="72" t="inlineStr">
        <is>
          <t>X</t>
        </is>
      </c>
      <c r="D2359" s="5" t="n">
        <v>124</v>
      </c>
      <c r="E2359" s="73">
        <f>B2359*D2359/10000</f>
        <v/>
      </c>
      <c r="F2359" s="74">
        <f>B2359/30.48</f>
        <v/>
      </c>
      <c r="G2359" s="74">
        <f>D2359/30.48</f>
        <v/>
      </c>
      <c r="H2359" s="615" t="n"/>
      <c r="N2359" s="211" t="n"/>
      <c r="Q2359" s="271" t="n"/>
      <c r="R2359" s="282" t="n"/>
    </row>
    <row r="2360" ht="18" customHeight="1" s="305">
      <c r="A2360" s="8" t="n">
        <v>3484</v>
      </c>
      <c r="B2360" s="5" t="n">
        <v>83</v>
      </c>
      <c r="C2360" s="72" t="inlineStr">
        <is>
          <t>X</t>
        </is>
      </c>
      <c r="D2360" s="5" t="n">
        <v>384</v>
      </c>
      <c r="E2360" s="73">
        <f>B2360*D2360/10000</f>
        <v/>
      </c>
      <c r="F2360" s="74">
        <f>B2360/30.48</f>
        <v/>
      </c>
      <c r="G2360" s="74">
        <f>D2360/30.48</f>
        <v/>
      </c>
      <c r="H2360" s="615" t="n"/>
      <c r="N2360" s="211" t="n"/>
      <c r="Q2360" s="271" t="n"/>
      <c r="R2360" s="282" t="n"/>
    </row>
    <row r="2361" ht="18" customHeight="1" s="305">
      <c r="A2361" s="8" t="n">
        <v>3486</v>
      </c>
      <c r="B2361" s="5" t="n">
        <v>103</v>
      </c>
      <c r="C2361" s="72" t="inlineStr">
        <is>
          <t>X</t>
        </is>
      </c>
      <c r="D2361" s="5" t="n">
        <v>192</v>
      </c>
      <c r="E2361" s="73">
        <f>B2361*D2361/10000</f>
        <v/>
      </c>
      <c r="F2361" s="74">
        <f>B2361/30.48</f>
        <v/>
      </c>
      <c r="G2361" s="74">
        <f>D2361/30.48</f>
        <v/>
      </c>
      <c r="H2361" s="615" t="n"/>
      <c r="N2361" s="211" t="n"/>
      <c r="Q2361" s="271" t="n"/>
      <c r="R2361" s="282" t="n"/>
    </row>
    <row r="2362" ht="18" customHeight="1" s="305">
      <c r="A2362" s="8" t="n">
        <v>3489</v>
      </c>
      <c r="B2362" s="5" t="n">
        <v>90</v>
      </c>
      <c r="C2362" s="72" t="inlineStr">
        <is>
          <t>X</t>
        </is>
      </c>
      <c r="D2362" s="5" t="n">
        <v>264</v>
      </c>
      <c r="E2362" s="73">
        <f>B2362*D2362/10000</f>
        <v/>
      </c>
      <c r="F2362" s="74">
        <f>B2362/30.48</f>
        <v/>
      </c>
      <c r="G2362" s="74">
        <f>D2362/30.48</f>
        <v/>
      </c>
      <c r="H2362" s="615" t="n"/>
      <c r="N2362" s="211" t="n"/>
      <c r="Q2362" s="271" t="n"/>
      <c r="R2362" s="282" t="n"/>
    </row>
    <row r="2363" ht="18" customHeight="1" s="305">
      <c r="A2363" s="8" t="n">
        <v>3491</v>
      </c>
      <c r="B2363" s="5" t="n">
        <v>96</v>
      </c>
      <c r="C2363" s="72" t="inlineStr">
        <is>
          <t>X</t>
        </is>
      </c>
      <c r="D2363" s="5" t="n">
        <v>327</v>
      </c>
      <c r="E2363" s="73">
        <f>B2363*D2363/10000</f>
        <v/>
      </c>
      <c r="F2363" s="74">
        <f>B2363/30.48</f>
        <v/>
      </c>
      <c r="G2363" s="74">
        <f>D2363/30.48</f>
        <v/>
      </c>
      <c r="H2363" s="615" t="n"/>
      <c r="N2363" s="211" t="n"/>
      <c r="Q2363" s="271" t="n"/>
      <c r="R2363" s="282" t="n"/>
    </row>
    <row r="2364" ht="18" customHeight="1" s="305">
      <c r="A2364" s="8" t="n">
        <v>3492</v>
      </c>
      <c r="B2364" s="5" t="n">
        <v>77</v>
      </c>
      <c r="C2364" s="72" t="inlineStr">
        <is>
          <t>X</t>
        </is>
      </c>
      <c r="D2364" s="5" t="n">
        <v>339</v>
      </c>
      <c r="E2364" s="73">
        <f>B2364*D2364/10000</f>
        <v/>
      </c>
      <c r="F2364" s="74">
        <f>B2364/30.48</f>
        <v/>
      </c>
      <c r="G2364" s="74">
        <f>D2364/30.48</f>
        <v/>
      </c>
      <c r="H2364" s="615" t="n"/>
      <c r="N2364" s="211" t="n"/>
      <c r="Q2364" s="271" t="n"/>
      <c r="R2364" s="282" t="n"/>
    </row>
    <row r="2365" ht="18" customHeight="1" s="305">
      <c r="A2365" s="8" t="n">
        <v>3493</v>
      </c>
      <c r="B2365" s="5" t="n">
        <v>98</v>
      </c>
      <c r="C2365" s="72" t="inlineStr">
        <is>
          <t>X</t>
        </is>
      </c>
      <c r="D2365" s="5" t="n">
        <v>282</v>
      </c>
      <c r="E2365" s="73">
        <f>B2365*D2365/10000</f>
        <v/>
      </c>
      <c r="F2365" s="74">
        <f>B2365/30.48</f>
        <v/>
      </c>
      <c r="G2365" s="74">
        <f>D2365/30.48</f>
        <v/>
      </c>
      <c r="H2365" s="615" t="n"/>
      <c r="N2365" s="211" t="n"/>
      <c r="Q2365" s="271" t="n"/>
      <c r="R2365" s="282" t="n"/>
    </row>
    <row r="2366" ht="18" customHeight="1" s="305">
      <c r="A2366" s="8" t="n">
        <v>3494</v>
      </c>
      <c r="B2366" s="5" t="n">
        <v>73</v>
      </c>
      <c r="C2366" s="72" t="inlineStr">
        <is>
          <t>X</t>
        </is>
      </c>
      <c r="D2366" s="5" t="n">
        <v>136</v>
      </c>
      <c r="E2366" s="73">
        <f>B2366*D2366/10000</f>
        <v/>
      </c>
      <c r="F2366" s="74">
        <f>B2366/30.48</f>
        <v/>
      </c>
      <c r="G2366" s="74">
        <f>D2366/30.48</f>
        <v/>
      </c>
      <c r="H2366" s="615" t="n"/>
      <c r="N2366" s="211" t="n"/>
      <c r="Q2366" s="271" t="n"/>
      <c r="R2366" s="282" t="n"/>
    </row>
    <row r="2367" ht="18" customHeight="1" s="305">
      <c r="A2367" s="8" t="n">
        <v>3498</v>
      </c>
      <c r="B2367" s="5" t="n">
        <v>90</v>
      </c>
      <c r="C2367" s="72" t="inlineStr">
        <is>
          <t>X</t>
        </is>
      </c>
      <c r="D2367" s="5" t="n">
        <v>439</v>
      </c>
      <c r="E2367" s="73">
        <f>B2367*D2367/10000</f>
        <v/>
      </c>
      <c r="F2367" s="74">
        <f>B2367/30.48</f>
        <v/>
      </c>
      <c r="G2367" s="74">
        <f>D2367/30.48</f>
        <v/>
      </c>
      <c r="H2367" s="615" t="n"/>
      <c r="N2367" s="211" t="n"/>
      <c r="Q2367" s="271" t="n"/>
      <c r="R2367" s="282" t="n"/>
    </row>
    <row r="2368" ht="18" customHeight="1" s="305">
      <c r="A2368" s="8" t="n">
        <v>3499</v>
      </c>
      <c r="B2368" s="5" t="n">
        <v>113</v>
      </c>
      <c r="C2368" s="72" t="inlineStr">
        <is>
          <t>X</t>
        </is>
      </c>
      <c r="D2368" s="5" t="n">
        <v>315</v>
      </c>
      <c r="E2368" s="73">
        <f>B2368*D2368/10000</f>
        <v/>
      </c>
      <c r="F2368" s="74">
        <f>B2368/30.48</f>
        <v/>
      </c>
      <c r="G2368" s="74">
        <f>D2368/30.48</f>
        <v/>
      </c>
      <c r="H2368" s="615" t="n"/>
      <c r="N2368" s="211" t="n"/>
      <c r="Q2368" s="271" t="n"/>
      <c r="R2368" s="282" t="n"/>
    </row>
    <row r="2369" ht="18" customHeight="1" s="305">
      <c r="A2369" s="8" t="n">
        <v>3500</v>
      </c>
      <c r="B2369" s="5" t="n">
        <v>85</v>
      </c>
      <c r="C2369" s="72" t="inlineStr">
        <is>
          <t>X</t>
        </is>
      </c>
      <c r="D2369" s="5" t="n">
        <v>366</v>
      </c>
      <c r="E2369" s="73">
        <f>B2369*D2369/10000</f>
        <v/>
      </c>
      <c r="F2369" s="74">
        <f>B2369/30.48</f>
        <v/>
      </c>
      <c r="G2369" s="74">
        <f>D2369/30.48</f>
        <v/>
      </c>
      <c r="H2369" s="615" t="n"/>
      <c r="N2369" s="211" t="n"/>
      <c r="Q2369" s="271" t="n"/>
      <c r="R2369" s="282" t="n"/>
    </row>
    <row r="2370" ht="18" customHeight="1" s="305">
      <c r="A2370" s="8" t="n">
        <v>3504</v>
      </c>
      <c r="B2370" s="5" t="n">
        <v>92</v>
      </c>
      <c r="C2370" s="72" t="inlineStr">
        <is>
          <t>X</t>
        </is>
      </c>
      <c r="D2370" s="5" t="n">
        <v>251</v>
      </c>
      <c r="E2370" s="73">
        <f>B2370*D2370/10000</f>
        <v/>
      </c>
      <c r="F2370" s="74">
        <f>B2370/30.48</f>
        <v/>
      </c>
      <c r="G2370" s="74">
        <f>D2370/30.48</f>
        <v/>
      </c>
      <c r="H2370" s="615" t="n"/>
      <c r="N2370" s="211" t="n"/>
      <c r="Q2370" s="271" t="n"/>
      <c r="R2370" s="282" t="n"/>
    </row>
    <row r="2371" ht="18" customHeight="1" s="305">
      <c r="A2371" s="8" t="n">
        <v>3505</v>
      </c>
      <c r="B2371" s="5" t="n">
        <v>44</v>
      </c>
      <c r="C2371" s="72" t="inlineStr">
        <is>
          <t>X</t>
        </is>
      </c>
      <c r="D2371" s="5" t="n">
        <v>206</v>
      </c>
      <c r="E2371" s="73">
        <f>B2371*D2371/10000</f>
        <v/>
      </c>
      <c r="F2371" s="74">
        <f>B2371/30.48</f>
        <v/>
      </c>
      <c r="G2371" s="74">
        <f>D2371/30.48</f>
        <v/>
      </c>
      <c r="H2371" s="615" t="n"/>
      <c r="N2371" s="211" t="n"/>
      <c r="Q2371" s="271" t="n"/>
      <c r="R2371" s="282" t="n"/>
    </row>
    <row r="2372" ht="18" customHeight="1" s="305">
      <c r="A2372" s="8" t="n">
        <v>3506</v>
      </c>
      <c r="B2372" s="5" t="n">
        <v>76</v>
      </c>
      <c r="C2372" s="72" t="inlineStr">
        <is>
          <t>X</t>
        </is>
      </c>
      <c r="D2372" s="5" t="n">
        <v>98</v>
      </c>
      <c r="E2372" s="73">
        <f>B2372*D2372/10000</f>
        <v/>
      </c>
      <c r="F2372" s="74">
        <f>B2372/30.48</f>
        <v/>
      </c>
      <c r="G2372" s="74">
        <f>D2372/30.48</f>
        <v/>
      </c>
      <c r="H2372" s="615" t="n"/>
      <c r="N2372" s="211" t="n"/>
      <c r="Q2372" s="271" t="n"/>
      <c r="R2372" s="282" t="n"/>
    </row>
    <row r="2373" ht="18" customHeight="1" s="305">
      <c r="A2373" s="8" t="n">
        <v>3508</v>
      </c>
      <c r="B2373" s="5" t="n">
        <v>85</v>
      </c>
      <c r="C2373" s="72" t="inlineStr">
        <is>
          <t>X</t>
        </is>
      </c>
      <c r="D2373" s="5" t="n">
        <v>208</v>
      </c>
      <c r="E2373" s="73">
        <f>B2373*D2373/10000</f>
        <v/>
      </c>
      <c r="F2373" s="74">
        <f>B2373/30.48</f>
        <v/>
      </c>
      <c r="G2373" s="74">
        <f>D2373/30.48</f>
        <v/>
      </c>
      <c r="H2373" s="615" t="n"/>
      <c r="N2373" s="211" t="n"/>
      <c r="Q2373" s="271" t="n"/>
      <c r="R2373" s="282" t="n"/>
    </row>
    <row r="2374" ht="18" customHeight="1" s="305">
      <c r="A2374" s="8" t="n">
        <v>3509</v>
      </c>
      <c r="B2374" s="5" t="n">
        <v>107</v>
      </c>
      <c r="C2374" s="72" t="inlineStr">
        <is>
          <t>X</t>
        </is>
      </c>
      <c r="D2374" s="5" t="n">
        <v>348</v>
      </c>
      <c r="E2374" s="73">
        <f>B2374*D2374/10000</f>
        <v/>
      </c>
      <c r="F2374" s="74">
        <f>B2374/30.48</f>
        <v/>
      </c>
      <c r="G2374" s="74">
        <f>D2374/30.48</f>
        <v/>
      </c>
      <c r="H2374" s="615" t="n"/>
      <c r="N2374" s="211" t="n"/>
      <c r="Q2374" s="271" t="n"/>
      <c r="R2374" s="282" t="n"/>
    </row>
    <row r="2375" ht="18" customHeight="1" s="305">
      <c r="A2375" s="8" t="n">
        <v>3511</v>
      </c>
      <c r="B2375" s="5" t="n">
        <v>103</v>
      </c>
      <c r="C2375" s="72" t="inlineStr">
        <is>
          <t>X</t>
        </is>
      </c>
      <c r="D2375" s="5" t="n">
        <v>310</v>
      </c>
      <c r="E2375" s="73">
        <f>B2375*D2375/10000</f>
        <v/>
      </c>
      <c r="F2375" s="74">
        <f>B2375/30.48</f>
        <v/>
      </c>
      <c r="G2375" s="74">
        <f>D2375/30.48</f>
        <v/>
      </c>
      <c r="H2375" s="615" t="n"/>
      <c r="N2375" s="211" t="n"/>
      <c r="Q2375" s="271" t="n"/>
      <c r="R2375" s="282" t="n"/>
    </row>
    <row r="2376" ht="18" customHeight="1" s="305">
      <c r="A2376" s="8" t="n">
        <v>3512</v>
      </c>
      <c r="B2376" s="5" t="n">
        <v>90</v>
      </c>
      <c r="C2376" s="72" t="inlineStr">
        <is>
          <t>X</t>
        </is>
      </c>
      <c r="D2376" s="5" t="n">
        <v>375</v>
      </c>
      <c r="E2376" s="73">
        <f>B2376*D2376/10000</f>
        <v/>
      </c>
      <c r="F2376" s="74">
        <f>B2376/30.48</f>
        <v/>
      </c>
      <c r="G2376" s="74">
        <f>D2376/30.48</f>
        <v/>
      </c>
      <c r="H2376" s="615" t="n"/>
      <c r="N2376" s="211" t="n"/>
      <c r="Q2376" s="271" t="n"/>
      <c r="R2376" s="282" t="n"/>
    </row>
    <row r="2377" ht="18" customHeight="1" s="305">
      <c r="A2377" s="8" t="n">
        <v>3513</v>
      </c>
      <c r="B2377" s="5" t="n">
        <v>90</v>
      </c>
      <c r="C2377" s="72" t="inlineStr">
        <is>
          <t>X</t>
        </is>
      </c>
      <c r="D2377" s="5" t="n">
        <v>367</v>
      </c>
      <c r="E2377" s="73">
        <f>B2377*D2377/10000</f>
        <v/>
      </c>
      <c r="F2377" s="74">
        <f>B2377/30.48</f>
        <v/>
      </c>
      <c r="G2377" s="74">
        <f>D2377/30.48</f>
        <v/>
      </c>
      <c r="H2377" s="615" t="n"/>
      <c r="N2377" s="211" t="n"/>
      <c r="Q2377" s="271" t="n"/>
      <c r="R2377" s="282" t="n"/>
    </row>
    <row r="2378" ht="18" customHeight="1" s="305">
      <c r="A2378" s="8" t="n">
        <v>3515</v>
      </c>
      <c r="B2378" s="5" t="n">
        <v>94</v>
      </c>
      <c r="C2378" s="72" t="inlineStr">
        <is>
          <t>X</t>
        </is>
      </c>
      <c r="D2378" s="5" t="n">
        <v>400</v>
      </c>
      <c r="E2378" s="73">
        <f>B2378*D2378/10000</f>
        <v/>
      </c>
      <c r="F2378" s="74">
        <f>B2378/30.48</f>
        <v/>
      </c>
      <c r="G2378" s="74">
        <f>D2378/30.48</f>
        <v/>
      </c>
      <c r="H2378" s="615" t="n"/>
      <c r="N2378" s="211" t="n"/>
      <c r="Q2378" s="271" t="n"/>
      <c r="R2378" s="282" t="n"/>
    </row>
    <row r="2379" ht="18" customHeight="1" s="305">
      <c r="A2379" s="8" t="n">
        <v>3516</v>
      </c>
      <c r="B2379" s="5" t="n">
        <v>183</v>
      </c>
      <c r="C2379" s="72" t="inlineStr">
        <is>
          <t>X</t>
        </is>
      </c>
      <c r="D2379" s="5" t="n">
        <v>292</v>
      </c>
      <c r="E2379" s="73">
        <f>B2379*D2379/10000</f>
        <v/>
      </c>
      <c r="F2379" s="74">
        <f>B2379/30.48</f>
        <v/>
      </c>
      <c r="G2379" s="74">
        <f>D2379/30.48</f>
        <v/>
      </c>
      <c r="H2379" s="615" t="n"/>
      <c r="N2379" s="211" t="n"/>
      <c r="Q2379" s="271" t="n"/>
      <c r="R2379" s="282" t="n"/>
    </row>
    <row r="2380" ht="18" customHeight="1" s="305">
      <c r="A2380" s="8" t="n">
        <v>3517</v>
      </c>
      <c r="B2380" s="5" t="n">
        <v>117</v>
      </c>
      <c r="C2380" s="72" t="inlineStr">
        <is>
          <t>X</t>
        </is>
      </c>
      <c r="D2380" s="5" t="n">
        <v>266</v>
      </c>
      <c r="E2380" s="73">
        <f>B2380*D2380/10000</f>
        <v/>
      </c>
      <c r="F2380" s="74">
        <f>B2380/30.48</f>
        <v/>
      </c>
      <c r="G2380" s="74">
        <f>D2380/30.48</f>
        <v/>
      </c>
      <c r="H2380" s="615" t="n"/>
      <c r="N2380" s="211" t="n"/>
      <c r="Q2380" s="271" t="n"/>
      <c r="R2380" s="282" t="n"/>
    </row>
    <row r="2381" ht="18" customHeight="1" s="305">
      <c r="A2381" s="8" t="n">
        <v>3518</v>
      </c>
      <c r="B2381" s="5" t="n">
        <v>111</v>
      </c>
      <c r="C2381" s="72" t="inlineStr">
        <is>
          <t>X</t>
        </is>
      </c>
      <c r="D2381" s="5" t="n">
        <v>371</v>
      </c>
      <c r="E2381" s="73">
        <f>B2381*D2381/10000</f>
        <v/>
      </c>
      <c r="F2381" s="74">
        <f>B2381/30.48</f>
        <v/>
      </c>
      <c r="G2381" s="74">
        <f>D2381/30.48</f>
        <v/>
      </c>
      <c r="H2381" s="615" t="n"/>
      <c r="N2381" s="211" t="n"/>
      <c r="Q2381" s="271" t="n"/>
      <c r="R2381" s="282" t="n"/>
    </row>
    <row r="2382" ht="18" customHeight="1" s="305">
      <c r="A2382" s="8" t="n">
        <v>3521</v>
      </c>
      <c r="B2382" s="5" t="n">
        <v>80</v>
      </c>
      <c r="C2382" s="72" t="inlineStr">
        <is>
          <t>X</t>
        </is>
      </c>
      <c r="D2382" s="5" t="n">
        <v>252</v>
      </c>
      <c r="E2382" s="73">
        <f>B2382*D2382/10000</f>
        <v/>
      </c>
      <c r="F2382" s="74">
        <f>B2382/30.48</f>
        <v/>
      </c>
      <c r="G2382" s="74">
        <f>D2382/30.48</f>
        <v/>
      </c>
      <c r="H2382" s="615" t="n"/>
      <c r="N2382" s="211" t="n"/>
      <c r="Q2382" s="271" t="n"/>
      <c r="R2382" s="282" t="n"/>
    </row>
    <row r="2383" ht="18" customHeight="1" s="305">
      <c r="A2383" s="8" t="n">
        <v>3523</v>
      </c>
      <c r="B2383" s="5" t="n">
        <v>155</v>
      </c>
      <c r="C2383" s="72" t="inlineStr">
        <is>
          <t>X</t>
        </is>
      </c>
      <c r="D2383" s="5" t="n">
        <v>242</v>
      </c>
      <c r="E2383" s="73">
        <f>B2383*D2383/10000</f>
        <v/>
      </c>
      <c r="F2383" s="74">
        <f>B2383/30.48</f>
        <v/>
      </c>
      <c r="G2383" s="74">
        <f>D2383/30.48</f>
        <v/>
      </c>
      <c r="H2383" s="615" t="n"/>
      <c r="N2383" s="211" t="n"/>
      <c r="Q2383" s="271" t="n"/>
      <c r="R2383" s="282" t="n"/>
    </row>
    <row r="2384" ht="18" customHeight="1" s="305">
      <c r="A2384" s="8" t="n">
        <v>3524</v>
      </c>
      <c r="B2384" s="5" t="n">
        <v>94</v>
      </c>
      <c r="C2384" s="72" t="inlineStr">
        <is>
          <t>X</t>
        </is>
      </c>
      <c r="D2384" s="5" t="n">
        <v>363</v>
      </c>
      <c r="E2384" s="73">
        <f>B2384*D2384/10000</f>
        <v/>
      </c>
      <c r="F2384" s="74">
        <f>B2384/30.48</f>
        <v/>
      </c>
      <c r="G2384" s="74">
        <f>D2384/30.48</f>
        <v/>
      </c>
      <c r="H2384" s="615" t="n"/>
      <c r="N2384" s="211" t="n"/>
      <c r="Q2384" s="271" t="n"/>
      <c r="R2384" s="282" t="n"/>
    </row>
    <row r="2385" ht="18" customHeight="1" s="305">
      <c r="A2385" s="8" t="n">
        <v>3527</v>
      </c>
      <c r="B2385" s="5" t="n">
        <v>144</v>
      </c>
      <c r="C2385" s="72" t="inlineStr">
        <is>
          <t>X</t>
        </is>
      </c>
      <c r="D2385" s="5" t="n">
        <v>355</v>
      </c>
      <c r="E2385" s="73">
        <f>B2385*D2385/10000</f>
        <v/>
      </c>
      <c r="F2385" s="74">
        <f>B2385/30.48</f>
        <v/>
      </c>
      <c r="G2385" s="74">
        <f>D2385/30.48</f>
        <v/>
      </c>
      <c r="H2385" s="615" t="n"/>
      <c r="N2385" s="211" t="n"/>
      <c r="Q2385" s="271" t="n"/>
      <c r="R2385" s="282" t="n"/>
    </row>
    <row r="2386" ht="18" customHeight="1" s="305">
      <c r="A2386" s="8" t="n">
        <v>3529</v>
      </c>
      <c r="B2386" s="5" t="n">
        <v>106</v>
      </c>
      <c r="C2386" s="72" t="inlineStr">
        <is>
          <t>X</t>
        </is>
      </c>
      <c r="D2386" s="5" t="n">
        <v>217</v>
      </c>
      <c r="E2386" s="73">
        <f>B2386*D2386/10000</f>
        <v/>
      </c>
      <c r="F2386" s="74">
        <f>B2386/30.48</f>
        <v/>
      </c>
      <c r="G2386" s="74">
        <f>D2386/30.48</f>
        <v/>
      </c>
      <c r="H2386" s="615" t="n"/>
      <c r="N2386" s="211" t="n"/>
      <c r="Q2386" s="271" t="n"/>
      <c r="R2386" s="282" t="n"/>
    </row>
    <row r="2387" ht="18" customHeight="1" s="305">
      <c r="A2387" s="8" t="n">
        <v>3531</v>
      </c>
      <c r="B2387" s="5" t="n">
        <v>74</v>
      </c>
      <c r="C2387" s="72" t="inlineStr">
        <is>
          <t>X</t>
        </is>
      </c>
      <c r="D2387" s="5" t="n">
        <v>136</v>
      </c>
      <c r="E2387" s="73">
        <f>B2387*D2387/10000</f>
        <v/>
      </c>
      <c r="F2387" s="74">
        <f>B2387/30.48</f>
        <v/>
      </c>
      <c r="G2387" s="74">
        <f>D2387/30.48</f>
        <v/>
      </c>
      <c r="H2387" s="615" t="n"/>
      <c r="N2387" s="211" t="n"/>
      <c r="Q2387" s="271" t="n"/>
      <c r="R2387" s="282" t="n"/>
    </row>
    <row r="2388" ht="18" customHeight="1" s="305">
      <c r="A2388" s="8" t="n">
        <v>3532</v>
      </c>
      <c r="B2388" s="5" t="n">
        <v>95</v>
      </c>
      <c r="C2388" s="72" t="inlineStr">
        <is>
          <t>X</t>
        </is>
      </c>
      <c r="D2388" s="5" t="n">
        <v>325</v>
      </c>
      <c r="E2388" s="73">
        <f>B2388*D2388/10000</f>
        <v/>
      </c>
      <c r="F2388" s="74">
        <f>B2388/30.48</f>
        <v/>
      </c>
      <c r="G2388" s="74">
        <f>D2388/30.48</f>
        <v/>
      </c>
      <c r="H2388" s="615" t="n"/>
      <c r="N2388" s="211" t="n"/>
      <c r="Q2388" s="271" t="n"/>
      <c r="R2388" s="282" t="n"/>
    </row>
    <row r="2389" ht="18" customHeight="1" s="305">
      <c r="A2389" s="8" t="n">
        <v>3533</v>
      </c>
      <c r="B2389" s="5" t="n">
        <v>68</v>
      </c>
      <c r="C2389" s="72" t="inlineStr">
        <is>
          <t>X</t>
        </is>
      </c>
      <c r="D2389" s="5" t="n">
        <v>316</v>
      </c>
      <c r="E2389" s="73">
        <f>B2389*D2389/10000</f>
        <v/>
      </c>
      <c r="F2389" s="74">
        <f>B2389/30.48</f>
        <v/>
      </c>
      <c r="G2389" s="74">
        <f>D2389/30.48</f>
        <v/>
      </c>
      <c r="H2389" s="615" t="n"/>
      <c r="N2389" s="211" t="n"/>
      <c r="Q2389" s="271" t="n"/>
      <c r="R2389" s="282" t="n"/>
    </row>
    <row r="2390" ht="18" customHeight="1" s="305">
      <c r="A2390" s="8" t="n">
        <v>3534</v>
      </c>
      <c r="B2390" s="5" t="n">
        <v>90</v>
      </c>
      <c r="C2390" s="72" t="inlineStr">
        <is>
          <t>X</t>
        </is>
      </c>
      <c r="D2390" s="5" t="n">
        <v>315</v>
      </c>
      <c r="E2390" s="73">
        <f>B2390*D2390/10000</f>
        <v/>
      </c>
      <c r="F2390" s="74">
        <f>B2390/30.48</f>
        <v/>
      </c>
      <c r="G2390" s="74">
        <f>D2390/30.48</f>
        <v/>
      </c>
      <c r="H2390" s="615" t="n"/>
      <c r="N2390" s="211" t="n"/>
      <c r="Q2390" s="271" t="n"/>
      <c r="R2390" s="282" t="n"/>
    </row>
    <row r="2391" ht="18" customHeight="1" s="305">
      <c r="A2391" s="8" t="n">
        <v>3536</v>
      </c>
      <c r="B2391" s="5" t="n">
        <v>89</v>
      </c>
      <c r="C2391" s="72" t="inlineStr">
        <is>
          <t>X</t>
        </is>
      </c>
      <c r="D2391" s="5" t="n">
        <v>220</v>
      </c>
      <c r="E2391" s="73">
        <f>B2391*D2391/10000</f>
        <v/>
      </c>
      <c r="F2391" s="74">
        <f>B2391/30.48</f>
        <v/>
      </c>
      <c r="G2391" s="74">
        <f>D2391/30.48</f>
        <v/>
      </c>
      <c r="H2391" s="615" t="n"/>
      <c r="N2391" s="211" t="n"/>
      <c r="Q2391" s="271" t="n"/>
      <c r="R2391" s="282" t="n"/>
    </row>
    <row r="2392" ht="18" customHeight="1" s="305">
      <c r="A2392" s="8" t="n">
        <v>3538</v>
      </c>
      <c r="B2392" s="5" t="n">
        <v>130</v>
      </c>
      <c r="C2392" s="72" t="inlineStr">
        <is>
          <t>X</t>
        </is>
      </c>
      <c r="D2392" s="5" t="n">
        <v>311</v>
      </c>
      <c r="E2392" s="73">
        <f>B2392*D2392/10000</f>
        <v/>
      </c>
      <c r="F2392" s="74">
        <f>B2392/30.48</f>
        <v/>
      </c>
      <c r="G2392" s="74">
        <f>D2392/30.48</f>
        <v/>
      </c>
      <c r="H2392" s="615" t="n"/>
      <c r="N2392" s="211" t="n"/>
      <c r="Q2392" s="271" t="n"/>
      <c r="R2392" s="282" t="n"/>
    </row>
    <row r="2393" ht="18" customHeight="1" s="305">
      <c r="A2393" s="8" t="n">
        <v>3541</v>
      </c>
      <c r="B2393" s="5" t="n">
        <v>172</v>
      </c>
      <c r="C2393" s="72" t="inlineStr">
        <is>
          <t>X</t>
        </is>
      </c>
      <c r="D2393" s="5" t="n">
        <v>269</v>
      </c>
      <c r="E2393" s="73">
        <f>B2393*D2393/10000</f>
        <v/>
      </c>
      <c r="F2393" s="74">
        <f>B2393/30.48</f>
        <v/>
      </c>
      <c r="G2393" s="74">
        <f>D2393/30.48</f>
        <v/>
      </c>
      <c r="H2393" s="615" t="n"/>
      <c r="N2393" s="211" t="n"/>
      <c r="Q2393" s="271" t="n"/>
      <c r="R2393" s="282" t="n"/>
    </row>
    <row r="2394" ht="18" customHeight="1" s="305">
      <c r="A2394" s="8" t="n">
        <v>3543</v>
      </c>
      <c r="B2394" s="5" t="n">
        <v>90</v>
      </c>
      <c r="C2394" s="72" t="inlineStr">
        <is>
          <t>X</t>
        </is>
      </c>
      <c r="D2394" s="5" t="n">
        <v>338</v>
      </c>
      <c r="E2394" s="73">
        <f>B2394*D2394/10000</f>
        <v/>
      </c>
      <c r="F2394" s="74">
        <f>B2394/30.48</f>
        <v/>
      </c>
      <c r="G2394" s="74">
        <f>D2394/30.48</f>
        <v/>
      </c>
      <c r="H2394" s="615" t="n"/>
      <c r="N2394" s="211" t="n"/>
      <c r="Q2394" s="271" t="n"/>
      <c r="R2394" s="282" t="n"/>
    </row>
    <row r="2395" ht="18" customHeight="1" s="305">
      <c r="A2395" s="8" t="n">
        <v>3544</v>
      </c>
      <c r="B2395" s="5" t="n">
        <v>213</v>
      </c>
      <c r="C2395" s="72" t="inlineStr">
        <is>
          <t>X</t>
        </is>
      </c>
      <c r="D2395" s="5" t="n">
        <v>296</v>
      </c>
      <c r="E2395" s="73">
        <f>B2395*D2395/10000</f>
        <v/>
      </c>
      <c r="F2395" s="74">
        <f>B2395/30.48</f>
        <v/>
      </c>
      <c r="G2395" s="74">
        <f>D2395/30.48</f>
        <v/>
      </c>
      <c r="H2395" s="615" t="n"/>
      <c r="N2395" s="211" t="n"/>
      <c r="Q2395" s="271" t="n"/>
      <c r="R2395" s="282" t="n"/>
    </row>
    <row r="2396" ht="18" customHeight="1" s="305">
      <c r="A2396" s="8" t="n">
        <v>3545</v>
      </c>
      <c r="B2396" s="5" t="n">
        <v>90</v>
      </c>
      <c r="C2396" s="72" t="inlineStr">
        <is>
          <t>X</t>
        </is>
      </c>
      <c r="D2396" s="5" t="n">
        <v>465</v>
      </c>
      <c r="E2396" s="73">
        <f>B2396*D2396/10000</f>
        <v/>
      </c>
      <c r="F2396" s="74">
        <f>B2396/30.48</f>
        <v/>
      </c>
      <c r="G2396" s="74">
        <f>D2396/30.48</f>
        <v/>
      </c>
      <c r="H2396" s="615" t="n"/>
      <c r="N2396" s="211" t="n"/>
      <c r="Q2396" s="271" t="n"/>
      <c r="R2396" s="282" t="n"/>
    </row>
    <row r="2397" ht="18" customHeight="1" s="305">
      <c r="A2397" s="8" t="n">
        <v>3547</v>
      </c>
      <c r="B2397" s="5" t="n">
        <v>167</v>
      </c>
      <c r="C2397" s="72" t="inlineStr">
        <is>
          <t>X</t>
        </is>
      </c>
      <c r="D2397" s="5" t="n">
        <v>258</v>
      </c>
      <c r="E2397" s="73">
        <f>B2397*D2397/10000</f>
        <v/>
      </c>
      <c r="F2397" s="74">
        <f>B2397/30.48</f>
        <v/>
      </c>
      <c r="G2397" s="74">
        <f>D2397/30.48</f>
        <v/>
      </c>
      <c r="H2397" s="615" t="n"/>
      <c r="N2397" s="211" t="n"/>
      <c r="Q2397" s="271" t="n"/>
      <c r="R2397" s="282" t="n"/>
    </row>
    <row r="2398" ht="18" customHeight="1" s="305">
      <c r="A2398" s="8" t="n">
        <v>3548</v>
      </c>
      <c r="B2398" s="5" t="n">
        <v>68</v>
      </c>
      <c r="C2398" s="72" t="inlineStr">
        <is>
          <t>X</t>
        </is>
      </c>
      <c r="D2398" s="5" t="n">
        <v>144</v>
      </c>
      <c r="E2398" s="73">
        <f>B2398*D2398/10000</f>
        <v/>
      </c>
      <c r="F2398" s="74">
        <f>B2398/30.48</f>
        <v/>
      </c>
      <c r="G2398" s="74">
        <f>D2398/30.48</f>
        <v/>
      </c>
      <c r="H2398" s="615" t="n"/>
      <c r="N2398" s="211" t="n"/>
      <c r="Q2398" s="271" t="n"/>
      <c r="R2398" s="282" t="n"/>
    </row>
    <row r="2399" ht="18" customHeight="1" s="305">
      <c r="A2399" s="8" t="n">
        <v>3550</v>
      </c>
      <c r="B2399" s="5" t="n">
        <v>151</v>
      </c>
      <c r="C2399" s="72" t="inlineStr">
        <is>
          <t>X</t>
        </is>
      </c>
      <c r="D2399" s="5" t="n">
        <v>309</v>
      </c>
      <c r="E2399" s="73">
        <f>B2399*D2399/10000</f>
        <v/>
      </c>
      <c r="F2399" s="74">
        <f>B2399/30.48</f>
        <v/>
      </c>
      <c r="G2399" s="74">
        <f>D2399/30.48</f>
        <v/>
      </c>
      <c r="H2399" s="615" t="n"/>
      <c r="N2399" s="211" t="n"/>
      <c r="Q2399" s="271" t="n"/>
      <c r="R2399" s="282" t="n"/>
    </row>
    <row r="2400" ht="18" customHeight="1" s="305">
      <c r="A2400" s="8" t="n">
        <v>3551</v>
      </c>
      <c r="B2400" s="5" t="n">
        <v>71</v>
      </c>
      <c r="C2400" s="72" t="inlineStr">
        <is>
          <t>X</t>
        </is>
      </c>
      <c r="D2400" s="5" t="n">
        <v>184</v>
      </c>
      <c r="E2400" s="73">
        <f>B2400*D2400/10000</f>
        <v/>
      </c>
      <c r="F2400" s="74">
        <f>B2400/30.48</f>
        <v/>
      </c>
      <c r="G2400" s="74">
        <f>D2400/30.48</f>
        <v/>
      </c>
      <c r="H2400" s="615" t="n"/>
      <c r="N2400" s="211" t="n"/>
      <c r="Q2400" s="271" t="n"/>
      <c r="R2400" s="282" t="n"/>
    </row>
    <row r="2401" ht="18" customHeight="1" s="305">
      <c r="A2401" s="8" t="n">
        <v>3553</v>
      </c>
      <c r="B2401" s="5" t="n">
        <v>110</v>
      </c>
      <c r="C2401" s="72" t="inlineStr">
        <is>
          <t>X</t>
        </is>
      </c>
      <c r="D2401" s="5" t="n">
        <v>304</v>
      </c>
      <c r="E2401" s="73">
        <f>B2401*D2401/10000</f>
        <v/>
      </c>
      <c r="F2401" s="74">
        <f>B2401/30.48</f>
        <v/>
      </c>
      <c r="G2401" s="74">
        <f>D2401/30.48</f>
        <v/>
      </c>
      <c r="H2401" s="615" t="n"/>
      <c r="N2401" s="211" t="n"/>
      <c r="Q2401" s="271" t="n"/>
      <c r="R2401" s="282" t="n"/>
    </row>
    <row r="2402" ht="18" customHeight="1" s="305">
      <c r="A2402" s="8" t="n">
        <v>3554</v>
      </c>
      <c r="B2402" s="5" t="n">
        <v>114</v>
      </c>
      <c r="C2402" s="72" t="inlineStr">
        <is>
          <t>X</t>
        </is>
      </c>
      <c r="D2402" s="5" t="n">
        <v>296</v>
      </c>
      <c r="E2402" s="73">
        <f>B2402*D2402/10000</f>
        <v/>
      </c>
      <c r="F2402" s="74">
        <f>B2402/30.48</f>
        <v/>
      </c>
      <c r="G2402" s="74">
        <f>D2402/30.48</f>
        <v/>
      </c>
      <c r="H2402" s="615" t="n"/>
      <c r="N2402" s="211" t="n"/>
      <c r="Q2402" s="271" t="n"/>
      <c r="R2402" s="282" t="n"/>
    </row>
    <row r="2403" ht="18" customHeight="1" s="305">
      <c r="A2403" s="8" t="n">
        <v>3555</v>
      </c>
      <c r="B2403" s="5" t="n">
        <v>73</v>
      </c>
      <c r="C2403" s="72" t="inlineStr">
        <is>
          <t>X</t>
        </is>
      </c>
      <c r="D2403" s="5" t="n">
        <v>95</v>
      </c>
      <c r="E2403" s="73">
        <f>B2403*D2403/10000</f>
        <v/>
      </c>
      <c r="F2403" s="74">
        <f>B2403/30.48</f>
        <v/>
      </c>
      <c r="G2403" s="74">
        <f>D2403/30.48</f>
        <v/>
      </c>
      <c r="H2403" s="615" t="n"/>
      <c r="N2403" s="211" t="n"/>
      <c r="Q2403" s="271" t="n"/>
      <c r="R2403" s="282" t="n"/>
    </row>
    <row r="2404" ht="18" customHeight="1" s="305">
      <c r="A2404" s="8" t="n">
        <v>3556</v>
      </c>
      <c r="B2404" s="5" t="n">
        <v>70</v>
      </c>
      <c r="C2404" s="72" t="inlineStr">
        <is>
          <t>X</t>
        </is>
      </c>
      <c r="D2404" s="5" t="n">
        <v>102</v>
      </c>
      <c r="E2404" s="73">
        <f>B2404*D2404/10000</f>
        <v/>
      </c>
      <c r="F2404" s="74">
        <f>B2404/30.48</f>
        <v/>
      </c>
      <c r="G2404" s="74">
        <f>D2404/30.48</f>
        <v/>
      </c>
      <c r="H2404" s="615" t="n"/>
      <c r="N2404" s="211" t="n"/>
      <c r="Q2404" s="271" t="n"/>
      <c r="R2404" s="282" t="n"/>
    </row>
    <row r="2405" ht="18" customHeight="1" s="305">
      <c r="A2405" s="8" t="n">
        <v>3558</v>
      </c>
      <c r="B2405" s="5" t="n">
        <v>80</v>
      </c>
      <c r="C2405" s="72" t="inlineStr">
        <is>
          <t>X</t>
        </is>
      </c>
      <c r="D2405" s="5" t="n">
        <v>330</v>
      </c>
      <c r="E2405" s="73">
        <f>B2405*D2405/10000</f>
        <v/>
      </c>
      <c r="F2405" s="74">
        <f>B2405/30.48</f>
        <v/>
      </c>
      <c r="G2405" s="74">
        <f>D2405/30.48</f>
        <v/>
      </c>
      <c r="H2405" s="615" t="n"/>
      <c r="N2405" s="211" t="n"/>
      <c r="Q2405" s="271" t="n"/>
      <c r="R2405" s="282" t="n"/>
    </row>
    <row r="2406" ht="18" customHeight="1" s="305">
      <c r="A2406" s="8" t="n">
        <v>3561</v>
      </c>
      <c r="B2406" s="5" t="n">
        <v>179</v>
      </c>
      <c r="C2406" s="72" t="inlineStr">
        <is>
          <t>X</t>
        </is>
      </c>
      <c r="D2406" s="5" t="n">
        <v>340</v>
      </c>
      <c r="E2406" s="73">
        <f>B2406*D2406/10000</f>
        <v/>
      </c>
      <c r="F2406" s="74">
        <f>B2406/30.48</f>
        <v/>
      </c>
      <c r="G2406" s="74">
        <f>D2406/30.48</f>
        <v/>
      </c>
      <c r="H2406" s="615" t="n"/>
      <c r="N2406" s="211" t="n"/>
      <c r="Q2406" s="271" t="n"/>
      <c r="R2406" s="282" t="n"/>
    </row>
    <row r="2407" ht="18" customHeight="1" s="305">
      <c r="A2407" s="8" t="n">
        <v>3563</v>
      </c>
      <c r="B2407" s="5" t="n">
        <v>89</v>
      </c>
      <c r="C2407" s="72" t="inlineStr">
        <is>
          <t>X</t>
        </is>
      </c>
      <c r="D2407" s="5" t="n">
        <v>270</v>
      </c>
      <c r="E2407" s="73">
        <f>B2407*D2407/10000</f>
        <v/>
      </c>
      <c r="F2407" s="74">
        <f>B2407/30.48</f>
        <v/>
      </c>
      <c r="G2407" s="74">
        <f>D2407/30.48</f>
        <v/>
      </c>
      <c r="H2407" s="615" t="n"/>
      <c r="N2407" s="211" t="n"/>
      <c r="Q2407" s="271" t="n"/>
      <c r="R2407" s="282" t="n"/>
    </row>
    <row r="2408" ht="18" customHeight="1" s="305">
      <c r="A2408" s="8" t="n">
        <v>3565</v>
      </c>
      <c r="B2408" s="5" t="n">
        <v>84</v>
      </c>
      <c r="C2408" s="72" t="inlineStr">
        <is>
          <t>X</t>
        </is>
      </c>
      <c r="D2408" s="5" t="n">
        <v>296</v>
      </c>
      <c r="E2408" s="73">
        <f>B2408*D2408/10000</f>
        <v/>
      </c>
      <c r="F2408" s="74">
        <f>B2408/30.48</f>
        <v/>
      </c>
      <c r="G2408" s="74">
        <f>D2408/30.48</f>
        <v/>
      </c>
      <c r="H2408" s="615" t="n"/>
      <c r="N2408" s="211" t="n"/>
      <c r="Q2408" s="271" t="n"/>
      <c r="R2408" s="282" t="n"/>
    </row>
    <row r="2409" ht="18" customHeight="1" s="305">
      <c r="A2409" s="8" t="n">
        <v>3570</v>
      </c>
      <c r="B2409" s="5" t="n">
        <v>90</v>
      </c>
      <c r="C2409" s="72" t="inlineStr">
        <is>
          <t>X</t>
        </is>
      </c>
      <c r="D2409" s="5" t="n">
        <v>337</v>
      </c>
      <c r="E2409" s="73">
        <f>B2409*D2409/10000</f>
        <v/>
      </c>
      <c r="F2409" s="74">
        <f>B2409/30.48</f>
        <v/>
      </c>
      <c r="G2409" s="74">
        <f>D2409/30.48</f>
        <v/>
      </c>
      <c r="H2409" s="615" t="n"/>
      <c r="N2409" s="211" t="n"/>
      <c r="Q2409" s="271" t="n"/>
      <c r="R2409" s="282" t="n"/>
    </row>
    <row r="2410" ht="18" customHeight="1" s="305">
      <c r="A2410" s="8" t="n">
        <v>3571</v>
      </c>
      <c r="B2410" s="5" t="n">
        <v>118</v>
      </c>
      <c r="C2410" s="72" t="inlineStr">
        <is>
          <t>X</t>
        </is>
      </c>
      <c r="D2410" s="5" t="n">
        <v>204</v>
      </c>
      <c r="E2410" s="73">
        <f>B2410*D2410/10000</f>
        <v/>
      </c>
      <c r="F2410" s="74">
        <f>B2410/30.48</f>
        <v/>
      </c>
      <c r="G2410" s="74">
        <f>D2410/30.48</f>
        <v/>
      </c>
      <c r="H2410" s="615" t="n"/>
      <c r="N2410" s="211" t="n"/>
      <c r="Q2410" s="271" t="n"/>
      <c r="R2410" s="282" t="n"/>
    </row>
    <row r="2411" ht="18" customHeight="1" s="305">
      <c r="A2411" s="8" t="n">
        <v>3572</v>
      </c>
      <c r="B2411" s="5" t="n">
        <v>89</v>
      </c>
      <c r="C2411" s="72" t="inlineStr">
        <is>
          <t>X</t>
        </is>
      </c>
      <c r="D2411" s="5" t="n">
        <v>376</v>
      </c>
      <c r="E2411" s="73">
        <f>B2411*D2411/10000</f>
        <v/>
      </c>
      <c r="F2411" s="74">
        <f>B2411/30.48</f>
        <v/>
      </c>
      <c r="G2411" s="74">
        <f>D2411/30.48</f>
        <v/>
      </c>
      <c r="H2411" s="615" t="n"/>
      <c r="N2411" s="211" t="n"/>
      <c r="Q2411" s="271" t="n"/>
      <c r="R2411" s="282" t="n"/>
    </row>
    <row r="2412" ht="18" customHeight="1" s="305">
      <c r="A2412" s="8" t="n">
        <v>3574</v>
      </c>
      <c r="C2412" s="72" t="inlineStr">
        <is>
          <t>X</t>
        </is>
      </c>
      <c r="E2412" s="73">
        <f>B2412*D2412/10000</f>
        <v/>
      </c>
      <c r="F2412" s="74">
        <f>B2412/30.48</f>
        <v/>
      </c>
      <c r="G2412" s="74">
        <f>D2412/30.48</f>
        <v/>
      </c>
      <c r="H2412" s="615" t="n"/>
      <c r="N2412" s="211" t="n"/>
      <c r="Q2412" s="271" t="n"/>
      <c r="R2412" s="282" t="n"/>
    </row>
    <row r="2413" ht="18" customHeight="1" s="305">
      <c r="A2413" s="8" t="n">
        <v>3577</v>
      </c>
      <c r="B2413" s="5" t="n">
        <v>186</v>
      </c>
      <c r="C2413" s="72" t="inlineStr">
        <is>
          <t>X</t>
        </is>
      </c>
      <c r="D2413" s="5" t="n">
        <v>306</v>
      </c>
      <c r="E2413" s="73">
        <f>B2413*D2413/10000</f>
        <v/>
      </c>
      <c r="F2413" s="74">
        <f>B2413/30.48</f>
        <v/>
      </c>
      <c r="G2413" s="74">
        <f>D2413/30.48</f>
        <v/>
      </c>
      <c r="H2413" s="615" t="n"/>
      <c r="N2413" s="211" t="n"/>
      <c r="Q2413" s="271" t="n"/>
      <c r="R2413" s="282" t="n"/>
    </row>
    <row r="2414" ht="18" customHeight="1" s="305">
      <c r="A2414" s="8" t="n">
        <v>3578</v>
      </c>
      <c r="B2414" s="5" t="n">
        <v>70</v>
      </c>
      <c r="C2414" s="72" t="inlineStr">
        <is>
          <t>X</t>
        </is>
      </c>
      <c r="D2414" s="5" t="n">
        <v>266</v>
      </c>
      <c r="E2414" s="73">
        <f>B2414*D2414/10000</f>
        <v/>
      </c>
      <c r="F2414" s="74">
        <f>B2414/30.48</f>
        <v/>
      </c>
      <c r="G2414" s="74">
        <f>D2414/30.48</f>
        <v/>
      </c>
      <c r="H2414" s="615" t="n"/>
      <c r="N2414" s="211" t="n"/>
      <c r="Q2414" s="271" t="n"/>
      <c r="R2414" s="282" t="n"/>
    </row>
    <row r="2415" ht="18" customHeight="1" s="305">
      <c r="A2415" s="8" t="n">
        <v>3582</v>
      </c>
      <c r="B2415" s="5" t="n">
        <v>103</v>
      </c>
      <c r="C2415" s="72" t="inlineStr">
        <is>
          <t>X</t>
        </is>
      </c>
      <c r="D2415" s="5" t="n">
        <v>194</v>
      </c>
      <c r="E2415" s="73">
        <f>B2415*D2415/10000</f>
        <v/>
      </c>
      <c r="F2415" s="74">
        <f>B2415/30.48</f>
        <v/>
      </c>
      <c r="G2415" s="74">
        <f>D2415/30.48</f>
        <v/>
      </c>
      <c r="H2415" s="615" t="n"/>
      <c r="N2415" s="211" t="n"/>
      <c r="Q2415" s="271" t="n"/>
      <c r="R2415" s="282" t="n"/>
    </row>
    <row r="2416" ht="18" customHeight="1" s="305">
      <c r="A2416" s="8" t="n">
        <v>3585</v>
      </c>
      <c r="B2416" s="5" t="n">
        <v>94</v>
      </c>
      <c r="C2416" s="72" t="inlineStr">
        <is>
          <t>X</t>
        </is>
      </c>
      <c r="D2416" s="5" t="n">
        <v>301</v>
      </c>
      <c r="E2416" s="73">
        <f>B2416*D2416/10000</f>
        <v/>
      </c>
      <c r="F2416" s="74">
        <f>B2416/30.48</f>
        <v/>
      </c>
      <c r="G2416" s="74">
        <f>D2416/30.48</f>
        <v/>
      </c>
      <c r="H2416" s="615" t="n"/>
      <c r="N2416" s="211" t="n"/>
      <c r="Q2416" s="271" t="n"/>
      <c r="R2416" s="282" t="n"/>
    </row>
    <row r="2417" ht="18" customHeight="1" s="305">
      <c r="A2417" s="8" t="n">
        <v>3586</v>
      </c>
      <c r="B2417" s="5" t="n">
        <v>66</v>
      </c>
      <c r="C2417" s="72" t="inlineStr">
        <is>
          <t>X</t>
        </is>
      </c>
      <c r="D2417" s="5" t="n">
        <v>187</v>
      </c>
      <c r="E2417" s="73">
        <f>B2417*D2417/10000</f>
        <v/>
      </c>
      <c r="F2417" s="74">
        <f>B2417/30.48</f>
        <v/>
      </c>
      <c r="G2417" s="74">
        <f>D2417/30.48</f>
        <v/>
      </c>
      <c r="H2417" s="615" t="n"/>
      <c r="N2417" s="211" t="n"/>
      <c r="Q2417" s="271" t="n"/>
      <c r="R2417" s="282" t="n"/>
    </row>
    <row r="2418" ht="18" customHeight="1" s="305">
      <c r="A2418" s="8" t="n">
        <v>3587</v>
      </c>
      <c r="B2418" s="5" t="n">
        <v>116</v>
      </c>
      <c r="C2418" s="72" t="inlineStr">
        <is>
          <t>X</t>
        </is>
      </c>
      <c r="D2418" s="5" t="n">
        <v>189</v>
      </c>
      <c r="E2418" s="73">
        <f>B2418*D2418/10000</f>
        <v/>
      </c>
      <c r="F2418" s="74">
        <f>B2418/30.48</f>
        <v/>
      </c>
      <c r="G2418" s="74">
        <f>D2418/30.48</f>
        <v/>
      </c>
      <c r="H2418" s="615" t="n"/>
      <c r="N2418" s="211" t="n"/>
      <c r="Q2418" s="271" t="n"/>
      <c r="R2418" s="282" t="n"/>
    </row>
    <row r="2419" ht="18" customHeight="1" s="305">
      <c r="A2419" s="8" t="n">
        <v>3588</v>
      </c>
      <c r="B2419" s="5" t="n">
        <v>88</v>
      </c>
      <c r="C2419" s="72" t="inlineStr">
        <is>
          <t>X</t>
        </is>
      </c>
      <c r="D2419" s="5" t="n">
        <v>397</v>
      </c>
      <c r="E2419" s="73">
        <f>B2419*D2419/10000</f>
        <v/>
      </c>
      <c r="F2419" s="74">
        <f>B2419/30.48</f>
        <v/>
      </c>
      <c r="G2419" s="74">
        <f>D2419/30.48</f>
        <v/>
      </c>
      <c r="H2419" s="615" t="n"/>
      <c r="N2419" s="211" t="n"/>
      <c r="Q2419" s="271" t="n"/>
      <c r="R2419" s="282" t="n"/>
    </row>
    <row r="2420" ht="18" customHeight="1" s="305">
      <c r="A2420" s="8" t="n">
        <v>3589</v>
      </c>
      <c r="B2420" s="5" t="n">
        <v>90</v>
      </c>
      <c r="C2420" s="72" t="inlineStr">
        <is>
          <t>X</t>
        </is>
      </c>
      <c r="D2420" s="5" t="n">
        <v>375</v>
      </c>
      <c r="E2420" s="73">
        <f>B2420*D2420/10000</f>
        <v/>
      </c>
      <c r="F2420" s="74">
        <f>B2420/30.48</f>
        <v/>
      </c>
      <c r="G2420" s="74">
        <f>D2420/30.48</f>
        <v/>
      </c>
      <c r="H2420" s="615" t="n"/>
      <c r="N2420" s="211" t="n"/>
      <c r="Q2420" s="271" t="n"/>
      <c r="R2420" s="282" t="n"/>
    </row>
    <row r="2421" ht="18" customHeight="1" s="305">
      <c r="A2421" s="8" t="n">
        <v>3590</v>
      </c>
      <c r="B2421" s="5" t="n">
        <v>212</v>
      </c>
      <c r="C2421" s="72" t="inlineStr">
        <is>
          <t>X</t>
        </is>
      </c>
      <c r="D2421" s="5" t="n">
        <v>320</v>
      </c>
      <c r="E2421" s="73">
        <f>B2421*D2421/10000</f>
        <v/>
      </c>
      <c r="F2421" s="74">
        <f>B2421/30.48</f>
        <v/>
      </c>
      <c r="G2421" s="74">
        <f>D2421/30.48</f>
        <v/>
      </c>
      <c r="H2421" s="615" t="n"/>
      <c r="N2421" s="211" t="n"/>
      <c r="Q2421" s="271" t="n"/>
      <c r="R2421" s="282" t="n"/>
    </row>
    <row r="2422" ht="18" customHeight="1" s="305">
      <c r="A2422" s="8" t="n">
        <v>3593</v>
      </c>
      <c r="B2422" s="5" t="n">
        <v>80</v>
      </c>
      <c r="C2422" s="72" t="inlineStr">
        <is>
          <t>X</t>
        </is>
      </c>
      <c r="D2422" s="5" t="n">
        <v>288</v>
      </c>
      <c r="E2422" s="73">
        <f>B2422*D2422/10000</f>
        <v/>
      </c>
      <c r="F2422" s="74">
        <f>B2422/30.48</f>
        <v/>
      </c>
      <c r="G2422" s="74">
        <f>D2422/30.48</f>
        <v/>
      </c>
      <c r="H2422" s="615" t="n"/>
      <c r="N2422" s="211" t="n"/>
      <c r="Q2422" s="271" t="n"/>
      <c r="R2422" s="282" t="n"/>
    </row>
    <row r="2423" ht="18" customHeight="1" s="305">
      <c r="A2423" s="8" t="n">
        <v>3594</v>
      </c>
      <c r="B2423" s="5" t="n">
        <v>125</v>
      </c>
      <c r="C2423" s="72" t="inlineStr">
        <is>
          <t>X</t>
        </is>
      </c>
      <c r="D2423" s="5" t="n">
        <v>244</v>
      </c>
      <c r="E2423" s="73">
        <f>B2423*D2423/10000</f>
        <v/>
      </c>
      <c r="F2423" s="74">
        <f>B2423/30.48</f>
        <v/>
      </c>
      <c r="G2423" s="74">
        <f>D2423/30.48</f>
        <v/>
      </c>
      <c r="H2423" s="615" t="n"/>
      <c r="N2423" s="211" t="n"/>
      <c r="Q2423" s="271" t="n"/>
      <c r="R2423" s="282" t="n"/>
    </row>
    <row r="2424" ht="18" customHeight="1" s="305">
      <c r="A2424" s="8" t="n">
        <v>3595</v>
      </c>
      <c r="B2424" s="5" t="n">
        <v>90</v>
      </c>
      <c r="C2424" s="72" t="inlineStr">
        <is>
          <t>X</t>
        </is>
      </c>
      <c r="D2424" s="5" t="n">
        <v>373</v>
      </c>
      <c r="E2424" s="73">
        <f>B2424*D2424/10000</f>
        <v/>
      </c>
      <c r="F2424" s="74">
        <f>B2424/30.48</f>
        <v/>
      </c>
      <c r="G2424" s="74">
        <f>D2424/30.48</f>
        <v/>
      </c>
      <c r="H2424" s="615" t="n"/>
      <c r="N2424" s="211" t="n"/>
      <c r="Q2424" s="271" t="n"/>
      <c r="R2424" s="282" t="n"/>
    </row>
    <row r="2425" ht="18" customHeight="1" s="305">
      <c r="A2425" s="8" t="n">
        <v>3596</v>
      </c>
      <c r="B2425" s="5" t="n">
        <v>105</v>
      </c>
      <c r="C2425" s="72" t="inlineStr">
        <is>
          <t>X</t>
        </is>
      </c>
      <c r="D2425" s="5" t="n">
        <v>240</v>
      </c>
      <c r="E2425" s="73">
        <f>B2425*D2425/10000</f>
        <v/>
      </c>
      <c r="F2425" s="74">
        <f>B2425/30.48</f>
        <v/>
      </c>
      <c r="G2425" s="74">
        <f>D2425/30.48</f>
        <v/>
      </c>
      <c r="H2425" s="615" t="n"/>
      <c r="N2425" s="211" t="n"/>
      <c r="Q2425" s="271" t="n"/>
      <c r="R2425" s="282" t="n"/>
    </row>
    <row r="2426" ht="18" customHeight="1" s="305">
      <c r="A2426" s="8" t="n">
        <v>3597</v>
      </c>
      <c r="B2426" s="5" t="n">
        <v>124</v>
      </c>
      <c r="C2426" s="72" t="inlineStr">
        <is>
          <t>X</t>
        </is>
      </c>
      <c r="D2426" s="5" t="n">
        <v>248</v>
      </c>
      <c r="E2426" s="73">
        <f>B2426*D2426/10000</f>
        <v/>
      </c>
      <c r="F2426" s="74">
        <f>B2426/30.48</f>
        <v/>
      </c>
      <c r="G2426" s="74">
        <f>D2426/30.48</f>
        <v/>
      </c>
      <c r="H2426" s="615" t="n"/>
      <c r="N2426" s="211" t="n"/>
      <c r="Q2426" s="271" t="n"/>
      <c r="R2426" s="282" t="n"/>
    </row>
    <row r="2427" ht="18" customHeight="1" s="305">
      <c r="A2427" s="8" t="n">
        <v>3600</v>
      </c>
      <c r="B2427" s="5" t="n">
        <v>90</v>
      </c>
      <c r="C2427" s="72" t="inlineStr">
        <is>
          <t>X</t>
        </is>
      </c>
      <c r="D2427" s="5" t="n">
        <v>322</v>
      </c>
      <c r="E2427" s="73">
        <f>B2427*D2427/10000</f>
        <v/>
      </c>
      <c r="F2427" s="74">
        <f>B2427/30.48</f>
        <v/>
      </c>
      <c r="G2427" s="74">
        <f>D2427/30.48</f>
        <v/>
      </c>
      <c r="H2427" s="615" t="n"/>
      <c r="N2427" s="211" t="n"/>
      <c r="Q2427" s="271" t="n"/>
      <c r="R2427" s="282" t="n"/>
    </row>
    <row r="2428" ht="18" customHeight="1" s="305">
      <c r="A2428" s="8" t="n">
        <v>3601</v>
      </c>
      <c r="B2428" s="5" t="n">
        <v>138</v>
      </c>
      <c r="C2428" s="72" t="inlineStr">
        <is>
          <t>X</t>
        </is>
      </c>
      <c r="D2428" s="5" t="n">
        <v>334</v>
      </c>
      <c r="E2428" s="73">
        <f>B2428*D2428/10000</f>
        <v/>
      </c>
      <c r="F2428" s="74">
        <f>B2428/30.48</f>
        <v/>
      </c>
      <c r="G2428" s="74">
        <f>D2428/30.48</f>
        <v/>
      </c>
      <c r="H2428" s="615" t="n"/>
      <c r="N2428" s="211" t="n"/>
      <c r="Q2428" s="271" t="n"/>
      <c r="R2428" s="282" t="n"/>
    </row>
    <row r="2429" ht="18" customHeight="1" s="305">
      <c r="A2429" s="8" t="n">
        <v>3602</v>
      </c>
      <c r="B2429" s="5" t="n">
        <v>106</v>
      </c>
      <c r="C2429" s="72" t="inlineStr">
        <is>
          <t>X</t>
        </is>
      </c>
      <c r="D2429" s="5" t="n">
        <v>175</v>
      </c>
      <c r="E2429" s="73">
        <f>B2429*D2429/10000</f>
        <v/>
      </c>
      <c r="F2429" s="74">
        <f>B2429/30.48</f>
        <v/>
      </c>
      <c r="G2429" s="74">
        <f>D2429/30.48</f>
        <v/>
      </c>
      <c r="H2429" s="615" t="n"/>
      <c r="N2429" s="211" t="n"/>
      <c r="Q2429" s="271" t="n"/>
      <c r="R2429" s="282" t="n"/>
    </row>
    <row r="2430" ht="18" customHeight="1" s="305">
      <c r="A2430" s="8" t="n">
        <v>3603</v>
      </c>
      <c r="B2430" s="5" t="n">
        <v>128</v>
      </c>
      <c r="C2430" s="72" t="inlineStr">
        <is>
          <t>X</t>
        </is>
      </c>
      <c r="D2430" s="5" t="n">
        <v>243</v>
      </c>
      <c r="E2430" s="73">
        <f>B2430*D2430/10000</f>
        <v/>
      </c>
      <c r="F2430" s="74">
        <f>B2430/30.48</f>
        <v/>
      </c>
      <c r="G2430" s="74">
        <f>D2430/30.48</f>
        <v/>
      </c>
      <c r="H2430" s="615" t="n"/>
      <c r="N2430" s="211" t="n"/>
      <c r="Q2430" s="271" t="n"/>
      <c r="R2430" s="282" t="n"/>
    </row>
    <row r="2431" ht="18" customHeight="1" s="305">
      <c r="A2431" s="8" t="n">
        <v>3604</v>
      </c>
      <c r="B2431" s="5" t="n">
        <v>136</v>
      </c>
      <c r="C2431" s="72" t="inlineStr">
        <is>
          <t>X</t>
        </is>
      </c>
      <c r="D2431" s="5" t="n">
        <v>216</v>
      </c>
      <c r="E2431" s="73">
        <f>B2431*D2431/10000</f>
        <v/>
      </c>
      <c r="F2431" s="74">
        <f>B2431/30.48</f>
        <v/>
      </c>
      <c r="G2431" s="74">
        <f>D2431/30.48</f>
        <v/>
      </c>
      <c r="H2431" s="615" t="n"/>
      <c r="N2431" s="211" t="n"/>
      <c r="Q2431" s="271" t="n"/>
      <c r="R2431" s="282" t="n"/>
    </row>
    <row r="2432" ht="18" customHeight="1" s="305">
      <c r="A2432" s="8" t="n">
        <v>3605</v>
      </c>
      <c r="B2432" s="5" t="n">
        <v>101</v>
      </c>
      <c r="C2432" s="72" t="inlineStr">
        <is>
          <t>X</t>
        </is>
      </c>
      <c r="D2432" s="5" t="n">
        <v>324</v>
      </c>
      <c r="E2432" s="73">
        <f>B2432*D2432/10000</f>
        <v/>
      </c>
      <c r="F2432" s="74">
        <f>B2432/30.48</f>
        <v/>
      </c>
      <c r="G2432" s="74">
        <f>D2432/30.48</f>
        <v/>
      </c>
      <c r="H2432" s="615" t="n"/>
      <c r="N2432" s="211" t="n"/>
      <c r="Q2432" s="271" t="n"/>
      <c r="R2432" s="282" t="n"/>
    </row>
    <row r="2433" ht="18" customHeight="1" s="305">
      <c r="A2433" s="8" t="n">
        <v>3606</v>
      </c>
      <c r="B2433" s="5" t="n">
        <v>90</v>
      </c>
      <c r="C2433" s="72" t="inlineStr">
        <is>
          <t>X</t>
        </is>
      </c>
      <c r="D2433" s="5" t="n">
        <v>375</v>
      </c>
      <c r="E2433" s="73">
        <f>B2433*D2433/10000</f>
        <v/>
      </c>
      <c r="F2433" s="74">
        <f>B2433/30.48</f>
        <v/>
      </c>
      <c r="G2433" s="74">
        <f>D2433/30.48</f>
        <v/>
      </c>
      <c r="H2433" s="615" t="n"/>
      <c r="N2433" s="211" t="n"/>
      <c r="Q2433" s="271" t="n"/>
      <c r="R2433" s="282" t="n"/>
    </row>
    <row r="2434" ht="18" customHeight="1" s="305">
      <c r="A2434" s="8" t="n">
        <v>3607</v>
      </c>
      <c r="B2434" s="5" t="n">
        <v>91</v>
      </c>
      <c r="C2434" s="72" t="inlineStr">
        <is>
          <t>X</t>
        </is>
      </c>
      <c r="D2434" s="5" t="n">
        <v>370</v>
      </c>
      <c r="E2434" s="73">
        <f>B2434*D2434/10000</f>
        <v/>
      </c>
      <c r="F2434" s="74">
        <f>B2434/30.48</f>
        <v/>
      </c>
      <c r="G2434" s="74">
        <f>D2434/30.48</f>
        <v/>
      </c>
      <c r="H2434" s="615" t="n"/>
      <c r="N2434" s="211" t="n"/>
      <c r="Q2434" s="271" t="n"/>
      <c r="R2434" s="282" t="n"/>
    </row>
    <row r="2435" ht="18" customHeight="1" s="305">
      <c r="A2435" s="8" t="n">
        <v>3609</v>
      </c>
      <c r="B2435" s="5" t="n">
        <v>91</v>
      </c>
      <c r="C2435" s="72" t="inlineStr">
        <is>
          <t>X</t>
        </is>
      </c>
      <c r="D2435" s="5" t="n">
        <v>341</v>
      </c>
      <c r="E2435" s="73">
        <f>B2435*D2435/10000</f>
        <v/>
      </c>
      <c r="F2435" s="74">
        <f>B2435/30.48</f>
        <v/>
      </c>
      <c r="G2435" s="74">
        <f>D2435/30.48</f>
        <v/>
      </c>
      <c r="H2435" s="615" t="n"/>
      <c r="N2435" s="211" t="n"/>
      <c r="Q2435" s="271" t="n"/>
      <c r="R2435" s="282" t="n"/>
    </row>
    <row r="2436" ht="18" customHeight="1" s="305">
      <c r="A2436" s="8" t="n">
        <v>3610</v>
      </c>
      <c r="B2436" s="5" t="n">
        <v>90</v>
      </c>
      <c r="C2436" s="72" t="inlineStr">
        <is>
          <t>X</t>
        </is>
      </c>
      <c r="D2436" s="5" t="n">
        <v>383</v>
      </c>
      <c r="E2436" s="73">
        <f>B2436*D2436/10000</f>
        <v/>
      </c>
      <c r="F2436" s="74">
        <f>B2436/30.48</f>
        <v/>
      </c>
      <c r="G2436" s="74">
        <f>D2436/30.48</f>
        <v/>
      </c>
      <c r="H2436" s="615" t="n"/>
      <c r="N2436" s="211" t="n"/>
      <c r="Q2436" s="271" t="n"/>
      <c r="R2436" s="282" t="n"/>
    </row>
    <row r="2437" ht="18" customHeight="1" s="305">
      <c r="A2437" s="8" t="n">
        <v>3611</v>
      </c>
      <c r="B2437" s="5" t="n">
        <v>80</v>
      </c>
      <c r="C2437" s="72" t="inlineStr">
        <is>
          <t>X</t>
        </is>
      </c>
      <c r="D2437" s="5" t="n">
        <v>335</v>
      </c>
      <c r="E2437" s="73">
        <f>B2437*D2437/10000</f>
        <v/>
      </c>
      <c r="F2437" s="74">
        <f>B2437/30.48</f>
        <v/>
      </c>
      <c r="G2437" s="74">
        <f>D2437/30.48</f>
        <v/>
      </c>
      <c r="H2437" s="615" t="n"/>
      <c r="N2437" s="211" t="n"/>
      <c r="Q2437" s="271" t="n"/>
      <c r="R2437" s="282" t="n"/>
    </row>
    <row r="2438" ht="18" customHeight="1" s="305">
      <c r="A2438" s="8" t="n">
        <v>3613</v>
      </c>
      <c r="B2438" s="5" t="n">
        <v>78</v>
      </c>
      <c r="C2438" s="72" t="inlineStr">
        <is>
          <t>X</t>
        </is>
      </c>
      <c r="D2438" s="5" t="n">
        <v>284</v>
      </c>
      <c r="E2438" s="73">
        <f>B2438*D2438/10000</f>
        <v/>
      </c>
      <c r="F2438" s="74">
        <f>B2438/30.48</f>
        <v/>
      </c>
      <c r="G2438" s="74">
        <f>D2438/30.48</f>
        <v/>
      </c>
      <c r="H2438" s="615" t="n"/>
      <c r="N2438" s="211" t="n"/>
      <c r="Q2438" s="271" t="n"/>
      <c r="R2438" s="282" t="n"/>
    </row>
    <row r="2439" ht="18" customHeight="1" s="305">
      <c r="A2439" s="8" t="n">
        <v>3616</v>
      </c>
      <c r="B2439" s="5" t="n">
        <v>118</v>
      </c>
      <c r="C2439" s="72" t="inlineStr">
        <is>
          <t>X</t>
        </is>
      </c>
      <c r="D2439" s="5" t="n">
        <v>359</v>
      </c>
      <c r="E2439" s="73">
        <f>B2439*D2439/10000</f>
        <v/>
      </c>
      <c r="F2439" s="74">
        <f>B2439/30.48</f>
        <v/>
      </c>
      <c r="G2439" s="74">
        <f>D2439/30.48</f>
        <v/>
      </c>
      <c r="H2439" s="615" t="n"/>
      <c r="N2439" s="211" t="n"/>
      <c r="Q2439" s="271" t="n"/>
      <c r="R2439" s="282" t="n"/>
    </row>
    <row r="2440" ht="18" customHeight="1" s="305">
      <c r="A2440" s="8" t="n">
        <v>3618</v>
      </c>
      <c r="B2440" s="5" t="n">
        <v>121</v>
      </c>
      <c r="C2440" s="72" t="inlineStr">
        <is>
          <t>X</t>
        </is>
      </c>
      <c r="D2440" s="5" t="n">
        <v>379</v>
      </c>
      <c r="E2440" s="73">
        <f>B2440*D2440/10000</f>
        <v/>
      </c>
      <c r="F2440" s="74">
        <f>B2440/30.48</f>
        <v/>
      </c>
      <c r="G2440" s="74">
        <f>D2440/30.48</f>
        <v/>
      </c>
      <c r="H2440" s="615" t="n"/>
      <c r="N2440" s="211" t="n"/>
      <c r="Q2440" s="271" t="n"/>
      <c r="R2440" s="282" t="n"/>
    </row>
    <row r="2441" ht="18" customHeight="1" s="305">
      <c r="A2441" s="8" t="n">
        <v>3619</v>
      </c>
      <c r="B2441" s="5" t="n">
        <v>80</v>
      </c>
      <c r="C2441" s="72" t="inlineStr">
        <is>
          <t>X</t>
        </is>
      </c>
      <c r="D2441" s="5" t="n">
        <v>323</v>
      </c>
      <c r="E2441" s="73">
        <f>B2441*D2441/10000</f>
        <v/>
      </c>
      <c r="F2441" s="74">
        <f>B2441/30.48</f>
        <v/>
      </c>
      <c r="G2441" s="74">
        <f>D2441/30.48</f>
        <v/>
      </c>
      <c r="H2441" s="615" t="n"/>
      <c r="N2441" s="211" t="n"/>
      <c r="Q2441" s="271" t="n"/>
      <c r="R2441" s="282" t="n"/>
    </row>
    <row r="2442" ht="18" customHeight="1" s="305">
      <c r="A2442" s="8" t="n">
        <v>3620</v>
      </c>
      <c r="B2442" s="5" t="n">
        <v>205</v>
      </c>
      <c r="C2442" s="72" t="inlineStr">
        <is>
          <t>X</t>
        </is>
      </c>
      <c r="D2442" s="5" t="n">
        <v>304</v>
      </c>
      <c r="E2442" s="73">
        <f>B2442*D2442/10000</f>
        <v/>
      </c>
      <c r="F2442" s="74">
        <f>B2442/30.48</f>
        <v/>
      </c>
      <c r="G2442" s="74">
        <f>D2442/30.48</f>
        <v/>
      </c>
      <c r="H2442" s="615" t="n"/>
      <c r="N2442" s="211" t="n"/>
      <c r="Q2442" s="271" t="n"/>
      <c r="R2442" s="282" t="n"/>
    </row>
    <row r="2443" ht="18" customHeight="1" s="305">
      <c r="A2443" s="8" t="n">
        <v>3621</v>
      </c>
      <c r="B2443" s="5" t="n">
        <v>88</v>
      </c>
      <c r="C2443" s="72" t="inlineStr">
        <is>
          <t>X</t>
        </is>
      </c>
      <c r="D2443" s="5" t="n">
        <v>258</v>
      </c>
      <c r="E2443" s="73">
        <f>B2443*D2443/10000</f>
        <v/>
      </c>
      <c r="F2443" s="74">
        <f>B2443/30.48</f>
        <v/>
      </c>
      <c r="G2443" s="74">
        <f>D2443/30.48</f>
        <v/>
      </c>
      <c r="H2443" s="615" t="n"/>
      <c r="N2443" s="211" t="n"/>
      <c r="Q2443" s="271" t="n"/>
      <c r="R2443" s="282" t="n"/>
    </row>
    <row r="2444" ht="18" customHeight="1" s="305">
      <c r="A2444" s="8" t="n">
        <v>3622</v>
      </c>
      <c r="B2444" s="5" t="n">
        <v>83</v>
      </c>
      <c r="C2444" s="72" t="inlineStr">
        <is>
          <t>X</t>
        </is>
      </c>
      <c r="D2444" s="5" t="n">
        <v>432</v>
      </c>
      <c r="E2444" s="73">
        <f>B2444*D2444/10000</f>
        <v/>
      </c>
      <c r="F2444" s="74">
        <f>B2444/30.48</f>
        <v/>
      </c>
      <c r="G2444" s="74">
        <f>D2444/30.48</f>
        <v/>
      </c>
      <c r="H2444" s="615" t="n"/>
      <c r="N2444" s="211" t="n"/>
      <c r="Q2444" s="271" t="n"/>
      <c r="R2444" s="282" t="n"/>
    </row>
    <row r="2445" ht="18" customHeight="1" s="305">
      <c r="A2445" s="8" t="n">
        <v>3623</v>
      </c>
      <c r="B2445" s="5" t="n">
        <v>131</v>
      </c>
      <c r="C2445" s="72" t="inlineStr">
        <is>
          <t>X</t>
        </is>
      </c>
      <c r="D2445" s="5" t="n">
        <v>217</v>
      </c>
      <c r="E2445" s="73">
        <f>B2445*D2445/10000</f>
        <v/>
      </c>
      <c r="F2445" s="74">
        <f>B2445/30.48</f>
        <v/>
      </c>
      <c r="G2445" s="74">
        <f>D2445/30.48</f>
        <v/>
      </c>
      <c r="H2445" s="615" t="n"/>
      <c r="N2445" s="211" t="n"/>
      <c r="Q2445" s="271" t="n"/>
      <c r="R2445" s="282" t="n"/>
    </row>
    <row r="2446" ht="18" customHeight="1" s="305">
      <c r="A2446" s="8" t="n">
        <v>3629</v>
      </c>
      <c r="B2446" s="5" t="n">
        <v>91</v>
      </c>
      <c r="C2446" s="72" t="inlineStr">
        <is>
          <t>X</t>
        </is>
      </c>
      <c r="D2446" s="5" t="n">
        <v>385</v>
      </c>
      <c r="E2446" s="73">
        <f>B2446*D2446/10000</f>
        <v/>
      </c>
      <c r="F2446" s="74">
        <f>B2446/30.48</f>
        <v/>
      </c>
      <c r="G2446" s="74">
        <f>D2446/30.48</f>
        <v/>
      </c>
      <c r="H2446" s="615" t="n"/>
      <c r="N2446" s="211" t="n"/>
      <c r="Q2446" s="271" t="n"/>
      <c r="R2446" s="282" t="n"/>
    </row>
    <row r="2447" ht="18" customHeight="1" s="305">
      <c r="A2447" s="8" t="n">
        <v>3630</v>
      </c>
      <c r="B2447" s="5" t="n">
        <v>91</v>
      </c>
      <c r="C2447" s="72" t="inlineStr">
        <is>
          <t>X</t>
        </is>
      </c>
      <c r="D2447" s="5" t="n">
        <v>324</v>
      </c>
      <c r="E2447" s="73">
        <f>B2447*D2447/10000</f>
        <v/>
      </c>
      <c r="F2447" s="74">
        <f>B2447/30.48</f>
        <v/>
      </c>
      <c r="G2447" s="74">
        <f>D2447/30.48</f>
        <v/>
      </c>
      <c r="H2447" s="615" t="n"/>
      <c r="N2447" s="211" t="n"/>
      <c r="Q2447" s="271" t="n"/>
      <c r="R2447" s="282" t="n"/>
    </row>
    <row r="2448" ht="18" customHeight="1" s="305">
      <c r="A2448" s="8" t="n">
        <v>3631</v>
      </c>
      <c r="B2448" s="5" t="n">
        <v>80</v>
      </c>
      <c r="C2448" s="72" t="inlineStr">
        <is>
          <t>X</t>
        </is>
      </c>
      <c r="D2448" s="5" t="n">
        <v>271</v>
      </c>
      <c r="E2448" s="73">
        <f>B2448*D2448/10000</f>
        <v/>
      </c>
      <c r="F2448" s="74">
        <f>B2448/30.48</f>
        <v/>
      </c>
      <c r="G2448" s="74">
        <f>D2448/30.48</f>
        <v/>
      </c>
      <c r="H2448" s="615" t="n"/>
      <c r="N2448" s="211" t="n"/>
      <c r="Q2448" s="271" t="n"/>
      <c r="R2448" s="282" t="n"/>
    </row>
    <row r="2449" ht="18" customHeight="1" s="305">
      <c r="A2449" s="8" t="n">
        <v>3632</v>
      </c>
      <c r="B2449" s="5" t="n">
        <v>92</v>
      </c>
      <c r="C2449" s="72" t="inlineStr">
        <is>
          <t>X</t>
        </is>
      </c>
      <c r="D2449" s="5" t="n">
        <v>469</v>
      </c>
      <c r="E2449" s="73">
        <f>B2449*D2449/10000</f>
        <v/>
      </c>
      <c r="F2449" s="74">
        <f>B2449/30.48</f>
        <v/>
      </c>
      <c r="G2449" s="74">
        <f>D2449/30.48</f>
        <v/>
      </c>
      <c r="H2449" s="615" t="n"/>
      <c r="N2449" s="211" t="n"/>
      <c r="Q2449" s="271" t="n"/>
      <c r="R2449" s="282" t="n"/>
    </row>
    <row r="2450" ht="18" customHeight="1" s="305">
      <c r="A2450" s="8" t="n">
        <v>3633</v>
      </c>
      <c r="B2450" s="5" t="n">
        <v>91</v>
      </c>
      <c r="C2450" s="72" t="inlineStr">
        <is>
          <t>X</t>
        </is>
      </c>
      <c r="D2450" s="5" t="n">
        <v>380</v>
      </c>
      <c r="E2450" s="73">
        <f>B2450*D2450/10000</f>
        <v/>
      </c>
      <c r="F2450" s="74">
        <f>B2450/30.48</f>
        <v/>
      </c>
      <c r="G2450" s="74">
        <f>D2450/30.48</f>
        <v/>
      </c>
      <c r="H2450" s="615" t="n"/>
      <c r="N2450" s="211" t="n"/>
      <c r="Q2450" s="271" t="n"/>
      <c r="R2450" s="282" t="n"/>
    </row>
    <row r="2451">
      <c r="A2451" s="363" t="n">
        <v>3636</v>
      </c>
      <c r="B2451" s="9" t="n">
        <v>95</v>
      </c>
      <c r="C2451" s="9" t="inlineStr">
        <is>
          <t>X</t>
        </is>
      </c>
      <c r="D2451" s="9" t="n">
        <v>273</v>
      </c>
      <c r="E2451" s="9" t="n">
        <v>2.59</v>
      </c>
      <c r="F2451" s="9" t="n">
        <v>3.1</v>
      </c>
      <c r="G2451" s="386" t="n">
        <v>9</v>
      </c>
      <c r="H2451" s="9" t="n"/>
      <c r="I2451" s="9" t="n"/>
      <c r="J2451" s="9" t="n"/>
      <c r="K2451" s="9" t="n"/>
      <c r="L2451" s="9" t="n"/>
      <c r="M2451" s="9" t="n"/>
      <c r="N2451" s="9" t="n"/>
      <c r="O2451" s="9" t="n"/>
      <c r="P2451" s="9" t="n"/>
      <c r="Q2451" s="9" t="n"/>
      <c r="R2451" s="1" t="n"/>
    </row>
    <row r="2452" ht="18" customHeight="1" s="305">
      <c r="A2452" s="8" t="n">
        <v>3637</v>
      </c>
      <c r="B2452" s="382" t="n">
        <v>95</v>
      </c>
      <c r="C2452" s="383" t="inlineStr">
        <is>
          <t>X</t>
        </is>
      </c>
      <c r="D2452" s="382" t="n">
        <v>281</v>
      </c>
      <c r="E2452" s="384">
        <f>B2452*D2452/10000</f>
        <v/>
      </c>
      <c r="F2452" s="385">
        <f>B2452/30.48</f>
        <v/>
      </c>
      <c r="G2452" s="385">
        <f>D2452/30.48</f>
        <v/>
      </c>
      <c r="H2452" s="502" t="n"/>
      <c r="I2452" s="387" t="n"/>
      <c r="J2452" s="388" t="n"/>
      <c r="K2452" s="389" t="n"/>
      <c r="L2452" s="390" t="n"/>
      <c r="M2452" s="391" t="n"/>
      <c r="N2452" s="392" t="n"/>
      <c r="O2452" s="393" t="n"/>
      <c r="P2452" s="394" t="n"/>
      <c r="Q2452" s="395" t="n"/>
      <c r="R2452" s="282" t="n"/>
    </row>
    <row r="2453" ht="18" customHeight="1" s="305">
      <c r="A2453" s="8" t="n">
        <v>3639</v>
      </c>
      <c r="B2453" s="5" t="n">
        <v>149</v>
      </c>
      <c r="C2453" s="72" t="inlineStr">
        <is>
          <t>X</t>
        </is>
      </c>
      <c r="D2453" s="5" t="n">
        <v>255</v>
      </c>
      <c r="E2453" s="73">
        <f>B2453*D2453/10000</f>
        <v/>
      </c>
      <c r="F2453" s="74">
        <f>B2453/30.48</f>
        <v/>
      </c>
      <c r="G2453" s="74">
        <f>D2453/30.48</f>
        <v/>
      </c>
      <c r="H2453" s="615" t="n"/>
      <c r="N2453" s="211" t="n"/>
      <c r="Q2453" s="271" t="n"/>
      <c r="R2453" s="282" t="n"/>
    </row>
    <row r="2454" ht="18" customHeight="1" s="305">
      <c r="A2454" s="8" t="n">
        <v>3642</v>
      </c>
      <c r="B2454" s="5" t="n">
        <v>138</v>
      </c>
      <c r="C2454" s="72" t="inlineStr">
        <is>
          <t>X</t>
        </is>
      </c>
      <c r="D2454" s="5" t="n">
        <v>221</v>
      </c>
      <c r="E2454" s="73">
        <f>B2454*D2454/10000</f>
        <v/>
      </c>
      <c r="F2454" s="74">
        <f>B2454/30.48</f>
        <v/>
      </c>
      <c r="G2454" s="74">
        <f>D2454/30.48</f>
        <v/>
      </c>
      <c r="H2454" s="615" t="n"/>
      <c r="N2454" s="211" t="n"/>
      <c r="Q2454" s="271" t="n"/>
      <c r="R2454" s="282" t="n"/>
    </row>
    <row r="2455" ht="18" customHeight="1" s="305">
      <c r="A2455" s="8" t="n">
        <v>3644</v>
      </c>
      <c r="B2455" s="5" t="n">
        <v>90</v>
      </c>
      <c r="C2455" s="72" t="inlineStr">
        <is>
          <t>X</t>
        </is>
      </c>
      <c r="D2455" s="5" t="n">
        <v>330</v>
      </c>
      <c r="E2455" s="73">
        <f>B2455*D2455/10000</f>
        <v/>
      </c>
      <c r="F2455" s="74">
        <f>B2455/30.48</f>
        <v/>
      </c>
      <c r="G2455" s="74">
        <f>D2455/30.48</f>
        <v/>
      </c>
      <c r="H2455" s="615" t="n"/>
      <c r="N2455" s="211" t="n"/>
      <c r="Q2455" s="271" t="n"/>
      <c r="R2455" s="282" t="n"/>
    </row>
    <row r="2456" ht="18" customHeight="1" s="305">
      <c r="A2456" s="8" t="n">
        <v>3645</v>
      </c>
      <c r="B2456" s="5" t="n">
        <v>86</v>
      </c>
      <c r="C2456" s="72" t="inlineStr">
        <is>
          <t>X</t>
        </is>
      </c>
      <c r="D2456" s="5" t="n">
        <v>395</v>
      </c>
      <c r="E2456" s="73">
        <f>B2456*D2456/10000</f>
        <v/>
      </c>
      <c r="F2456" s="74">
        <f>B2456/30.48</f>
        <v/>
      </c>
      <c r="G2456" s="74">
        <f>D2456/30.48</f>
        <v/>
      </c>
      <c r="H2456" s="615" t="n"/>
      <c r="N2456" s="211" t="n"/>
      <c r="Q2456" s="271" t="n"/>
      <c r="R2456" s="282" t="n"/>
    </row>
    <row r="2457" ht="18" customHeight="1" s="305">
      <c r="A2457" s="8" t="n">
        <v>3646</v>
      </c>
      <c r="B2457" s="5" t="n">
        <v>101</v>
      </c>
      <c r="C2457" s="72" t="inlineStr">
        <is>
          <t>X</t>
        </is>
      </c>
      <c r="D2457" s="5" t="n">
        <v>315</v>
      </c>
      <c r="E2457" s="73">
        <f>B2457*D2457/10000</f>
        <v/>
      </c>
      <c r="F2457" s="74">
        <f>B2457/30.48</f>
        <v/>
      </c>
      <c r="G2457" s="74">
        <f>D2457/30.48</f>
        <v/>
      </c>
      <c r="H2457" s="615" t="n"/>
      <c r="N2457" s="211" t="n"/>
      <c r="Q2457" s="271" t="n"/>
      <c r="R2457" s="282" t="n"/>
    </row>
    <row r="2458" ht="18" customHeight="1" s="305">
      <c r="A2458" s="8" t="n">
        <v>3647</v>
      </c>
      <c r="B2458" s="5" t="n">
        <v>140</v>
      </c>
      <c r="C2458" s="72" t="inlineStr">
        <is>
          <t>X</t>
        </is>
      </c>
      <c r="D2458" s="5" t="n">
        <v>253</v>
      </c>
      <c r="E2458" s="73">
        <f>B2458*D2458/10000</f>
        <v/>
      </c>
      <c r="F2458" s="74">
        <f>B2458/30.48</f>
        <v/>
      </c>
      <c r="G2458" s="74">
        <f>D2458/30.48</f>
        <v/>
      </c>
      <c r="H2458" s="615" t="n"/>
      <c r="N2458" s="211" t="n"/>
      <c r="Q2458" s="271" t="n"/>
      <c r="R2458" s="282" t="n"/>
    </row>
    <row r="2459" ht="18" customHeight="1" s="305">
      <c r="A2459" s="8" t="n">
        <v>3648</v>
      </c>
      <c r="B2459" s="5" t="n">
        <v>151</v>
      </c>
      <c r="C2459" s="72" t="inlineStr">
        <is>
          <t>X</t>
        </is>
      </c>
      <c r="D2459" s="5" t="n">
        <v>394</v>
      </c>
      <c r="E2459" s="73">
        <f>B2459*D2459/10000</f>
        <v/>
      </c>
      <c r="F2459" s="74">
        <f>B2459/30.48</f>
        <v/>
      </c>
      <c r="G2459" s="74">
        <f>D2459/30.48</f>
        <v/>
      </c>
      <c r="H2459" s="615" t="n"/>
      <c r="N2459" s="211" t="n"/>
      <c r="Q2459" s="271" t="n"/>
      <c r="R2459" s="282" t="n"/>
    </row>
    <row r="2460" ht="18" customHeight="1" s="305">
      <c r="A2460" s="8" t="n">
        <v>3649</v>
      </c>
      <c r="B2460" s="5" t="n">
        <v>78</v>
      </c>
      <c r="C2460" s="72" t="inlineStr">
        <is>
          <t>X</t>
        </is>
      </c>
      <c r="D2460" s="5" t="n">
        <v>329</v>
      </c>
      <c r="E2460" s="73">
        <f>B2460*D2460/10000</f>
        <v/>
      </c>
      <c r="F2460" s="74">
        <f>B2460/30.48</f>
        <v/>
      </c>
      <c r="G2460" s="74">
        <f>D2460/30.48</f>
        <v/>
      </c>
      <c r="H2460" s="615" t="n"/>
      <c r="N2460" s="211" t="n"/>
      <c r="Q2460" s="271" t="n"/>
      <c r="R2460" s="282" t="n"/>
    </row>
    <row r="2461" ht="18" customHeight="1" s="305">
      <c r="A2461" s="8" t="n">
        <v>3651</v>
      </c>
      <c r="B2461" s="5" t="n">
        <v>115</v>
      </c>
      <c r="C2461" s="72" t="inlineStr">
        <is>
          <t>X</t>
        </is>
      </c>
      <c r="D2461" s="5" t="n">
        <v>219</v>
      </c>
      <c r="E2461" s="73">
        <f>B2461*D2461/10000</f>
        <v/>
      </c>
      <c r="F2461" s="74">
        <f>B2461/30.48</f>
        <v/>
      </c>
      <c r="G2461" s="74">
        <f>D2461/30.48</f>
        <v/>
      </c>
      <c r="H2461" s="615" t="n"/>
      <c r="N2461" s="211" t="n"/>
      <c r="Q2461" s="271" t="n"/>
      <c r="R2461" s="282" t="n"/>
    </row>
    <row r="2462" ht="18" customHeight="1" s="305">
      <c r="A2462" s="8" t="n">
        <v>3653</v>
      </c>
      <c r="B2462" s="5" t="n">
        <v>90</v>
      </c>
      <c r="C2462" s="72" t="inlineStr">
        <is>
          <t>X</t>
        </is>
      </c>
      <c r="D2462" s="5" t="n">
        <v>273</v>
      </c>
      <c r="E2462" s="73">
        <f>B2462*D2462/10000</f>
        <v/>
      </c>
      <c r="F2462" s="74">
        <f>B2462/30.48</f>
        <v/>
      </c>
      <c r="G2462" s="74">
        <f>D2462/30.48</f>
        <v/>
      </c>
      <c r="H2462" s="615" t="n"/>
      <c r="N2462" s="211" t="n"/>
      <c r="Q2462" s="271" t="n"/>
      <c r="R2462" s="282" t="n"/>
    </row>
    <row r="2463" ht="18" customHeight="1" s="305">
      <c r="A2463" s="8" t="n">
        <v>3654</v>
      </c>
      <c r="B2463" s="5" t="n">
        <v>72</v>
      </c>
      <c r="C2463" s="72" t="inlineStr">
        <is>
          <t>X</t>
        </is>
      </c>
      <c r="D2463" s="5" t="n">
        <v>281</v>
      </c>
      <c r="E2463" s="73">
        <f>B2463*D2463/10000</f>
        <v/>
      </c>
      <c r="F2463" s="74">
        <f>B2463/30.48</f>
        <v/>
      </c>
      <c r="G2463" s="74">
        <f>D2463/30.48</f>
        <v/>
      </c>
      <c r="H2463" s="615" t="n"/>
      <c r="N2463" s="211" t="n"/>
      <c r="Q2463" s="271" t="n"/>
      <c r="R2463" s="282" t="n"/>
    </row>
    <row r="2464" ht="18" customHeight="1" s="305">
      <c r="A2464" s="8" t="n">
        <v>3655</v>
      </c>
      <c r="B2464" s="5" t="n">
        <v>208</v>
      </c>
      <c r="C2464" s="72" t="inlineStr">
        <is>
          <t>X</t>
        </is>
      </c>
      <c r="D2464" s="5" t="n">
        <v>314</v>
      </c>
      <c r="E2464" s="73">
        <f>B2464*D2464/10000</f>
        <v/>
      </c>
      <c r="F2464" s="74">
        <f>B2464/30.48</f>
        <v/>
      </c>
      <c r="G2464" s="74">
        <f>D2464/30.48</f>
        <v/>
      </c>
      <c r="H2464" s="615" t="n"/>
      <c r="N2464" s="211" t="n"/>
      <c r="Q2464" s="271" t="n"/>
      <c r="R2464" s="282" t="n"/>
    </row>
    <row r="2465" ht="18" customHeight="1" s="305">
      <c r="A2465" s="8" t="n">
        <v>3657</v>
      </c>
      <c r="B2465" s="5" t="n">
        <v>204</v>
      </c>
      <c r="C2465" s="72" t="inlineStr">
        <is>
          <t>X</t>
        </is>
      </c>
      <c r="D2465" s="5" t="n">
        <v>334</v>
      </c>
      <c r="E2465" s="73">
        <f>B2465*D2465/10000</f>
        <v/>
      </c>
      <c r="F2465" s="74">
        <f>B2465/30.48</f>
        <v/>
      </c>
      <c r="G2465" s="74">
        <f>D2465/30.48</f>
        <v/>
      </c>
      <c r="H2465" s="615" t="n"/>
      <c r="N2465" s="211" t="n"/>
      <c r="Q2465" s="271" t="n"/>
      <c r="R2465" s="282" t="n"/>
    </row>
    <row r="2466" ht="18" customHeight="1" s="305">
      <c r="A2466" s="8" t="n">
        <v>3659</v>
      </c>
      <c r="B2466" s="5" t="n">
        <v>105</v>
      </c>
      <c r="C2466" s="72" t="inlineStr">
        <is>
          <t>X</t>
        </is>
      </c>
      <c r="D2466" s="5" t="n">
        <v>202</v>
      </c>
      <c r="E2466" s="73">
        <f>B2466*D2466/10000</f>
        <v/>
      </c>
      <c r="F2466" s="74">
        <f>B2466/30.48</f>
        <v/>
      </c>
      <c r="G2466" s="74">
        <f>D2466/30.48</f>
        <v/>
      </c>
      <c r="H2466" s="615" t="n"/>
      <c r="N2466" s="211" t="n"/>
      <c r="Q2466" s="271" t="n"/>
      <c r="R2466" s="282" t="n"/>
    </row>
    <row r="2467" ht="18" customHeight="1" s="305">
      <c r="A2467" s="8" t="n">
        <v>3660</v>
      </c>
      <c r="B2467" s="5" t="n">
        <v>153</v>
      </c>
      <c r="C2467" s="72" t="inlineStr">
        <is>
          <t>X</t>
        </is>
      </c>
      <c r="D2467" s="5" t="n">
        <v>254</v>
      </c>
      <c r="E2467" s="73">
        <f>B2467*D2467/10000</f>
        <v/>
      </c>
      <c r="F2467" s="74">
        <f>B2467/30.48</f>
        <v/>
      </c>
      <c r="G2467" s="74">
        <f>D2467/30.48</f>
        <v/>
      </c>
      <c r="H2467" s="615" t="n"/>
      <c r="N2467" s="211" t="n"/>
      <c r="Q2467" s="271" t="n"/>
      <c r="R2467" s="282" t="n"/>
    </row>
    <row r="2468" ht="18" customHeight="1" s="305">
      <c r="A2468" s="8" t="n">
        <v>3661</v>
      </c>
      <c r="B2468" s="5" t="n">
        <v>90</v>
      </c>
      <c r="C2468" s="72" t="inlineStr">
        <is>
          <t>X</t>
        </is>
      </c>
      <c r="D2468" s="5" t="n">
        <v>377</v>
      </c>
      <c r="E2468" s="73">
        <f>B2468*D2468/10000</f>
        <v/>
      </c>
      <c r="F2468" s="74">
        <f>B2468/30.48</f>
        <v/>
      </c>
      <c r="G2468" s="74">
        <f>D2468/30.48</f>
        <v/>
      </c>
      <c r="H2468" s="615" t="n"/>
      <c r="N2468" s="211" t="n"/>
      <c r="Q2468" s="271" t="n"/>
      <c r="R2468" s="282" t="n"/>
    </row>
    <row r="2469" ht="18" customHeight="1" s="305">
      <c r="A2469" s="8" t="n">
        <v>3665</v>
      </c>
      <c r="B2469" s="5" t="n">
        <v>55</v>
      </c>
      <c r="C2469" s="72" t="inlineStr">
        <is>
          <t>X</t>
        </is>
      </c>
      <c r="D2469" s="5" t="n">
        <v>329</v>
      </c>
      <c r="E2469" s="73">
        <f>B2469*D2469/10000</f>
        <v/>
      </c>
      <c r="F2469" s="74">
        <f>B2469/30.48</f>
        <v/>
      </c>
      <c r="G2469" s="74">
        <f>D2469/30.48</f>
        <v/>
      </c>
      <c r="H2469" s="615" t="n"/>
      <c r="N2469" s="211" t="n"/>
      <c r="Q2469" s="271" t="n"/>
      <c r="R2469" s="282" t="n"/>
    </row>
    <row r="2470" ht="18" customHeight="1" s="305">
      <c r="A2470" s="8" t="n">
        <v>3666</v>
      </c>
      <c r="B2470" s="5" t="n">
        <v>90</v>
      </c>
      <c r="C2470" s="72" t="inlineStr">
        <is>
          <t>X</t>
        </is>
      </c>
      <c r="D2470" s="5" t="n">
        <v>297</v>
      </c>
      <c r="E2470" s="73">
        <f>B2470*D2470/10000</f>
        <v/>
      </c>
      <c r="F2470" s="74">
        <f>B2470/30.48</f>
        <v/>
      </c>
      <c r="G2470" s="74">
        <f>D2470/30.48</f>
        <v/>
      </c>
      <c r="H2470" s="615" t="n"/>
      <c r="N2470" s="211" t="n"/>
      <c r="Q2470" s="271" t="n"/>
      <c r="R2470" s="282" t="n"/>
    </row>
    <row r="2471" ht="18" customHeight="1" s="305">
      <c r="A2471" s="8" t="n">
        <v>3673</v>
      </c>
      <c r="B2471" s="5" t="n">
        <v>114</v>
      </c>
      <c r="C2471" s="72" t="inlineStr">
        <is>
          <t>X</t>
        </is>
      </c>
      <c r="D2471" s="5" t="n">
        <v>347</v>
      </c>
      <c r="E2471" s="73">
        <f>B2471*D2471/10000</f>
        <v/>
      </c>
      <c r="F2471" s="74">
        <f>B2471/30.48</f>
        <v/>
      </c>
      <c r="G2471" s="74">
        <f>D2471/30.48</f>
        <v/>
      </c>
      <c r="H2471" s="615" t="n"/>
      <c r="N2471" s="211" t="n"/>
      <c r="Q2471" s="271" t="n"/>
      <c r="R2471" s="282" t="n"/>
    </row>
    <row r="2472" ht="18" customHeight="1" s="305">
      <c r="A2472" s="8" t="n">
        <v>3674</v>
      </c>
      <c r="B2472" s="5" t="n">
        <v>90</v>
      </c>
      <c r="C2472" s="72" t="inlineStr">
        <is>
          <t>X</t>
        </is>
      </c>
      <c r="D2472" s="5" t="n">
        <v>396</v>
      </c>
      <c r="E2472" s="73">
        <f>B2472*D2472/10000</f>
        <v/>
      </c>
      <c r="F2472" s="74">
        <f>B2472/30.48</f>
        <v/>
      </c>
      <c r="G2472" s="74">
        <f>D2472/30.48</f>
        <v/>
      </c>
      <c r="H2472" s="615" t="n"/>
      <c r="N2472" s="211" t="n"/>
      <c r="Q2472" s="271" t="n"/>
      <c r="R2472" s="282" t="n"/>
    </row>
    <row r="2473" ht="18" customHeight="1" s="305">
      <c r="A2473" s="8" t="n">
        <v>3677</v>
      </c>
      <c r="B2473" s="5" t="n">
        <v>87</v>
      </c>
      <c r="C2473" s="72" t="inlineStr">
        <is>
          <t>X</t>
        </is>
      </c>
      <c r="D2473" s="5" t="n">
        <v>148</v>
      </c>
      <c r="E2473" s="73">
        <f>B2473*D2473/10000</f>
        <v/>
      </c>
      <c r="F2473" s="74">
        <f>B2473/30.48</f>
        <v/>
      </c>
      <c r="G2473" s="74">
        <f>D2473/30.48</f>
        <v/>
      </c>
      <c r="H2473" s="615" t="n"/>
      <c r="N2473" s="211" t="n"/>
      <c r="Q2473" s="271" t="n"/>
      <c r="R2473" s="282" t="n"/>
    </row>
    <row r="2474" ht="18" customHeight="1" s="305">
      <c r="A2474" s="8" t="n">
        <v>3680</v>
      </c>
      <c r="B2474" s="5" t="n">
        <v>193</v>
      </c>
      <c r="C2474" s="72" t="inlineStr">
        <is>
          <t>X</t>
        </is>
      </c>
      <c r="D2474" s="5" t="n">
        <v>263</v>
      </c>
      <c r="E2474" s="73">
        <f>B2474*D2474/10000</f>
        <v/>
      </c>
      <c r="F2474" s="74">
        <f>B2474/30.48</f>
        <v/>
      </c>
      <c r="G2474" s="74">
        <f>D2474/30.48</f>
        <v/>
      </c>
      <c r="H2474" s="615" t="n"/>
      <c r="N2474" s="211" t="n"/>
      <c r="Q2474" s="271" t="n"/>
      <c r="R2474" s="282" t="n"/>
    </row>
    <row r="2475" ht="18" customHeight="1" s="305">
      <c r="A2475" s="8" t="n">
        <v>3682</v>
      </c>
      <c r="B2475" s="5" t="n">
        <v>136</v>
      </c>
      <c r="C2475" s="72" t="inlineStr">
        <is>
          <t>X</t>
        </is>
      </c>
      <c r="D2475" s="5" t="n">
        <v>278</v>
      </c>
      <c r="E2475" s="73">
        <f>B2475*D2475/10000</f>
        <v/>
      </c>
      <c r="F2475" s="74">
        <f>B2475/30.48</f>
        <v/>
      </c>
      <c r="G2475" s="74">
        <f>D2475/30.48</f>
        <v/>
      </c>
      <c r="H2475" s="615" t="n"/>
      <c r="N2475" s="211" t="n"/>
      <c r="Q2475" s="271" t="n"/>
      <c r="R2475" s="282" t="n"/>
    </row>
    <row r="2476" ht="18" customHeight="1" s="305">
      <c r="A2476" s="8" t="n">
        <v>3683</v>
      </c>
      <c r="B2476" s="5" t="n">
        <v>200</v>
      </c>
      <c r="C2476" s="72" t="inlineStr">
        <is>
          <t>X</t>
        </is>
      </c>
      <c r="D2476" s="5" t="n">
        <v>307</v>
      </c>
      <c r="E2476" s="73">
        <f>B2476*D2476/10000</f>
        <v/>
      </c>
      <c r="F2476" s="74">
        <f>B2476/30.48</f>
        <v/>
      </c>
      <c r="G2476" s="74">
        <f>D2476/30.48</f>
        <v/>
      </c>
      <c r="H2476" s="615" t="n"/>
      <c r="N2476" s="211" t="n"/>
      <c r="Q2476" s="271" t="n"/>
      <c r="R2476" s="282" t="n"/>
    </row>
    <row r="2477" ht="18" customHeight="1" s="305">
      <c r="A2477" s="8" t="n">
        <v>3685</v>
      </c>
      <c r="B2477" s="5" t="n">
        <v>118</v>
      </c>
      <c r="C2477" s="72" t="inlineStr">
        <is>
          <t>X</t>
        </is>
      </c>
      <c r="D2477" s="5" t="n">
        <v>220</v>
      </c>
      <c r="E2477" s="73">
        <f>B2477*D2477/10000</f>
        <v/>
      </c>
      <c r="F2477" s="74">
        <f>B2477/30.48</f>
        <v/>
      </c>
      <c r="G2477" s="74">
        <f>D2477/30.48</f>
        <v/>
      </c>
      <c r="H2477" s="615" t="n"/>
      <c r="N2477" s="211" t="n"/>
      <c r="Q2477" s="271" t="n"/>
      <c r="R2477" s="282" t="n"/>
    </row>
    <row r="2478" ht="18" customHeight="1" s="305">
      <c r="A2478" s="8" t="n">
        <v>3687</v>
      </c>
      <c r="B2478" s="5" t="n">
        <v>127</v>
      </c>
      <c r="C2478" s="72" t="inlineStr">
        <is>
          <t>X</t>
        </is>
      </c>
      <c r="D2478" s="5" t="n">
        <v>226</v>
      </c>
      <c r="E2478" s="73">
        <f>B2478*D2478/10000</f>
        <v/>
      </c>
      <c r="F2478" s="74">
        <f>B2478/30.48</f>
        <v/>
      </c>
      <c r="G2478" s="74">
        <f>D2478/30.48</f>
        <v/>
      </c>
      <c r="H2478" s="615" t="n"/>
      <c r="N2478" s="211" t="n"/>
      <c r="Q2478" s="271" t="n"/>
      <c r="R2478" s="282" t="n"/>
    </row>
    <row r="2479" ht="18" customHeight="1" s="305">
      <c r="A2479" s="8" t="n">
        <v>3692</v>
      </c>
      <c r="B2479" s="5" t="n">
        <v>133</v>
      </c>
      <c r="C2479" s="72" t="inlineStr">
        <is>
          <t>X</t>
        </is>
      </c>
      <c r="D2479" s="5" t="n">
        <v>219</v>
      </c>
      <c r="E2479" s="73">
        <f>B2479*D2479/10000</f>
        <v/>
      </c>
      <c r="F2479" s="74">
        <f>B2479/30.48</f>
        <v/>
      </c>
      <c r="G2479" s="74">
        <f>D2479/30.48</f>
        <v/>
      </c>
      <c r="H2479" s="615" t="n"/>
      <c r="N2479" s="211" t="n"/>
      <c r="Q2479" s="271" t="n"/>
      <c r="R2479" s="282" t="n"/>
    </row>
    <row r="2480" ht="18" customHeight="1" s="305">
      <c r="A2480" s="8" t="n">
        <v>3693</v>
      </c>
      <c r="B2480" s="5" t="n">
        <v>56</v>
      </c>
      <c r="C2480" s="72" t="inlineStr">
        <is>
          <t>X</t>
        </is>
      </c>
      <c r="D2480" s="5" t="n">
        <v>357</v>
      </c>
      <c r="E2480" s="73">
        <f>B2480*D2480/10000</f>
        <v/>
      </c>
      <c r="F2480" s="74">
        <f>B2480/30.48</f>
        <v/>
      </c>
      <c r="G2480" s="74">
        <f>D2480/30.48</f>
        <v/>
      </c>
      <c r="H2480" s="615" t="n"/>
      <c r="N2480" s="211" t="n"/>
      <c r="Q2480" s="271" t="n"/>
      <c r="R2480" s="282" t="n"/>
    </row>
    <row r="2481" ht="18" customHeight="1" s="305">
      <c r="A2481" s="8" t="n">
        <v>3694</v>
      </c>
      <c r="B2481" s="5" t="n">
        <v>97</v>
      </c>
      <c r="C2481" s="72" t="inlineStr">
        <is>
          <t>X</t>
        </is>
      </c>
      <c r="D2481" s="5" t="n">
        <v>347</v>
      </c>
      <c r="E2481" s="73">
        <f>B2481*D2481/10000</f>
        <v/>
      </c>
      <c r="F2481" s="74">
        <f>B2481/30.48</f>
        <v/>
      </c>
      <c r="G2481" s="74">
        <f>D2481/30.48</f>
        <v/>
      </c>
      <c r="H2481" s="615" t="n"/>
      <c r="N2481" s="211" t="n"/>
      <c r="Q2481" s="271" t="n"/>
      <c r="R2481" s="282" t="n"/>
    </row>
    <row r="2482" ht="18" customHeight="1" s="305">
      <c r="A2482" s="8" t="n">
        <v>3695</v>
      </c>
      <c r="B2482" s="5" t="n">
        <v>193</v>
      </c>
      <c r="C2482" s="72" t="inlineStr">
        <is>
          <t>X</t>
        </is>
      </c>
      <c r="D2482" s="5" t="n">
        <v>323</v>
      </c>
      <c r="E2482" s="73">
        <f>B2482*D2482/10000</f>
        <v/>
      </c>
      <c r="F2482" s="74">
        <f>B2482/30.48</f>
        <v/>
      </c>
      <c r="G2482" s="74">
        <f>D2482/30.48</f>
        <v/>
      </c>
      <c r="H2482" s="615" t="n"/>
      <c r="N2482" s="211" t="n"/>
      <c r="Q2482" s="271" t="n"/>
      <c r="R2482" s="282" t="n"/>
    </row>
    <row r="2483" ht="18" customHeight="1" s="305">
      <c r="A2483" s="8" t="n">
        <v>3696</v>
      </c>
      <c r="B2483" s="5" t="n">
        <v>99</v>
      </c>
      <c r="C2483" s="72" t="inlineStr">
        <is>
          <t>X</t>
        </is>
      </c>
      <c r="D2483" s="5" t="n">
        <v>279</v>
      </c>
      <c r="E2483" s="73">
        <f>B2483*D2483/10000</f>
        <v/>
      </c>
      <c r="F2483" s="74">
        <f>B2483/30.48</f>
        <v/>
      </c>
      <c r="G2483" s="74">
        <f>D2483/30.48</f>
        <v/>
      </c>
      <c r="H2483" s="615" t="n"/>
      <c r="N2483" s="211" t="n"/>
      <c r="Q2483" s="271" t="n"/>
      <c r="R2483" s="282" t="n"/>
    </row>
    <row r="2484" ht="18" customHeight="1" s="305">
      <c r="A2484" s="8" t="n">
        <v>3697</v>
      </c>
      <c r="B2484" s="5" t="n">
        <v>81</v>
      </c>
      <c r="C2484" s="72" t="inlineStr">
        <is>
          <t>X</t>
        </is>
      </c>
      <c r="D2484" s="5" t="n">
        <v>284</v>
      </c>
      <c r="E2484" s="73">
        <f>B2484*D2484/10000</f>
        <v/>
      </c>
      <c r="F2484" s="74">
        <f>B2484/30.48</f>
        <v/>
      </c>
      <c r="G2484" s="74">
        <f>D2484/30.48</f>
        <v/>
      </c>
      <c r="H2484" s="615" t="n"/>
      <c r="N2484" s="211" t="n"/>
      <c r="Q2484" s="271" t="n"/>
      <c r="R2484" s="282" t="n"/>
    </row>
    <row r="2485" ht="18" customHeight="1" s="305">
      <c r="A2485" s="8" t="n">
        <v>3698</v>
      </c>
      <c r="B2485" s="5" t="n">
        <v>114</v>
      </c>
      <c r="C2485" s="72" t="inlineStr">
        <is>
          <t>X</t>
        </is>
      </c>
      <c r="D2485" s="5" t="n">
        <v>184</v>
      </c>
      <c r="E2485" s="73">
        <f>B2485*D2485/10000</f>
        <v/>
      </c>
      <c r="F2485" s="74">
        <f>B2485/30.48</f>
        <v/>
      </c>
      <c r="G2485" s="74">
        <f>D2485/30.48</f>
        <v/>
      </c>
      <c r="H2485" s="615" t="n"/>
      <c r="N2485" s="211" t="n"/>
      <c r="Q2485" s="271" t="n"/>
      <c r="R2485" s="282" t="n"/>
    </row>
    <row r="2486" ht="18" customHeight="1" s="305">
      <c r="A2486" s="8" t="n">
        <v>3699</v>
      </c>
      <c r="B2486" s="5" t="n">
        <v>256</v>
      </c>
      <c r="C2486" s="72" t="inlineStr">
        <is>
          <t>X</t>
        </is>
      </c>
      <c r="D2486" s="5" t="n">
        <v>356</v>
      </c>
      <c r="E2486" s="73">
        <f>B2486*D2486/10000</f>
        <v/>
      </c>
      <c r="F2486" s="74">
        <f>B2486/30.48</f>
        <v/>
      </c>
      <c r="G2486" s="74">
        <f>D2486/30.48</f>
        <v/>
      </c>
      <c r="H2486" s="615" t="n"/>
      <c r="N2486" s="211" t="n"/>
      <c r="Q2486" s="271" t="n"/>
      <c r="R2486" s="282" t="n"/>
    </row>
    <row r="2487" ht="18" customHeight="1" s="305">
      <c r="A2487" s="8" t="n">
        <v>3700</v>
      </c>
      <c r="B2487" s="5" t="n">
        <v>91</v>
      </c>
      <c r="C2487" s="72" t="inlineStr">
        <is>
          <t>X</t>
        </is>
      </c>
      <c r="D2487" s="5" t="n">
        <v>337</v>
      </c>
      <c r="E2487" s="73">
        <f>B2487*D2487/10000</f>
        <v/>
      </c>
      <c r="F2487" s="74">
        <f>B2487/30.48</f>
        <v/>
      </c>
      <c r="G2487" s="74">
        <f>D2487/30.48</f>
        <v/>
      </c>
      <c r="H2487" s="615" t="n"/>
      <c r="N2487" s="211" t="n"/>
      <c r="Q2487" s="271" t="n"/>
      <c r="R2487" s="282" t="n"/>
    </row>
    <row r="2488" ht="18" customHeight="1" s="305">
      <c r="A2488" s="8" t="n">
        <v>3701</v>
      </c>
      <c r="B2488" s="5" t="n">
        <v>118</v>
      </c>
      <c r="C2488" s="72" t="inlineStr">
        <is>
          <t>X</t>
        </is>
      </c>
      <c r="D2488" s="5" t="n">
        <v>184</v>
      </c>
      <c r="E2488" s="73">
        <f>B2488*D2488/10000</f>
        <v/>
      </c>
      <c r="F2488" s="74">
        <f>B2488/30.48</f>
        <v/>
      </c>
      <c r="G2488" s="74">
        <f>D2488/30.48</f>
        <v/>
      </c>
      <c r="H2488" s="615" t="n"/>
      <c r="N2488" s="211" t="n"/>
      <c r="Q2488" s="271" t="n"/>
      <c r="R2488" s="282" t="n"/>
    </row>
    <row r="2489" ht="18" customHeight="1" s="305">
      <c r="A2489" s="8" t="n">
        <v>3703</v>
      </c>
      <c r="B2489" s="5" t="n">
        <v>196</v>
      </c>
      <c r="C2489" s="72" t="inlineStr">
        <is>
          <t>X</t>
        </is>
      </c>
      <c r="D2489" s="5" t="n">
        <v>364</v>
      </c>
      <c r="E2489" s="73">
        <f>B2489*D2489/10000</f>
        <v/>
      </c>
      <c r="F2489" s="74">
        <f>B2489/30.48</f>
        <v/>
      </c>
      <c r="G2489" s="74">
        <f>D2489/30.48</f>
        <v/>
      </c>
      <c r="H2489" s="615" t="n"/>
      <c r="N2489" s="211" t="n"/>
      <c r="Q2489" s="271" t="n"/>
      <c r="R2489" s="282" t="n"/>
    </row>
    <row r="2490" ht="18" customHeight="1" s="305">
      <c r="A2490" s="8" t="n">
        <v>3704</v>
      </c>
      <c r="B2490" s="5" t="n">
        <v>96</v>
      </c>
      <c r="C2490" s="72" t="inlineStr">
        <is>
          <t>X</t>
        </is>
      </c>
      <c r="D2490" s="5" t="n">
        <v>342</v>
      </c>
      <c r="E2490" s="73">
        <f>B2490*D2490/10000</f>
        <v/>
      </c>
      <c r="F2490" s="74">
        <f>B2490/30.48</f>
        <v/>
      </c>
      <c r="G2490" s="74">
        <f>D2490/30.48</f>
        <v/>
      </c>
      <c r="H2490" s="615" t="n"/>
      <c r="N2490" s="211" t="n"/>
      <c r="Q2490" s="271" t="n"/>
      <c r="R2490" s="282" t="n"/>
    </row>
    <row r="2491" ht="18" customHeight="1" s="305">
      <c r="A2491" s="8" t="n">
        <v>3705</v>
      </c>
      <c r="B2491" s="5" t="n">
        <v>74</v>
      </c>
      <c r="C2491" s="72" t="inlineStr">
        <is>
          <t>X</t>
        </is>
      </c>
      <c r="D2491" s="5" t="n">
        <v>304</v>
      </c>
      <c r="E2491" s="73">
        <f>B2491*D2491/10000</f>
        <v/>
      </c>
      <c r="F2491" s="74">
        <f>B2491/30.48</f>
        <v/>
      </c>
      <c r="G2491" s="74">
        <f>D2491/30.48</f>
        <v/>
      </c>
      <c r="H2491" s="615" t="n"/>
      <c r="N2491" s="211" t="n"/>
      <c r="Q2491" s="271" t="n"/>
      <c r="R2491" s="282" t="n"/>
    </row>
    <row r="2492" ht="18" customHeight="1" s="305">
      <c r="A2492" s="8" t="n">
        <v>3706</v>
      </c>
      <c r="B2492" s="5" t="n">
        <v>177</v>
      </c>
      <c r="C2492" s="72" t="inlineStr">
        <is>
          <t>X</t>
        </is>
      </c>
      <c r="D2492" s="5" t="n">
        <v>267</v>
      </c>
      <c r="E2492" s="73">
        <f>B2492*D2492/10000</f>
        <v/>
      </c>
      <c r="F2492" s="74">
        <f>B2492/30.48</f>
        <v/>
      </c>
      <c r="G2492" s="74">
        <f>D2492/30.48</f>
        <v/>
      </c>
      <c r="H2492" s="615" t="n"/>
      <c r="N2492" s="211" t="n"/>
      <c r="Q2492" s="271" t="n"/>
      <c r="R2492" s="282" t="n"/>
    </row>
    <row r="2493" ht="18" customHeight="1" s="305">
      <c r="A2493" s="8" t="n">
        <v>3707</v>
      </c>
      <c r="B2493" s="5" t="n">
        <v>208</v>
      </c>
      <c r="C2493" s="72" t="inlineStr">
        <is>
          <t>X</t>
        </is>
      </c>
      <c r="D2493" s="5" t="n">
        <v>233</v>
      </c>
      <c r="E2493" s="73">
        <f>B2493*D2493/10000</f>
        <v/>
      </c>
      <c r="F2493" s="74">
        <f>B2493/30.48</f>
        <v/>
      </c>
      <c r="G2493" s="74">
        <f>D2493/30.48</f>
        <v/>
      </c>
      <c r="H2493" s="615" t="n"/>
      <c r="N2493" s="211" t="n"/>
      <c r="Q2493" s="271" t="n"/>
      <c r="R2493" s="282" t="n"/>
    </row>
    <row r="2494" ht="18" customHeight="1" s="305">
      <c r="A2494" s="8" t="n">
        <v>3708</v>
      </c>
      <c r="B2494" s="5" t="n">
        <v>90</v>
      </c>
      <c r="C2494" s="72" t="inlineStr">
        <is>
          <t>X</t>
        </is>
      </c>
      <c r="D2494" s="5" t="n">
        <v>419</v>
      </c>
      <c r="E2494" s="73">
        <f>B2494*D2494/10000</f>
        <v/>
      </c>
      <c r="F2494" s="74">
        <f>B2494/30.48</f>
        <v/>
      </c>
      <c r="G2494" s="74">
        <f>D2494/30.48</f>
        <v/>
      </c>
      <c r="H2494" s="615" t="n"/>
      <c r="N2494" s="211" t="n"/>
      <c r="Q2494" s="271" t="n"/>
      <c r="R2494" s="282" t="n"/>
    </row>
    <row r="2495" ht="18" customHeight="1" s="305">
      <c r="A2495" s="8" t="n">
        <v>3709</v>
      </c>
      <c r="B2495" s="5" t="n">
        <v>84</v>
      </c>
      <c r="C2495" s="72" t="inlineStr">
        <is>
          <t>X</t>
        </is>
      </c>
      <c r="D2495" s="5" t="n">
        <v>258</v>
      </c>
      <c r="E2495" s="73">
        <f>B2495*D2495/10000</f>
        <v/>
      </c>
      <c r="F2495" s="74">
        <f>B2495/30.48</f>
        <v/>
      </c>
      <c r="G2495" s="74">
        <f>D2495/30.48</f>
        <v/>
      </c>
      <c r="H2495" s="615" t="n"/>
      <c r="N2495" s="211" t="n"/>
      <c r="Q2495" s="271" t="n"/>
      <c r="R2495" s="282" t="n"/>
    </row>
    <row r="2496" ht="18" customHeight="1" s="305">
      <c r="A2496" s="8" t="n">
        <v>3710</v>
      </c>
      <c r="B2496" s="5" t="n">
        <v>90</v>
      </c>
      <c r="C2496" s="72" t="inlineStr">
        <is>
          <t>X</t>
        </is>
      </c>
      <c r="D2496" s="5" t="n">
        <v>395</v>
      </c>
      <c r="E2496" s="73">
        <f>B2496*D2496/10000</f>
        <v/>
      </c>
      <c r="F2496" s="74">
        <f>B2496/30.48</f>
        <v/>
      </c>
      <c r="G2496" s="74">
        <f>D2496/30.48</f>
        <v/>
      </c>
      <c r="H2496" s="615" t="n"/>
      <c r="N2496" s="211" t="n"/>
      <c r="Q2496" s="271" t="n"/>
      <c r="R2496" s="282" t="n"/>
    </row>
    <row r="2497" ht="18" customHeight="1" s="305">
      <c r="A2497" s="8" t="n">
        <v>3711</v>
      </c>
      <c r="B2497" s="5" t="n">
        <v>98</v>
      </c>
      <c r="C2497" s="72" t="inlineStr">
        <is>
          <t>X</t>
        </is>
      </c>
      <c r="D2497" s="5" t="n">
        <v>290</v>
      </c>
      <c r="E2497" s="73">
        <f>B2497*D2497/10000</f>
        <v/>
      </c>
      <c r="F2497" s="74">
        <f>B2497/30.48</f>
        <v/>
      </c>
      <c r="G2497" s="74">
        <f>D2497/30.48</f>
        <v/>
      </c>
      <c r="H2497" s="615" t="n"/>
      <c r="N2497" s="211" t="n"/>
      <c r="Q2497" s="271" t="n"/>
      <c r="R2497" s="282" t="n"/>
    </row>
    <row r="2498" ht="18" customHeight="1" s="305">
      <c r="A2498" s="8" t="n">
        <v>3713</v>
      </c>
      <c r="B2498" s="5" t="n">
        <v>102</v>
      </c>
      <c r="C2498" s="72" t="inlineStr">
        <is>
          <t>X</t>
        </is>
      </c>
      <c r="D2498" s="5" t="n">
        <v>190</v>
      </c>
      <c r="E2498" s="73">
        <f>B2498*D2498/10000</f>
        <v/>
      </c>
      <c r="F2498" s="74">
        <f>B2498/30.48</f>
        <v/>
      </c>
      <c r="G2498" s="74">
        <f>D2498/30.48</f>
        <v/>
      </c>
      <c r="H2498" s="615" t="n"/>
      <c r="N2498" s="211" t="n"/>
      <c r="Q2498" s="271" t="n"/>
      <c r="R2498" s="282" t="n"/>
    </row>
    <row r="2499" ht="18" customHeight="1" s="305">
      <c r="A2499" s="8" t="n">
        <v>3714</v>
      </c>
      <c r="B2499" s="5" t="n">
        <v>85</v>
      </c>
      <c r="C2499" s="72" t="inlineStr">
        <is>
          <t>X</t>
        </is>
      </c>
      <c r="D2499" s="5" t="n">
        <v>400</v>
      </c>
      <c r="E2499" s="73">
        <f>B2499*D2499/10000</f>
        <v/>
      </c>
      <c r="F2499" s="74">
        <f>B2499/30.48</f>
        <v/>
      </c>
      <c r="G2499" s="74">
        <f>D2499/30.48</f>
        <v/>
      </c>
      <c r="H2499" s="615" t="n"/>
      <c r="N2499" s="211" t="n"/>
      <c r="Q2499" s="271" t="n"/>
      <c r="R2499" s="282" t="n"/>
    </row>
    <row r="2500" ht="18" customHeight="1" s="305">
      <c r="A2500" s="8" t="n">
        <v>3717</v>
      </c>
      <c r="B2500" s="5" t="n">
        <v>204</v>
      </c>
      <c r="C2500" s="72" t="inlineStr">
        <is>
          <t>X</t>
        </is>
      </c>
      <c r="D2500" s="5" t="n">
        <v>295</v>
      </c>
      <c r="E2500" s="73">
        <f>B2500*D2500/10000</f>
        <v/>
      </c>
      <c r="F2500" s="74">
        <f>B2500/30.48</f>
        <v/>
      </c>
      <c r="G2500" s="74">
        <f>D2500/30.48</f>
        <v/>
      </c>
      <c r="H2500" s="615" t="n"/>
      <c r="N2500" s="211" t="n"/>
      <c r="Q2500" s="271" t="n"/>
      <c r="R2500" s="282" t="n"/>
    </row>
    <row r="2501" ht="18" customHeight="1" s="305">
      <c r="A2501" s="8" t="n">
        <v>3718</v>
      </c>
      <c r="B2501" s="5" t="n">
        <v>198</v>
      </c>
      <c r="C2501" s="72" t="inlineStr">
        <is>
          <t>X</t>
        </is>
      </c>
      <c r="D2501" s="5" t="n">
        <v>280</v>
      </c>
      <c r="E2501" s="73">
        <f>B2501*D2501/10000</f>
        <v/>
      </c>
      <c r="F2501" s="74">
        <f>B2501/30.48</f>
        <v/>
      </c>
      <c r="G2501" s="74">
        <f>D2501/30.48</f>
        <v/>
      </c>
      <c r="H2501" s="615" t="n"/>
      <c r="N2501" s="211" t="n"/>
      <c r="Q2501" s="271" t="n"/>
      <c r="R2501" s="282" t="n"/>
    </row>
    <row r="2502" ht="18" customHeight="1" s="305">
      <c r="A2502" s="8" t="n">
        <v>3719</v>
      </c>
      <c r="B2502" s="5" t="n">
        <v>244</v>
      </c>
      <c r="C2502" s="72" t="inlineStr">
        <is>
          <t>X</t>
        </is>
      </c>
      <c r="D2502" s="5" t="n">
        <v>350</v>
      </c>
      <c r="E2502" s="73">
        <f>B2502*D2502/10000</f>
        <v/>
      </c>
      <c r="F2502" s="74">
        <f>B2502/30.48</f>
        <v/>
      </c>
      <c r="G2502" s="74">
        <f>D2502/30.48</f>
        <v/>
      </c>
      <c r="H2502" s="615" t="n"/>
      <c r="N2502" s="211" t="n"/>
      <c r="Q2502" s="271" t="n"/>
      <c r="R2502" s="282" t="n"/>
    </row>
    <row r="2503" ht="18" customHeight="1" s="305">
      <c r="A2503" s="8" t="n">
        <v>3721</v>
      </c>
      <c r="B2503" s="5" t="n">
        <v>102</v>
      </c>
      <c r="C2503" s="72" t="inlineStr">
        <is>
          <t>X</t>
        </is>
      </c>
      <c r="D2503" s="5" t="n">
        <v>373</v>
      </c>
      <c r="E2503" s="73">
        <f>B2503*D2503/10000</f>
        <v/>
      </c>
      <c r="F2503" s="74">
        <f>B2503/30.48</f>
        <v/>
      </c>
      <c r="G2503" s="74">
        <f>D2503/30.48</f>
        <v/>
      </c>
      <c r="H2503" s="615" t="n"/>
      <c r="N2503" s="211" t="n"/>
      <c r="Q2503" s="271" t="n"/>
      <c r="R2503" s="282" t="n"/>
    </row>
    <row r="2504" ht="18" customHeight="1" s="305">
      <c r="A2504" s="8" t="n">
        <v>3726</v>
      </c>
      <c r="B2504" s="5" t="n">
        <v>123</v>
      </c>
      <c r="C2504" s="72" t="inlineStr">
        <is>
          <t>X</t>
        </is>
      </c>
      <c r="D2504" s="5" t="n">
        <v>365</v>
      </c>
      <c r="E2504" s="73">
        <f>B2504*D2504/10000</f>
        <v/>
      </c>
      <c r="F2504" s="74">
        <f>B2504/30.48</f>
        <v/>
      </c>
      <c r="G2504" s="74">
        <f>D2504/30.48</f>
        <v/>
      </c>
      <c r="H2504" s="615" t="n"/>
      <c r="N2504" s="211" t="n"/>
      <c r="Q2504" s="271" t="n"/>
      <c r="R2504" s="282" t="n"/>
    </row>
    <row r="2505" ht="18" customHeight="1" s="305">
      <c r="A2505" s="8" t="n">
        <v>3731</v>
      </c>
      <c r="B2505" s="5" t="n">
        <v>90</v>
      </c>
      <c r="C2505" s="72" t="inlineStr">
        <is>
          <t>X</t>
        </is>
      </c>
      <c r="D2505" s="5" t="n">
        <v>262</v>
      </c>
      <c r="E2505" s="73">
        <f>B2505*D2505/10000</f>
        <v/>
      </c>
      <c r="F2505" s="74">
        <f>B2505/30.48</f>
        <v/>
      </c>
      <c r="G2505" s="74">
        <f>D2505/30.48</f>
        <v/>
      </c>
      <c r="H2505" s="615" t="n"/>
      <c r="N2505" s="211" t="n"/>
      <c r="Q2505" s="271" t="n"/>
      <c r="R2505" s="282" t="n"/>
    </row>
    <row r="2506" ht="18" customHeight="1" s="305">
      <c r="A2506" s="8" t="n">
        <v>3732</v>
      </c>
      <c r="B2506" s="5" t="n">
        <v>188</v>
      </c>
      <c r="C2506" s="72" t="inlineStr">
        <is>
          <t>X</t>
        </is>
      </c>
      <c r="D2506" s="5" t="n">
        <v>303</v>
      </c>
      <c r="E2506" s="73">
        <f>B2506*D2506/10000</f>
        <v/>
      </c>
      <c r="F2506" s="74">
        <f>B2506/30.48</f>
        <v/>
      </c>
      <c r="G2506" s="74">
        <f>D2506/30.48</f>
        <v/>
      </c>
      <c r="H2506" s="615" t="n"/>
      <c r="N2506" s="211" t="n"/>
      <c r="Q2506" s="271" t="n"/>
      <c r="R2506" s="282" t="n"/>
    </row>
    <row r="2507" ht="18" customHeight="1" s="305">
      <c r="A2507" s="8" t="n">
        <v>3733</v>
      </c>
      <c r="B2507" s="5" t="n">
        <v>165</v>
      </c>
      <c r="C2507" s="72" t="inlineStr">
        <is>
          <t>X</t>
        </is>
      </c>
      <c r="D2507" s="5" t="n">
        <v>262</v>
      </c>
      <c r="E2507" s="73">
        <f>B2507*D2507/10000</f>
        <v/>
      </c>
      <c r="F2507" s="74">
        <f>B2507/30.48</f>
        <v/>
      </c>
      <c r="G2507" s="74">
        <f>D2507/30.48</f>
        <v/>
      </c>
      <c r="H2507" s="615" t="n"/>
      <c r="N2507" s="211" t="n"/>
      <c r="Q2507" s="271" t="n"/>
      <c r="R2507" s="282" t="n"/>
    </row>
    <row r="2508" ht="18" customHeight="1" s="305">
      <c r="A2508" s="8" t="n">
        <v>3734</v>
      </c>
      <c r="B2508" s="5" t="n">
        <v>155</v>
      </c>
      <c r="C2508" s="72" t="inlineStr">
        <is>
          <t>X</t>
        </is>
      </c>
      <c r="D2508" s="5" t="n">
        <v>262</v>
      </c>
      <c r="E2508" s="73">
        <f>B2508*D2508/10000</f>
        <v/>
      </c>
      <c r="F2508" s="74">
        <f>B2508/30.48</f>
        <v/>
      </c>
      <c r="G2508" s="74">
        <f>D2508/30.48</f>
        <v/>
      </c>
      <c r="H2508" s="615" t="n"/>
      <c r="N2508" s="211" t="n"/>
      <c r="Q2508" s="271" t="n"/>
      <c r="R2508" s="282" t="n"/>
    </row>
    <row r="2509" ht="18" customHeight="1" s="305">
      <c r="A2509" s="8" t="n">
        <v>3735</v>
      </c>
      <c r="B2509" s="5" t="n">
        <v>110</v>
      </c>
      <c r="C2509" s="72" t="inlineStr">
        <is>
          <t>X</t>
        </is>
      </c>
      <c r="D2509" s="5" t="n">
        <v>343</v>
      </c>
      <c r="E2509" s="73">
        <f>B2509*D2509/10000</f>
        <v/>
      </c>
      <c r="F2509" s="74">
        <f>B2509/30.48</f>
        <v/>
      </c>
      <c r="G2509" s="74">
        <f>D2509/30.48</f>
        <v/>
      </c>
      <c r="H2509" s="615" t="n"/>
      <c r="N2509" s="211" t="n"/>
      <c r="Q2509" s="271" t="n"/>
      <c r="R2509" s="282" t="n"/>
    </row>
    <row r="2510" ht="18" customHeight="1" s="305">
      <c r="A2510" s="8" t="n">
        <v>3736</v>
      </c>
      <c r="B2510" s="5" t="n">
        <v>93</v>
      </c>
      <c r="C2510" s="72" t="inlineStr">
        <is>
          <t>X</t>
        </is>
      </c>
      <c r="D2510" s="5" t="n">
        <v>301</v>
      </c>
      <c r="E2510" s="73">
        <f>B2510*D2510/10000</f>
        <v/>
      </c>
      <c r="F2510" s="74">
        <f>B2510/30.48</f>
        <v/>
      </c>
      <c r="G2510" s="74">
        <f>D2510/30.48</f>
        <v/>
      </c>
      <c r="H2510" s="615" t="n"/>
      <c r="N2510" s="211" t="n"/>
      <c r="Q2510" s="271" t="n"/>
      <c r="R2510" s="282" t="n"/>
    </row>
    <row r="2511" ht="18" customHeight="1" s="305">
      <c r="A2511" s="8" t="n">
        <v>3737</v>
      </c>
      <c r="B2511" s="5" t="n">
        <v>124</v>
      </c>
      <c r="C2511" s="72" t="inlineStr">
        <is>
          <t>X</t>
        </is>
      </c>
      <c r="D2511" s="5" t="n">
        <v>242</v>
      </c>
      <c r="E2511" s="73">
        <f>B2511*D2511/10000</f>
        <v/>
      </c>
      <c r="F2511" s="74">
        <f>B2511/30.48</f>
        <v/>
      </c>
      <c r="G2511" s="74">
        <f>D2511/30.48</f>
        <v/>
      </c>
      <c r="H2511" s="615" t="n"/>
      <c r="N2511" s="211" t="n"/>
      <c r="Q2511" s="271" t="n"/>
      <c r="R2511" s="282" t="n"/>
    </row>
    <row r="2512" ht="18" customHeight="1" s="305">
      <c r="A2512" s="8" t="n">
        <v>3741</v>
      </c>
      <c r="B2512" s="5" t="n">
        <v>168</v>
      </c>
      <c r="C2512" s="72" t="inlineStr">
        <is>
          <t>X</t>
        </is>
      </c>
      <c r="D2512" s="5" t="n">
        <v>259</v>
      </c>
      <c r="E2512" s="73">
        <f>B2512*D2512/10000</f>
        <v/>
      </c>
      <c r="F2512" s="74">
        <f>B2512/30.48</f>
        <v/>
      </c>
      <c r="G2512" s="74">
        <f>D2512/30.48</f>
        <v/>
      </c>
      <c r="H2512" s="615" t="n"/>
      <c r="N2512" s="211" t="n"/>
      <c r="Q2512" s="271" t="n"/>
      <c r="R2512" s="282" t="n"/>
    </row>
    <row r="2513" ht="18" customHeight="1" s="305">
      <c r="A2513" s="8" t="n">
        <v>3745</v>
      </c>
      <c r="B2513" s="5" t="n">
        <v>117</v>
      </c>
      <c r="C2513" s="72" t="inlineStr">
        <is>
          <t>X</t>
        </is>
      </c>
      <c r="D2513" s="5" t="n">
        <v>204</v>
      </c>
      <c r="E2513" s="73">
        <f>B2513*D2513/10000</f>
        <v/>
      </c>
      <c r="F2513" s="74">
        <f>B2513/30.48</f>
        <v/>
      </c>
      <c r="G2513" s="74">
        <f>D2513/30.48</f>
        <v/>
      </c>
      <c r="H2513" s="615" t="n"/>
      <c r="N2513" s="211" t="n"/>
      <c r="Q2513" s="271" t="n"/>
      <c r="R2513" s="282" t="n"/>
    </row>
    <row r="2514" ht="18" customHeight="1" s="305">
      <c r="A2514" s="8" t="n">
        <v>3746</v>
      </c>
      <c r="B2514" s="5" t="n">
        <v>154</v>
      </c>
      <c r="C2514" s="72" t="inlineStr">
        <is>
          <t>X</t>
        </is>
      </c>
      <c r="D2514" s="5" t="n">
        <v>348</v>
      </c>
      <c r="E2514" s="73">
        <f>B2514*D2514/10000</f>
        <v/>
      </c>
      <c r="F2514" s="74">
        <f>B2514/30.48</f>
        <v/>
      </c>
      <c r="G2514" s="74">
        <f>D2514/30.48</f>
        <v/>
      </c>
      <c r="H2514" s="615" t="n"/>
      <c r="N2514" s="211" t="n"/>
      <c r="Q2514" s="271" t="n"/>
      <c r="R2514" s="282" t="n"/>
    </row>
    <row r="2515" ht="18" customHeight="1" s="305">
      <c r="A2515" s="8" t="n">
        <v>3747</v>
      </c>
      <c r="B2515" s="5" t="n">
        <v>135</v>
      </c>
      <c r="C2515" s="72" t="inlineStr">
        <is>
          <t>X</t>
        </is>
      </c>
      <c r="D2515" s="5" t="n">
        <v>270</v>
      </c>
      <c r="E2515" s="73">
        <f>B2515*D2515/10000</f>
        <v/>
      </c>
      <c r="F2515" s="74">
        <f>B2515/30.48</f>
        <v/>
      </c>
      <c r="G2515" s="74">
        <f>D2515/30.48</f>
        <v/>
      </c>
      <c r="H2515" s="615" t="n"/>
      <c r="N2515" s="211" t="n"/>
      <c r="Q2515" s="271" t="n"/>
      <c r="R2515" s="282" t="n"/>
    </row>
    <row r="2516" ht="18" customHeight="1" s="305">
      <c r="A2516" s="8" t="n">
        <v>3746</v>
      </c>
      <c r="B2516" s="5" t="n">
        <v>137</v>
      </c>
      <c r="C2516" s="72" t="inlineStr">
        <is>
          <t>X</t>
        </is>
      </c>
      <c r="D2516" s="5" t="n">
        <v>230</v>
      </c>
      <c r="E2516" s="73">
        <f>B2516*D2516/10000</f>
        <v/>
      </c>
      <c r="F2516" s="74">
        <f>B2516/30.48</f>
        <v/>
      </c>
      <c r="G2516" s="74">
        <f>D2516/30.48</f>
        <v/>
      </c>
      <c r="H2516" s="615" t="n"/>
      <c r="N2516" s="211" t="n"/>
      <c r="Q2516" s="271" t="n"/>
      <c r="R2516" s="282" t="n"/>
    </row>
    <row r="2517" ht="18" customHeight="1" s="305">
      <c r="A2517" s="8" t="n">
        <v>3748</v>
      </c>
      <c r="B2517" s="5" t="n">
        <v>101</v>
      </c>
      <c r="C2517" s="72" t="inlineStr">
        <is>
          <t>X</t>
        </is>
      </c>
      <c r="D2517" s="5" t="n">
        <v>312</v>
      </c>
      <c r="E2517" s="73">
        <f>B2517*D2517/10000</f>
        <v/>
      </c>
      <c r="F2517" s="74">
        <f>B2517/30.48</f>
        <v/>
      </c>
      <c r="G2517" s="74">
        <f>D2517/30.48</f>
        <v/>
      </c>
      <c r="H2517" s="615" t="n"/>
      <c r="N2517" s="211" t="n"/>
      <c r="Q2517" s="271" t="n"/>
      <c r="R2517" s="282" t="n"/>
    </row>
    <row r="2518" ht="18" customHeight="1" s="305">
      <c r="A2518" s="8" t="n">
        <v>3749</v>
      </c>
      <c r="B2518" s="5" t="n">
        <v>213</v>
      </c>
      <c r="C2518" s="72" t="inlineStr">
        <is>
          <t>X</t>
        </is>
      </c>
      <c r="D2518" s="5" t="n">
        <v>279</v>
      </c>
      <c r="E2518" s="73">
        <f>B2518*D2518/10000</f>
        <v/>
      </c>
      <c r="F2518" s="74">
        <f>B2518/30.48</f>
        <v/>
      </c>
      <c r="G2518" s="74">
        <f>D2518/30.48</f>
        <v/>
      </c>
      <c r="H2518" s="615" t="n"/>
      <c r="N2518" s="211" t="n"/>
      <c r="Q2518" s="271" t="n"/>
      <c r="R2518" s="282" t="n"/>
    </row>
    <row r="2519" ht="18" customHeight="1" s="305">
      <c r="A2519" s="8" t="n">
        <v>3753</v>
      </c>
      <c r="B2519" s="5" t="n">
        <v>89</v>
      </c>
      <c r="C2519" s="72" t="inlineStr">
        <is>
          <t>X</t>
        </is>
      </c>
      <c r="D2519" s="5" t="n">
        <v>323</v>
      </c>
      <c r="E2519" s="73">
        <f>B2519*D2519/10000</f>
        <v/>
      </c>
      <c r="F2519" s="74">
        <f>B2519/30.48</f>
        <v/>
      </c>
      <c r="G2519" s="74">
        <f>D2519/30.48</f>
        <v/>
      </c>
      <c r="H2519" s="615" t="n"/>
      <c r="N2519" s="211" t="n"/>
      <c r="Q2519" s="271" t="n"/>
      <c r="R2519" s="282" t="n"/>
    </row>
    <row r="2520" ht="18" customHeight="1" s="305">
      <c r="A2520" s="8" t="n">
        <v>3759</v>
      </c>
      <c r="B2520" s="5" t="n">
        <v>91</v>
      </c>
      <c r="C2520" s="72" t="inlineStr">
        <is>
          <t>X</t>
        </is>
      </c>
      <c r="D2520" s="5" t="n">
        <v>184</v>
      </c>
      <c r="E2520" s="73">
        <f>B2520*D2520/10000</f>
        <v/>
      </c>
      <c r="F2520" s="74">
        <f>B2520/30.48</f>
        <v/>
      </c>
      <c r="G2520" s="74">
        <f>D2520/30.48</f>
        <v/>
      </c>
      <c r="H2520" s="615" t="n"/>
      <c r="N2520" s="211" t="n"/>
      <c r="Q2520" s="271" t="n"/>
      <c r="R2520" s="282" t="n"/>
    </row>
    <row r="2521" ht="18" customHeight="1" s="305">
      <c r="A2521" s="8" t="n">
        <v>3761</v>
      </c>
      <c r="B2521" s="5" t="n">
        <v>90</v>
      </c>
      <c r="C2521" s="72" t="inlineStr">
        <is>
          <t>X</t>
        </is>
      </c>
      <c r="D2521" s="5" t="n">
        <v>337</v>
      </c>
      <c r="E2521" s="73">
        <f>B2521*D2521/10000</f>
        <v/>
      </c>
      <c r="F2521" s="74">
        <f>B2521/30.48</f>
        <v/>
      </c>
      <c r="G2521" s="74">
        <f>D2521/30.48</f>
        <v/>
      </c>
      <c r="H2521" s="615" t="n"/>
      <c r="N2521" s="211" t="n"/>
      <c r="Q2521" s="271" t="n"/>
      <c r="R2521" s="282" t="n"/>
    </row>
    <row r="2522" ht="18" customHeight="1" s="305">
      <c r="A2522" s="8" t="n">
        <v>3762</v>
      </c>
      <c r="B2522" s="5" t="n">
        <v>225</v>
      </c>
      <c r="C2522" s="72" t="inlineStr">
        <is>
          <t>X</t>
        </is>
      </c>
      <c r="D2522" s="5" t="n">
        <v>339</v>
      </c>
      <c r="E2522" s="73">
        <f>B2522*D2522/10000</f>
        <v/>
      </c>
      <c r="F2522" s="74">
        <f>B2522/30.48</f>
        <v/>
      </c>
      <c r="G2522" s="74">
        <f>D2522/30.48</f>
        <v/>
      </c>
      <c r="H2522" s="615" t="n"/>
      <c r="N2522" s="211" t="n"/>
      <c r="Q2522" s="271" t="n"/>
      <c r="R2522" s="282" t="n"/>
    </row>
    <row r="2523">
      <c r="A2523" s="1" t="n"/>
      <c r="B2523" s="1" t="n"/>
      <c r="D2523" s="1" t="n"/>
      <c r="G2523" s="1" t="n"/>
      <c r="H2523" s="615" t="n"/>
      <c r="N2523" s="211" t="n"/>
      <c r="Q2523" s="271" t="n"/>
      <c r="R2523" s="282" t="n"/>
    </row>
    <row r="2524" ht="18" customHeight="1" s="305">
      <c r="A2524" s="8" t="n">
        <v>3764</v>
      </c>
      <c r="B2524" s="5" t="n">
        <v>123</v>
      </c>
      <c r="C2524" s="72" t="inlineStr">
        <is>
          <t>X</t>
        </is>
      </c>
      <c r="D2524" s="5" t="n">
        <v>194</v>
      </c>
      <c r="E2524" s="73">
        <f>B2524*D2524/10000</f>
        <v/>
      </c>
      <c r="F2524" s="74">
        <f>B2524/30.48</f>
        <v/>
      </c>
      <c r="G2524" s="74">
        <f>D2524/30.48</f>
        <v/>
      </c>
      <c r="H2524" s="615" t="n"/>
      <c r="N2524" s="211" t="n"/>
      <c r="Q2524" s="271" t="n"/>
      <c r="R2524" s="282" t="n"/>
    </row>
    <row r="2525" ht="18" customHeight="1" s="305">
      <c r="A2525" s="8" t="n">
        <v>3765</v>
      </c>
      <c r="B2525" s="5" t="n">
        <v>91</v>
      </c>
      <c r="C2525" s="72" t="inlineStr">
        <is>
          <t>X</t>
        </is>
      </c>
      <c r="D2525" s="5" t="n">
        <v>309</v>
      </c>
      <c r="E2525" s="73">
        <f>B2525*D2525/10000</f>
        <v/>
      </c>
      <c r="F2525" s="74">
        <f>B2525/30.48</f>
        <v/>
      </c>
      <c r="G2525" s="74">
        <f>D2525/30.48</f>
        <v/>
      </c>
      <c r="H2525" s="615" t="n"/>
      <c r="N2525" s="211" t="n"/>
      <c r="Q2525" s="271" t="n"/>
      <c r="R2525" s="282" t="n"/>
    </row>
    <row r="2526" ht="18" customHeight="1" s="305">
      <c r="A2526" s="8" t="n">
        <v>3766</v>
      </c>
      <c r="B2526" s="5" t="n">
        <v>205</v>
      </c>
      <c r="C2526" s="72" t="inlineStr">
        <is>
          <t>X</t>
        </is>
      </c>
      <c r="D2526" s="5" t="n">
        <v>314</v>
      </c>
      <c r="E2526" s="73">
        <f>B2526*D2526/10000</f>
        <v/>
      </c>
      <c r="F2526" s="74">
        <f>B2526/30.48</f>
        <v/>
      </c>
      <c r="G2526" s="74">
        <f>D2526/30.48</f>
        <v/>
      </c>
      <c r="H2526" s="615" t="n"/>
      <c r="N2526" s="211" t="n"/>
      <c r="Q2526" s="271" t="n"/>
      <c r="R2526" s="282" t="n"/>
    </row>
    <row r="2527" ht="18" customHeight="1" s="305">
      <c r="A2527" s="8" t="n">
        <v>3767</v>
      </c>
      <c r="B2527" s="5" t="n">
        <v>84</v>
      </c>
      <c r="C2527" s="72" t="inlineStr">
        <is>
          <t>X</t>
        </is>
      </c>
      <c r="D2527" s="5" t="n">
        <v>404</v>
      </c>
      <c r="E2527" s="73">
        <f>B2527*D2527/10000</f>
        <v/>
      </c>
      <c r="F2527" s="74">
        <f>B2527/30.48</f>
        <v/>
      </c>
      <c r="G2527" s="74">
        <f>D2527/30.48</f>
        <v/>
      </c>
      <c r="H2527" s="615" t="n"/>
      <c r="N2527" s="211" t="n"/>
      <c r="Q2527" s="271" t="n"/>
      <c r="R2527" s="282" t="n"/>
    </row>
    <row r="2528" ht="18" customHeight="1" s="305">
      <c r="A2528" s="8" t="n">
        <v>3768</v>
      </c>
      <c r="B2528" s="5" t="n">
        <v>213</v>
      </c>
      <c r="C2528" s="72" t="inlineStr">
        <is>
          <t>X</t>
        </is>
      </c>
      <c r="D2528" s="5" t="n">
        <v>282</v>
      </c>
      <c r="E2528" s="73">
        <f>B2528*D2528/10000</f>
        <v/>
      </c>
      <c r="F2528" s="74">
        <f>B2528/30.48</f>
        <v/>
      </c>
      <c r="G2528" s="74">
        <f>D2528/30.48</f>
        <v/>
      </c>
      <c r="H2528" s="615" t="n"/>
      <c r="N2528" s="211" t="n"/>
      <c r="Q2528" s="271" t="n"/>
      <c r="R2528" s="282" t="n"/>
    </row>
    <row r="2529" ht="18" customHeight="1" s="305">
      <c r="A2529" s="8" t="n">
        <v>3769</v>
      </c>
      <c r="B2529" s="5" t="n">
        <v>219</v>
      </c>
      <c r="C2529" s="72" t="inlineStr">
        <is>
          <t>X</t>
        </is>
      </c>
      <c r="D2529" s="5" t="n">
        <v>332</v>
      </c>
      <c r="E2529" s="73">
        <f>B2529*D2529/10000</f>
        <v/>
      </c>
      <c r="F2529" s="74">
        <f>B2529/30.48</f>
        <v/>
      </c>
      <c r="G2529" s="74">
        <f>D2529/30.48</f>
        <v/>
      </c>
      <c r="H2529" s="615" t="n"/>
      <c r="N2529" s="211" t="n"/>
      <c r="Q2529" s="271" t="n"/>
      <c r="R2529" s="282" t="n"/>
    </row>
    <row r="2530" ht="18" customHeight="1" s="305">
      <c r="A2530" s="8" t="n">
        <v>3770</v>
      </c>
      <c r="B2530" s="5" t="n">
        <v>99</v>
      </c>
      <c r="C2530" s="72" t="inlineStr">
        <is>
          <t>X</t>
        </is>
      </c>
      <c r="D2530" s="5" t="n">
        <v>233</v>
      </c>
      <c r="E2530" s="73">
        <f>B2530*D2530/10000</f>
        <v/>
      </c>
      <c r="F2530" s="74">
        <f>B2530/30.48</f>
        <v/>
      </c>
      <c r="G2530" s="74">
        <f>D2530/30.48</f>
        <v/>
      </c>
      <c r="H2530" s="615" t="n"/>
      <c r="N2530" s="211" t="n"/>
      <c r="Q2530" s="271" t="n"/>
      <c r="R2530" s="282" t="n"/>
    </row>
    <row r="2531" ht="18" customHeight="1" s="305">
      <c r="A2531" s="8" t="n">
        <v>3772</v>
      </c>
      <c r="B2531" s="5" t="n">
        <v>74</v>
      </c>
      <c r="C2531" s="72" t="inlineStr">
        <is>
          <t>X</t>
        </is>
      </c>
      <c r="D2531" s="5" t="n">
        <v>299</v>
      </c>
      <c r="E2531" s="73">
        <f>B2531*D2531/10000</f>
        <v/>
      </c>
      <c r="F2531" s="74">
        <f>B2531/30.48</f>
        <v/>
      </c>
      <c r="G2531" s="74">
        <f>D2531/30.48</f>
        <v/>
      </c>
      <c r="H2531" s="615" t="n"/>
      <c r="N2531" s="211" t="n"/>
      <c r="Q2531" s="271" t="n"/>
      <c r="R2531" s="282" t="n"/>
    </row>
    <row r="2532" ht="18" customHeight="1" s="305">
      <c r="A2532" s="8" t="n">
        <v>3775</v>
      </c>
      <c r="B2532" s="5" t="n">
        <v>96</v>
      </c>
      <c r="C2532" s="72" t="inlineStr">
        <is>
          <t>X</t>
        </is>
      </c>
      <c r="D2532" s="5" t="n">
        <v>281</v>
      </c>
      <c r="E2532" s="73">
        <f>B2532*D2532/10000</f>
        <v/>
      </c>
      <c r="F2532" s="74">
        <f>B2532/30.48</f>
        <v/>
      </c>
      <c r="G2532" s="74">
        <f>D2532/30.48</f>
        <v/>
      </c>
      <c r="H2532" s="615" t="n"/>
      <c r="N2532" s="211" t="n"/>
      <c r="Q2532" s="271" t="n"/>
      <c r="R2532" s="282" t="n"/>
    </row>
    <row r="2533" ht="18" customHeight="1" s="305">
      <c r="A2533" s="8" t="n">
        <v>3781</v>
      </c>
      <c r="B2533" s="5" t="n">
        <v>91</v>
      </c>
      <c r="C2533" s="72" t="inlineStr">
        <is>
          <t>X</t>
        </is>
      </c>
      <c r="D2533" s="5" t="n">
        <v>286</v>
      </c>
      <c r="E2533" s="73">
        <f>B2533*D2533/10000</f>
        <v/>
      </c>
      <c r="F2533" s="74">
        <f>B2533/30.48</f>
        <v/>
      </c>
      <c r="G2533" s="74">
        <f>D2533/30.48</f>
        <v/>
      </c>
      <c r="H2533" s="615" t="n"/>
      <c r="N2533" s="211" t="n"/>
      <c r="Q2533" s="271" t="n"/>
      <c r="R2533" s="282" t="n"/>
    </row>
    <row r="2534" ht="18" customHeight="1" s="305">
      <c r="A2534" s="8" t="n">
        <v>3782</v>
      </c>
      <c r="B2534" s="5" t="n">
        <v>95</v>
      </c>
      <c r="C2534" s="72" t="inlineStr">
        <is>
          <t>X</t>
        </is>
      </c>
      <c r="D2534" s="5" t="n">
        <v>268</v>
      </c>
      <c r="E2534" s="73">
        <f>B2534*D2534/10000</f>
        <v/>
      </c>
      <c r="F2534" s="74">
        <f>B2534/30.48</f>
        <v/>
      </c>
      <c r="G2534" s="74">
        <f>D2534/30.48</f>
        <v/>
      </c>
      <c r="H2534" s="615" t="n"/>
      <c r="N2534" s="211" t="n"/>
      <c r="Q2534" s="271" t="n"/>
      <c r="R2534" s="282" t="n"/>
    </row>
    <row r="2535" ht="18" customHeight="1" s="305">
      <c r="A2535" s="8" t="n">
        <v>3784</v>
      </c>
      <c r="B2535" s="5" t="n">
        <v>99</v>
      </c>
      <c r="C2535" s="72" t="inlineStr">
        <is>
          <t>X</t>
        </is>
      </c>
      <c r="D2535" s="5" t="n">
        <v>209</v>
      </c>
      <c r="E2535" s="73">
        <f>B2535*D2535/10000</f>
        <v/>
      </c>
      <c r="F2535" s="74">
        <f>B2535/30.48</f>
        <v/>
      </c>
      <c r="G2535" s="74">
        <f>D2535/30.48</f>
        <v/>
      </c>
      <c r="H2535" s="615" t="n"/>
      <c r="N2535" s="211" t="n"/>
      <c r="Q2535" s="271" t="n"/>
      <c r="R2535" s="282" t="n"/>
    </row>
    <row r="2536" ht="18" customHeight="1" s="305">
      <c r="A2536" s="8" t="n">
        <v>3785</v>
      </c>
      <c r="B2536" s="5" t="n">
        <v>164</v>
      </c>
      <c r="C2536" s="72" t="inlineStr">
        <is>
          <t>X</t>
        </is>
      </c>
      <c r="D2536" s="5" t="n">
        <v>273</v>
      </c>
      <c r="E2536" s="73">
        <f>B2536*D2536/10000</f>
        <v/>
      </c>
      <c r="F2536" s="74">
        <f>B2536/30.48</f>
        <v/>
      </c>
      <c r="G2536" s="74">
        <f>D2536/30.48</f>
        <v/>
      </c>
      <c r="H2536" s="615" t="n"/>
      <c r="N2536" s="211" t="n"/>
      <c r="Q2536" s="271" t="n"/>
      <c r="R2536" s="282" t="n"/>
    </row>
    <row r="2537" ht="18" customHeight="1" s="305">
      <c r="A2537" s="8" t="n">
        <v>3786</v>
      </c>
      <c r="B2537" s="5" t="n">
        <v>126</v>
      </c>
      <c r="C2537" s="72" t="inlineStr">
        <is>
          <t>X</t>
        </is>
      </c>
      <c r="D2537" s="5" t="n">
        <v>208</v>
      </c>
      <c r="E2537" s="73">
        <f>B2537*D2537/10000</f>
        <v/>
      </c>
      <c r="F2537" s="74">
        <f>B2537/30.48</f>
        <v/>
      </c>
      <c r="G2537" s="74">
        <f>D2537/30.48</f>
        <v/>
      </c>
      <c r="H2537" s="615" t="n"/>
      <c r="N2537" s="211" t="n"/>
      <c r="Q2537" s="271" t="n"/>
      <c r="R2537" s="282" t="n"/>
    </row>
    <row r="2538" ht="18" customHeight="1" s="305">
      <c r="A2538" s="8" t="n">
        <v>3789</v>
      </c>
      <c r="B2538" s="5" t="n">
        <v>112</v>
      </c>
      <c r="C2538" s="72" t="inlineStr">
        <is>
          <t>X</t>
        </is>
      </c>
      <c r="D2538" s="5" t="n">
        <v>325</v>
      </c>
      <c r="E2538" s="73">
        <f>B2538*D2538/10000</f>
        <v/>
      </c>
      <c r="F2538" s="74">
        <f>B2538/30.48</f>
        <v/>
      </c>
      <c r="G2538" s="74">
        <f>D2538/30.48</f>
        <v/>
      </c>
      <c r="H2538" s="615" t="n"/>
      <c r="N2538" s="211" t="n"/>
      <c r="Q2538" s="271" t="n"/>
      <c r="R2538" s="282" t="n"/>
    </row>
    <row r="2539" ht="18" customHeight="1" s="305">
      <c r="A2539" s="8" t="n">
        <v>3791</v>
      </c>
      <c r="B2539" s="5" t="n">
        <v>97</v>
      </c>
      <c r="C2539" s="72" t="inlineStr">
        <is>
          <t>X</t>
        </is>
      </c>
      <c r="D2539" s="5" t="n">
        <v>284</v>
      </c>
      <c r="E2539" s="73">
        <f>B2539*D2539/10000</f>
        <v/>
      </c>
      <c r="F2539" s="74">
        <f>B2539/30.48</f>
        <v/>
      </c>
      <c r="G2539" s="74">
        <f>D2539/30.48</f>
        <v/>
      </c>
      <c r="H2539" s="615" t="n"/>
      <c r="N2539" s="211" t="n"/>
      <c r="Q2539" s="271" t="n"/>
      <c r="R2539" s="282" t="n"/>
    </row>
    <row r="2540" ht="18" customHeight="1" s="305">
      <c r="A2540" s="8" t="n">
        <v>3794</v>
      </c>
      <c r="B2540" s="5" t="n">
        <v>142</v>
      </c>
      <c r="C2540" s="72" t="inlineStr">
        <is>
          <t>X</t>
        </is>
      </c>
      <c r="D2540" s="5" t="n">
        <v>211</v>
      </c>
      <c r="E2540" s="73">
        <f>B2540*D2540/10000</f>
        <v/>
      </c>
      <c r="F2540" s="74">
        <f>B2540/30.48</f>
        <v/>
      </c>
      <c r="G2540" s="74">
        <f>D2540/30.48</f>
        <v/>
      </c>
      <c r="H2540" s="615" t="n"/>
      <c r="N2540" s="211" t="n"/>
      <c r="Q2540" s="271" t="n"/>
      <c r="R2540" s="282" t="n"/>
    </row>
    <row r="2541" ht="18" customHeight="1" s="305">
      <c r="A2541" s="8" t="n">
        <v>3795</v>
      </c>
      <c r="B2541" s="5" t="n">
        <v>140</v>
      </c>
      <c r="C2541" s="72" t="inlineStr">
        <is>
          <t>X</t>
        </is>
      </c>
      <c r="D2541" s="5" t="n">
        <v>186</v>
      </c>
      <c r="E2541" s="73">
        <f>B2541*D2541/10000</f>
        <v/>
      </c>
      <c r="F2541" s="74">
        <f>B2541/30.48</f>
        <v/>
      </c>
      <c r="G2541" s="74">
        <f>D2541/30.48</f>
        <v/>
      </c>
      <c r="H2541" s="615" t="n"/>
      <c r="N2541" s="211" t="n"/>
      <c r="Q2541" s="271" t="n"/>
      <c r="R2541" s="282" t="n"/>
    </row>
    <row r="2542" ht="18" customHeight="1" s="305">
      <c r="A2542" s="8" t="n">
        <v>3800</v>
      </c>
      <c r="B2542" s="5" t="n">
        <v>81</v>
      </c>
      <c r="C2542" s="72" t="inlineStr">
        <is>
          <t>X</t>
        </is>
      </c>
      <c r="D2542" s="5" t="n">
        <v>306</v>
      </c>
      <c r="E2542" s="73">
        <f>B2542*D2542/10000</f>
        <v/>
      </c>
      <c r="F2542" s="74">
        <f>B2542/30.48</f>
        <v/>
      </c>
      <c r="G2542" s="74">
        <f>D2542/30.48</f>
        <v/>
      </c>
      <c r="H2542" s="615" t="n"/>
      <c r="N2542" s="211" t="n"/>
      <c r="Q2542" s="271" t="n"/>
      <c r="R2542" s="282" t="n"/>
    </row>
    <row r="2543" ht="18" customHeight="1" s="305">
      <c r="A2543" s="8" t="n">
        <v>3804</v>
      </c>
      <c r="B2543" s="5" t="n">
        <v>104</v>
      </c>
      <c r="C2543" s="72" t="inlineStr">
        <is>
          <t>X</t>
        </is>
      </c>
      <c r="D2543" s="5" t="n">
        <v>280</v>
      </c>
      <c r="E2543" s="73">
        <f>B2543*D2543/10000</f>
        <v/>
      </c>
      <c r="F2543" s="74">
        <f>B2543/30.48</f>
        <v/>
      </c>
      <c r="G2543" s="74">
        <f>D2543/30.48</f>
        <v/>
      </c>
      <c r="H2543" s="615" t="n"/>
      <c r="N2543" s="211" t="n"/>
      <c r="Q2543" s="271" t="n"/>
      <c r="R2543" s="282" t="n"/>
    </row>
    <row r="2544" ht="18" customHeight="1" s="305">
      <c r="A2544" s="8" t="n">
        <v>3808</v>
      </c>
      <c r="B2544" s="5" t="n">
        <v>123</v>
      </c>
      <c r="C2544" s="72" t="inlineStr">
        <is>
          <t>X</t>
        </is>
      </c>
      <c r="D2544" s="5" t="n">
        <v>246</v>
      </c>
      <c r="E2544" s="73">
        <f>B2544*D2544/10000</f>
        <v/>
      </c>
      <c r="F2544" s="74">
        <f>B2544/30.48</f>
        <v/>
      </c>
      <c r="G2544" s="74">
        <f>D2544/30.48</f>
        <v/>
      </c>
      <c r="H2544" s="615" t="n"/>
      <c r="N2544" s="211" t="n"/>
      <c r="Q2544" s="271" t="n"/>
      <c r="R2544" s="282" t="n"/>
    </row>
    <row r="2545" ht="18" customHeight="1" s="305">
      <c r="A2545" s="8" t="n">
        <v>3810</v>
      </c>
      <c r="B2545" s="5" t="n">
        <v>124</v>
      </c>
      <c r="C2545" s="72" t="inlineStr">
        <is>
          <t>X</t>
        </is>
      </c>
      <c r="D2545" s="5" t="n">
        <v>390</v>
      </c>
      <c r="E2545" s="73">
        <f>B2545*D2545/10000</f>
        <v/>
      </c>
      <c r="F2545" s="74">
        <f>B2545/30.48</f>
        <v/>
      </c>
      <c r="G2545" s="74">
        <f>D2545/30.48</f>
        <v/>
      </c>
      <c r="H2545" s="615" t="n"/>
      <c r="N2545" s="211" t="n"/>
      <c r="Q2545" s="271" t="n"/>
      <c r="R2545" s="282" t="n"/>
    </row>
    <row r="2546" ht="18" customHeight="1" s="305">
      <c r="A2546" s="8" t="n">
        <v>3811</v>
      </c>
      <c r="B2546" s="5" t="n">
        <v>89</v>
      </c>
      <c r="C2546" s="72" t="inlineStr">
        <is>
          <t>X</t>
        </is>
      </c>
      <c r="D2546" s="5" t="n">
        <v>336</v>
      </c>
      <c r="E2546" s="73">
        <f>B2546*D2546/10000</f>
        <v/>
      </c>
      <c r="F2546" s="74">
        <f>B2546/30.48</f>
        <v/>
      </c>
      <c r="G2546" s="74">
        <f>D2546/30.48</f>
        <v/>
      </c>
      <c r="H2546" s="615" t="n"/>
      <c r="N2546" s="211" t="n"/>
      <c r="Q2546" s="271" t="n"/>
      <c r="R2546" s="282" t="n"/>
    </row>
    <row r="2547" ht="18" customHeight="1" s="305">
      <c r="A2547" s="8" t="n">
        <v>3812</v>
      </c>
      <c r="B2547" s="5" t="n">
        <v>101</v>
      </c>
      <c r="C2547" s="72" t="inlineStr">
        <is>
          <t>X</t>
        </is>
      </c>
      <c r="D2547" s="5" t="n">
        <v>183</v>
      </c>
      <c r="E2547" s="73">
        <f>B2547*D2547/10000</f>
        <v/>
      </c>
      <c r="F2547" s="74">
        <f>B2547/30.48</f>
        <v/>
      </c>
      <c r="G2547" s="74">
        <f>D2547/30.48</f>
        <v/>
      </c>
      <c r="H2547" s="615" t="n"/>
      <c r="N2547" s="211" t="n"/>
      <c r="Q2547" s="271" t="n"/>
      <c r="R2547" s="282" t="n"/>
    </row>
    <row r="2548" ht="18" customHeight="1" s="305">
      <c r="A2548" s="8" t="n">
        <v>3814</v>
      </c>
      <c r="B2548" s="5" t="n">
        <v>192</v>
      </c>
      <c r="C2548" s="72" t="inlineStr">
        <is>
          <t>X</t>
        </is>
      </c>
      <c r="D2548" s="5" t="n">
        <v>233</v>
      </c>
      <c r="E2548" s="73">
        <f>B2548*D2548/10000</f>
        <v/>
      </c>
      <c r="F2548" s="74">
        <f>B2548/30.48</f>
        <v/>
      </c>
      <c r="G2548" s="74">
        <f>D2548/30.48</f>
        <v/>
      </c>
      <c r="H2548" s="615" t="n"/>
      <c r="N2548" s="211" t="n"/>
      <c r="Q2548" s="271" t="n"/>
      <c r="R2548" s="282" t="n"/>
    </row>
    <row r="2549" ht="18" customHeight="1" s="305">
      <c r="A2549" s="8" t="n">
        <v>3815</v>
      </c>
      <c r="B2549" s="5" t="n">
        <v>175</v>
      </c>
      <c r="C2549" s="72" t="inlineStr">
        <is>
          <t>X</t>
        </is>
      </c>
      <c r="D2549" s="5" t="n">
        <v>240</v>
      </c>
      <c r="E2549" s="73">
        <f>B2549*D2549/10000</f>
        <v/>
      </c>
      <c r="F2549" s="74">
        <f>B2549/30.48</f>
        <v/>
      </c>
      <c r="G2549" s="74">
        <f>D2549/30.48</f>
        <v/>
      </c>
      <c r="H2549" s="615" t="n"/>
      <c r="N2549" s="211" t="n"/>
      <c r="Q2549" s="271" t="n"/>
      <c r="R2549" s="282" t="n"/>
    </row>
    <row r="2550" ht="18" customHeight="1" s="305">
      <c r="A2550" s="8" t="n">
        <v>3816</v>
      </c>
      <c r="B2550" s="5" t="n">
        <v>134</v>
      </c>
      <c r="C2550" s="72" t="inlineStr">
        <is>
          <t>X</t>
        </is>
      </c>
      <c r="D2550" s="5" t="n">
        <v>272</v>
      </c>
      <c r="E2550" s="73">
        <f>B2550*D2550/10000</f>
        <v/>
      </c>
      <c r="F2550" s="74">
        <f>B2550/30.48</f>
        <v/>
      </c>
      <c r="G2550" s="74">
        <f>D2550/30.48</f>
        <v/>
      </c>
      <c r="H2550" s="615" t="n"/>
      <c r="N2550" s="211" t="n"/>
      <c r="Q2550" s="271" t="n"/>
      <c r="R2550" s="282" t="n"/>
    </row>
    <row r="2551" ht="18" customHeight="1" s="305">
      <c r="A2551" s="8" t="n">
        <v>3819</v>
      </c>
      <c r="B2551" s="5" t="n">
        <v>205</v>
      </c>
      <c r="C2551" s="72" t="inlineStr">
        <is>
          <t>X</t>
        </is>
      </c>
      <c r="D2551" s="5" t="n">
        <v>282</v>
      </c>
      <c r="E2551" s="73">
        <f>B2551*D2551/10000</f>
        <v/>
      </c>
      <c r="F2551" s="74">
        <f>B2551/30.48</f>
        <v/>
      </c>
      <c r="G2551" s="74">
        <f>D2551/30.48</f>
        <v/>
      </c>
      <c r="H2551" s="615" t="n"/>
      <c r="N2551" s="211" t="n"/>
      <c r="Q2551" s="271" t="n"/>
      <c r="R2551" s="282" t="n"/>
    </row>
    <row r="2552" ht="18" customHeight="1" s="305">
      <c r="A2552" s="8" t="n">
        <v>3822</v>
      </c>
      <c r="B2552" s="5" t="n">
        <v>207</v>
      </c>
      <c r="C2552" s="72" t="inlineStr">
        <is>
          <t>X</t>
        </is>
      </c>
      <c r="D2552" s="5" t="n">
        <v>312</v>
      </c>
      <c r="E2552" s="73">
        <f>B2552*D2552/10000</f>
        <v/>
      </c>
      <c r="F2552" s="74">
        <f>B2552/30.48</f>
        <v/>
      </c>
      <c r="G2552" s="74">
        <f>D2552/30.48</f>
        <v/>
      </c>
      <c r="H2552" s="615" t="n"/>
      <c r="N2552" s="211" t="n"/>
      <c r="Q2552" s="271" t="n"/>
      <c r="R2552" s="282" t="n"/>
    </row>
    <row r="2553" ht="18" customHeight="1" s="305">
      <c r="A2553" s="8" t="n">
        <v>3823</v>
      </c>
      <c r="B2553" s="5" t="n">
        <v>184</v>
      </c>
      <c r="C2553" s="72" t="inlineStr">
        <is>
          <t>X</t>
        </is>
      </c>
      <c r="D2553" s="5" t="n">
        <v>294</v>
      </c>
      <c r="E2553" s="73">
        <f>B2553*D2553/10000</f>
        <v/>
      </c>
      <c r="F2553" s="74">
        <f>B2553/30.48</f>
        <v/>
      </c>
      <c r="G2553" s="74">
        <f>D2553/30.48</f>
        <v/>
      </c>
      <c r="H2553" s="615" t="n"/>
      <c r="N2553" s="211" t="n"/>
      <c r="Q2553" s="271" t="n"/>
      <c r="R2553" s="282" t="n"/>
    </row>
    <row r="2554" ht="18" customHeight="1" s="305">
      <c r="A2554" s="8" t="n">
        <v>3824</v>
      </c>
      <c r="B2554" s="5" t="n">
        <v>200</v>
      </c>
      <c r="C2554" s="72" t="inlineStr">
        <is>
          <t>X</t>
        </is>
      </c>
      <c r="D2554" s="5" t="n">
        <v>289</v>
      </c>
      <c r="E2554" s="73">
        <f>B2554*D2554/10000</f>
        <v/>
      </c>
      <c r="F2554" s="74">
        <f>B2554/30.48</f>
        <v/>
      </c>
      <c r="G2554" s="74">
        <f>D2554/30.48</f>
        <v/>
      </c>
      <c r="H2554" s="615" t="n"/>
      <c r="N2554" s="211" t="n"/>
      <c r="Q2554" s="271" t="n"/>
      <c r="R2554" s="282" t="n"/>
    </row>
    <row r="2555" ht="18" customHeight="1" s="305">
      <c r="A2555" s="8" t="n">
        <v>3825</v>
      </c>
      <c r="B2555" s="5" t="n">
        <v>201</v>
      </c>
      <c r="C2555" s="72" t="inlineStr">
        <is>
          <t>X</t>
        </is>
      </c>
      <c r="D2555" s="5" t="n">
        <v>315</v>
      </c>
      <c r="E2555" s="73">
        <f>B2555*D2555/10000</f>
        <v/>
      </c>
      <c r="F2555" s="74">
        <f>B2555/30.48</f>
        <v/>
      </c>
      <c r="G2555" s="74">
        <f>D2555/30.48</f>
        <v/>
      </c>
      <c r="H2555" s="615" t="n"/>
      <c r="N2555" s="211" t="n"/>
      <c r="Q2555" s="271" t="n"/>
      <c r="R2555" s="282" t="n"/>
    </row>
    <row r="2556" ht="18" customHeight="1" s="305">
      <c r="A2556" s="8" t="n">
        <v>3826</v>
      </c>
      <c r="B2556" s="5" t="n">
        <v>79</v>
      </c>
      <c r="C2556" s="72" t="inlineStr">
        <is>
          <t>X</t>
        </is>
      </c>
      <c r="D2556" s="5" t="n">
        <v>363</v>
      </c>
      <c r="E2556" s="73">
        <f>B2556*D2556/10000</f>
        <v/>
      </c>
      <c r="F2556" s="74">
        <f>B2556/30.48</f>
        <v/>
      </c>
      <c r="G2556" s="74">
        <f>D2556/30.48</f>
        <v/>
      </c>
      <c r="H2556" s="615" t="n"/>
      <c r="N2556" s="211" t="n"/>
      <c r="Q2556" s="271" t="n"/>
      <c r="R2556" s="282" t="n"/>
    </row>
    <row r="2557" ht="18" customHeight="1" s="305">
      <c r="A2557" s="8" t="n">
        <v>3827</v>
      </c>
      <c r="B2557" s="5" t="n">
        <v>169</v>
      </c>
      <c r="C2557" s="72" t="inlineStr">
        <is>
          <t>X</t>
        </is>
      </c>
      <c r="D2557" s="5" t="n">
        <v>283</v>
      </c>
      <c r="E2557" s="73">
        <f>B2557*D2557/10000</f>
        <v/>
      </c>
      <c r="F2557" s="74">
        <f>B2557/30.48</f>
        <v/>
      </c>
      <c r="G2557" s="74">
        <f>D2557/30.48</f>
        <v/>
      </c>
      <c r="H2557" s="615" t="n"/>
      <c r="N2557" s="211" t="n"/>
      <c r="Q2557" s="271" t="n"/>
      <c r="R2557" s="282" t="n"/>
    </row>
    <row r="2558" ht="18" customHeight="1" s="305">
      <c r="A2558" s="8" t="n">
        <v>3828</v>
      </c>
      <c r="B2558" s="5" t="n">
        <v>208</v>
      </c>
      <c r="C2558" s="72" t="inlineStr">
        <is>
          <t>X</t>
        </is>
      </c>
      <c r="D2558" s="5" t="n">
        <v>288</v>
      </c>
      <c r="E2558" s="73">
        <f>B2558*D2558/10000</f>
        <v/>
      </c>
      <c r="F2558" s="74">
        <f>B2558/30.48</f>
        <v/>
      </c>
      <c r="G2558" s="74">
        <f>D2558/30.48</f>
        <v/>
      </c>
      <c r="H2558" s="615" t="n"/>
      <c r="N2558" s="211" t="n"/>
      <c r="Q2558" s="271" t="n"/>
      <c r="R2558" s="282" t="n"/>
    </row>
    <row r="2559" ht="18" customHeight="1" s="305">
      <c r="A2559" s="8" t="n">
        <v>3829</v>
      </c>
      <c r="B2559" s="5" t="n">
        <v>90</v>
      </c>
      <c r="C2559" s="72" t="inlineStr">
        <is>
          <t>X</t>
        </is>
      </c>
      <c r="D2559" s="5" t="n">
        <v>405</v>
      </c>
      <c r="E2559" s="73">
        <f>B2559*D2559/10000</f>
        <v/>
      </c>
      <c r="F2559" s="74">
        <f>B2559/30.48</f>
        <v/>
      </c>
      <c r="G2559" s="74">
        <f>D2559/30.48</f>
        <v/>
      </c>
      <c r="H2559" s="615" t="n"/>
      <c r="N2559" s="211" t="n"/>
      <c r="Q2559" s="271" t="n"/>
      <c r="R2559" s="282" t="n"/>
    </row>
    <row r="2560" ht="18" customHeight="1" s="305">
      <c r="A2560" s="8" t="n">
        <v>3831</v>
      </c>
      <c r="B2560" s="5" t="n">
        <v>100</v>
      </c>
      <c r="C2560" s="72" t="inlineStr">
        <is>
          <t>X</t>
        </is>
      </c>
      <c r="D2560" s="5" t="n">
        <v>428</v>
      </c>
      <c r="E2560" s="73">
        <f>B2560*D2560/10000</f>
        <v/>
      </c>
      <c r="F2560" s="74">
        <f>B2560/30.48</f>
        <v/>
      </c>
      <c r="G2560" s="74">
        <f>D2560/30.48</f>
        <v/>
      </c>
      <c r="H2560" s="615" t="n"/>
      <c r="N2560" s="211" t="n"/>
      <c r="Q2560" s="271" t="n"/>
      <c r="R2560" s="282" t="n"/>
    </row>
    <row r="2561" ht="18" customHeight="1" s="305">
      <c r="A2561" s="8" t="n">
        <v>3833</v>
      </c>
      <c r="B2561" s="5" t="n">
        <v>177</v>
      </c>
      <c r="C2561" s="72" t="inlineStr">
        <is>
          <t>X</t>
        </is>
      </c>
      <c r="D2561" s="5" t="n">
        <v>181</v>
      </c>
      <c r="E2561" s="73">
        <f>B2561*D2561/10000</f>
        <v/>
      </c>
      <c r="F2561" s="74">
        <f>B2561/30.48</f>
        <v/>
      </c>
      <c r="G2561" s="74">
        <f>D2561/30.48</f>
        <v/>
      </c>
      <c r="H2561" s="615" t="n"/>
      <c r="N2561" s="211" t="n"/>
      <c r="Q2561" s="271" t="n"/>
      <c r="R2561" s="282" t="n"/>
    </row>
    <row r="2562" ht="18" customHeight="1" s="305">
      <c r="A2562" s="8" t="n">
        <v>3834</v>
      </c>
      <c r="B2562" s="5" t="n">
        <v>112</v>
      </c>
      <c r="C2562" s="72" t="inlineStr">
        <is>
          <t>X</t>
        </is>
      </c>
      <c r="D2562" s="5" t="n">
        <v>203</v>
      </c>
      <c r="E2562" s="73">
        <f>B2562*D2562/10000</f>
        <v/>
      </c>
      <c r="F2562" s="74">
        <f>B2562/30.48</f>
        <v/>
      </c>
      <c r="G2562" s="74">
        <f>D2562/30.48</f>
        <v/>
      </c>
      <c r="H2562" s="615" t="n"/>
      <c r="N2562" s="211" t="n"/>
      <c r="Q2562" s="271" t="n"/>
      <c r="R2562" s="282" t="n"/>
    </row>
    <row r="2563" ht="18" customHeight="1" s="305">
      <c r="A2563" s="8" t="n">
        <v>3835</v>
      </c>
      <c r="B2563" s="5" t="n">
        <v>107</v>
      </c>
      <c r="C2563" s="72" t="inlineStr">
        <is>
          <t>X</t>
        </is>
      </c>
      <c r="D2563" s="5" t="n">
        <v>198</v>
      </c>
      <c r="E2563" s="73">
        <f>B2563*D2563/10000</f>
        <v/>
      </c>
      <c r="F2563" s="74">
        <f>B2563/30.48</f>
        <v/>
      </c>
      <c r="G2563" s="74">
        <f>D2563/30.48</f>
        <v/>
      </c>
      <c r="H2563" s="615" t="n"/>
      <c r="N2563" s="211" t="n"/>
      <c r="Q2563" s="271" t="n"/>
      <c r="R2563" s="282" t="n"/>
    </row>
    <row r="2564" ht="18" customHeight="1" s="305">
      <c r="A2564" s="8" t="n">
        <v>3836</v>
      </c>
      <c r="B2564" s="5" t="n">
        <v>197</v>
      </c>
      <c r="C2564" s="72" t="inlineStr">
        <is>
          <t>X</t>
        </is>
      </c>
      <c r="D2564" s="5" t="n">
        <v>317</v>
      </c>
      <c r="E2564" s="73">
        <f>B2564*D2564/10000</f>
        <v/>
      </c>
      <c r="F2564" s="74">
        <f>B2564/30.48</f>
        <v/>
      </c>
      <c r="G2564" s="74">
        <f>D2564/30.48</f>
        <v/>
      </c>
      <c r="H2564" s="615" t="n"/>
      <c r="N2564" s="211" t="n"/>
      <c r="Q2564" s="271" t="n"/>
      <c r="R2564" s="282" t="n"/>
    </row>
    <row r="2565" ht="18" customHeight="1" s="305">
      <c r="A2565" s="8" t="n">
        <v>3837</v>
      </c>
      <c r="B2565" s="5" t="n">
        <v>226</v>
      </c>
      <c r="C2565" s="72" t="inlineStr">
        <is>
          <t>X</t>
        </is>
      </c>
      <c r="D2565" s="5" t="n">
        <v>329</v>
      </c>
      <c r="E2565" s="73">
        <f>B2565*D2565/10000</f>
        <v/>
      </c>
      <c r="F2565" s="74">
        <f>B2565/30.48</f>
        <v/>
      </c>
      <c r="G2565" s="74">
        <f>D2565/30.48</f>
        <v/>
      </c>
      <c r="H2565" s="615" t="n"/>
      <c r="N2565" s="211" t="n"/>
      <c r="Q2565" s="271" t="n"/>
      <c r="R2565" s="282" t="n"/>
    </row>
    <row r="2566" ht="18" customHeight="1" s="305">
      <c r="A2566" s="8" t="n">
        <v>3839</v>
      </c>
      <c r="B2566" s="5" t="n">
        <v>205</v>
      </c>
      <c r="C2566" s="72" t="inlineStr">
        <is>
          <t>X</t>
        </is>
      </c>
      <c r="D2566" s="5" t="n">
        <v>323</v>
      </c>
      <c r="E2566" s="73">
        <f>B2566*D2566/10000</f>
        <v/>
      </c>
      <c r="F2566" s="74">
        <f>B2566/30.48</f>
        <v/>
      </c>
      <c r="G2566" s="74">
        <f>D2566/30.48</f>
        <v/>
      </c>
      <c r="H2566" s="615" t="n"/>
      <c r="N2566" s="211" t="n"/>
      <c r="Q2566" s="271" t="n"/>
      <c r="R2566" s="282" t="n"/>
    </row>
    <row r="2567" ht="18" customHeight="1" s="305">
      <c r="A2567" s="8" t="n">
        <v>3841</v>
      </c>
      <c r="B2567" s="5" t="n">
        <v>92</v>
      </c>
      <c r="C2567" s="72" t="inlineStr">
        <is>
          <t>X</t>
        </is>
      </c>
      <c r="D2567" s="5" t="n">
        <v>349</v>
      </c>
      <c r="E2567" s="73">
        <f>B2567*D2567/10000</f>
        <v/>
      </c>
      <c r="F2567" s="74">
        <f>B2567/30.48</f>
        <v/>
      </c>
      <c r="G2567" s="74">
        <f>D2567/30.48</f>
        <v/>
      </c>
      <c r="H2567" s="615" t="n"/>
      <c r="N2567" s="211" t="n"/>
      <c r="Q2567" s="271" t="n"/>
      <c r="R2567" s="282" t="n"/>
    </row>
    <row r="2568" ht="18" customHeight="1" s="305">
      <c r="A2568" s="8" t="n">
        <v>3842</v>
      </c>
      <c r="B2568" s="5" t="n">
        <v>79</v>
      </c>
      <c r="C2568" s="72" t="inlineStr">
        <is>
          <t>X</t>
        </is>
      </c>
      <c r="D2568" s="5" t="n">
        <v>184</v>
      </c>
      <c r="E2568" s="73">
        <f>B2568*D2568/10000</f>
        <v/>
      </c>
      <c r="F2568" s="74">
        <f>B2568/30.48</f>
        <v/>
      </c>
      <c r="G2568" s="74">
        <f>D2568/30.48</f>
        <v/>
      </c>
      <c r="H2568" s="615" t="n"/>
      <c r="N2568" s="211" t="n"/>
      <c r="Q2568" s="271" t="n"/>
      <c r="R2568" s="282" t="n"/>
    </row>
    <row r="2569" ht="18" customHeight="1" s="305">
      <c r="A2569" s="8" t="n">
        <v>3843</v>
      </c>
      <c r="B2569" s="5" t="n">
        <v>208</v>
      </c>
      <c r="C2569" s="72" t="inlineStr">
        <is>
          <t>X</t>
        </is>
      </c>
      <c r="D2569" s="5" t="n">
        <v>312</v>
      </c>
      <c r="E2569" s="73">
        <f>B2569*D2569/10000</f>
        <v/>
      </c>
      <c r="F2569" s="74">
        <f>B2569/30.48</f>
        <v/>
      </c>
      <c r="G2569" s="74">
        <f>D2569/30.48</f>
        <v/>
      </c>
      <c r="H2569" s="615" t="n"/>
      <c r="N2569" s="211" t="n"/>
      <c r="Q2569" s="271" t="n"/>
      <c r="R2569" s="282" t="n"/>
    </row>
    <row r="2570" ht="18" customHeight="1" s="305">
      <c r="A2570" s="8" t="n">
        <v>3846</v>
      </c>
      <c r="B2570" s="5" t="n">
        <v>242</v>
      </c>
      <c r="C2570" s="72" t="inlineStr">
        <is>
          <t>X</t>
        </is>
      </c>
      <c r="D2570" s="5" t="n">
        <v>329</v>
      </c>
      <c r="E2570" s="73">
        <f>B2570*D2570/10000</f>
        <v/>
      </c>
      <c r="F2570" s="74">
        <f>B2570/30.48</f>
        <v/>
      </c>
      <c r="G2570" s="74">
        <f>D2570/30.48</f>
        <v/>
      </c>
      <c r="H2570" s="615" t="n"/>
      <c r="N2570" s="211" t="n"/>
      <c r="Q2570" s="271" t="n"/>
      <c r="R2570" s="282" t="n"/>
    </row>
    <row r="2571" ht="18" customHeight="1" s="305">
      <c r="A2571" s="8" t="n">
        <v>3847</v>
      </c>
      <c r="B2571" s="5" t="n">
        <v>215</v>
      </c>
      <c r="C2571" s="72" t="inlineStr">
        <is>
          <t>X</t>
        </is>
      </c>
      <c r="D2571" s="5" t="n">
        <v>322</v>
      </c>
      <c r="E2571" s="73">
        <f>B2571*D2571/10000</f>
        <v/>
      </c>
      <c r="F2571" s="74">
        <f>B2571/30.48</f>
        <v/>
      </c>
      <c r="G2571" s="74">
        <f>D2571/30.48</f>
        <v/>
      </c>
      <c r="H2571" s="615" t="n"/>
      <c r="N2571" s="211" t="n"/>
      <c r="Q2571" s="271" t="n"/>
      <c r="R2571" s="282" t="n"/>
    </row>
    <row r="2572" ht="18" customHeight="1" s="305">
      <c r="A2572" s="8" t="n">
        <v>3851</v>
      </c>
      <c r="B2572" s="5" t="n">
        <v>204</v>
      </c>
      <c r="C2572" s="72" t="inlineStr">
        <is>
          <t>X</t>
        </is>
      </c>
      <c r="D2572" s="5" t="n">
        <v>309</v>
      </c>
      <c r="E2572" s="73">
        <f>B2572*D2572/10000</f>
        <v/>
      </c>
      <c r="F2572" s="74">
        <f>B2572/30.48</f>
        <v/>
      </c>
      <c r="G2572" s="74">
        <f>D2572/30.48</f>
        <v/>
      </c>
      <c r="H2572" s="615" t="n"/>
      <c r="N2572" s="211" t="n"/>
      <c r="Q2572" s="271" t="n"/>
      <c r="R2572" s="282" t="n"/>
    </row>
    <row r="2573" ht="18" customHeight="1" s="305">
      <c r="A2573" s="8" t="n">
        <v>3854</v>
      </c>
      <c r="B2573" s="5" t="n">
        <v>104</v>
      </c>
      <c r="C2573" s="72" t="inlineStr">
        <is>
          <t>X</t>
        </is>
      </c>
      <c r="D2573" s="5" t="n">
        <v>319</v>
      </c>
      <c r="E2573" s="73">
        <f>B2573*D2573/10000</f>
        <v/>
      </c>
      <c r="F2573" s="74">
        <f>B2573/30.48</f>
        <v/>
      </c>
      <c r="G2573" s="74">
        <f>D2573/30.48</f>
        <v/>
      </c>
      <c r="H2573" s="615" t="n"/>
      <c r="N2573" s="211" t="n"/>
      <c r="Q2573" s="271" t="n"/>
      <c r="R2573" s="282" t="n"/>
    </row>
    <row r="2574" ht="18" customHeight="1" s="305">
      <c r="A2574" s="8" t="n">
        <v>3855</v>
      </c>
      <c r="B2574" s="5" t="n">
        <v>120</v>
      </c>
      <c r="C2574" s="72" t="inlineStr">
        <is>
          <t>X</t>
        </is>
      </c>
      <c r="D2574" s="5" t="n">
        <v>216</v>
      </c>
      <c r="E2574" s="73">
        <f>B2574*D2574/10000</f>
        <v/>
      </c>
      <c r="F2574" s="74">
        <f>B2574/30.48</f>
        <v/>
      </c>
      <c r="G2574" s="74">
        <f>D2574/30.48</f>
        <v/>
      </c>
      <c r="H2574" s="615" t="n"/>
      <c r="N2574" s="211" t="n"/>
      <c r="Q2574" s="271" t="n"/>
      <c r="R2574" s="282" t="n"/>
    </row>
    <row r="2575" ht="18" customHeight="1" s="305">
      <c r="A2575" s="8" t="n">
        <v>3856</v>
      </c>
      <c r="B2575" s="5" t="n">
        <v>190</v>
      </c>
      <c r="C2575" s="72" t="inlineStr">
        <is>
          <t>X</t>
        </is>
      </c>
      <c r="D2575" s="5" t="n">
        <v>293</v>
      </c>
      <c r="E2575" s="73">
        <f>B2575*D2575/10000</f>
        <v/>
      </c>
      <c r="F2575" s="74">
        <f>B2575/30.48</f>
        <v/>
      </c>
      <c r="G2575" s="74">
        <f>D2575/30.48</f>
        <v/>
      </c>
      <c r="H2575" s="615" t="n"/>
      <c r="N2575" s="211" t="n"/>
      <c r="Q2575" s="271" t="n"/>
      <c r="R2575" s="282" t="n"/>
    </row>
    <row r="2576" ht="18" customHeight="1" s="305">
      <c r="A2576" s="8" t="n">
        <v>3860</v>
      </c>
      <c r="B2576" s="5" t="n">
        <v>189</v>
      </c>
      <c r="C2576" s="72" t="inlineStr">
        <is>
          <t>X</t>
        </is>
      </c>
      <c r="D2576" s="5" t="n">
        <v>277</v>
      </c>
      <c r="E2576" s="73">
        <f>B2576*D2576/10000</f>
        <v/>
      </c>
      <c r="F2576" s="74">
        <f>B2576/30.48</f>
        <v/>
      </c>
      <c r="G2576" s="74">
        <f>D2576/30.48</f>
        <v/>
      </c>
      <c r="H2576" s="615" t="n"/>
      <c r="N2576" s="211" t="n"/>
      <c r="Q2576" s="271" t="n"/>
      <c r="R2576" s="282" t="n"/>
    </row>
    <row r="2577" ht="18" customHeight="1" s="305">
      <c r="A2577" s="8" t="n">
        <v>3863</v>
      </c>
      <c r="B2577" s="5" t="n">
        <v>211</v>
      </c>
      <c r="C2577" s="72" t="inlineStr">
        <is>
          <t>X</t>
        </is>
      </c>
      <c r="D2577" s="5" t="n">
        <v>348</v>
      </c>
      <c r="E2577" s="73">
        <f>B2577*D2577/10000</f>
        <v/>
      </c>
      <c r="F2577" s="74">
        <f>B2577/30.48</f>
        <v/>
      </c>
      <c r="G2577" s="74">
        <f>D2577/30.48</f>
        <v/>
      </c>
      <c r="H2577" s="615" t="n"/>
      <c r="N2577" s="211" t="n"/>
      <c r="Q2577" s="271" t="n"/>
      <c r="R2577" s="282" t="n"/>
    </row>
    <row r="2578" ht="18" customHeight="1" s="305">
      <c r="A2578" s="8" t="n">
        <v>3864</v>
      </c>
      <c r="B2578" s="5" t="n">
        <v>206</v>
      </c>
      <c r="C2578" s="72" t="inlineStr">
        <is>
          <t>X</t>
        </is>
      </c>
      <c r="D2578" s="5" t="n">
        <v>314</v>
      </c>
      <c r="E2578" s="73">
        <f>B2578*D2578/10000</f>
        <v/>
      </c>
      <c r="F2578" s="74">
        <f>B2578/30.48</f>
        <v/>
      </c>
      <c r="G2578" s="74">
        <f>D2578/30.48</f>
        <v/>
      </c>
      <c r="H2578" s="615" t="n"/>
      <c r="N2578" s="211" t="n"/>
      <c r="Q2578" s="271" t="n"/>
      <c r="R2578" s="282" t="n"/>
    </row>
    <row r="2579" ht="18" customHeight="1" s="305">
      <c r="A2579" s="8" t="n">
        <v>3865</v>
      </c>
      <c r="B2579" s="5" t="n">
        <v>174</v>
      </c>
      <c r="C2579" s="72" t="inlineStr">
        <is>
          <t>X</t>
        </is>
      </c>
      <c r="D2579" s="5" t="n">
        <v>254</v>
      </c>
      <c r="E2579" s="73">
        <f>B2579*D2579/10000</f>
        <v/>
      </c>
      <c r="F2579" s="74">
        <f>B2579/30.48</f>
        <v/>
      </c>
      <c r="G2579" s="74">
        <f>D2579/30.48</f>
        <v/>
      </c>
      <c r="H2579" s="615" t="n"/>
      <c r="N2579" s="211" t="n"/>
      <c r="Q2579" s="271" t="n"/>
      <c r="R2579" s="282" t="n"/>
    </row>
    <row r="2580" ht="18" customHeight="1" s="305">
      <c r="A2580" s="8" t="n">
        <v>3866</v>
      </c>
      <c r="B2580" s="5" t="n">
        <v>99</v>
      </c>
      <c r="C2580" s="72" t="inlineStr">
        <is>
          <t>X</t>
        </is>
      </c>
      <c r="D2580" s="5" t="n">
        <v>285</v>
      </c>
      <c r="E2580" s="73">
        <f>B2580*D2580/10000</f>
        <v/>
      </c>
      <c r="F2580" s="74">
        <f>B2580/30.48</f>
        <v/>
      </c>
      <c r="G2580" s="74">
        <f>D2580/30.48</f>
        <v/>
      </c>
      <c r="H2580" s="615" t="n"/>
      <c r="N2580" s="211" t="n"/>
      <c r="Q2580" s="271" t="n"/>
      <c r="R2580" s="282" t="n"/>
    </row>
    <row r="2581" ht="18" customHeight="1" s="305">
      <c r="A2581" s="8" t="n">
        <v>3868</v>
      </c>
      <c r="B2581" s="5" t="n">
        <v>161</v>
      </c>
      <c r="C2581" s="72" t="inlineStr">
        <is>
          <t>X</t>
        </is>
      </c>
      <c r="D2581" s="5" t="n">
        <v>280</v>
      </c>
      <c r="E2581" s="73">
        <f>B2581*D2581/10000</f>
        <v/>
      </c>
      <c r="F2581" s="74">
        <f>B2581/30.48</f>
        <v/>
      </c>
      <c r="G2581" s="74">
        <f>D2581/30.48</f>
        <v/>
      </c>
      <c r="H2581" s="615" t="n"/>
      <c r="N2581" s="211" t="n"/>
      <c r="Q2581" s="271" t="n"/>
      <c r="R2581" s="282" t="n"/>
    </row>
    <row r="2582" ht="18" customHeight="1" s="305">
      <c r="A2582" s="8" t="n">
        <v>3869</v>
      </c>
      <c r="B2582" s="5" t="n">
        <v>217</v>
      </c>
      <c r="C2582" s="72" t="inlineStr">
        <is>
          <t>X</t>
        </is>
      </c>
      <c r="D2582" s="5" t="n">
        <v>307</v>
      </c>
      <c r="E2582" s="73">
        <f>B2582*D2582/10000</f>
        <v/>
      </c>
      <c r="F2582" s="74">
        <f>B2582/30.48</f>
        <v/>
      </c>
      <c r="G2582" s="74">
        <f>D2582/30.48</f>
        <v/>
      </c>
      <c r="H2582" s="615" t="n"/>
      <c r="N2582" s="211" t="n"/>
      <c r="Q2582" s="271" t="n"/>
      <c r="R2582" s="282" t="n"/>
    </row>
    <row r="2583" ht="18" customHeight="1" s="305">
      <c r="A2583" s="8" t="n">
        <v>3870</v>
      </c>
      <c r="B2583" s="5" t="n">
        <v>205</v>
      </c>
      <c r="C2583" s="72" t="inlineStr">
        <is>
          <t>X</t>
        </is>
      </c>
      <c r="D2583" s="5" t="n">
        <v>306</v>
      </c>
      <c r="E2583" s="73">
        <f>B2583*D2583/10000</f>
        <v/>
      </c>
      <c r="F2583" s="74">
        <f>B2583/30.48</f>
        <v/>
      </c>
      <c r="G2583" s="74">
        <f>D2583/30.48</f>
        <v/>
      </c>
      <c r="H2583" s="615" t="n"/>
      <c r="N2583" s="211" t="n"/>
      <c r="Q2583" s="271" t="n"/>
      <c r="R2583" s="282" t="n"/>
    </row>
    <row r="2584" ht="18" customHeight="1" s="305">
      <c r="A2584" s="8" t="n">
        <v>3874</v>
      </c>
      <c r="B2584" s="5" t="n">
        <v>92</v>
      </c>
      <c r="C2584" s="72" t="inlineStr">
        <is>
          <t>X</t>
        </is>
      </c>
      <c r="D2584" s="5" t="n">
        <v>167</v>
      </c>
      <c r="E2584" s="73">
        <f>B2584*D2584/10000</f>
        <v/>
      </c>
      <c r="F2584" s="74">
        <f>B2584/30.48</f>
        <v/>
      </c>
      <c r="G2584" s="74">
        <f>D2584/30.48</f>
        <v/>
      </c>
      <c r="H2584" s="615" t="n"/>
      <c r="N2584" s="211" t="n"/>
      <c r="Q2584" s="271" t="n"/>
      <c r="R2584" s="282" t="n"/>
    </row>
    <row r="2585" ht="18" customHeight="1" s="305">
      <c r="A2585" s="8" t="n">
        <v>3875</v>
      </c>
      <c r="B2585" s="5" t="n">
        <v>108</v>
      </c>
      <c r="C2585" s="72" t="inlineStr">
        <is>
          <t>X</t>
        </is>
      </c>
      <c r="D2585" s="5" t="n">
        <v>88</v>
      </c>
      <c r="E2585" s="73">
        <f>B2585*D2585/10000</f>
        <v/>
      </c>
      <c r="F2585" s="74">
        <f>B2585/30.48</f>
        <v/>
      </c>
      <c r="G2585" s="74">
        <f>D2585/30.48</f>
        <v/>
      </c>
      <c r="H2585" s="615" t="n"/>
      <c r="N2585" s="211" t="n"/>
      <c r="Q2585" s="271" t="n"/>
      <c r="R2585" s="282" t="n"/>
    </row>
    <row r="2586" ht="18" customHeight="1" s="305">
      <c r="A2586" s="8" t="n">
        <v>3876</v>
      </c>
      <c r="B2586" s="5" t="n">
        <v>160</v>
      </c>
      <c r="C2586" s="72" t="inlineStr">
        <is>
          <t>X</t>
        </is>
      </c>
      <c r="D2586" s="5" t="n">
        <v>270</v>
      </c>
      <c r="E2586" s="73">
        <f>B2586*D2586/10000</f>
        <v/>
      </c>
      <c r="F2586" s="74">
        <f>B2586/30.48</f>
        <v/>
      </c>
      <c r="G2586" s="74">
        <f>D2586/30.48</f>
        <v/>
      </c>
      <c r="H2586" s="615" t="n"/>
      <c r="N2586" s="211" t="n"/>
      <c r="Q2586" s="271" t="n"/>
      <c r="R2586" s="282" t="n"/>
    </row>
    <row r="2587" ht="18" customHeight="1" s="305">
      <c r="A2587" s="8" t="n">
        <v>3877</v>
      </c>
      <c r="B2587" s="5" t="n">
        <v>194</v>
      </c>
      <c r="C2587" s="72" t="inlineStr">
        <is>
          <t>X</t>
        </is>
      </c>
      <c r="D2587" s="5" t="n">
        <v>328</v>
      </c>
      <c r="E2587" s="73">
        <f>B2587*D2587/10000</f>
        <v/>
      </c>
      <c r="F2587" s="74">
        <f>B2587/30.48</f>
        <v/>
      </c>
      <c r="G2587" s="74">
        <f>D2587/30.48</f>
        <v/>
      </c>
      <c r="H2587" s="615" t="n"/>
      <c r="N2587" s="211" t="n"/>
      <c r="Q2587" s="271" t="n"/>
      <c r="R2587" s="282" t="n"/>
    </row>
    <row r="2588" ht="18" customHeight="1" s="305">
      <c r="A2588" s="8" t="n">
        <v>3878</v>
      </c>
      <c r="B2588" s="5" t="n">
        <v>203</v>
      </c>
      <c r="C2588" s="72" t="inlineStr">
        <is>
          <t>X</t>
        </is>
      </c>
      <c r="D2588" s="5" t="n">
        <v>314</v>
      </c>
      <c r="E2588" s="73">
        <f>B2588*D2588/10000</f>
        <v/>
      </c>
      <c r="F2588" s="74">
        <f>B2588/30.48</f>
        <v/>
      </c>
      <c r="G2588" s="74">
        <f>D2588/30.48</f>
        <v/>
      </c>
      <c r="H2588" s="615" t="n"/>
      <c r="N2588" s="211" t="n"/>
      <c r="Q2588" s="271" t="n"/>
      <c r="R2588" s="282" t="n"/>
    </row>
    <row r="2589" ht="18" customHeight="1" s="305">
      <c r="A2589" s="8" t="n">
        <v>3879</v>
      </c>
      <c r="B2589" s="5" t="n">
        <v>148</v>
      </c>
      <c r="C2589" s="72" t="inlineStr">
        <is>
          <t>X</t>
        </is>
      </c>
      <c r="D2589" s="5" t="n">
        <v>275</v>
      </c>
      <c r="E2589" s="73">
        <f>B2589*D2589/10000</f>
        <v/>
      </c>
      <c r="F2589" s="74">
        <f>B2589/30.48</f>
        <v/>
      </c>
      <c r="G2589" s="74">
        <f>D2589/30.48</f>
        <v/>
      </c>
      <c r="H2589" s="615" t="n"/>
      <c r="N2589" s="211" t="n"/>
      <c r="Q2589" s="271" t="n"/>
      <c r="R2589" s="282" t="n"/>
    </row>
    <row r="2590" ht="18" customHeight="1" s="305">
      <c r="A2590" s="8" t="n">
        <v>3880</v>
      </c>
      <c r="B2590" s="5" t="n">
        <v>219</v>
      </c>
      <c r="C2590" s="72" t="inlineStr">
        <is>
          <t>X</t>
        </is>
      </c>
      <c r="D2590" s="5" t="n">
        <v>294</v>
      </c>
      <c r="E2590" s="73">
        <f>B2590*D2590/10000</f>
        <v/>
      </c>
      <c r="F2590" s="74">
        <f>B2590/30.48</f>
        <v/>
      </c>
      <c r="G2590" s="74">
        <f>D2590/30.48</f>
        <v/>
      </c>
      <c r="H2590" s="615" t="n"/>
      <c r="N2590" s="211" t="n"/>
      <c r="Q2590" s="271" t="n"/>
      <c r="R2590" s="282" t="n"/>
    </row>
    <row r="2591" ht="18" customHeight="1" s="305">
      <c r="A2591" s="8" t="n">
        <v>3881</v>
      </c>
      <c r="B2591" s="5" t="n">
        <v>121</v>
      </c>
      <c r="C2591" s="72" t="inlineStr">
        <is>
          <t>X</t>
        </is>
      </c>
      <c r="D2591" s="5" t="n">
        <v>166</v>
      </c>
      <c r="E2591" s="73">
        <f>B2591*D2591/10000</f>
        <v/>
      </c>
      <c r="F2591" s="74">
        <f>B2591/30.48</f>
        <v/>
      </c>
      <c r="G2591" s="74">
        <f>D2591/30.48</f>
        <v/>
      </c>
      <c r="H2591" s="615" t="n"/>
      <c r="N2591" s="211" t="n"/>
      <c r="Q2591" s="271" t="n"/>
      <c r="R2591" s="282" t="n"/>
    </row>
    <row r="2592" ht="18" customHeight="1" s="305">
      <c r="A2592" s="8" t="n">
        <v>3882</v>
      </c>
      <c r="B2592" s="5" t="n">
        <v>92</v>
      </c>
      <c r="C2592" s="72" t="inlineStr">
        <is>
          <t>X</t>
        </is>
      </c>
      <c r="D2592" s="5" t="n">
        <v>324</v>
      </c>
      <c r="E2592" s="73">
        <f>B2592*D2592/10000</f>
        <v/>
      </c>
      <c r="F2592" s="74">
        <f>B2592/30.48</f>
        <v/>
      </c>
      <c r="G2592" s="74">
        <f>D2592/30.48</f>
        <v/>
      </c>
      <c r="H2592" s="615" t="n"/>
      <c r="N2592" s="211" t="n"/>
      <c r="Q2592" s="271" t="n"/>
      <c r="R2592" s="282" t="n"/>
    </row>
    <row r="2593" ht="18" customHeight="1" s="305">
      <c r="A2593" s="8" t="n">
        <v>3884</v>
      </c>
      <c r="B2593" s="5" t="n">
        <v>65</v>
      </c>
      <c r="C2593" s="72" t="inlineStr">
        <is>
          <t>X</t>
        </is>
      </c>
      <c r="D2593" s="5" t="n">
        <v>134</v>
      </c>
      <c r="E2593" s="73">
        <f>B2593*D2593/10000</f>
        <v/>
      </c>
      <c r="F2593" s="74">
        <f>B2593/30.48</f>
        <v/>
      </c>
      <c r="G2593" s="74">
        <f>D2593/30.48</f>
        <v/>
      </c>
      <c r="H2593" s="615" t="n"/>
      <c r="N2593" s="211" t="n"/>
      <c r="Q2593" s="271" t="n"/>
      <c r="R2593" s="282" t="n"/>
    </row>
    <row r="2594" ht="18" customHeight="1" s="305">
      <c r="A2594" s="8" t="n">
        <v>3885</v>
      </c>
      <c r="B2594" s="5" t="n">
        <v>89</v>
      </c>
      <c r="C2594" s="72" t="inlineStr">
        <is>
          <t>X</t>
        </is>
      </c>
      <c r="D2594" s="5" t="n">
        <v>318</v>
      </c>
      <c r="E2594" s="73">
        <f>B2594*D2594/10000</f>
        <v/>
      </c>
      <c r="F2594" s="74">
        <f>B2594/30.48</f>
        <v/>
      </c>
      <c r="G2594" s="74">
        <f>D2594/30.48</f>
        <v/>
      </c>
      <c r="H2594" s="615" t="n"/>
      <c r="N2594" s="211" t="n"/>
      <c r="Q2594" s="271" t="n"/>
      <c r="R2594" s="282" t="n"/>
    </row>
    <row r="2595" ht="18" customHeight="1" s="305">
      <c r="A2595" s="8" t="n">
        <v>3886</v>
      </c>
      <c r="B2595" s="5" t="n">
        <v>185</v>
      </c>
      <c r="C2595" s="72" t="inlineStr">
        <is>
          <t>X</t>
        </is>
      </c>
      <c r="D2595" s="5" t="n">
        <v>271</v>
      </c>
      <c r="E2595" s="73">
        <f>B2595*D2595/10000</f>
        <v/>
      </c>
      <c r="F2595" s="74">
        <f>B2595/30.48</f>
        <v/>
      </c>
      <c r="G2595" s="74">
        <f>D2595/30.48</f>
        <v/>
      </c>
      <c r="H2595" s="615" t="n"/>
      <c r="N2595" s="211" t="n"/>
      <c r="Q2595" s="271" t="n"/>
      <c r="R2595" s="282" t="n"/>
    </row>
    <row r="2596" ht="18" customHeight="1" s="305">
      <c r="A2596" s="8" t="n">
        <v>3890</v>
      </c>
      <c r="B2596" s="5" t="n">
        <v>145</v>
      </c>
      <c r="C2596" s="72" t="inlineStr">
        <is>
          <t>X</t>
        </is>
      </c>
      <c r="D2596" s="5" t="n">
        <v>250</v>
      </c>
      <c r="E2596" s="73">
        <f>B2596*D2596/10000</f>
        <v/>
      </c>
      <c r="F2596" s="74">
        <f>B2596/30.48</f>
        <v/>
      </c>
      <c r="G2596" s="74">
        <f>D2596/30.48</f>
        <v/>
      </c>
      <c r="H2596" s="615" t="n"/>
      <c r="N2596" s="211" t="n"/>
      <c r="Q2596" s="271" t="n"/>
      <c r="R2596" s="282" t="n"/>
    </row>
    <row r="2597" ht="18" customHeight="1" s="305">
      <c r="A2597" s="8" t="n">
        <v>3891</v>
      </c>
      <c r="B2597" s="5" t="n">
        <v>182</v>
      </c>
      <c r="C2597" s="72" t="inlineStr">
        <is>
          <t>X</t>
        </is>
      </c>
      <c r="D2597" s="5" t="n">
        <v>277</v>
      </c>
      <c r="E2597" s="73">
        <f>B2597*D2597/10000</f>
        <v/>
      </c>
      <c r="F2597" s="74">
        <f>B2597/30.48</f>
        <v/>
      </c>
      <c r="G2597" s="74">
        <f>D2597/30.48</f>
        <v/>
      </c>
      <c r="H2597" s="615" t="n"/>
      <c r="N2597" s="211" t="n"/>
      <c r="Q2597" s="271" t="n"/>
      <c r="R2597" s="282" t="n"/>
    </row>
    <row r="2598" ht="18" customHeight="1" s="305">
      <c r="A2598" s="8" t="n">
        <v>3892</v>
      </c>
      <c r="B2598" s="5" t="n">
        <v>205</v>
      </c>
      <c r="C2598" s="72" t="inlineStr">
        <is>
          <t>X</t>
        </is>
      </c>
      <c r="D2598" s="5" t="n">
        <v>327</v>
      </c>
      <c r="E2598" s="73">
        <f>B2598*D2598/10000</f>
        <v/>
      </c>
      <c r="F2598" s="74">
        <f>B2598/30.48</f>
        <v/>
      </c>
      <c r="G2598" s="74">
        <f>D2598/30.48</f>
        <v/>
      </c>
      <c r="H2598" s="615" t="n"/>
      <c r="N2598" s="211" t="n"/>
      <c r="Q2598" s="271" t="n"/>
      <c r="R2598" s="282" t="n"/>
    </row>
    <row r="2599" ht="18" customHeight="1" s="305">
      <c r="A2599" s="8" t="n">
        <v>3894</v>
      </c>
      <c r="B2599" s="5" t="n">
        <v>80</v>
      </c>
      <c r="C2599" s="72" t="inlineStr">
        <is>
          <t>X</t>
        </is>
      </c>
      <c r="D2599" s="5" t="n">
        <v>322</v>
      </c>
      <c r="E2599" s="73">
        <f>B2599*D2599/10000</f>
        <v/>
      </c>
      <c r="F2599" s="74">
        <f>B2599/30.48</f>
        <v/>
      </c>
      <c r="G2599" s="74">
        <f>D2599/30.48</f>
        <v/>
      </c>
      <c r="H2599" s="615" t="n"/>
      <c r="N2599" s="211" t="n"/>
      <c r="Q2599" s="271" t="n"/>
      <c r="R2599" s="282" t="n"/>
    </row>
    <row r="2600" ht="18" customHeight="1" s="305">
      <c r="A2600" s="8" t="n">
        <v>3895</v>
      </c>
      <c r="B2600" s="5" t="n">
        <v>79</v>
      </c>
      <c r="C2600" s="72" t="inlineStr">
        <is>
          <t>X</t>
        </is>
      </c>
      <c r="D2600" s="5" t="n">
        <v>258</v>
      </c>
      <c r="E2600" s="73">
        <f>B2600*D2600/10000</f>
        <v/>
      </c>
      <c r="F2600" s="74">
        <f>B2600/30.48</f>
        <v/>
      </c>
      <c r="G2600" s="74">
        <f>D2600/30.48</f>
        <v/>
      </c>
      <c r="H2600" s="615" t="n"/>
      <c r="N2600" s="211" t="n"/>
      <c r="Q2600" s="271" t="n"/>
      <c r="R2600" s="282" t="n"/>
    </row>
    <row r="2601" ht="18" customHeight="1" s="305">
      <c r="A2601" s="8" t="n">
        <v>3896</v>
      </c>
      <c r="B2601" s="5" t="n">
        <v>88</v>
      </c>
      <c r="C2601" s="72" t="inlineStr">
        <is>
          <t>X</t>
        </is>
      </c>
      <c r="D2601" s="5" t="n">
        <v>317</v>
      </c>
      <c r="E2601" s="73">
        <f>B2601*D2601/10000</f>
        <v/>
      </c>
      <c r="F2601" s="74">
        <f>B2601/30.48</f>
        <v/>
      </c>
      <c r="G2601" s="74">
        <f>D2601/30.48</f>
        <v/>
      </c>
      <c r="H2601" s="615" t="n"/>
      <c r="N2601" s="211" t="n"/>
      <c r="Q2601" s="271" t="n"/>
      <c r="R2601" s="282" t="n"/>
    </row>
    <row r="2602" ht="18" customHeight="1" s="305">
      <c r="A2602" s="8" t="n">
        <v>3897</v>
      </c>
      <c r="B2602" s="5" t="n">
        <v>110</v>
      </c>
      <c r="C2602" s="72" t="inlineStr">
        <is>
          <t>X</t>
        </is>
      </c>
      <c r="D2602" s="5" t="n">
        <v>201</v>
      </c>
      <c r="E2602" s="73">
        <f>B2602*D2602/10000</f>
        <v/>
      </c>
      <c r="F2602" s="74">
        <f>B2602/30.48</f>
        <v/>
      </c>
      <c r="G2602" s="74">
        <f>D2602/30.48</f>
        <v/>
      </c>
      <c r="H2602" s="615" t="n"/>
      <c r="N2602" s="211" t="n"/>
      <c r="Q2602" s="271" t="n"/>
      <c r="R2602" s="282" t="n"/>
    </row>
    <row r="2603" ht="18" customHeight="1" s="305">
      <c r="A2603" s="8" t="n">
        <v>3899</v>
      </c>
      <c r="B2603" s="5" t="n">
        <v>80</v>
      </c>
      <c r="C2603" s="72" t="inlineStr">
        <is>
          <t>X</t>
        </is>
      </c>
      <c r="D2603" s="5" t="n">
        <v>276</v>
      </c>
      <c r="E2603" s="73">
        <f>B2603*D2603/10000</f>
        <v/>
      </c>
      <c r="F2603" s="74">
        <f>B2603/30.48</f>
        <v/>
      </c>
      <c r="G2603" s="74">
        <f>D2603/30.48</f>
        <v/>
      </c>
      <c r="H2603" s="615" t="n"/>
      <c r="N2603" s="211" t="n"/>
      <c r="Q2603" s="271" t="n"/>
      <c r="R2603" s="282" t="n"/>
    </row>
    <row r="2604" ht="18" customHeight="1" s="305">
      <c r="A2604" s="8" t="n">
        <v>3901</v>
      </c>
      <c r="B2604" s="5" t="n">
        <v>71</v>
      </c>
      <c r="C2604" s="72" t="inlineStr">
        <is>
          <t>X</t>
        </is>
      </c>
      <c r="D2604" s="5" t="n">
        <v>204</v>
      </c>
      <c r="E2604" s="73">
        <f>B2604*D2604/10000</f>
        <v/>
      </c>
      <c r="F2604" s="74">
        <f>B2604/30.48</f>
        <v/>
      </c>
      <c r="G2604" s="74">
        <f>D2604/30.48</f>
        <v/>
      </c>
      <c r="H2604" s="615" t="n"/>
      <c r="N2604" s="211" t="n"/>
      <c r="Q2604" s="271" t="n"/>
      <c r="R2604" s="282" t="n"/>
    </row>
    <row r="2605" ht="18" customHeight="1" s="305">
      <c r="A2605" s="8" t="n">
        <v>3902</v>
      </c>
      <c r="B2605" s="5" t="n">
        <v>81</v>
      </c>
      <c r="C2605" s="72" t="inlineStr">
        <is>
          <t>X</t>
        </is>
      </c>
      <c r="D2605" s="5" t="n">
        <v>293</v>
      </c>
      <c r="E2605" s="73">
        <f>B2605*D2605/10000</f>
        <v/>
      </c>
      <c r="F2605" s="74">
        <f>B2605/30.48</f>
        <v/>
      </c>
      <c r="G2605" s="74">
        <f>D2605/30.48</f>
        <v/>
      </c>
      <c r="H2605" s="615" t="n"/>
      <c r="N2605" s="211" t="n"/>
      <c r="Q2605" s="271" t="n"/>
      <c r="R2605" s="282" t="n"/>
    </row>
    <row r="2606" ht="18" customHeight="1" s="305">
      <c r="A2606" s="8" t="n">
        <v>3903</v>
      </c>
      <c r="B2606" s="5" t="n">
        <v>63</v>
      </c>
      <c r="C2606" s="72" t="inlineStr">
        <is>
          <t>X</t>
        </is>
      </c>
      <c r="D2606" s="5" t="n">
        <v>327</v>
      </c>
      <c r="E2606" s="73">
        <f>B2606*D2606/10000</f>
        <v/>
      </c>
      <c r="F2606" s="74">
        <f>B2606/30.48</f>
        <v/>
      </c>
      <c r="G2606" s="74">
        <f>D2606/30.48</f>
        <v/>
      </c>
      <c r="H2606" s="615" t="n"/>
      <c r="N2606" s="211" t="n"/>
      <c r="Q2606" s="271" t="n"/>
      <c r="R2606" s="282" t="n"/>
    </row>
    <row r="2607" ht="18" customHeight="1" s="305">
      <c r="A2607" s="8" t="n">
        <v>3905</v>
      </c>
      <c r="B2607" s="5" t="n">
        <v>80</v>
      </c>
      <c r="C2607" s="72" t="inlineStr">
        <is>
          <t>X</t>
        </is>
      </c>
      <c r="D2607" s="5" t="n">
        <v>311</v>
      </c>
      <c r="E2607" s="73">
        <f>B2607*D2607/10000</f>
        <v/>
      </c>
      <c r="F2607" s="74">
        <f>B2607/30.48</f>
        <v/>
      </c>
      <c r="G2607" s="74">
        <f>D2607/30.48</f>
        <v/>
      </c>
      <c r="H2607" s="615" t="n"/>
      <c r="N2607" s="211" t="n"/>
      <c r="Q2607" s="271" t="n"/>
      <c r="R2607" s="282" t="n"/>
    </row>
    <row r="2608" ht="18" customHeight="1" s="305">
      <c r="A2608" s="8" t="n">
        <v>3906</v>
      </c>
      <c r="B2608" s="5" t="n">
        <v>80</v>
      </c>
      <c r="C2608" s="72" t="inlineStr">
        <is>
          <t>X</t>
        </is>
      </c>
      <c r="D2608" s="5" t="n">
        <v>288</v>
      </c>
      <c r="E2608" s="73">
        <f>B2608*D2608/10000</f>
        <v/>
      </c>
      <c r="F2608" s="74">
        <f>B2608/30.48</f>
        <v/>
      </c>
      <c r="G2608" s="74">
        <f>D2608/30.48</f>
        <v/>
      </c>
      <c r="H2608" s="615" t="n"/>
      <c r="N2608" s="211" t="n"/>
      <c r="Q2608" s="271" t="n"/>
      <c r="R2608" s="282" t="n"/>
    </row>
    <row r="2609" ht="18" customHeight="1" s="305">
      <c r="A2609" s="8" t="n">
        <v>3907</v>
      </c>
      <c r="B2609" s="5" t="n">
        <v>87</v>
      </c>
      <c r="C2609" s="72" t="inlineStr">
        <is>
          <t>X</t>
        </is>
      </c>
      <c r="D2609" s="5" t="n">
        <v>248</v>
      </c>
      <c r="E2609" s="73">
        <f>B2609*D2609/10000</f>
        <v/>
      </c>
      <c r="F2609" s="74">
        <f>B2609/30.48</f>
        <v/>
      </c>
      <c r="G2609" s="74">
        <f>D2609/30.48</f>
        <v/>
      </c>
      <c r="H2609" s="615" t="n"/>
      <c r="N2609" s="211" t="n"/>
      <c r="Q2609" s="271" t="n"/>
      <c r="R2609" s="282" t="n"/>
    </row>
    <row r="2610" ht="18" customHeight="1" s="305">
      <c r="A2610" s="8" t="n">
        <v>3908</v>
      </c>
      <c r="B2610" s="5" t="n">
        <v>114</v>
      </c>
      <c r="C2610" s="72" t="inlineStr">
        <is>
          <t>X</t>
        </is>
      </c>
      <c r="D2610" s="5" t="n">
        <v>214</v>
      </c>
      <c r="E2610" s="73">
        <f>B2610*D2610/10000</f>
        <v/>
      </c>
      <c r="F2610" s="74">
        <f>B2610/30.48</f>
        <v/>
      </c>
      <c r="G2610" s="74">
        <f>D2610/30.48</f>
        <v/>
      </c>
      <c r="H2610" s="615" t="n"/>
      <c r="N2610" s="211" t="n"/>
      <c r="Q2610" s="271" t="n"/>
      <c r="R2610" s="282" t="n"/>
    </row>
    <row r="2611" ht="18" customHeight="1" s="305">
      <c r="A2611" s="8" t="n">
        <v>3909</v>
      </c>
      <c r="B2611" s="5" t="n">
        <v>90</v>
      </c>
      <c r="C2611" s="72" t="inlineStr">
        <is>
          <t>X</t>
        </is>
      </c>
      <c r="D2611" s="5" t="n">
        <v>319</v>
      </c>
      <c r="E2611" s="73">
        <f>B2611*D2611/10000</f>
        <v/>
      </c>
      <c r="F2611" s="74">
        <f>B2611/30.48</f>
        <v/>
      </c>
      <c r="G2611" s="74">
        <f>D2611/30.48</f>
        <v/>
      </c>
      <c r="H2611" s="615" t="n"/>
      <c r="N2611" s="211" t="n"/>
      <c r="Q2611" s="271" t="n"/>
      <c r="R2611" s="282" t="n"/>
    </row>
    <row r="2612" ht="18" customHeight="1" s="305">
      <c r="A2612" s="8" t="n">
        <v>3910</v>
      </c>
      <c r="B2612" s="5" t="n">
        <v>70</v>
      </c>
      <c r="C2612" s="72" t="inlineStr">
        <is>
          <t>X</t>
        </is>
      </c>
      <c r="D2612" s="5" t="n">
        <v>368</v>
      </c>
      <c r="E2612" s="73">
        <f>B2612*D2612/10000</f>
        <v/>
      </c>
      <c r="F2612" s="74">
        <f>B2612/30.48</f>
        <v/>
      </c>
      <c r="G2612" s="74">
        <f>D2612/30.48</f>
        <v/>
      </c>
      <c r="H2612" s="615" t="n"/>
      <c r="N2612" s="211" t="n"/>
      <c r="Q2612" s="271" t="n"/>
      <c r="R2612" s="282" t="n"/>
    </row>
    <row r="2613" ht="18" customHeight="1" s="305">
      <c r="A2613" s="8" t="n">
        <v>3911</v>
      </c>
      <c r="B2613" s="5" t="n">
        <v>80</v>
      </c>
      <c r="C2613" s="72" t="inlineStr">
        <is>
          <t>X</t>
        </is>
      </c>
      <c r="D2613" s="5" t="n">
        <v>257</v>
      </c>
      <c r="E2613" s="73">
        <f>B2613*D2613/10000</f>
        <v/>
      </c>
      <c r="F2613" s="74">
        <f>B2613/30.48</f>
        <v/>
      </c>
      <c r="G2613" s="74">
        <f>D2613/30.48</f>
        <v/>
      </c>
      <c r="H2613" s="615" t="n"/>
      <c r="N2613" s="211" t="n"/>
      <c r="Q2613" s="271" t="n"/>
      <c r="R2613" s="282" t="n"/>
    </row>
    <row r="2614" ht="18" customHeight="1" s="305">
      <c r="A2614" s="8" t="n">
        <v>3913</v>
      </c>
      <c r="B2614" s="5" t="n">
        <v>114</v>
      </c>
      <c r="C2614" s="72" t="inlineStr">
        <is>
          <t>X</t>
        </is>
      </c>
      <c r="D2614" s="5" t="n">
        <v>200</v>
      </c>
      <c r="E2614" s="73">
        <f>B2614*D2614/10000</f>
        <v/>
      </c>
      <c r="F2614" s="74">
        <f>B2614/30.48</f>
        <v/>
      </c>
      <c r="G2614" s="74">
        <f>D2614/30.48</f>
        <v/>
      </c>
      <c r="H2614" s="615" t="n"/>
      <c r="N2614" s="211" t="n"/>
      <c r="Q2614" s="271" t="n"/>
      <c r="R2614" s="282" t="n"/>
    </row>
    <row r="2615" ht="18" customHeight="1" s="305">
      <c r="A2615" s="8" t="n">
        <v>3914</v>
      </c>
      <c r="B2615" s="5" t="n">
        <v>111</v>
      </c>
      <c r="C2615" s="72" t="inlineStr">
        <is>
          <t>X</t>
        </is>
      </c>
      <c r="D2615" s="5" t="n">
        <v>206</v>
      </c>
      <c r="E2615" s="73">
        <f>B2615*D2615/10000</f>
        <v/>
      </c>
      <c r="F2615" s="74">
        <f>B2615/30.48</f>
        <v/>
      </c>
      <c r="G2615" s="74">
        <f>D2615/30.48</f>
        <v/>
      </c>
      <c r="H2615" s="615" t="n"/>
      <c r="N2615" s="211" t="n"/>
      <c r="Q2615" s="271" t="n"/>
      <c r="R2615" s="282" t="n"/>
    </row>
    <row r="2616" ht="18" customHeight="1" s="305">
      <c r="A2616" s="8" t="n">
        <v>3915</v>
      </c>
      <c r="B2616" s="5" t="n">
        <v>218</v>
      </c>
      <c r="C2616" s="72" t="inlineStr">
        <is>
          <t>X</t>
        </is>
      </c>
      <c r="D2616" s="5" t="n">
        <v>263</v>
      </c>
      <c r="E2616" s="73">
        <f>B2616*D2616/10000</f>
        <v/>
      </c>
      <c r="F2616" s="74">
        <f>B2616/30.48</f>
        <v/>
      </c>
      <c r="G2616" s="74">
        <f>D2616/30.48</f>
        <v/>
      </c>
      <c r="H2616" s="615" t="n"/>
      <c r="N2616" s="211" t="n"/>
      <c r="Q2616" s="271" t="n"/>
      <c r="R2616" s="282" t="n"/>
    </row>
    <row r="2617" ht="18" customHeight="1" s="305">
      <c r="A2617" s="8" t="n">
        <v>3916</v>
      </c>
      <c r="B2617" s="5" t="n">
        <v>80</v>
      </c>
      <c r="C2617" s="72" t="inlineStr">
        <is>
          <t>X</t>
        </is>
      </c>
      <c r="D2617" s="5" t="n">
        <v>261</v>
      </c>
      <c r="E2617" s="73">
        <f>B2617*D2617/10000</f>
        <v/>
      </c>
      <c r="F2617" s="74">
        <f>B2617/30.48</f>
        <v/>
      </c>
      <c r="G2617" s="74">
        <f>D2617/30.48</f>
        <v/>
      </c>
      <c r="H2617" s="615" t="n"/>
      <c r="N2617" s="211" t="n"/>
      <c r="Q2617" s="271" t="n"/>
      <c r="R2617" s="282" t="n"/>
    </row>
    <row r="2618" ht="18" customHeight="1" s="305">
      <c r="A2618" s="8" t="n">
        <v>3917</v>
      </c>
      <c r="B2618" s="5" t="n">
        <v>184</v>
      </c>
      <c r="C2618" s="72" t="inlineStr">
        <is>
          <t>X</t>
        </is>
      </c>
      <c r="D2618" s="5" t="n">
        <v>286</v>
      </c>
      <c r="E2618" s="73">
        <f>B2618*D2618/10000</f>
        <v/>
      </c>
      <c r="F2618" s="74">
        <f>B2618/30.48</f>
        <v/>
      </c>
      <c r="G2618" s="74">
        <f>D2618/30.48</f>
        <v/>
      </c>
      <c r="H2618" s="615" t="n"/>
      <c r="N2618" s="211" t="n"/>
      <c r="Q2618" s="271" t="n"/>
      <c r="R2618" s="282" t="n"/>
    </row>
    <row r="2619" ht="18" customHeight="1" s="305">
      <c r="A2619" s="8" t="n">
        <v>3919</v>
      </c>
      <c r="B2619" s="5" t="n">
        <v>153</v>
      </c>
      <c r="C2619" s="72" t="inlineStr">
        <is>
          <t>X</t>
        </is>
      </c>
      <c r="D2619" s="5" t="n">
        <v>287</v>
      </c>
      <c r="E2619" s="73">
        <f>B2619*D2619/10000</f>
        <v/>
      </c>
      <c r="F2619" s="74">
        <f>B2619/30.48</f>
        <v/>
      </c>
      <c r="G2619" s="74">
        <f>D2619/30.48</f>
        <v/>
      </c>
      <c r="H2619" s="615" t="n"/>
      <c r="N2619" s="211" t="n"/>
      <c r="Q2619" s="271" t="n"/>
      <c r="R2619" s="282" t="n"/>
    </row>
    <row r="2620" ht="18" customHeight="1" s="305">
      <c r="A2620" s="8" t="n">
        <v>3921</v>
      </c>
      <c r="B2620" s="5" t="n">
        <v>90</v>
      </c>
      <c r="C2620" s="72" t="inlineStr">
        <is>
          <t>X</t>
        </is>
      </c>
      <c r="D2620" s="5" t="n">
        <v>133</v>
      </c>
      <c r="E2620" s="73">
        <f>B2620*D2620/10000</f>
        <v/>
      </c>
      <c r="F2620" s="74">
        <f>B2620/30.48</f>
        <v/>
      </c>
      <c r="G2620" s="74">
        <f>D2620/30.48</f>
        <v/>
      </c>
      <c r="H2620" s="615" t="n"/>
      <c r="N2620" s="211" t="n"/>
      <c r="Q2620" s="271" t="n"/>
      <c r="R2620" s="282" t="n"/>
    </row>
    <row r="2621" ht="18" customHeight="1" s="305">
      <c r="A2621" s="8" t="n">
        <v>3922</v>
      </c>
      <c r="B2621" s="5" t="n">
        <v>63</v>
      </c>
      <c r="C2621" s="72" t="inlineStr">
        <is>
          <t>X</t>
        </is>
      </c>
      <c r="D2621" s="5" t="n">
        <v>162</v>
      </c>
      <c r="E2621" s="73">
        <f>B2621*D2621/10000</f>
        <v/>
      </c>
      <c r="F2621" s="74">
        <f>B2621/30.48</f>
        <v/>
      </c>
      <c r="G2621" s="74">
        <f>D2621/30.48</f>
        <v/>
      </c>
      <c r="H2621" s="615" t="n"/>
      <c r="N2621" s="211" t="n"/>
      <c r="Q2621" s="271" t="n"/>
      <c r="R2621" s="282" t="n"/>
    </row>
    <row r="2622" ht="18" customHeight="1" s="305">
      <c r="A2622" s="8" t="n">
        <v>3923</v>
      </c>
      <c r="B2622" s="5" t="n">
        <v>76</v>
      </c>
      <c r="C2622" s="72" t="inlineStr">
        <is>
          <t>X</t>
        </is>
      </c>
      <c r="D2622" s="5" t="n">
        <v>136</v>
      </c>
      <c r="E2622" s="73">
        <f>B2622*D2622/10000</f>
        <v/>
      </c>
      <c r="F2622" s="74">
        <f>B2622/30.48</f>
        <v/>
      </c>
      <c r="G2622" s="74">
        <f>D2622/30.48</f>
        <v/>
      </c>
      <c r="H2622" s="615" t="n"/>
      <c r="N2622" s="211" t="n"/>
      <c r="Q2622" s="271" t="n"/>
      <c r="R2622" s="282" t="n"/>
    </row>
    <row r="2623" ht="18" customHeight="1" s="305">
      <c r="A2623" s="8" t="n">
        <v>3925</v>
      </c>
      <c r="B2623" s="5" t="n">
        <v>114</v>
      </c>
      <c r="C2623" s="72" t="inlineStr">
        <is>
          <t>X</t>
        </is>
      </c>
      <c r="D2623" s="5" t="n">
        <v>205</v>
      </c>
      <c r="E2623" s="73">
        <f>B2623*D2623/10000</f>
        <v/>
      </c>
      <c r="F2623" s="74">
        <f>B2623/30.48</f>
        <v/>
      </c>
      <c r="G2623" s="74">
        <f>D2623/30.48</f>
        <v/>
      </c>
      <c r="H2623" s="615" t="n"/>
      <c r="N2623" s="211" t="n"/>
      <c r="Q2623" s="271" t="n"/>
      <c r="R2623" s="282" t="n"/>
    </row>
    <row r="2624" ht="18" customHeight="1" s="305">
      <c r="A2624" s="8" t="n">
        <v>3926</v>
      </c>
      <c r="B2624" s="5" t="n">
        <v>103</v>
      </c>
      <c r="C2624" s="72" t="inlineStr">
        <is>
          <t>X</t>
        </is>
      </c>
      <c r="D2624" s="5" t="n">
        <v>208</v>
      </c>
      <c r="E2624" s="73">
        <f>B2624*D2624/10000</f>
        <v/>
      </c>
      <c r="F2624" s="74">
        <f>B2624/30.48</f>
        <v/>
      </c>
      <c r="G2624" s="74">
        <f>D2624/30.48</f>
        <v/>
      </c>
      <c r="H2624" s="615" t="n"/>
      <c r="N2624" s="211" t="n"/>
      <c r="Q2624" s="271" t="n"/>
      <c r="R2624" s="282" t="n"/>
    </row>
    <row r="2625" ht="18" customHeight="1" s="305">
      <c r="A2625" s="8" t="n">
        <v>3927</v>
      </c>
      <c r="B2625" s="5" t="n">
        <v>110</v>
      </c>
      <c r="C2625" s="72" t="inlineStr">
        <is>
          <t>X</t>
        </is>
      </c>
      <c r="D2625" s="5" t="n">
        <v>203</v>
      </c>
      <c r="E2625" s="73">
        <f>B2625*D2625/10000</f>
        <v/>
      </c>
      <c r="F2625" s="74">
        <f>B2625/30.48</f>
        <v/>
      </c>
      <c r="G2625" s="74">
        <f>D2625/30.48</f>
        <v/>
      </c>
      <c r="H2625" s="615" t="n"/>
      <c r="N2625" s="211" t="n"/>
      <c r="Q2625" s="271" t="n"/>
      <c r="R2625" s="282" t="n"/>
    </row>
    <row r="2626" ht="18" customHeight="1" s="305">
      <c r="A2626" s="8" t="n">
        <v>3929</v>
      </c>
      <c r="B2626" s="5" t="n">
        <v>108</v>
      </c>
      <c r="C2626" s="72" t="inlineStr">
        <is>
          <t>X</t>
        </is>
      </c>
      <c r="D2626" s="5" t="n">
        <v>194</v>
      </c>
      <c r="E2626" s="73">
        <f>B2626*D2626/10000</f>
        <v/>
      </c>
      <c r="F2626" s="74">
        <f>B2626/30.48</f>
        <v/>
      </c>
      <c r="G2626" s="74">
        <f>D2626/30.48</f>
        <v/>
      </c>
      <c r="H2626" s="615" t="n"/>
      <c r="N2626" s="211" t="n"/>
      <c r="Q2626" s="271" t="n"/>
      <c r="R2626" s="282" t="n"/>
    </row>
    <row r="2627" ht="18" customHeight="1" s="305">
      <c r="A2627" s="8" t="n">
        <v>3930</v>
      </c>
      <c r="B2627" s="5" t="n">
        <v>70</v>
      </c>
      <c r="C2627" s="72" t="inlineStr">
        <is>
          <t>X</t>
        </is>
      </c>
      <c r="D2627" s="5" t="n">
        <v>234</v>
      </c>
      <c r="E2627" s="73">
        <f>B2627*D2627/10000</f>
        <v/>
      </c>
      <c r="F2627" s="74">
        <f>B2627/30.48</f>
        <v/>
      </c>
      <c r="G2627" s="74">
        <f>D2627/30.48</f>
        <v/>
      </c>
      <c r="H2627" s="615" t="n"/>
      <c r="N2627" s="211" t="n"/>
      <c r="Q2627" s="271" t="n"/>
      <c r="R2627" s="282" t="n"/>
    </row>
    <row r="2628" ht="18" customHeight="1" s="305">
      <c r="A2628" s="8" t="n">
        <v>3931</v>
      </c>
      <c r="B2628" s="5" t="n">
        <v>120</v>
      </c>
      <c r="C2628" s="72" t="inlineStr">
        <is>
          <t>X</t>
        </is>
      </c>
      <c r="D2628" s="5" t="n">
        <v>240</v>
      </c>
      <c r="E2628" s="73">
        <f>B2628*D2628/10000</f>
        <v/>
      </c>
      <c r="F2628" s="74">
        <f>B2628/30.48</f>
        <v/>
      </c>
      <c r="G2628" s="74">
        <f>D2628/30.48</f>
        <v/>
      </c>
      <c r="H2628" s="615" t="n"/>
      <c r="N2628" s="211" t="n"/>
      <c r="Q2628" s="271" t="n"/>
      <c r="R2628" s="282" t="n"/>
    </row>
    <row r="2629" ht="18" customHeight="1" s="305">
      <c r="A2629" s="8" t="n">
        <v>3932</v>
      </c>
      <c r="B2629" s="5" t="n">
        <v>87</v>
      </c>
      <c r="C2629" s="72" t="inlineStr">
        <is>
          <t>X</t>
        </is>
      </c>
      <c r="D2629" s="5" t="n">
        <v>291</v>
      </c>
      <c r="E2629" s="73">
        <f>B2629*D2629/10000</f>
        <v/>
      </c>
      <c r="F2629" s="74">
        <f>B2629/30.48</f>
        <v/>
      </c>
      <c r="G2629" s="74">
        <f>D2629/30.48</f>
        <v/>
      </c>
      <c r="H2629" s="615" t="n"/>
      <c r="N2629" s="211" t="n"/>
      <c r="Q2629" s="271" t="n"/>
      <c r="R2629" s="282" t="n"/>
    </row>
    <row r="2630" ht="18" customHeight="1" s="305">
      <c r="A2630" s="8" t="n">
        <v>3933</v>
      </c>
      <c r="B2630" s="5" t="n">
        <v>154</v>
      </c>
      <c r="C2630" s="72" t="inlineStr">
        <is>
          <t>X</t>
        </is>
      </c>
      <c r="D2630" s="5" t="n">
        <v>287</v>
      </c>
      <c r="E2630" s="73">
        <f>B2630*D2630/10000</f>
        <v/>
      </c>
      <c r="F2630" s="74">
        <f>B2630/30.48</f>
        <v/>
      </c>
      <c r="G2630" s="74">
        <f>D2630/30.48</f>
        <v/>
      </c>
      <c r="H2630" s="615" t="n"/>
      <c r="N2630" s="211" t="n"/>
      <c r="Q2630" s="271" t="n"/>
      <c r="R2630" s="282" t="n"/>
    </row>
    <row r="2631" ht="18" customHeight="1" s="305">
      <c r="A2631" s="8" t="n">
        <v>3936</v>
      </c>
      <c r="B2631" s="5" t="n">
        <v>199</v>
      </c>
      <c r="C2631" s="72" t="inlineStr">
        <is>
          <t>X</t>
        </is>
      </c>
      <c r="D2631" s="5" t="n">
        <v>307</v>
      </c>
      <c r="E2631" s="73">
        <f>B2631*D2631/10000</f>
        <v/>
      </c>
      <c r="F2631" s="74">
        <f>B2631/30.48</f>
        <v/>
      </c>
      <c r="G2631" s="74">
        <f>D2631/30.48</f>
        <v/>
      </c>
      <c r="H2631" s="615" t="n"/>
      <c r="N2631" s="211" t="n"/>
      <c r="Q2631" s="271" t="n"/>
      <c r="R2631" s="282" t="n"/>
    </row>
    <row r="2632" ht="18" customHeight="1" s="305">
      <c r="A2632" s="8" t="n">
        <v>3937</v>
      </c>
      <c r="B2632" s="5" t="n">
        <v>237</v>
      </c>
      <c r="C2632" s="72" t="inlineStr">
        <is>
          <t>X</t>
        </is>
      </c>
      <c r="D2632" s="5" t="n">
        <v>298</v>
      </c>
      <c r="E2632" s="73">
        <f>B2632*D2632/10000</f>
        <v/>
      </c>
      <c r="F2632" s="74">
        <f>B2632/30.48</f>
        <v/>
      </c>
      <c r="G2632" s="74">
        <f>D2632/30.48</f>
        <v/>
      </c>
      <c r="H2632" s="615" t="n"/>
      <c r="N2632" s="211" t="n"/>
      <c r="Q2632" s="271" t="n"/>
      <c r="R2632" s="282" t="n"/>
    </row>
    <row r="2633" ht="18" customHeight="1" s="305">
      <c r="A2633" s="8" t="n">
        <v>3939</v>
      </c>
      <c r="B2633" s="5" t="n">
        <v>80</v>
      </c>
      <c r="C2633" s="72" t="inlineStr">
        <is>
          <t>X</t>
        </is>
      </c>
      <c r="D2633" s="5" t="n">
        <v>264</v>
      </c>
      <c r="E2633" s="73">
        <f>B2633*D2633/10000</f>
        <v/>
      </c>
      <c r="F2633" s="74">
        <f>B2633/30.48</f>
        <v/>
      </c>
      <c r="G2633" s="74">
        <f>D2633/30.48</f>
        <v/>
      </c>
      <c r="H2633" s="615" t="n"/>
      <c r="N2633" s="211" t="n"/>
      <c r="Q2633" s="271" t="n"/>
      <c r="R2633" s="282" t="n"/>
    </row>
    <row r="2634" ht="18" customHeight="1" s="305">
      <c r="A2634" s="8" t="n">
        <v>3940</v>
      </c>
      <c r="B2634" s="5" t="n">
        <v>110</v>
      </c>
      <c r="C2634" s="72" t="inlineStr">
        <is>
          <t>X</t>
        </is>
      </c>
      <c r="D2634" s="5" t="n">
        <v>197</v>
      </c>
      <c r="E2634" s="73">
        <f>B2634*D2634/10000</f>
        <v/>
      </c>
      <c r="F2634" s="74">
        <f>B2634/30.48</f>
        <v/>
      </c>
      <c r="G2634" s="74">
        <f>D2634/30.48</f>
        <v/>
      </c>
      <c r="H2634" s="615" t="n"/>
      <c r="N2634" s="211" t="n"/>
      <c r="Q2634" s="271" t="n"/>
      <c r="R2634" s="282" t="n"/>
    </row>
    <row r="2635" ht="18" customHeight="1" s="305">
      <c r="A2635" s="8" t="n">
        <v>3941</v>
      </c>
      <c r="B2635" s="5" t="n">
        <v>175</v>
      </c>
      <c r="C2635" s="72" t="inlineStr">
        <is>
          <t>X</t>
        </is>
      </c>
      <c r="D2635" s="5" t="n">
        <v>246</v>
      </c>
      <c r="E2635" s="73">
        <f>B2635*D2635/10000</f>
        <v/>
      </c>
      <c r="F2635" s="74">
        <f>B2635/30.48</f>
        <v/>
      </c>
      <c r="G2635" s="74">
        <f>D2635/30.48</f>
        <v/>
      </c>
      <c r="H2635" s="615" t="n"/>
      <c r="N2635" s="211" t="n"/>
      <c r="Q2635" s="271" t="n"/>
      <c r="R2635" s="282" t="n"/>
    </row>
    <row r="2636" ht="18" customHeight="1" s="305">
      <c r="A2636" s="8" t="n">
        <v>3942</v>
      </c>
      <c r="B2636" s="5" t="n">
        <v>212</v>
      </c>
      <c r="C2636" s="72" t="inlineStr">
        <is>
          <t>X</t>
        </is>
      </c>
      <c r="D2636" s="5" t="n">
        <v>286</v>
      </c>
      <c r="E2636" s="73">
        <f>B2636*D2636/10000</f>
        <v/>
      </c>
      <c r="F2636" s="74">
        <f>B2636/30.48</f>
        <v/>
      </c>
      <c r="G2636" s="74">
        <f>D2636/30.48</f>
        <v/>
      </c>
      <c r="H2636" s="615" t="n"/>
      <c r="N2636" s="211" t="n"/>
      <c r="Q2636" s="271" t="n"/>
      <c r="R2636" s="282" t="n"/>
    </row>
    <row r="2637" ht="18" customHeight="1" s="305">
      <c r="A2637" s="8" t="n">
        <v>3943</v>
      </c>
      <c r="B2637" s="5" t="n">
        <v>179</v>
      </c>
      <c r="C2637" s="72" t="inlineStr">
        <is>
          <t>X</t>
        </is>
      </c>
      <c r="D2637" s="5" t="n">
        <v>216</v>
      </c>
      <c r="E2637" s="73">
        <f>B2637*D2637/10000</f>
        <v/>
      </c>
      <c r="F2637" s="74">
        <f>B2637/30.48</f>
        <v/>
      </c>
      <c r="G2637" s="74">
        <f>D2637/30.48</f>
        <v/>
      </c>
      <c r="H2637" s="615" t="n"/>
      <c r="N2637" s="211" t="n"/>
      <c r="Q2637" s="271" t="n"/>
      <c r="R2637" s="282" t="n"/>
    </row>
    <row r="2638" ht="18" customHeight="1" s="305">
      <c r="A2638" s="8" t="n">
        <v>3944</v>
      </c>
      <c r="B2638" s="5" t="n">
        <v>59</v>
      </c>
      <c r="C2638" s="72" t="inlineStr">
        <is>
          <t>X</t>
        </is>
      </c>
      <c r="D2638" s="5" t="n">
        <v>123</v>
      </c>
      <c r="E2638" s="73">
        <f>B2638*D2638/10000</f>
        <v/>
      </c>
      <c r="F2638" s="74">
        <f>B2638/30.48</f>
        <v/>
      </c>
      <c r="G2638" s="74">
        <f>D2638/30.48</f>
        <v/>
      </c>
      <c r="H2638" s="615" t="n"/>
      <c r="N2638" s="211" t="n"/>
      <c r="Q2638" s="271" t="n"/>
      <c r="R2638" s="282" t="n"/>
    </row>
    <row r="2639" ht="18" customHeight="1" s="305">
      <c r="A2639" s="8" t="n">
        <v>3945</v>
      </c>
      <c r="B2639" s="5" t="n">
        <v>60</v>
      </c>
      <c r="C2639" s="72" t="inlineStr">
        <is>
          <t>X</t>
        </is>
      </c>
      <c r="D2639" s="5" t="n">
        <v>121</v>
      </c>
      <c r="E2639" s="73">
        <f>B2639*D2639/10000</f>
        <v/>
      </c>
      <c r="F2639" s="74">
        <f>B2639/30.48</f>
        <v/>
      </c>
      <c r="G2639" s="74">
        <f>D2639/30.48</f>
        <v/>
      </c>
      <c r="H2639" s="615" t="n"/>
      <c r="N2639" s="211" t="n"/>
      <c r="Q2639" s="271" t="n"/>
      <c r="R2639" s="282" t="n"/>
    </row>
    <row r="2640" ht="18" customHeight="1" s="305">
      <c r="A2640" s="8" t="n">
        <v>3946</v>
      </c>
      <c r="B2640" s="5" t="n">
        <v>194</v>
      </c>
      <c r="C2640" s="72" t="inlineStr">
        <is>
          <t>X</t>
        </is>
      </c>
      <c r="D2640" s="5" t="n">
        <v>301</v>
      </c>
      <c r="E2640" s="73">
        <f>B2640*D2640/10000</f>
        <v/>
      </c>
      <c r="F2640" s="74">
        <f>B2640/30.48</f>
        <v/>
      </c>
      <c r="G2640" s="74">
        <f>D2640/30.48</f>
        <v/>
      </c>
      <c r="H2640" s="615" t="n"/>
      <c r="N2640" s="211" t="n"/>
      <c r="Q2640" s="271" t="n"/>
      <c r="R2640" s="282" t="n"/>
    </row>
    <row r="2641" ht="18" customHeight="1" s="305">
      <c r="A2641" s="8" t="n">
        <v>3948</v>
      </c>
      <c r="B2641" s="5" t="n">
        <v>114</v>
      </c>
      <c r="C2641" s="72" t="inlineStr">
        <is>
          <t>X</t>
        </is>
      </c>
      <c r="D2641" s="5" t="n">
        <v>184</v>
      </c>
      <c r="E2641" s="73">
        <f>B2641*D2641/10000</f>
        <v/>
      </c>
      <c r="F2641" s="74">
        <f>B2641/30.48</f>
        <v/>
      </c>
      <c r="G2641" s="74">
        <f>D2641/30.48</f>
        <v/>
      </c>
      <c r="H2641" s="615" t="n"/>
      <c r="N2641" s="211" t="n"/>
      <c r="Q2641" s="271" t="n"/>
      <c r="R2641" s="282" t="n"/>
    </row>
    <row r="2642" ht="18" customHeight="1" s="305">
      <c r="A2642" s="8" t="n">
        <v>3949</v>
      </c>
      <c r="B2642" s="5" t="n">
        <v>116</v>
      </c>
      <c r="C2642" s="72" t="inlineStr">
        <is>
          <t>X</t>
        </is>
      </c>
      <c r="D2642" s="5" t="n">
        <v>192</v>
      </c>
      <c r="E2642" s="73">
        <f>B2642*D2642/10000</f>
        <v/>
      </c>
      <c r="F2642" s="74">
        <f>B2642/30.48</f>
        <v/>
      </c>
      <c r="G2642" s="74">
        <f>D2642/30.48</f>
        <v/>
      </c>
      <c r="H2642" s="615" t="n"/>
      <c r="N2642" s="211" t="n"/>
      <c r="Q2642" s="271" t="n"/>
      <c r="R2642" s="282" t="n"/>
    </row>
    <row r="2643" ht="18" customHeight="1" s="305">
      <c r="A2643" s="8" t="n">
        <v>3952</v>
      </c>
      <c r="B2643" s="5" t="n">
        <v>223</v>
      </c>
      <c r="C2643" s="72" t="inlineStr">
        <is>
          <t>X</t>
        </is>
      </c>
      <c r="D2643" s="5" t="n">
        <v>333</v>
      </c>
      <c r="E2643" s="73">
        <f>B2643*D2643/10000</f>
        <v/>
      </c>
      <c r="F2643" s="74">
        <f>B2643/30.48</f>
        <v/>
      </c>
      <c r="G2643" s="74">
        <f>D2643/30.48</f>
        <v/>
      </c>
      <c r="H2643" s="615" t="n"/>
      <c r="N2643" s="211" t="n"/>
      <c r="Q2643" s="271" t="n"/>
      <c r="R2643" s="282" t="n"/>
    </row>
    <row r="2644" ht="18" customHeight="1" s="305">
      <c r="A2644" s="8" t="n">
        <v>3953</v>
      </c>
      <c r="B2644" s="5" t="n">
        <v>180</v>
      </c>
      <c r="C2644" s="72" t="inlineStr">
        <is>
          <t>X</t>
        </is>
      </c>
      <c r="D2644" s="5" t="n">
        <v>302</v>
      </c>
      <c r="E2644" s="73">
        <f>B2644*D2644/10000</f>
        <v/>
      </c>
      <c r="F2644" s="74">
        <f>B2644/30.48</f>
        <v/>
      </c>
      <c r="G2644" s="74">
        <f>D2644/30.48</f>
        <v/>
      </c>
      <c r="H2644" s="615" t="n"/>
      <c r="N2644" s="211" t="n"/>
      <c r="Q2644" s="271" t="n"/>
      <c r="R2644" s="282" t="n"/>
    </row>
    <row r="2645" ht="18" customHeight="1" s="305">
      <c r="A2645" s="8" t="n">
        <v>3954</v>
      </c>
      <c r="B2645" s="5" t="n">
        <v>113</v>
      </c>
      <c r="C2645" s="72" t="inlineStr">
        <is>
          <t>X</t>
        </is>
      </c>
      <c r="D2645" s="5" t="n">
        <v>206</v>
      </c>
      <c r="E2645" s="73">
        <f>B2645*D2645/10000</f>
        <v/>
      </c>
      <c r="F2645" s="74">
        <f>B2645/30.48</f>
        <v/>
      </c>
      <c r="G2645" s="74">
        <f>D2645/30.48</f>
        <v/>
      </c>
      <c r="H2645" s="615" t="n"/>
      <c r="N2645" s="211" t="n"/>
      <c r="Q2645" s="271" t="n"/>
      <c r="R2645" s="282" t="n"/>
    </row>
    <row r="2646" ht="18" customHeight="1" s="305">
      <c r="A2646" s="8" t="n">
        <v>3955</v>
      </c>
      <c r="B2646" s="5" t="n">
        <v>160</v>
      </c>
      <c r="C2646" s="72" t="inlineStr">
        <is>
          <t>X</t>
        </is>
      </c>
      <c r="D2646" s="5" t="n">
        <v>286</v>
      </c>
      <c r="E2646" s="73">
        <f>B2646*D2646/10000</f>
        <v/>
      </c>
      <c r="F2646" s="74">
        <f>B2646/30.48</f>
        <v/>
      </c>
      <c r="G2646" s="74">
        <f>D2646/30.48</f>
        <v/>
      </c>
      <c r="H2646" s="615" t="n"/>
      <c r="N2646" s="211" t="n"/>
      <c r="Q2646" s="271" t="n"/>
      <c r="R2646" s="282" t="n"/>
    </row>
    <row r="2647" ht="18" customHeight="1" s="305">
      <c r="A2647" s="8" t="n">
        <v>3956</v>
      </c>
      <c r="B2647" s="5" t="n">
        <v>107</v>
      </c>
      <c r="C2647" s="72" t="inlineStr">
        <is>
          <t>X</t>
        </is>
      </c>
      <c r="D2647" s="5" t="n">
        <v>207</v>
      </c>
      <c r="E2647" s="73">
        <f>B2647*D2647/10000</f>
        <v/>
      </c>
      <c r="F2647" s="74">
        <f>B2647/30.48</f>
        <v/>
      </c>
      <c r="G2647" s="74">
        <f>D2647/30.48</f>
        <v/>
      </c>
      <c r="H2647" s="615" t="n"/>
      <c r="N2647" s="211" t="n"/>
      <c r="Q2647" s="271" t="n"/>
      <c r="R2647" s="282" t="n"/>
    </row>
    <row r="2648" ht="18" customHeight="1" s="305">
      <c r="A2648" s="8" t="n">
        <v>3957</v>
      </c>
      <c r="B2648" s="5" t="n">
        <v>115</v>
      </c>
      <c r="C2648" s="72" t="inlineStr">
        <is>
          <t>X</t>
        </is>
      </c>
      <c r="D2648" s="5" t="n">
        <v>196</v>
      </c>
      <c r="E2648" s="73">
        <f>B2648*D2648/10000</f>
        <v/>
      </c>
      <c r="F2648" s="74">
        <f>B2648/30.48</f>
        <v/>
      </c>
      <c r="G2648" s="74">
        <f>D2648/30.48</f>
        <v/>
      </c>
      <c r="H2648" s="615" t="n"/>
      <c r="N2648" s="211" t="n"/>
      <c r="Q2648" s="271" t="n"/>
      <c r="R2648" s="282" t="n"/>
    </row>
    <row r="2649" ht="18" customHeight="1" s="305">
      <c r="A2649" s="8" t="n">
        <v>3958</v>
      </c>
      <c r="B2649" s="5" t="n">
        <v>207</v>
      </c>
      <c r="C2649" s="72" t="inlineStr">
        <is>
          <t>X</t>
        </is>
      </c>
      <c r="D2649" s="5" t="n">
        <v>319</v>
      </c>
      <c r="E2649" s="73">
        <f>B2649*D2649/10000</f>
        <v/>
      </c>
      <c r="F2649" s="74">
        <f>B2649/30.48</f>
        <v/>
      </c>
      <c r="G2649" s="74">
        <f>D2649/30.48</f>
        <v/>
      </c>
      <c r="H2649" s="615" t="n"/>
      <c r="N2649" s="211" t="n"/>
      <c r="Q2649" s="271" t="n"/>
      <c r="R2649" s="282" t="n"/>
    </row>
    <row r="2650" ht="18" customHeight="1" s="305">
      <c r="A2650" s="8" t="n">
        <v>3959</v>
      </c>
      <c r="B2650" s="5" t="n">
        <v>173</v>
      </c>
      <c r="C2650" s="72" t="inlineStr">
        <is>
          <t>X</t>
        </is>
      </c>
      <c r="D2650" s="5" t="n">
        <v>275</v>
      </c>
      <c r="E2650" s="73">
        <f>B2650*D2650/10000</f>
        <v/>
      </c>
      <c r="F2650" s="74">
        <f>B2650/30.48</f>
        <v/>
      </c>
      <c r="G2650" s="74">
        <f>D2650/30.48</f>
        <v/>
      </c>
      <c r="H2650" s="615" t="n"/>
      <c r="N2650" s="211" t="n"/>
      <c r="Q2650" s="271" t="n"/>
      <c r="R2650" s="282" t="n"/>
    </row>
    <row r="2651" ht="18" customHeight="1" s="305">
      <c r="A2651" s="8" t="n">
        <v>3960</v>
      </c>
      <c r="B2651" s="5" t="n">
        <v>111</v>
      </c>
      <c r="C2651" s="72" t="inlineStr">
        <is>
          <t>X</t>
        </is>
      </c>
      <c r="D2651" s="5" t="n">
        <v>212</v>
      </c>
      <c r="E2651" s="73">
        <f>B2651*D2651/10000</f>
        <v/>
      </c>
      <c r="F2651" s="74">
        <f>B2651/30.48</f>
        <v/>
      </c>
      <c r="G2651" s="74">
        <f>D2651/30.48</f>
        <v/>
      </c>
      <c r="H2651" s="615" t="n"/>
      <c r="N2651" s="211" t="n"/>
      <c r="Q2651" s="271" t="n"/>
      <c r="R2651" s="282" t="n"/>
    </row>
    <row r="2652" ht="18" customHeight="1" s="305">
      <c r="A2652" s="8" t="n">
        <v>3961</v>
      </c>
      <c r="B2652" s="5" t="n">
        <v>162</v>
      </c>
      <c r="C2652" s="72" t="inlineStr">
        <is>
          <t>X</t>
        </is>
      </c>
      <c r="D2652" s="5" t="n">
        <v>268</v>
      </c>
      <c r="E2652" s="73">
        <f>B2652*D2652/10000</f>
        <v/>
      </c>
      <c r="F2652" s="74">
        <f>B2652/30.48</f>
        <v/>
      </c>
      <c r="G2652" s="74">
        <f>D2652/30.48</f>
        <v/>
      </c>
      <c r="H2652" s="615" t="n"/>
      <c r="N2652" s="211" t="n"/>
      <c r="Q2652" s="271" t="n"/>
      <c r="R2652" s="282" t="n"/>
    </row>
    <row r="2653" ht="18" customHeight="1" s="305">
      <c r="A2653" s="8" t="n">
        <v>3962</v>
      </c>
      <c r="B2653" s="5" t="n">
        <v>148</v>
      </c>
      <c r="C2653" s="72" t="inlineStr">
        <is>
          <t>X</t>
        </is>
      </c>
      <c r="D2653" s="5" t="n">
        <v>258</v>
      </c>
      <c r="E2653" s="73">
        <f>B2653*D2653/10000</f>
        <v/>
      </c>
      <c r="F2653" s="74">
        <f>B2653/30.48</f>
        <v/>
      </c>
      <c r="G2653" s="74">
        <f>D2653/30.48</f>
        <v/>
      </c>
      <c r="H2653" s="615" t="n"/>
      <c r="N2653" s="211" t="n"/>
      <c r="Q2653" s="271" t="n"/>
      <c r="R2653" s="282" t="n"/>
    </row>
    <row r="2654" ht="18" customHeight="1" s="305">
      <c r="A2654" s="8" t="n">
        <v>3963</v>
      </c>
      <c r="B2654" s="5" t="n">
        <v>80</v>
      </c>
      <c r="C2654" s="72" t="inlineStr">
        <is>
          <t>X</t>
        </is>
      </c>
      <c r="D2654" s="5" t="n">
        <v>318</v>
      </c>
      <c r="E2654" s="73">
        <f>B2654*D2654/10000</f>
        <v/>
      </c>
      <c r="F2654" s="74">
        <f>B2654/30.48</f>
        <v/>
      </c>
      <c r="G2654" s="74">
        <f>D2654/30.48</f>
        <v/>
      </c>
      <c r="H2654" s="615" t="n"/>
      <c r="N2654" s="211" t="n"/>
      <c r="Q2654" s="271" t="n"/>
      <c r="R2654" s="282" t="n"/>
    </row>
    <row r="2655" ht="18" customHeight="1" s="305">
      <c r="A2655" s="8" t="n">
        <v>3964</v>
      </c>
      <c r="B2655" s="5" t="n">
        <v>119</v>
      </c>
      <c r="C2655" s="72" t="inlineStr">
        <is>
          <t>X</t>
        </is>
      </c>
      <c r="D2655" s="5" t="n">
        <v>213</v>
      </c>
      <c r="E2655" s="73">
        <f>B2655*D2655/10000</f>
        <v/>
      </c>
      <c r="F2655" s="74">
        <f>B2655/30.48</f>
        <v/>
      </c>
      <c r="G2655" s="74">
        <f>D2655/30.48</f>
        <v/>
      </c>
      <c r="H2655" s="615" t="n"/>
      <c r="N2655" s="211" t="n"/>
      <c r="Q2655" s="271" t="n"/>
      <c r="R2655" s="282" t="n"/>
    </row>
    <row r="2656" ht="18" customHeight="1" s="305">
      <c r="A2656" s="8" t="n">
        <v>3965</v>
      </c>
      <c r="B2656" s="5" t="n">
        <v>216</v>
      </c>
      <c r="C2656" s="72" t="inlineStr">
        <is>
          <t>X</t>
        </is>
      </c>
      <c r="D2656" s="5" t="n">
        <v>292</v>
      </c>
      <c r="E2656" s="73">
        <f>B2656*D2656/10000</f>
        <v/>
      </c>
      <c r="F2656" s="74">
        <f>B2656/30.48</f>
        <v/>
      </c>
      <c r="G2656" s="74">
        <f>D2656/30.48</f>
        <v/>
      </c>
      <c r="H2656" s="615" t="n"/>
      <c r="N2656" s="211" t="n"/>
      <c r="Q2656" s="271" t="n"/>
      <c r="R2656" s="282" t="n"/>
    </row>
    <row r="2657" ht="18" customHeight="1" s="305">
      <c r="A2657" s="8" t="n">
        <v>3966</v>
      </c>
      <c r="B2657" s="5" t="n">
        <v>128</v>
      </c>
      <c r="C2657" s="72" t="inlineStr">
        <is>
          <t>X</t>
        </is>
      </c>
      <c r="D2657" s="5" t="n">
        <v>203</v>
      </c>
      <c r="E2657" s="73">
        <f>B2657*D2657/10000</f>
        <v/>
      </c>
      <c r="F2657" s="74">
        <f>B2657/30.48</f>
        <v/>
      </c>
      <c r="G2657" s="74">
        <f>D2657/30.48</f>
        <v/>
      </c>
      <c r="H2657" s="615" t="n"/>
      <c r="N2657" s="211" t="n"/>
      <c r="Q2657" s="271" t="n"/>
      <c r="R2657" s="282" t="n"/>
    </row>
    <row r="2658" ht="18" customHeight="1" s="305">
      <c r="A2658" s="8" t="n">
        <v>3968</v>
      </c>
      <c r="B2658" s="5" t="n">
        <v>216</v>
      </c>
      <c r="C2658" s="72" t="inlineStr">
        <is>
          <t>X</t>
        </is>
      </c>
      <c r="D2658" s="5" t="n">
        <v>334</v>
      </c>
      <c r="E2658" s="73">
        <f>B2658*D2658/10000</f>
        <v/>
      </c>
      <c r="F2658" s="74">
        <f>B2658/30.48</f>
        <v/>
      </c>
      <c r="G2658" s="74">
        <f>D2658/30.48</f>
        <v/>
      </c>
      <c r="H2658" s="615" t="n"/>
      <c r="N2658" s="211" t="n"/>
      <c r="Q2658" s="271" t="n"/>
      <c r="R2658" s="282" t="n"/>
    </row>
    <row r="2659" ht="18" customHeight="1" s="305">
      <c r="A2659" s="8" t="n">
        <v>3969</v>
      </c>
      <c r="B2659" s="5" t="n">
        <v>204</v>
      </c>
      <c r="C2659" s="72" t="inlineStr">
        <is>
          <t>X</t>
        </is>
      </c>
      <c r="D2659" s="5" t="n">
        <v>314</v>
      </c>
      <c r="E2659" s="73">
        <f>B2659*D2659/10000</f>
        <v/>
      </c>
      <c r="F2659" s="74">
        <f>B2659/30.48</f>
        <v/>
      </c>
      <c r="G2659" s="74">
        <f>D2659/30.48</f>
        <v/>
      </c>
      <c r="H2659" s="615" t="n"/>
      <c r="N2659" s="211" t="n"/>
      <c r="Q2659" s="271" t="n"/>
      <c r="R2659" s="282" t="n"/>
    </row>
    <row r="2660" ht="18" customHeight="1" s="305">
      <c r="A2660" s="8" t="n">
        <v>3970</v>
      </c>
      <c r="B2660" s="5" t="n">
        <v>201</v>
      </c>
      <c r="C2660" s="72" t="inlineStr">
        <is>
          <t>X</t>
        </is>
      </c>
      <c r="D2660" s="5" t="n">
        <v>322</v>
      </c>
      <c r="E2660" s="73">
        <f>B2660*D2660/10000</f>
        <v/>
      </c>
      <c r="F2660" s="74">
        <f>B2660/30.48</f>
        <v/>
      </c>
      <c r="G2660" s="74">
        <f>D2660/30.48</f>
        <v/>
      </c>
      <c r="H2660" s="615" t="n"/>
      <c r="N2660" s="211" t="n"/>
      <c r="Q2660" s="271" t="n"/>
      <c r="R2660" s="282" t="n"/>
    </row>
    <row r="2661" ht="18" customHeight="1" s="305">
      <c r="A2661" s="8" t="n">
        <v>3972</v>
      </c>
      <c r="B2661" s="5" t="n">
        <v>175</v>
      </c>
      <c r="C2661" s="72" t="inlineStr">
        <is>
          <t>X</t>
        </is>
      </c>
      <c r="D2661" s="5" t="n">
        <v>268</v>
      </c>
      <c r="E2661" s="73">
        <f>B2661*D2661/10000</f>
        <v/>
      </c>
      <c r="F2661" s="74">
        <f>B2661/30.48</f>
        <v/>
      </c>
      <c r="G2661" s="74">
        <f>D2661/30.48</f>
        <v/>
      </c>
      <c r="H2661" s="615" t="n"/>
      <c r="N2661" s="211" t="n"/>
      <c r="Q2661" s="271" t="n"/>
      <c r="R2661" s="282" t="n"/>
    </row>
    <row r="2662" ht="18" customHeight="1" s="305">
      <c r="A2662" s="8" t="n">
        <v>3973</v>
      </c>
      <c r="B2662" s="5" t="n">
        <v>199</v>
      </c>
      <c r="C2662" s="72" t="inlineStr">
        <is>
          <t>X</t>
        </is>
      </c>
      <c r="D2662" s="5" t="n">
        <v>294</v>
      </c>
      <c r="E2662" s="73">
        <f>B2662*D2662/10000</f>
        <v/>
      </c>
      <c r="F2662" s="74">
        <f>B2662/30.48</f>
        <v/>
      </c>
      <c r="G2662" s="74">
        <f>D2662/30.48</f>
        <v/>
      </c>
      <c r="H2662" s="615" t="n"/>
      <c r="N2662" s="211" t="n"/>
      <c r="Q2662" s="271" t="n"/>
      <c r="R2662" s="282" t="n"/>
    </row>
    <row r="2663" ht="18" customHeight="1" s="305">
      <c r="A2663" s="8" t="n">
        <v>3974</v>
      </c>
      <c r="B2663" s="5" t="n">
        <v>160</v>
      </c>
      <c r="C2663" s="72" t="inlineStr">
        <is>
          <t>X</t>
        </is>
      </c>
      <c r="D2663" s="5" t="n">
        <v>277</v>
      </c>
      <c r="E2663" s="73">
        <f>B2663*D2663/10000</f>
        <v/>
      </c>
      <c r="F2663" s="74">
        <f>B2663/30.48</f>
        <v/>
      </c>
      <c r="G2663" s="74">
        <f>D2663/30.48</f>
        <v/>
      </c>
      <c r="H2663" s="615" t="n"/>
      <c r="N2663" s="211" t="n"/>
      <c r="Q2663" s="271" t="n"/>
      <c r="R2663" s="282" t="n"/>
    </row>
    <row r="2664" ht="18" customHeight="1" s="305">
      <c r="A2664" s="8" t="n">
        <v>3975</v>
      </c>
      <c r="B2664" s="5" t="n">
        <v>251</v>
      </c>
      <c r="C2664" s="72" t="inlineStr">
        <is>
          <t>X</t>
        </is>
      </c>
      <c r="D2664" s="5" t="n">
        <v>377</v>
      </c>
      <c r="E2664" s="73">
        <f>B2664*D2664/10000</f>
        <v/>
      </c>
      <c r="F2664" s="74">
        <f>B2664/30.48</f>
        <v/>
      </c>
      <c r="G2664" s="74">
        <f>D2664/30.48</f>
        <v/>
      </c>
      <c r="H2664" s="615" t="n"/>
      <c r="N2664" s="211" t="n"/>
      <c r="Q2664" s="271" t="n"/>
      <c r="R2664" s="282" t="n"/>
    </row>
    <row r="2665" ht="18" customHeight="1" s="305">
      <c r="A2665" s="8" t="n">
        <v>3976</v>
      </c>
      <c r="B2665" s="5" t="n">
        <v>60</v>
      </c>
      <c r="C2665" s="72" t="inlineStr">
        <is>
          <t>X</t>
        </is>
      </c>
      <c r="D2665" s="5" t="n">
        <v>123</v>
      </c>
      <c r="E2665" s="73">
        <f>B2665*D2665/10000</f>
        <v/>
      </c>
      <c r="F2665" s="74">
        <f>B2665/30.48</f>
        <v/>
      </c>
      <c r="G2665" s="74">
        <f>D2665/30.48</f>
        <v/>
      </c>
      <c r="H2665" s="615" t="n"/>
      <c r="N2665" s="211" t="n"/>
      <c r="Q2665" s="271" t="n"/>
      <c r="R2665" s="282" t="n"/>
    </row>
    <row r="2666" ht="18" customHeight="1" s="305">
      <c r="A2666" s="8" t="n">
        <v>3978</v>
      </c>
      <c r="B2666" s="5" t="n">
        <v>164</v>
      </c>
      <c r="C2666" s="72" t="inlineStr">
        <is>
          <t>X</t>
        </is>
      </c>
      <c r="D2666" s="5" t="n">
        <v>296</v>
      </c>
      <c r="E2666" s="73">
        <f>B2666*D2666/10000</f>
        <v/>
      </c>
      <c r="F2666" s="74">
        <f>B2666/30.48</f>
        <v/>
      </c>
      <c r="G2666" s="74">
        <f>D2666/30.48</f>
        <v/>
      </c>
      <c r="H2666" s="615" t="n"/>
      <c r="N2666" s="211" t="n"/>
      <c r="Q2666" s="271" t="n"/>
      <c r="R2666" s="282" t="n"/>
    </row>
    <row r="2667" ht="18" customHeight="1" s="305">
      <c r="A2667" s="8" t="n">
        <v>3980</v>
      </c>
      <c r="B2667" s="5" t="n">
        <v>117</v>
      </c>
      <c r="C2667" s="72" t="inlineStr">
        <is>
          <t>X</t>
        </is>
      </c>
      <c r="D2667" s="5" t="n">
        <v>199</v>
      </c>
      <c r="E2667" s="73">
        <f>B2667*D2667/10000</f>
        <v/>
      </c>
      <c r="F2667" s="74">
        <f>B2667/30.48</f>
        <v/>
      </c>
      <c r="G2667" s="74">
        <f>D2667/30.48</f>
        <v/>
      </c>
      <c r="H2667" s="615" t="n"/>
      <c r="N2667" s="211" t="n"/>
      <c r="Q2667" s="271" t="n"/>
      <c r="R2667" s="282" t="n"/>
    </row>
    <row r="2668" ht="18" customHeight="1" s="305">
      <c r="A2668" s="8" t="n">
        <v>3981</v>
      </c>
      <c r="B2668" s="5" t="n">
        <v>167</v>
      </c>
      <c r="C2668" s="72" t="inlineStr">
        <is>
          <t>X</t>
        </is>
      </c>
      <c r="D2668" s="5" t="n">
        <v>265</v>
      </c>
      <c r="E2668" s="73">
        <f>B2668*D2668/10000</f>
        <v/>
      </c>
      <c r="F2668" s="74">
        <f>B2668/30.48</f>
        <v/>
      </c>
      <c r="G2668" s="74">
        <f>D2668/30.48</f>
        <v/>
      </c>
      <c r="H2668" s="615" t="n"/>
      <c r="N2668" s="211" t="n"/>
      <c r="Q2668" s="271" t="n"/>
      <c r="R2668" s="282" t="n"/>
    </row>
    <row r="2669" ht="18" customHeight="1" s="305">
      <c r="A2669" s="8" t="n">
        <v>3982</v>
      </c>
      <c r="B2669" s="5" t="n">
        <v>109</v>
      </c>
      <c r="C2669" s="72" t="inlineStr">
        <is>
          <t>X</t>
        </is>
      </c>
      <c r="D2669" s="5" t="n">
        <v>220</v>
      </c>
      <c r="E2669" s="73">
        <f>B2669*D2669/10000</f>
        <v/>
      </c>
      <c r="F2669" s="74">
        <f>B2669/30.48</f>
        <v/>
      </c>
      <c r="G2669" s="74">
        <f>D2669/30.48</f>
        <v/>
      </c>
      <c r="H2669" s="615" t="n"/>
      <c r="N2669" s="211" t="n"/>
      <c r="Q2669" s="271" t="n"/>
      <c r="R2669" s="282" t="n"/>
    </row>
    <row r="2670" ht="18" customHeight="1" s="305">
      <c r="A2670" s="8" t="n">
        <v>3983</v>
      </c>
      <c r="B2670" s="5" t="n">
        <v>80</v>
      </c>
      <c r="C2670" s="72" t="inlineStr">
        <is>
          <t>X</t>
        </is>
      </c>
      <c r="D2670" s="5" t="n">
        <v>195</v>
      </c>
      <c r="E2670" s="73">
        <f>B2670*D2670/10000</f>
        <v/>
      </c>
      <c r="F2670" s="74">
        <f>B2670/30.48</f>
        <v/>
      </c>
      <c r="G2670" s="74">
        <f>D2670/30.48</f>
        <v/>
      </c>
      <c r="H2670" s="615" t="n"/>
      <c r="N2670" s="211" t="n"/>
      <c r="Q2670" s="271" t="n"/>
      <c r="R2670" s="282" t="n"/>
    </row>
    <row r="2671" ht="18" customHeight="1" s="305">
      <c r="A2671" s="8" t="n">
        <v>3984</v>
      </c>
      <c r="B2671" s="5" t="n">
        <v>109</v>
      </c>
      <c r="C2671" s="72" t="inlineStr">
        <is>
          <t>X</t>
        </is>
      </c>
      <c r="D2671" s="5" t="n">
        <v>203</v>
      </c>
      <c r="E2671" s="73">
        <f>B2671*D2671/10000</f>
        <v/>
      </c>
      <c r="F2671" s="74">
        <f>B2671/30.48</f>
        <v/>
      </c>
      <c r="G2671" s="74">
        <f>D2671/30.48</f>
        <v/>
      </c>
      <c r="H2671" s="615" t="n"/>
      <c r="N2671" s="211" t="n"/>
      <c r="Q2671" s="271" t="n"/>
      <c r="R2671" s="282" t="n"/>
    </row>
    <row r="2672" ht="18" customHeight="1" s="305">
      <c r="A2672" s="8" t="n">
        <v>3985</v>
      </c>
      <c r="B2672" s="5" t="n">
        <v>125</v>
      </c>
      <c r="C2672" s="72" t="inlineStr">
        <is>
          <t>X</t>
        </is>
      </c>
      <c r="D2672" s="5" t="n">
        <v>214</v>
      </c>
      <c r="E2672" s="73">
        <f>B2672*D2672/10000</f>
        <v/>
      </c>
      <c r="F2672" s="74">
        <f>B2672/30.48</f>
        <v/>
      </c>
      <c r="G2672" s="74">
        <f>D2672/30.48</f>
        <v/>
      </c>
      <c r="H2672" s="615" t="n"/>
      <c r="N2672" s="211" t="n"/>
      <c r="Q2672" s="271" t="n"/>
      <c r="R2672" s="282" t="n"/>
    </row>
    <row r="2673" ht="18" customHeight="1" s="305">
      <c r="A2673" s="8" t="n">
        <v>3986</v>
      </c>
      <c r="B2673" s="5" t="n">
        <v>50</v>
      </c>
      <c r="C2673" s="72" t="inlineStr">
        <is>
          <t>X</t>
        </is>
      </c>
      <c r="D2673" s="5" t="n">
        <v>118</v>
      </c>
      <c r="E2673" s="73">
        <f>B2673*D2673/10000</f>
        <v/>
      </c>
      <c r="F2673" s="74">
        <f>B2673/30.48</f>
        <v/>
      </c>
      <c r="G2673" s="74">
        <f>D2673/30.48</f>
        <v/>
      </c>
      <c r="H2673" s="615" t="n"/>
      <c r="N2673" s="211" t="n"/>
      <c r="Q2673" s="271" t="n"/>
      <c r="R2673" s="282" t="n"/>
    </row>
    <row r="2674" ht="18" customHeight="1" s="305">
      <c r="A2674" s="8" t="n">
        <v>3987</v>
      </c>
      <c r="B2674" s="5" t="n">
        <v>60</v>
      </c>
      <c r="C2674" s="72" t="inlineStr">
        <is>
          <t>X</t>
        </is>
      </c>
      <c r="D2674" s="5" t="n">
        <v>120</v>
      </c>
      <c r="E2674" s="73">
        <f>B2674*D2674/10000</f>
        <v/>
      </c>
      <c r="F2674" s="74">
        <f>B2674/30.48</f>
        <v/>
      </c>
      <c r="G2674" s="74">
        <f>D2674/30.48</f>
        <v/>
      </c>
      <c r="H2674" s="615" t="n"/>
      <c r="N2674" s="211" t="n"/>
      <c r="Q2674" s="271" t="n"/>
      <c r="R2674" s="282" t="n"/>
    </row>
    <row r="2675" ht="18" customHeight="1" s="305">
      <c r="A2675" s="8" t="n">
        <v>3988</v>
      </c>
      <c r="B2675" s="5" t="n">
        <v>71</v>
      </c>
      <c r="C2675" s="72" t="inlineStr">
        <is>
          <t>X</t>
        </is>
      </c>
      <c r="D2675" s="5" t="n">
        <v>152</v>
      </c>
      <c r="E2675" s="73">
        <f>B2675*D2675/10000</f>
        <v/>
      </c>
      <c r="F2675" s="74">
        <f>B2675/30.48</f>
        <v/>
      </c>
      <c r="G2675" s="74">
        <f>D2675/30.48</f>
        <v/>
      </c>
      <c r="H2675" s="615" t="n"/>
      <c r="N2675" s="211" t="n"/>
      <c r="Q2675" s="271" t="n"/>
      <c r="R2675" s="282" t="n"/>
    </row>
    <row r="2676" ht="18" customHeight="1" s="305">
      <c r="A2676" s="8" t="n">
        <v>3989</v>
      </c>
      <c r="B2676" s="5" t="n">
        <v>61</v>
      </c>
      <c r="C2676" s="72" t="inlineStr">
        <is>
          <t>X</t>
        </is>
      </c>
      <c r="D2676" s="5" t="n">
        <v>125</v>
      </c>
      <c r="E2676" s="73">
        <f>B2676*D2676/10000</f>
        <v/>
      </c>
      <c r="F2676" s="74">
        <f>B2676/30.48</f>
        <v/>
      </c>
      <c r="G2676" s="74">
        <f>D2676/30.48</f>
        <v/>
      </c>
      <c r="H2676" s="615" t="n"/>
      <c r="N2676" s="211" t="n"/>
      <c r="Q2676" s="271" t="n"/>
      <c r="R2676" s="282" t="n"/>
    </row>
    <row r="2677" ht="18" customHeight="1" s="305">
      <c r="A2677" s="8" t="n">
        <v>3990</v>
      </c>
      <c r="B2677" s="5" t="n">
        <v>52</v>
      </c>
      <c r="C2677" s="72" t="inlineStr">
        <is>
          <t>X</t>
        </is>
      </c>
      <c r="D2677" s="5" t="n">
        <v>142</v>
      </c>
      <c r="E2677" s="73">
        <f>B2677*D2677/10000</f>
        <v/>
      </c>
      <c r="F2677" s="74">
        <f>B2677/30.48</f>
        <v/>
      </c>
      <c r="G2677" s="74">
        <f>D2677/30.48</f>
        <v/>
      </c>
      <c r="H2677" s="615" t="n"/>
      <c r="N2677" s="211" t="n"/>
      <c r="Q2677" s="271" t="n"/>
      <c r="R2677" s="282" t="n"/>
    </row>
    <row r="2678" ht="18" customHeight="1" s="305">
      <c r="A2678" s="8" t="n">
        <v>3991</v>
      </c>
      <c r="B2678" s="5" t="n">
        <v>190</v>
      </c>
      <c r="C2678" s="72" t="inlineStr">
        <is>
          <t>X</t>
        </is>
      </c>
      <c r="D2678" s="5" t="n">
        <v>294</v>
      </c>
      <c r="E2678" s="73">
        <f>B2678*D2678/10000</f>
        <v/>
      </c>
      <c r="F2678" s="74">
        <f>B2678/30.48</f>
        <v/>
      </c>
      <c r="G2678" s="74">
        <f>D2678/30.48</f>
        <v/>
      </c>
      <c r="H2678" s="615" t="n"/>
      <c r="N2678" s="211" t="n"/>
      <c r="Q2678" s="271" t="n"/>
      <c r="R2678" s="282" t="n"/>
    </row>
    <row r="2679" ht="18" customHeight="1" s="305">
      <c r="A2679" s="8" t="n">
        <v>3992</v>
      </c>
      <c r="B2679" s="5" t="n">
        <v>79</v>
      </c>
      <c r="C2679" s="72" t="inlineStr">
        <is>
          <t>X</t>
        </is>
      </c>
      <c r="D2679" s="5" t="n">
        <v>343</v>
      </c>
      <c r="E2679" s="73">
        <f>B2679*D2679/10000</f>
        <v/>
      </c>
      <c r="F2679" s="74">
        <f>B2679/30.48</f>
        <v/>
      </c>
      <c r="G2679" s="74">
        <f>D2679/30.48</f>
        <v/>
      </c>
      <c r="H2679" s="615" t="n"/>
      <c r="N2679" s="211" t="n"/>
      <c r="Q2679" s="271" t="n"/>
      <c r="R2679" s="282" t="n"/>
    </row>
    <row r="2680" ht="18" customHeight="1" s="305">
      <c r="A2680" s="8" t="n">
        <v>3993</v>
      </c>
      <c r="B2680" s="5" t="n">
        <v>65</v>
      </c>
      <c r="C2680" s="72" t="inlineStr">
        <is>
          <t>X</t>
        </is>
      </c>
      <c r="D2680" s="5" t="n">
        <v>288</v>
      </c>
      <c r="E2680" s="73">
        <f>B2680*D2680/10000</f>
        <v/>
      </c>
      <c r="F2680" s="74">
        <f>B2680/30.48</f>
        <v/>
      </c>
      <c r="G2680" s="74">
        <f>D2680/30.48</f>
        <v/>
      </c>
      <c r="H2680" s="615" t="n"/>
      <c r="N2680" s="211" t="n"/>
      <c r="Q2680" s="271" t="n"/>
      <c r="R2680" s="282" t="n"/>
    </row>
    <row r="2681" ht="18" customHeight="1" s="305">
      <c r="A2681" s="8" t="n">
        <v>3995</v>
      </c>
      <c r="B2681" s="5" t="n">
        <v>112</v>
      </c>
      <c r="C2681" s="72" t="inlineStr">
        <is>
          <t>X</t>
        </is>
      </c>
      <c r="D2681" s="5" t="n">
        <v>210</v>
      </c>
      <c r="E2681" s="73">
        <f>B2681*D2681/10000</f>
        <v/>
      </c>
      <c r="F2681" s="74">
        <f>B2681/30.48</f>
        <v/>
      </c>
      <c r="G2681" s="74">
        <f>D2681/30.48</f>
        <v/>
      </c>
      <c r="H2681" s="615" t="n"/>
      <c r="N2681" s="211" t="n"/>
      <c r="Q2681" s="271" t="n"/>
      <c r="R2681" s="282" t="n"/>
    </row>
    <row r="2682" ht="18" customHeight="1" s="305">
      <c r="A2682" s="8" t="n">
        <v>3997</v>
      </c>
      <c r="B2682" s="5" t="n">
        <v>113</v>
      </c>
      <c r="C2682" s="72" t="inlineStr">
        <is>
          <t>X</t>
        </is>
      </c>
      <c r="D2682" s="5" t="n">
        <v>206</v>
      </c>
      <c r="E2682" s="73">
        <f>B2682*D2682/10000</f>
        <v/>
      </c>
      <c r="F2682" s="74">
        <f>B2682/30.48</f>
        <v/>
      </c>
      <c r="G2682" s="74">
        <f>D2682/30.48</f>
        <v/>
      </c>
      <c r="H2682" s="615" t="n"/>
      <c r="N2682" s="211" t="n"/>
      <c r="Q2682" s="271" t="n"/>
      <c r="R2682" s="282" t="n"/>
    </row>
    <row r="2683" ht="18" customHeight="1" s="305">
      <c r="A2683" s="8" t="n">
        <v>3998</v>
      </c>
      <c r="B2683" s="5" t="n">
        <v>125</v>
      </c>
      <c r="C2683" s="72" t="inlineStr">
        <is>
          <t>X</t>
        </is>
      </c>
      <c r="D2683" s="5" t="n">
        <v>218</v>
      </c>
      <c r="E2683" s="73">
        <f>B2683*D2683/10000</f>
        <v/>
      </c>
      <c r="F2683" s="74">
        <f>B2683/30.48</f>
        <v/>
      </c>
      <c r="G2683" s="74">
        <f>D2683/30.48</f>
        <v/>
      </c>
      <c r="H2683" s="615" t="n"/>
      <c r="N2683" s="211" t="n"/>
      <c r="Q2683" s="271" t="n"/>
      <c r="R2683" s="282" t="n"/>
    </row>
    <row r="2684" ht="18" customHeight="1" s="305">
      <c r="A2684" s="8" t="n">
        <v>4000</v>
      </c>
      <c r="B2684" s="5" t="n">
        <v>80</v>
      </c>
      <c r="C2684" s="72" t="inlineStr">
        <is>
          <t>X</t>
        </is>
      </c>
      <c r="D2684" s="5" t="n">
        <v>235</v>
      </c>
      <c r="E2684" s="73">
        <f>B2684*D2684/10000</f>
        <v/>
      </c>
      <c r="F2684" s="74">
        <f>B2684/30.48</f>
        <v/>
      </c>
      <c r="G2684" s="74">
        <f>D2684/30.48</f>
        <v/>
      </c>
      <c r="H2684" s="615" t="n"/>
      <c r="N2684" s="211" t="n"/>
      <c r="Q2684" s="271" t="n"/>
      <c r="R2684" s="282" t="n"/>
    </row>
    <row r="2685" ht="18" customHeight="1" s="305">
      <c r="A2685" s="8" t="n">
        <v>4001</v>
      </c>
      <c r="B2685" s="5" t="n">
        <v>214</v>
      </c>
      <c r="C2685" s="72" t="inlineStr">
        <is>
          <t>X</t>
        </is>
      </c>
      <c r="D2685" s="5" t="n">
        <v>311</v>
      </c>
      <c r="E2685" s="73">
        <f>B2685*D2685/10000</f>
        <v/>
      </c>
      <c r="F2685" s="74">
        <f>B2685/30.48</f>
        <v/>
      </c>
      <c r="G2685" s="74">
        <f>D2685/30.48</f>
        <v/>
      </c>
      <c r="H2685" s="615" t="n"/>
      <c r="N2685" s="211" t="n"/>
      <c r="Q2685" s="271" t="n"/>
      <c r="R2685" s="282" t="n"/>
    </row>
    <row r="2686" ht="18" customHeight="1" s="305">
      <c r="A2686" s="8" t="n">
        <v>4003</v>
      </c>
      <c r="B2686" s="5" t="n">
        <v>190</v>
      </c>
      <c r="C2686" s="72" t="inlineStr">
        <is>
          <t>X</t>
        </is>
      </c>
      <c r="D2686" s="5" t="n">
        <v>288</v>
      </c>
      <c r="E2686" s="73">
        <f>B2686*D2686/10000</f>
        <v/>
      </c>
      <c r="F2686" s="74">
        <f>B2686/30.48</f>
        <v/>
      </c>
      <c r="G2686" s="74">
        <f>D2686/30.48</f>
        <v/>
      </c>
      <c r="H2686" s="615" t="n"/>
      <c r="N2686" s="211" t="n"/>
      <c r="Q2686" s="271" t="n"/>
      <c r="R2686" s="282" t="n"/>
    </row>
    <row r="2687" ht="18" customHeight="1" s="305">
      <c r="A2687" s="8" t="n">
        <v>4004</v>
      </c>
      <c r="B2687" s="5" t="n">
        <v>59</v>
      </c>
      <c r="C2687" s="72" t="inlineStr">
        <is>
          <t>X</t>
        </is>
      </c>
      <c r="D2687" s="5" t="n">
        <v>147</v>
      </c>
      <c r="E2687" s="73">
        <f>B2687*D2687/10000</f>
        <v/>
      </c>
      <c r="F2687" s="74">
        <f>B2687/30.48</f>
        <v/>
      </c>
      <c r="G2687" s="74">
        <f>D2687/30.48</f>
        <v/>
      </c>
      <c r="H2687" s="615" t="n"/>
      <c r="N2687" s="211" t="n"/>
      <c r="Q2687" s="271" t="n"/>
      <c r="R2687" s="282" t="n"/>
    </row>
    <row r="2688" ht="18" customHeight="1" s="305">
      <c r="A2688" s="8" t="n">
        <v>4005</v>
      </c>
      <c r="B2688" s="5" t="n">
        <v>61</v>
      </c>
      <c r="C2688" s="72" t="inlineStr">
        <is>
          <t>X</t>
        </is>
      </c>
      <c r="D2688" s="5" t="n">
        <v>137</v>
      </c>
      <c r="E2688" s="73">
        <f>B2688*D2688/10000</f>
        <v/>
      </c>
      <c r="F2688" s="74">
        <f>B2688/30.48</f>
        <v/>
      </c>
      <c r="G2688" s="74">
        <f>D2688/30.48</f>
        <v/>
      </c>
      <c r="H2688" s="615" t="n"/>
      <c r="N2688" s="211" t="n"/>
      <c r="Q2688" s="271" t="n"/>
      <c r="R2688" s="282" t="n"/>
    </row>
    <row r="2689" ht="18" customHeight="1" s="305">
      <c r="A2689" s="8" t="n">
        <v>4007</v>
      </c>
      <c r="B2689" s="5" t="n">
        <v>65</v>
      </c>
      <c r="C2689" s="72" t="inlineStr">
        <is>
          <t>X</t>
        </is>
      </c>
      <c r="D2689" s="5" t="n">
        <v>163</v>
      </c>
      <c r="E2689" s="73">
        <f>B2689*D2689/10000</f>
        <v/>
      </c>
      <c r="F2689" s="74">
        <f>B2689/30.48</f>
        <v/>
      </c>
      <c r="G2689" s="74">
        <f>D2689/30.48</f>
        <v/>
      </c>
      <c r="H2689" s="615" t="n"/>
      <c r="N2689" s="211" t="n"/>
      <c r="Q2689" s="271" t="n"/>
      <c r="R2689" s="282" t="n"/>
    </row>
    <row r="2690" ht="18" customHeight="1" s="305">
      <c r="A2690" s="8" t="n">
        <v>4008</v>
      </c>
      <c r="B2690" s="5" t="n">
        <v>66</v>
      </c>
      <c r="C2690" s="72" t="inlineStr">
        <is>
          <t>X</t>
        </is>
      </c>
      <c r="D2690" s="5" t="n">
        <v>131</v>
      </c>
      <c r="E2690" s="73">
        <f>B2690*D2690/10000</f>
        <v/>
      </c>
      <c r="F2690" s="74">
        <f>B2690/30.48</f>
        <v/>
      </c>
      <c r="G2690" s="74">
        <f>D2690/30.48</f>
        <v/>
      </c>
      <c r="H2690" s="615" t="n"/>
      <c r="N2690" s="211" t="n"/>
      <c r="Q2690" s="271" t="n"/>
      <c r="R2690" s="282" t="n"/>
    </row>
    <row r="2691" ht="18" customHeight="1" s="305">
      <c r="A2691" s="8" t="n">
        <v>4009</v>
      </c>
      <c r="B2691" s="5" t="n">
        <v>64</v>
      </c>
      <c r="C2691" s="72" t="inlineStr">
        <is>
          <t>X</t>
        </is>
      </c>
      <c r="D2691" s="5" t="n">
        <v>177</v>
      </c>
      <c r="E2691" s="73">
        <f>B2691*D2691/10000</f>
        <v/>
      </c>
      <c r="F2691" s="74">
        <f>B2691/30.48</f>
        <v/>
      </c>
      <c r="G2691" s="74">
        <f>D2691/30.48</f>
        <v/>
      </c>
      <c r="H2691" s="615" t="n"/>
      <c r="N2691" s="211" t="n"/>
      <c r="Q2691" s="271" t="n"/>
      <c r="R2691" s="282" t="n"/>
    </row>
    <row r="2692" ht="18" customHeight="1" s="305">
      <c r="A2692" s="8" t="n">
        <v>4010</v>
      </c>
      <c r="B2692" s="5" t="n">
        <v>73</v>
      </c>
      <c r="C2692" s="72" t="inlineStr">
        <is>
          <t>X</t>
        </is>
      </c>
      <c r="D2692" s="5" t="n">
        <v>148</v>
      </c>
      <c r="E2692" s="73">
        <f>B2692*D2692/10000</f>
        <v/>
      </c>
      <c r="F2692" s="74">
        <f>B2692/30.48</f>
        <v/>
      </c>
      <c r="G2692" s="74">
        <f>D2692/30.48</f>
        <v/>
      </c>
      <c r="H2692" s="615" t="n"/>
      <c r="N2692" s="211" t="n"/>
      <c r="Q2692" s="271" t="n"/>
      <c r="R2692" s="282" t="n"/>
    </row>
    <row r="2693" ht="18" customHeight="1" s="305">
      <c r="A2693" s="8" t="n">
        <v>4011</v>
      </c>
      <c r="B2693" s="5" t="n">
        <v>53</v>
      </c>
      <c r="C2693" s="72" t="inlineStr">
        <is>
          <t>X</t>
        </is>
      </c>
      <c r="D2693" s="5" t="n">
        <v>141</v>
      </c>
      <c r="E2693" s="73">
        <f>B2693*D2693/10000</f>
        <v/>
      </c>
      <c r="F2693" s="74">
        <f>B2693/30.48</f>
        <v/>
      </c>
      <c r="G2693" s="74">
        <f>D2693/30.48</f>
        <v/>
      </c>
      <c r="H2693" s="615" t="n"/>
      <c r="N2693" s="211" t="n"/>
      <c r="Q2693" s="271" t="n"/>
      <c r="R2693" s="282" t="n"/>
    </row>
    <row r="2694" ht="18" customHeight="1" s="305">
      <c r="A2694" s="8" t="n">
        <v>4013</v>
      </c>
      <c r="B2694" s="5" t="n">
        <v>64</v>
      </c>
      <c r="C2694" s="72" t="inlineStr">
        <is>
          <t>X</t>
        </is>
      </c>
      <c r="D2694" s="5" t="n">
        <v>128</v>
      </c>
      <c r="E2694" s="73">
        <f>B2694*D2694/10000</f>
        <v/>
      </c>
      <c r="F2694" s="74">
        <f>B2694/30.48</f>
        <v/>
      </c>
      <c r="G2694" s="74">
        <f>D2694/30.48</f>
        <v/>
      </c>
      <c r="H2694" s="615" t="n"/>
      <c r="N2694" s="211" t="n"/>
      <c r="Q2694" s="271" t="n"/>
      <c r="R2694" s="282" t="n"/>
    </row>
    <row r="2695" ht="18" customHeight="1" s="305">
      <c r="A2695" s="8" t="n">
        <v>4015</v>
      </c>
      <c r="B2695" s="5" t="n">
        <v>67</v>
      </c>
      <c r="C2695" s="72" t="inlineStr">
        <is>
          <t>X</t>
        </is>
      </c>
      <c r="D2695" s="5" t="n">
        <v>159</v>
      </c>
      <c r="E2695" s="73">
        <f>B2695*D2695/10000</f>
        <v/>
      </c>
      <c r="F2695" s="74">
        <f>B2695/30.48</f>
        <v/>
      </c>
      <c r="G2695" s="74">
        <f>D2695/30.48</f>
        <v/>
      </c>
      <c r="H2695" s="615" t="n"/>
      <c r="N2695" s="211" t="n"/>
      <c r="Q2695" s="271" t="n"/>
      <c r="R2695" s="282" t="n"/>
    </row>
    <row r="2696" ht="18" customHeight="1" s="305">
      <c r="A2696" s="8" t="n">
        <v>4016</v>
      </c>
      <c r="B2696" s="5" t="n">
        <v>79</v>
      </c>
      <c r="C2696" s="72" t="inlineStr">
        <is>
          <t>X</t>
        </is>
      </c>
      <c r="D2696" s="5" t="n">
        <v>287</v>
      </c>
      <c r="E2696" s="73">
        <f>B2696*D2696/10000</f>
        <v/>
      </c>
      <c r="F2696" s="74">
        <f>B2696/30.48</f>
        <v/>
      </c>
      <c r="G2696" s="74">
        <f>D2696/30.48</f>
        <v/>
      </c>
      <c r="H2696" s="615" t="n"/>
      <c r="N2696" s="211" t="n"/>
      <c r="Q2696" s="271" t="n"/>
      <c r="R2696" s="282" t="n"/>
    </row>
    <row r="2697" ht="18" customHeight="1" s="305">
      <c r="A2697" s="8" t="n">
        <v>4019</v>
      </c>
      <c r="B2697" s="5" t="n">
        <v>74</v>
      </c>
      <c r="C2697" s="72" t="inlineStr">
        <is>
          <t>X</t>
        </is>
      </c>
      <c r="D2697" s="5" t="n">
        <v>334</v>
      </c>
      <c r="E2697" s="73">
        <f>B2697*D2697/10000</f>
        <v/>
      </c>
      <c r="F2697" s="74">
        <f>B2697/30.48</f>
        <v/>
      </c>
      <c r="G2697" s="74">
        <f>D2697/30.48</f>
        <v/>
      </c>
      <c r="H2697" s="615" t="n"/>
      <c r="N2697" s="211" t="n"/>
      <c r="Q2697" s="271" t="n"/>
      <c r="R2697" s="282" t="n"/>
    </row>
    <row r="2698" ht="18" customHeight="1" s="305">
      <c r="A2698" s="8" t="n">
        <v>4020</v>
      </c>
      <c r="B2698" s="5" t="n">
        <v>66</v>
      </c>
      <c r="C2698" s="72" t="inlineStr">
        <is>
          <t>X</t>
        </is>
      </c>
      <c r="D2698" s="5" t="n">
        <v>128</v>
      </c>
      <c r="E2698" s="73">
        <f>B2698*D2698/10000</f>
        <v/>
      </c>
      <c r="F2698" s="74">
        <f>B2698/30.48</f>
        <v/>
      </c>
      <c r="G2698" s="74">
        <f>D2698/30.48</f>
        <v/>
      </c>
      <c r="H2698" s="615" t="n"/>
      <c r="N2698" s="211" t="n"/>
      <c r="Q2698" s="271" t="n"/>
      <c r="R2698" s="282" t="n"/>
    </row>
    <row r="2699" ht="18" customHeight="1" s="305">
      <c r="A2699" s="8" t="n">
        <v>4021</v>
      </c>
      <c r="B2699" s="5" t="n">
        <v>63</v>
      </c>
      <c r="C2699" s="72" t="inlineStr">
        <is>
          <t>X</t>
        </is>
      </c>
      <c r="D2699" s="5" t="n">
        <v>116</v>
      </c>
      <c r="E2699" s="73">
        <f>B2699*D2699/10000</f>
        <v/>
      </c>
      <c r="F2699" s="74">
        <f>B2699/30.48</f>
        <v/>
      </c>
      <c r="G2699" s="74">
        <f>D2699/30.48</f>
        <v/>
      </c>
      <c r="H2699" s="615" t="n"/>
      <c r="N2699" s="211" t="n"/>
      <c r="Q2699" s="271" t="n"/>
      <c r="R2699" s="282" t="n"/>
    </row>
    <row r="2700" ht="18" customHeight="1" s="305">
      <c r="A2700" s="8" t="n">
        <v>4022</v>
      </c>
      <c r="B2700" s="5" t="n">
        <v>58</v>
      </c>
      <c r="C2700" s="72" t="inlineStr">
        <is>
          <t>X</t>
        </is>
      </c>
      <c r="D2700" s="5" t="n">
        <v>159</v>
      </c>
      <c r="E2700" s="73">
        <f>B2700*D2700/10000</f>
        <v/>
      </c>
      <c r="F2700" s="74">
        <f>B2700/30.48</f>
        <v/>
      </c>
      <c r="G2700" s="74">
        <f>D2700/30.48</f>
        <v/>
      </c>
      <c r="H2700" s="615" t="n"/>
      <c r="N2700" s="211" t="n"/>
      <c r="Q2700" s="271" t="n"/>
      <c r="R2700" s="282" t="n"/>
    </row>
    <row r="2701" ht="18" customHeight="1" s="305">
      <c r="A2701" s="8" t="n">
        <v>4025</v>
      </c>
      <c r="B2701" s="5" t="n">
        <v>62</v>
      </c>
      <c r="C2701" s="72" t="inlineStr">
        <is>
          <t>X</t>
        </is>
      </c>
      <c r="D2701" s="5" t="n">
        <v>128</v>
      </c>
      <c r="E2701" s="73">
        <f>B2701*D2701/10000</f>
        <v/>
      </c>
      <c r="F2701" s="74">
        <f>B2701/30.48</f>
        <v/>
      </c>
      <c r="G2701" s="74">
        <f>D2701/30.48</f>
        <v/>
      </c>
      <c r="H2701" s="615" t="n"/>
      <c r="N2701" s="211" t="n"/>
      <c r="Q2701" s="271" t="n"/>
      <c r="R2701" s="282" t="n"/>
    </row>
    <row r="2702" ht="18" customHeight="1" s="305">
      <c r="A2702" s="8" t="n">
        <v>4027</v>
      </c>
      <c r="B2702" s="5" t="n">
        <v>72</v>
      </c>
      <c r="C2702" s="72" t="inlineStr">
        <is>
          <t>X</t>
        </is>
      </c>
      <c r="D2702" s="5" t="n">
        <v>168</v>
      </c>
      <c r="E2702" s="73">
        <f>B2702*D2702/10000</f>
        <v/>
      </c>
      <c r="F2702" s="74">
        <f>B2702/30.48</f>
        <v/>
      </c>
      <c r="G2702" s="74">
        <f>D2702/30.48</f>
        <v/>
      </c>
      <c r="H2702" s="615" t="n"/>
      <c r="N2702" s="211" t="n"/>
      <c r="Q2702" s="271" t="n"/>
      <c r="R2702" s="282" t="n"/>
    </row>
    <row r="2703" ht="18" customHeight="1" s="305">
      <c r="A2703" s="8" t="n">
        <v>4029</v>
      </c>
      <c r="B2703" s="5" t="n">
        <v>63</v>
      </c>
      <c r="C2703" s="72" t="inlineStr">
        <is>
          <t>X</t>
        </is>
      </c>
      <c r="D2703" s="5" t="n">
        <v>150</v>
      </c>
      <c r="E2703" s="73">
        <f>B2703*D2703/10000</f>
        <v/>
      </c>
      <c r="F2703" s="74">
        <f>B2703/30.48</f>
        <v/>
      </c>
      <c r="G2703" s="74">
        <f>D2703/30.48</f>
        <v/>
      </c>
      <c r="H2703" s="615" t="n"/>
      <c r="N2703" s="211" t="n"/>
      <c r="Q2703" s="271" t="n"/>
      <c r="R2703" s="282" t="n"/>
    </row>
    <row r="2704" ht="18" customHeight="1" s="305">
      <c r="A2704" s="8" t="n">
        <v>4030</v>
      </c>
      <c r="B2704" s="5" t="n">
        <v>71</v>
      </c>
      <c r="C2704" s="72" t="inlineStr">
        <is>
          <t>X</t>
        </is>
      </c>
      <c r="D2704" s="5" t="n">
        <v>131</v>
      </c>
      <c r="E2704" s="73">
        <f>B2704*D2704/10000</f>
        <v/>
      </c>
      <c r="F2704" s="74">
        <f>B2704/30.48</f>
        <v/>
      </c>
      <c r="G2704" s="74">
        <f>D2704/30.48</f>
        <v/>
      </c>
      <c r="H2704" s="615" t="n"/>
      <c r="N2704" s="211" t="n"/>
      <c r="Q2704" s="271" t="n"/>
      <c r="R2704" s="282" t="n"/>
    </row>
    <row r="2705" ht="18" customHeight="1" s="305">
      <c r="A2705" s="8" t="n">
        <v>4031</v>
      </c>
      <c r="B2705" s="5" t="n">
        <v>74</v>
      </c>
      <c r="C2705" s="72" t="inlineStr">
        <is>
          <t>X</t>
        </is>
      </c>
      <c r="D2705" s="5" t="n">
        <v>129</v>
      </c>
      <c r="E2705" s="73">
        <f>B2705*D2705/10000</f>
        <v/>
      </c>
      <c r="F2705" s="74">
        <f>B2705/30.48</f>
        <v/>
      </c>
      <c r="G2705" s="74">
        <f>D2705/30.48</f>
        <v/>
      </c>
      <c r="H2705" s="615" t="n"/>
      <c r="N2705" s="211" t="n"/>
      <c r="Q2705" s="271" t="n"/>
      <c r="R2705" s="282" t="n"/>
    </row>
    <row r="2706" ht="18" customHeight="1" s="305">
      <c r="A2706" s="8" t="n">
        <v>4032</v>
      </c>
      <c r="B2706" s="5" t="n">
        <v>53</v>
      </c>
      <c r="C2706" s="72" t="inlineStr">
        <is>
          <t>X</t>
        </is>
      </c>
      <c r="D2706" s="5" t="n">
        <v>137</v>
      </c>
      <c r="E2706" s="73">
        <f>B2706*D2706/10000</f>
        <v/>
      </c>
      <c r="F2706" s="74">
        <f>B2706/30.48</f>
        <v/>
      </c>
      <c r="G2706" s="74">
        <f>D2706/30.48</f>
        <v/>
      </c>
      <c r="H2706" s="615" t="n"/>
      <c r="N2706" s="211" t="n"/>
      <c r="Q2706" s="271" t="n"/>
      <c r="R2706" s="282" t="n"/>
    </row>
    <row r="2707" ht="18" customHeight="1" s="305">
      <c r="A2707" s="8" t="n">
        <v>4033</v>
      </c>
      <c r="B2707" s="5" t="n">
        <v>65</v>
      </c>
      <c r="C2707" s="72" t="inlineStr">
        <is>
          <t>X</t>
        </is>
      </c>
      <c r="D2707" s="5" t="n">
        <v>153</v>
      </c>
      <c r="E2707" s="73">
        <f>B2707*D2707/10000</f>
        <v/>
      </c>
      <c r="F2707" s="74">
        <f>B2707/30.48</f>
        <v/>
      </c>
      <c r="G2707" s="74">
        <f>D2707/30.48</f>
        <v/>
      </c>
      <c r="H2707" s="615" t="n"/>
      <c r="N2707" s="211" t="n"/>
      <c r="Q2707" s="271" t="n"/>
      <c r="R2707" s="282" t="n"/>
    </row>
    <row r="2708" ht="18" customHeight="1" s="305">
      <c r="A2708" s="8" t="n">
        <v>4035</v>
      </c>
      <c r="B2708" s="5" t="n">
        <v>60</v>
      </c>
      <c r="C2708" s="72" t="inlineStr">
        <is>
          <t>X</t>
        </is>
      </c>
      <c r="D2708" s="5" t="n">
        <v>136</v>
      </c>
      <c r="E2708" s="73">
        <f>B2708*D2708/10000</f>
        <v/>
      </c>
      <c r="F2708" s="74">
        <f>B2708/30.48</f>
        <v/>
      </c>
      <c r="G2708" s="74">
        <f>D2708/30.48</f>
        <v/>
      </c>
      <c r="H2708" s="615" t="n"/>
      <c r="N2708" s="211" t="n"/>
      <c r="Q2708" s="271" t="n"/>
      <c r="R2708" s="282" t="n"/>
    </row>
    <row r="2709" ht="18" customHeight="1" s="305">
      <c r="A2709" s="8" t="n">
        <v>4037</v>
      </c>
      <c r="B2709" s="5" t="n">
        <v>66</v>
      </c>
      <c r="C2709" s="72" t="inlineStr">
        <is>
          <t>X</t>
        </is>
      </c>
      <c r="D2709" s="5" t="n">
        <v>162</v>
      </c>
      <c r="E2709" s="73">
        <f>B2709*D2709/10000</f>
        <v/>
      </c>
      <c r="F2709" s="74">
        <f>B2709/30.48</f>
        <v/>
      </c>
      <c r="G2709" s="74">
        <f>D2709/30.48</f>
        <v/>
      </c>
      <c r="H2709" s="615" t="n"/>
      <c r="N2709" s="211" t="n"/>
      <c r="Q2709" s="271" t="n"/>
      <c r="R2709" s="282" t="n"/>
    </row>
    <row r="2710" ht="18" customHeight="1" s="305">
      <c r="A2710" s="8" t="n">
        <v>4042</v>
      </c>
      <c r="B2710" s="5" t="n">
        <v>73</v>
      </c>
      <c r="C2710" s="72" t="inlineStr">
        <is>
          <t>X</t>
        </is>
      </c>
      <c r="D2710" s="5" t="n">
        <v>137</v>
      </c>
      <c r="E2710" s="73">
        <f>B2710*D2710/10000</f>
        <v/>
      </c>
      <c r="F2710" s="74">
        <f>B2710/30.48</f>
        <v/>
      </c>
      <c r="G2710" s="74">
        <f>D2710/30.48</f>
        <v/>
      </c>
      <c r="H2710" s="615" t="n"/>
      <c r="N2710" s="211" t="n"/>
      <c r="Q2710" s="271" t="n"/>
      <c r="R2710" s="282" t="n"/>
    </row>
    <row r="2711" ht="18" customHeight="1" s="305">
      <c r="A2711" s="8" t="n">
        <v>4043</v>
      </c>
      <c r="B2711" s="5" t="n">
        <v>78</v>
      </c>
      <c r="C2711" s="72" t="inlineStr">
        <is>
          <t>X</t>
        </is>
      </c>
      <c r="D2711" s="5" t="n">
        <v>117</v>
      </c>
      <c r="E2711" s="73">
        <f>B2711*D2711/10000</f>
        <v/>
      </c>
      <c r="F2711" s="74">
        <f>B2711/30.48</f>
        <v/>
      </c>
      <c r="G2711" s="74">
        <f>D2711/30.48</f>
        <v/>
      </c>
      <c r="H2711" s="615" t="n"/>
      <c r="N2711" s="211" t="n"/>
      <c r="Q2711" s="271" t="n"/>
      <c r="R2711" s="282" t="n"/>
    </row>
    <row r="2712" ht="18" customHeight="1" s="305">
      <c r="A2712" s="8" t="n">
        <v>4047</v>
      </c>
      <c r="B2712" s="5" t="n">
        <v>65</v>
      </c>
      <c r="C2712" s="72" t="inlineStr">
        <is>
          <t>X</t>
        </is>
      </c>
      <c r="D2712" s="5" t="n">
        <v>128</v>
      </c>
      <c r="E2712" s="73">
        <f>B2712*D2712/10000</f>
        <v/>
      </c>
      <c r="F2712" s="74">
        <f>B2712/30.48</f>
        <v/>
      </c>
      <c r="G2712" s="74">
        <f>D2712/30.48</f>
        <v/>
      </c>
      <c r="H2712" s="615" t="n"/>
      <c r="N2712" s="211" t="n"/>
      <c r="Q2712" s="271" t="n"/>
      <c r="R2712" s="282" t="n"/>
    </row>
    <row r="2713" ht="18" customHeight="1" s="305">
      <c r="A2713" s="8" t="n">
        <v>4049</v>
      </c>
      <c r="B2713" s="5" t="n">
        <v>63</v>
      </c>
      <c r="C2713" s="72" t="inlineStr">
        <is>
          <t>X</t>
        </is>
      </c>
      <c r="D2713" s="5" t="n">
        <v>162</v>
      </c>
      <c r="E2713" s="73">
        <f>B2713*D2713/10000</f>
        <v/>
      </c>
      <c r="F2713" s="74">
        <f>B2713/30.48</f>
        <v/>
      </c>
      <c r="G2713" s="74">
        <f>D2713/30.48</f>
        <v/>
      </c>
      <c r="H2713" s="615" t="n"/>
      <c r="N2713" s="211" t="n"/>
      <c r="Q2713" s="271" t="n"/>
      <c r="R2713" s="282" t="n"/>
    </row>
    <row r="2714" ht="18" customHeight="1" s="305">
      <c r="A2714" s="8" t="n">
        <v>4052</v>
      </c>
      <c r="B2714" s="5" t="n">
        <v>72</v>
      </c>
      <c r="C2714" s="72" t="inlineStr">
        <is>
          <t>X</t>
        </is>
      </c>
      <c r="D2714" s="5" t="n">
        <v>138</v>
      </c>
      <c r="E2714" s="73">
        <f>B2714*D2714/10000</f>
        <v/>
      </c>
      <c r="F2714" s="74">
        <f>B2714/30.48</f>
        <v/>
      </c>
      <c r="G2714" s="74">
        <f>D2714/30.48</f>
        <v/>
      </c>
      <c r="H2714" s="615" t="n"/>
      <c r="N2714" s="211" t="n"/>
      <c r="Q2714" s="271" t="n"/>
      <c r="R2714" s="282" t="n"/>
    </row>
    <row r="2715" ht="18" customHeight="1" s="305">
      <c r="A2715" s="8" t="n">
        <v>4056</v>
      </c>
      <c r="B2715" s="5" t="n">
        <v>53</v>
      </c>
      <c r="C2715" s="72" t="inlineStr">
        <is>
          <t>X</t>
        </is>
      </c>
      <c r="D2715" s="5" t="n">
        <v>166</v>
      </c>
      <c r="E2715" s="73">
        <f>B2715*D2715/10000</f>
        <v/>
      </c>
      <c r="F2715" s="74">
        <f>B2715/30.48</f>
        <v/>
      </c>
      <c r="G2715" s="74">
        <f>D2715/30.48</f>
        <v/>
      </c>
      <c r="H2715" s="615" t="n"/>
      <c r="N2715" s="211" t="n"/>
      <c r="Q2715" s="271" t="n"/>
      <c r="R2715" s="282" t="n"/>
    </row>
    <row r="2716" ht="18" customHeight="1" s="305">
      <c r="A2716" s="8" t="n">
        <v>4059</v>
      </c>
      <c r="B2716" s="5" t="n">
        <v>82</v>
      </c>
      <c r="C2716" s="72" t="inlineStr">
        <is>
          <t>X</t>
        </is>
      </c>
      <c r="D2716" s="5" t="n">
        <v>210</v>
      </c>
      <c r="E2716" s="73">
        <f>B2716*D2716/10000</f>
        <v/>
      </c>
      <c r="F2716" s="74">
        <f>B2716/30.48</f>
        <v/>
      </c>
      <c r="G2716" s="74">
        <f>D2716/30.48</f>
        <v/>
      </c>
      <c r="H2716" s="615" t="n"/>
      <c r="N2716" s="211" t="n"/>
      <c r="Q2716" s="271" t="n"/>
      <c r="R2716" s="282" t="n"/>
    </row>
    <row r="2717" ht="18" customHeight="1" s="305">
      <c r="A2717" s="8" t="n">
        <v>4060</v>
      </c>
      <c r="B2717" s="5" t="n">
        <v>79</v>
      </c>
      <c r="C2717" s="72" t="inlineStr">
        <is>
          <t>X</t>
        </is>
      </c>
      <c r="D2717" s="5" t="n">
        <v>247</v>
      </c>
      <c r="E2717" s="73">
        <f>B2717*D2717/10000</f>
        <v/>
      </c>
      <c r="F2717" s="74">
        <f>B2717/30.48</f>
        <v/>
      </c>
      <c r="G2717" s="74">
        <f>D2717/30.48</f>
        <v/>
      </c>
      <c r="H2717" s="615" t="n"/>
      <c r="N2717" s="211" t="n"/>
      <c r="Q2717" s="271" t="n"/>
      <c r="R2717" s="282" t="n"/>
    </row>
    <row r="2718" ht="18" customHeight="1" s="305">
      <c r="A2718" s="8" t="n">
        <v>4061</v>
      </c>
      <c r="B2718" s="5" t="n">
        <v>91</v>
      </c>
      <c r="C2718" s="72" t="inlineStr">
        <is>
          <t>X</t>
        </is>
      </c>
      <c r="D2718" s="5" t="n">
        <v>295</v>
      </c>
      <c r="E2718" s="73">
        <f>B2718*D2718/10000</f>
        <v/>
      </c>
      <c r="F2718" s="74">
        <f>B2718/30.48</f>
        <v/>
      </c>
      <c r="G2718" s="74">
        <f>D2718/30.48</f>
        <v/>
      </c>
      <c r="H2718" s="615" t="n"/>
      <c r="N2718" s="211" t="n"/>
      <c r="Q2718" s="271" t="n"/>
      <c r="R2718" s="282" t="n"/>
    </row>
    <row r="2719" ht="18" customHeight="1" s="305">
      <c r="A2719" s="8" t="n">
        <v>4062</v>
      </c>
      <c r="B2719" s="5" t="n">
        <v>81</v>
      </c>
      <c r="C2719" s="72" t="inlineStr">
        <is>
          <t>X</t>
        </is>
      </c>
      <c r="D2719" s="5" t="n">
        <v>222</v>
      </c>
      <c r="E2719" s="73">
        <f>B2719*D2719/10000</f>
        <v/>
      </c>
      <c r="F2719" s="74">
        <f>B2719/30.48</f>
        <v/>
      </c>
      <c r="G2719" s="74">
        <f>D2719/30.48</f>
        <v/>
      </c>
      <c r="H2719" s="615" t="n"/>
      <c r="N2719" s="211" t="n"/>
      <c r="Q2719" s="271" t="n"/>
      <c r="R2719" s="282" t="n"/>
    </row>
    <row r="2720" ht="18" customHeight="1" s="305">
      <c r="A2720" s="8" t="n">
        <v>4063</v>
      </c>
      <c r="B2720" s="5" t="n">
        <v>81</v>
      </c>
      <c r="C2720" s="72" t="inlineStr">
        <is>
          <t>X</t>
        </is>
      </c>
      <c r="D2720" s="5" t="n">
        <v>248</v>
      </c>
      <c r="E2720" s="73">
        <f>B2720*D2720/10000</f>
        <v/>
      </c>
      <c r="F2720" s="74">
        <f>B2720/30.48</f>
        <v/>
      </c>
      <c r="G2720" s="74">
        <f>D2720/30.48</f>
        <v/>
      </c>
      <c r="H2720" s="615" t="n"/>
      <c r="N2720" s="211" t="n"/>
      <c r="Q2720" s="271" t="n"/>
      <c r="R2720" s="282" t="n"/>
    </row>
    <row r="2721" ht="18" customHeight="1" s="305">
      <c r="A2721" s="8" t="n">
        <v>4064</v>
      </c>
      <c r="B2721" s="5" t="n">
        <v>85</v>
      </c>
      <c r="C2721" s="72" t="inlineStr">
        <is>
          <t>X</t>
        </is>
      </c>
      <c r="D2721" s="5" t="n">
        <v>275</v>
      </c>
      <c r="E2721" s="73">
        <f>B2721*D2721/10000</f>
        <v/>
      </c>
      <c r="F2721" s="74">
        <f>B2721/30.48</f>
        <v/>
      </c>
      <c r="G2721" s="74">
        <f>D2721/30.48</f>
        <v/>
      </c>
      <c r="H2721" s="615" t="n"/>
      <c r="N2721" s="211" t="n"/>
      <c r="Q2721" s="271" t="n"/>
      <c r="R2721" s="282" t="n"/>
    </row>
    <row r="2722" ht="18" customHeight="1" s="305">
      <c r="A2722" s="8" t="n">
        <v>4065</v>
      </c>
      <c r="B2722" s="5" t="n">
        <v>70</v>
      </c>
      <c r="C2722" s="72" t="inlineStr">
        <is>
          <t>X</t>
        </is>
      </c>
      <c r="D2722" s="5" t="n">
        <v>116</v>
      </c>
      <c r="E2722" s="73">
        <f>B2722*D2722/10000</f>
        <v/>
      </c>
      <c r="F2722" s="74">
        <f>B2722/30.48</f>
        <v/>
      </c>
      <c r="G2722" s="74">
        <f>D2722/30.48</f>
        <v/>
      </c>
      <c r="H2722" s="615" t="n"/>
      <c r="N2722" s="211" t="n"/>
      <c r="Q2722" s="271" t="n"/>
      <c r="R2722" s="282" t="n"/>
    </row>
    <row r="2723" ht="18" customHeight="1" s="305">
      <c r="A2723" s="8" t="n">
        <v>4066</v>
      </c>
      <c r="B2723" s="5" t="n">
        <v>68</v>
      </c>
      <c r="C2723" s="72" t="inlineStr">
        <is>
          <t>X</t>
        </is>
      </c>
      <c r="D2723" s="5" t="n">
        <v>112</v>
      </c>
      <c r="E2723" s="73">
        <f>B2723*D2723/10000</f>
        <v/>
      </c>
      <c r="F2723" s="74">
        <f>B2723/30.48</f>
        <v/>
      </c>
      <c r="G2723" s="74">
        <f>D2723/30.48</f>
        <v/>
      </c>
      <c r="H2723" s="615" t="n"/>
      <c r="N2723" s="211" t="n"/>
      <c r="Q2723" s="271" t="n"/>
      <c r="R2723" s="282" t="n"/>
    </row>
    <row r="2724" ht="18" customHeight="1" s="305">
      <c r="A2724" s="8" t="n">
        <v>4067</v>
      </c>
      <c r="B2724" s="5" t="n">
        <v>75</v>
      </c>
      <c r="C2724" s="72" t="inlineStr">
        <is>
          <t>X</t>
        </is>
      </c>
      <c r="D2724" s="5" t="n">
        <v>126</v>
      </c>
      <c r="E2724" s="73">
        <f>B2724*D2724/10000</f>
        <v/>
      </c>
      <c r="F2724" s="74">
        <f>B2724/30.48</f>
        <v/>
      </c>
      <c r="G2724" s="74">
        <f>D2724/30.48</f>
        <v/>
      </c>
      <c r="H2724" s="615" t="n"/>
      <c r="N2724" s="211" t="n"/>
      <c r="Q2724" s="271" t="n"/>
      <c r="R2724" s="282" t="n"/>
    </row>
    <row r="2725" ht="18" customHeight="1" s="305">
      <c r="A2725" s="8" t="n">
        <v>4068</v>
      </c>
      <c r="B2725" s="5" t="n">
        <v>75</v>
      </c>
      <c r="C2725" s="72" t="inlineStr">
        <is>
          <t>X</t>
        </is>
      </c>
      <c r="D2725" s="5" t="n">
        <v>130</v>
      </c>
      <c r="E2725" s="73">
        <f>B2725*D2725/10000</f>
        <v/>
      </c>
      <c r="F2725" s="74">
        <f>B2725/30.48</f>
        <v/>
      </c>
      <c r="G2725" s="74">
        <f>D2725/30.48</f>
        <v/>
      </c>
      <c r="H2725" s="615" t="n"/>
      <c r="N2725" s="211" t="n"/>
      <c r="Q2725" s="271" t="n"/>
      <c r="R2725" s="282" t="n"/>
    </row>
    <row r="2726" ht="18" customHeight="1" s="305">
      <c r="A2726" s="8" t="n">
        <v>4069</v>
      </c>
      <c r="B2726" s="5" t="n">
        <v>87</v>
      </c>
      <c r="C2726" s="72" t="inlineStr">
        <is>
          <t>X</t>
        </is>
      </c>
      <c r="D2726" s="5" t="n">
        <v>229</v>
      </c>
      <c r="E2726" s="73">
        <f>B2726*D2726/10000</f>
        <v/>
      </c>
      <c r="F2726" s="74">
        <f>B2726/30.48</f>
        <v/>
      </c>
      <c r="G2726" s="74">
        <f>D2726/30.48</f>
        <v/>
      </c>
      <c r="H2726" s="615" t="n"/>
      <c r="N2726" s="211" t="n"/>
      <c r="Q2726" s="271" t="n"/>
      <c r="R2726" s="282" t="n"/>
    </row>
    <row r="2727" ht="18" customHeight="1" s="305">
      <c r="A2727" s="8" t="n">
        <v>4070</v>
      </c>
      <c r="B2727" s="5" t="n">
        <v>71</v>
      </c>
      <c r="C2727" s="72" t="inlineStr">
        <is>
          <t>X</t>
        </is>
      </c>
      <c r="D2727" s="5" t="n">
        <v>337</v>
      </c>
      <c r="E2727" s="73">
        <f>B2727*D2727/10000</f>
        <v/>
      </c>
      <c r="F2727" s="74">
        <f>B2727/30.48</f>
        <v/>
      </c>
      <c r="G2727" s="74">
        <f>D2727/30.48</f>
        <v/>
      </c>
      <c r="H2727" s="615" t="n"/>
      <c r="N2727" s="211" t="n"/>
      <c r="Q2727" s="271" t="n"/>
      <c r="R2727" s="282" t="n"/>
    </row>
    <row r="2728" ht="18" customHeight="1" s="305">
      <c r="A2728" s="8" t="n">
        <v>4071</v>
      </c>
      <c r="B2728" s="5" t="n">
        <v>69</v>
      </c>
      <c r="C2728" s="72" t="inlineStr">
        <is>
          <t>X</t>
        </is>
      </c>
      <c r="D2728" s="5" t="n">
        <v>337</v>
      </c>
      <c r="E2728" s="73">
        <f>B2728*D2728/10000</f>
        <v/>
      </c>
      <c r="F2728" s="74">
        <f>B2728/30.48</f>
        <v/>
      </c>
      <c r="G2728" s="74">
        <f>D2728/30.48</f>
        <v/>
      </c>
      <c r="H2728" s="615" t="n"/>
      <c r="N2728" s="211" t="n"/>
      <c r="Q2728" s="271" t="n"/>
      <c r="R2728" s="282" t="n"/>
    </row>
    <row r="2729" ht="18" customHeight="1" s="305">
      <c r="A2729" s="8" t="n">
        <v>4072</v>
      </c>
      <c r="B2729" s="5" t="n">
        <v>90</v>
      </c>
      <c r="C2729" s="72" t="inlineStr">
        <is>
          <t>X</t>
        </is>
      </c>
      <c r="D2729" s="5" t="n">
        <v>339</v>
      </c>
      <c r="E2729" s="73">
        <f>B2729*D2729/10000</f>
        <v/>
      </c>
      <c r="F2729" s="74">
        <f>B2729/30.48</f>
        <v/>
      </c>
      <c r="G2729" s="74">
        <f>D2729/30.48</f>
        <v/>
      </c>
      <c r="H2729" s="615" t="n"/>
      <c r="N2729" s="211" t="n"/>
      <c r="Q2729" s="271" t="n"/>
      <c r="R2729" s="282" t="n"/>
    </row>
    <row r="2730" ht="18" customHeight="1" s="305">
      <c r="A2730" s="8" t="n">
        <v>4073</v>
      </c>
      <c r="B2730" s="5" t="n">
        <v>85</v>
      </c>
      <c r="C2730" s="72" t="inlineStr">
        <is>
          <t>X</t>
        </is>
      </c>
      <c r="D2730" s="5" t="n">
        <v>312</v>
      </c>
      <c r="E2730" s="73">
        <f>B2730*D2730/10000</f>
        <v/>
      </c>
      <c r="F2730" s="74">
        <f>B2730/30.48</f>
        <v/>
      </c>
      <c r="G2730" s="74">
        <f>D2730/30.48</f>
        <v/>
      </c>
      <c r="H2730" s="615" t="n"/>
      <c r="N2730" s="211" t="n"/>
      <c r="Q2730" s="271" t="n"/>
      <c r="R2730" s="282" t="n"/>
    </row>
    <row r="2731" ht="18" customHeight="1" s="305">
      <c r="A2731" s="8" t="n">
        <v>4074</v>
      </c>
      <c r="B2731" s="5" t="n">
        <v>69</v>
      </c>
      <c r="C2731" s="72" t="inlineStr">
        <is>
          <t>X</t>
        </is>
      </c>
      <c r="D2731" s="5" t="n">
        <v>230</v>
      </c>
      <c r="E2731" s="73">
        <f>B2731*D2731/10000</f>
        <v/>
      </c>
      <c r="F2731" s="74">
        <f>B2731/30.48</f>
        <v/>
      </c>
      <c r="G2731" s="74">
        <f>D2731/30.48</f>
        <v/>
      </c>
      <c r="H2731" s="615" t="n"/>
      <c r="N2731" s="211" t="n"/>
      <c r="Q2731" s="271" t="n"/>
      <c r="R2731" s="282" t="n"/>
    </row>
    <row r="2732" ht="18" customHeight="1" s="305">
      <c r="A2732" s="8" t="n">
        <v>4075</v>
      </c>
      <c r="B2732" s="5" t="n">
        <v>68</v>
      </c>
      <c r="C2732" s="72" t="inlineStr">
        <is>
          <t>X</t>
        </is>
      </c>
      <c r="D2732" s="5" t="n">
        <v>245</v>
      </c>
      <c r="E2732" s="73">
        <f>B2732*D2732/10000</f>
        <v/>
      </c>
      <c r="F2732" s="74">
        <f>B2732/30.48</f>
        <v/>
      </c>
      <c r="G2732" s="74">
        <f>D2732/30.48</f>
        <v/>
      </c>
      <c r="H2732" s="615" t="n"/>
      <c r="N2732" s="211" t="n"/>
      <c r="Q2732" s="271" t="n"/>
      <c r="R2732" s="282" t="n"/>
    </row>
    <row r="2733" ht="18" customHeight="1" s="305">
      <c r="A2733" s="8" t="n">
        <v>4077</v>
      </c>
      <c r="B2733" s="5" t="n">
        <v>80</v>
      </c>
      <c r="C2733" s="72" t="inlineStr">
        <is>
          <t>X</t>
        </is>
      </c>
      <c r="D2733" s="5" t="n">
        <v>311</v>
      </c>
      <c r="E2733" s="73">
        <f>B2733*D2733/10000</f>
        <v/>
      </c>
      <c r="F2733" s="74">
        <f>B2733/30.48</f>
        <v/>
      </c>
      <c r="G2733" s="74">
        <f>D2733/30.48</f>
        <v/>
      </c>
      <c r="H2733" s="615" t="n"/>
      <c r="N2733" s="211" t="n"/>
      <c r="Q2733" s="271" t="n"/>
      <c r="R2733" s="282" t="n"/>
    </row>
    <row r="2734" ht="18" customHeight="1" s="305">
      <c r="A2734" s="8" t="n">
        <v>4079</v>
      </c>
      <c r="B2734" s="5" t="n">
        <v>96</v>
      </c>
      <c r="C2734" s="72" t="inlineStr">
        <is>
          <t>X</t>
        </is>
      </c>
      <c r="D2734" s="5" t="n">
        <v>397</v>
      </c>
      <c r="E2734" s="73">
        <f>B2734*D2734/10000</f>
        <v/>
      </c>
      <c r="F2734" s="74">
        <f>B2734/30.48</f>
        <v/>
      </c>
      <c r="G2734" s="74">
        <f>D2734/30.48</f>
        <v/>
      </c>
      <c r="H2734" s="615" t="n"/>
      <c r="N2734" s="211" t="n"/>
      <c r="Q2734" s="271" t="n"/>
      <c r="R2734" s="282" t="n"/>
    </row>
    <row r="2735" ht="18" customHeight="1" s="305">
      <c r="A2735" s="8" t="n">
        <v>4080</v>
      </c>
      <c r="B2735" s="5" t="n">
        <v>91</v>
      </c>
      <c r="C2735" s="72" t="inlineStr">
        <is>
          <t>X</t>
        </is>
      </c>
      <c r="D2735" s="5" t="n">
        <v>290</v>
      </c>
      <c r="E2735" s="73">
        <f>B2735*D2735/10000</f>
        <v/>
      </c>
      <c r="F2735" s="74">
        <f>B2735/30.48</f>
        <v/>
      </c>
      <c r="G2735" s="74">
        <f>D2735/30.48</f>
        <v/>
      </c>
      <c r="H2735" s="615" t="n"/>
      <c r="N2735" s="211" t="n"/>
      <c r="Q2735" s="271" t="n"/>
      <c r="R2735" s="282" t="n"/>
    </row>
    <row r="2736" ht="18" customHeight="1" s="305">
      <c r="A2736" s="8" t="n">
        <v>4081</v>
      </c>
      <c r="B2736" s="5" t="n">
        <v>111</v>
      </c>
      <c r="C2736" s="72" t="inlineStr">
        <is>
          <t>X</t>
        </is>
      </c>
      <c r="D2736" s="5" t="n">
        <v>385</v>
      </c>
      <c r="E2736" s="73">
        <f>B2736*D2736/10000</f>
        <v/>
      </c>
      <c r="F2736" s="74">
        <f>B2736/30.48</f>
        <v/>
      </c>
      <c r="G2736" s="74">
        <f>D2736/30.48</f>
        <v/>
      </c>
      <c r="H2736" s="615" t="n"/>
      <c r="N2736" s="211" t="n"/>
      <c r="Q2736" s="271" t="n"/>
      <c r="R2736" s="282" t="n"/>
    </row>
    <row r="2737" ht="18" customHeight="1" s="305">
      <c r="A2737" s="8" t="n">
        <v>4082</v>
      </c>
      <c r="B2737" s="5" t="n">
        <v>84</v>
      </c>
      <c r="C2737" s="72" t="inlineStr">
        <is>
          <t>X</t>
        </is>
      </c>
      <c r="D2737" s="5" t="n">
        <v>358</v>
      </c>
      <c r="E2737" s="73">
        <f>B2737*D2737/10000</f>
        <v/>
      </c>
      <c r="F2737" s="74">
        <f>B2737/30.48</f>
        <v/>
      </c>
      <c r="G2737" s="74">
        <f>D2737/30.48</f>
        <v/>
      </c>
      <c r="H2737" s="615" t="n"/>
      <c r="N2737" s="211" t="n"/>
      <c r="Q2737" s="271" t="n"/>
      <c r="R2737" s="282" t="n"/>
    </row>
    <row r="2738" ht="18" customHeight="1" s="305">
      <c r="A2738" s="8" t="n">
        <v>4083</v>
      </c>
      <c r="B2738" s="5" t="n">
        <v>155</v>
      </c>
      <c r="C2738" s="72" t="inlineStr">
        <is>
          <t>X</t>
        </is>
      </c>
      <c r="D2738" s="5" t="n">
        <v>264</v>
      </c>
      <c r="E2738" s="73">
        <f>B2738*D2738/10000</f>
        <v/>
      </c>
      <c r="F2738" s="74">
        <f>B2738/30.48</f>
        <v/>
      </c>
      <c r="G2738" s="74">
        <f>D2738/30.48</f>
        <v/>
      </c>
      <c r="H2738" s="615" t="n"/>
      <c r="N2738" s="211" t="n"/>
      <c r="Q2738" s="271" t="n"/>
      <c r="R2738" s="282" t="n"/>
    </row>
    <row r="2739" ht="18" customHeight="1" s="305">
      <c r="A2739" s="8" t="n">
        <v>4084</v>
      </c>
      <c r="B2739" s="5" t="n">
        <v>173</v>
      </c>
      <c r="C2739" s="72" t="inlineStr">
        <is>
          <t>X</t>
        </is>
      </c>
      <c r="D2739" s="5" t="n">
        <v>244</v>
      </c>
      <c r="E2739" s="73">
        <f>B2739*D2739/10000</f>
        <v/>
      </c>
      <c r="F2739" s="74">
        <f>B2739/30.48</f>
        <v/>
      </c>
      <c r="G2739" s="74">
        <f>D2739/30.48</f>
        <v/>
      </c>
      <c r="H2739" s="615" t="n"/>
      <c r="N2739" s="211" t="n"/>
      <c r="Q2739" s="271" t="n"/>
      <c r="R2739" s="282" t="n"/>
    </row>
    <row r="2740" ht="18" customHeight="1" s="305">
      <c r="A2740" s="8" t="n">
        <v>4086</v>
      </c>
      <c r="B2740" s="5" t="n">
        <v>80</v>
      </c>
      <c r="C2740" s="72" t="inlineStr">
        <is>
          <t>X</t>
        </is>
      </c>
      <c r="D2740" s="5" t="n">
        <v>394</v>
      </c>
      <c r="E2740" s="73">
        <f>B2740*D2740/10000</f>
        <v/>
      </c>
      <c r="F2740" s="74">
        <f>B2740/30.48</f>
        <v/>
      </c>
      <c r="G2740" s="74">
        <f>D2740/30.48</f>
        <v/>
      </c>
      <c r="H2740" s="615" t="n"/>
      <c r="N2740" s="211" t="n"/>
      <c r="Q2740" s="437" t="n"/>
      <c r="R2740" s="438" t="n"/>
    </row>
    <row r="2741" ht="18" customHeight="1" s="305">
      <c r="A2741" s="8" t="n">
        <v>4088</v>
      </c>
      <c r="B2741" s="5" t="n">
        <v>185</v>
      </c>
      <c r="C2741" s="72" t="inlineStr">
        <is>
          <t>X</t>
        </is>
      </c>
      <c r="D2741" s="5" t="n">
        <v>300</v>
      </c>
      <c r="E2741" s="73">
        <f>B2741*D2741/10000</f>
        <v/>
      </c>
      <c r="F2741" s="74">
        <f>B2741/30.48</f>
        <v/>
      </c>
      <c r="G2741" s="74">
        <f>D2741/30.48</f>
        <v/>
      </c>
      <c r="H2741" s="615" t="n"/>
      <c r="N2741" s="211" t="n"/>
    </row>
    <row r="2742" ht="18" customHeight="1" s="305">
      <c r="A2742" s="8" t="n">
        <v>4089</v>
      </c>
      <c r="B2742" s="5" t="n">
        <v>109</v>
      </c>
      <c r="C2742" s="72" t="inlineStr">
        <is>
          <t>X</t>
        </is>
      </c>
      <c r="D2742" s="5" t="n">
        <v>206</v>
      </c>
      <c r="E2742" s="73">
        <f>B2742*D2742/10000</f>
        <v/>
      </c>
      <c r="F2742" s="74">
        <f>B2742/30.48</f>
        <v/>
      </c>
      <c r="G2742" s="74">
        <f>D2742/30.48</f>
        <v/>
      </c>
      <c r="H2742" s="615" t="n"/>
      <c r="N2742" s="211" t="n"/>
    </row>
    <row r="2743" ht="18" customHeight="1" s="305">
      <c r="A2743" s="8" t="n">
        <v>4091</v>
      </c>
      <c r="B2743" s="5" t="n">
        <v>213</v>
      </c>
      <c r="C2743" s="72" t="inlineStr">
        <is>
          <t>X</t>
        </is>
      </c>
      <c r="D2743" s="5" t="n">
        <v>317</v>
      </c>
      <c r="E2743" s="73">
        <f>B2743*D2743/10000</f>
        <v/>
      </c>
      <c r="F2743" s="74">
        <f>B2743/30.48</f>
        <v/>
      </c>
      <c r="G2743" s="74">
        <f>D2743/30.48</f>
        <v/>
      </c>
      <c r="H2743" s="615" t="n"/>
      <c r="N2743" s="211" t="n"/>
    </row>
    <row r="2744" ht="18" customHeight="1" s="305">
      <c r="A2744" s="8" t="n">
        <v>4092</v>
      </c>
      <c r="B2744" s="5" t="n">
        <v>116</v>
      </c>
      <c r="C2744" s="72" t="inlineStr">
        <is>
          <t>X</t>
        </is>
      </c>
      <c r="D2744" s="5" t="n">
        <v>209</v>
      </c>
      <c r="E2744" s="73">
        <f>B2744*D2744/10000</f>
        <v/>
      </c>
      <c r="F2744" s="74">
        <f>B2744/30.48</f>
        <v/>
      </c>
      <c r="G2744" s="74">
        <f>D2744/30.48</f>
        <v/>
      </c>
      <c r="H2744" s="615" t="n"/>
      <c r="N2744" s="211" t="n"/>
    </row>
    <row r="2745" ht="18" customHeight="1" s="305">
      <c r="A2745" s="8" t="n">
        <v>4093</v>
      </c>
      <c r="B2745" s="5" t="n">
        <v>160</v>
      </c>
      <c r="C2745" s="72" t="inlineStr">
        <is>
          <t>X</t>
        </is>
      </c>
      <c r="D2745" s="5" t="n">
        <v>270</v>
      </c>
      <c r="E2745" s="73">
        <f>B2745*D2745/10000</f>
        <v/>
      </c>
      <c r="F2745" s="74">
        <f>B2745/30.48</f>
        <v/>
      </c>
      <c r="G2745" s="74">
        <f>D2745/30.48</f>
        <v/>
      </c>
      <c r="H2745" s="615" t="n"/>
      <c r="N2745" s="211" t="n"/>
    </row>
    <row r="2746" ht="18" customHeight="1" s="305">
      <c r="A2746" s="8" t="n">
        <v>4096</v>
      </c>
      <c r="B2746" s="5" t="n">
        <v>158</v>
      </c>
      <c r="C2746" s="72" t="inlineStr">
        <is>
          <t>X</t>
        </is>
      </c>
      <c r="D2746" s="5" t="n">
        <v>178</v>
      </c>
      <c r="E2746" s="73">
        <f>B2746*D2746/10000</f>
        <v/>
      </c>
      <c r="F2746" s="74">
        <f>B2746/30.48</f>
        <v/>
      </c>
      <c r="G2746" s="74">
        <f>D2746/30.48</f>
        <v/>
      </c>
      <c r="H2746" s="615" t="n"/>
      <c r="N2746" s="211" t="n"/>
    </row>
    <row r="2747" ht="18" customHeight="1" s="305">
      <c r="A2747" s="8" t="n">
        <v>4098</v>
      </c>
      <c r="B2747" s="5" t="n">
        <v>80</v>
      </c>
      <c r="C2747" s="72" t="inlineStr">
        <is>
          <t>X</t>
        </is>
      </c>
      <c r="D2747" s="5" t="n">
        <v>336</v>
      </c>
      <c r="E2747" s="73">
        <f>B2747*D2747/10000</f>
        <v/>
      </c>
      <c r="F2747" s="74">
        <f>B2747/30.48</f>
        <v/>
      </c>
      <c r="G2747" s="74">
        <f>D2747/30.48</f>
        <v/>
      </c>
      <c r="H2747" s="615" t="n"/>
      <c r="N2747" s="211" t="n"/>
    </row>
    <row r="2748" ht="18" customHeight="1" s="305">
      <c r="A2748" s="8" t="n">
        <v>4099</v>
      </c>
      <c r="B2748" s="5" t="n">
        <v>80</v>
      </c>
      <c r="C2748" s="72" t="inlineStr">
        <is>
          <t>X</t>
        </is>
      </c>
      <c r="D2748" s="5" t="n">
        <v>313</v>
      </c>
      <c r="E2748" s="73">
        <f>B2748*D2748/10000</f>
        <v/>
      </c>
      <c r="F2748" s="74">
        <f>B2748/30.48</f>
        <v/>
      </c>
      <c r="G2748" s="74" t="n">
        <v>2312</v>
      </c>
      <c r="H2748" s="615" t="n"/>
      <c r="N2748" s="211" t="n"/>
    </row>
    <row r="2749" ht="18" customHeight="1" s="305">
      <c r="A2749" s="8" t="n">
        <v>4100</v>
      </c>
      <c r="B2749" s="5" t="n">
        <v>71</v>
      </c>
      <c r="C2749" s="72" t="inlineStr">
        <is>
          <t>X</t>
        </is>
      </c>
      <c r="D2749" s="5" t="n">
        <v>140</v>
      </c>
      <c r="E2749" s="73">
        <f>B2749*D2749/10000</f>
        <v/>
      </c>
      <c r="F2749" s="74">
        <f>B2749/30.48</f>
        <v/>
      </c>
      <c r="G2749" s="74">
        <f>D2749/30.48</f>
        <v/>
      </c>
      <c r="H2749" s="615" t="n"/>
      <c r="N2749" s="211" t="n"/>
    </row>
    <row r="2750" ht="18" customHeight="1" s="305">
      <c r="A2750" s="8" t="n">
        <v>4102</v>
      </c>
      <c r="B2750" s="5" t="n">
        <v>65</v>
      </c>
      <c r="C2750" s="72" t="inlineStr">
        <is>
          <t>X</t>
        </is>
      </c>
      <c r="D2750" s="5" t="n">
        <v>119</v>
      </c>
      <c r="E2750" s="73">
        <f>B2750*D2750/10000</f>
        <v/>
      </c>
      <c r="F2750" s="74">
        <f>B2750/30.48</f>
        <v/>
      </c>
      <c r="G2750" s="74">
        <f>D2750/30.48</f>
        <v/>
      </c>
      <c r="H2750" s="615" t="n"/>
      <c r="N2750" s="211" t="n"/>
    </row>
    <row r="2751" ht="18" customHeight="1" s="305">
      <c r="A2751" s="8" t="n">
        <v>4103</v>
      </c>
      <c r="B2751" s="5" t="n">
        <v>74</v>
      </c>
      <c r="C2751" s="72" t="inlineStr">
        <is>
          <t>X</t>
        </is>
      </c>
      <c r="D2751" s="5" t="n">
        <v>172</v>
      </c>
      <c r="E2751" s="73">
        <f>B2751*D2751/10000</f>
        <v/>
      </c>
      <c r="F2751" s="74">
        <f>B2751/30.48</f>
        <v/>
      </c>
      <c r="G2751" s="74">
        <f>D2751/30.48</f>
        <v/>
      </c>
      <c r="H2751" s="615" t="n"/>
      <c r="N2751" s="211" t="n"/>
    </row>
    <row r="2752" ht="18" customHeight="1" s="305">
      <c r="A2752" s="8" t="n">
        <v>4104</v>
      </c>
      <c r="B2752" s="5" t="n">
        <v>54</v>
      </c>
      <c r="C2752" s="72" t="inlineStr">
        <is>
          <t>X</t>
        </is>
      </c>
      <c r="D2752" s="5" t="n">
        <v>123</v>
      </c>
      <c r="E2752" s="73">
        <f>B2752*D2752/10000</f>
        <v/>
      </c>
      <c r="F2752" s="74">
        <f>B2752/30.48</f>
        <v/>
      </c>
      <c r="G2752" s="74">
        <f>D2752/30.48</f>
        <v/>
      </c>
      <c r="H2752" s="615" t="n"/>
      <c r="N2752" s="211" t="n"/>
    </row>
    <row r="2753" ht="18" customHeight="1" s="305">
      <c r="A2753" s="8" t="n">
        <v>4105</v>
      </c>
      <c r="B2753" s="5" t="n">
        <v>53</v>
      </c>
      <c r="C2753" s="72" t="inlineStr">
        <is>
          <t>X</t>
        </is>
      </c>
      <c r="D2753" s="5" t="n">
        <v>136</v>
      </c>
      <c r="E2753" s="73">
        <f>B2753*D2753/10000</f>
        <v/>
      </c>
      <c r="F2753" s="74">
        <f>B2753/30.48</f>
        <v/>
      </c>
      <c r="G2753" s="74">
        <f>D2753/30.48</f>
        <v/>
      </c>
      <c r="H2753" s="615" t="n"/>
      <c r="N2753" s="211" t="n"/>
    </row>
    <row r="2754" ht="18" customHeight="1" s="305">
      <c r="A2754" s="8" t="n">
        <v>4108</v>
      </c>
      <c r="B2754" s="5" t="n">
        <v>80</v>
      </c>
      <c r="C2754" s="72" t="inlineStr">
        <is>
          <t>X</t>
        </is>
      </c>
      <c r="D2754" s="5" t="n">
        <v>324</v>
      </c>
      <c r="E2754" s="73">
        <f>B2754*D2754/10000</f>
        <v/>
      </c>
      <c r="F2754" s="74">
        <f>B2754/30.48</f>
        <v/>
      </c>
      <c r="G2754" s="74">
        <f>D2754/30.48</f>
        <v/>
      </c>
      <c r="H2754" s="615" t="n"/>
      <c r="N2754" s="211" t="n"/>
    </row>
    <row r="2755" ht="18" customHeight="1" s="305">
      <c r="A2755" s="8" t="n">
        <v>4109</v>
      </c>
      <c r="B2755" s="5" t="n">
        <v>81</v>
      </c>
      <c r="C2755" s="72" t="inlineStr">
        <is>
          <t>X</t>
        </is>
      </c>
      <c r="D2755" s="5" t="n">
        <v>325</v>
      </c>
      <c r="E2755" s="73">
        <f>B2755*D2755/10000</f>
        <v/>
      </c>
      <c r="F2755" s="74">
        <f>B2755/30.48</f>
        <v/>
      </c>
      <c r="G2755" s="74">
        <f>D2755/30.48</f>
        <v/>
      </c>
      <c r="H2755" s="615" t="n"/>
      <c r="N2755" s="211" t="n"/>
    </row>
    <row r="2756" ht="18" customHeight="1" s="305">
      <c r="A2756" s="8" t="n">
        <v>4110</v>
      </c>
      <c r="B2756" s="5" t="n">
        <v>75</v>
      </c>
      <c r="C2756" s="72" t="inlineStr">
        <is>
          <t>X</t>
        </is>
      </c>
      <c r="D2756" s="5" t="n">
        <v>143</v>
      </c>
      <c r="E2756" s="73">
        <f>B2756*D2756/10000</f>
        <v/>
      </c>
      <c r="F2756" s="74">
        <f>B2756/30.48</f>
        <v/>
      </c>
      <c r="G2756" s="74">
        <f>D2756/30.48</f>
        <v/>
      </c>
      <c r="H2756" s="615" t="n"/>
      <c r="N2756" s="211" t="n"/>
    </row>
    <row r="2757" ht="18" customHeight="1" s="305">
      <c r="A2757" s="8" t="n">
        <v>4111</v>
      </c>
      <c r="B2757" s="5" t="n">
        <v>76</v>
      </c>
      <c r="C2757" s="72" t="inlineStr">
        <is>
          <t>X</t>
        </is>
      </c>
      <c r="D2757" s="5" t="n">
        <v>279</v>
      </c>
      <c r="E2757" s="73">
        <f>B2757*D2757/10000</f>
        <v/>
      </c>
      <c r="F2757" s="74">
        <f>B2757/30.48</f>
        <v/>
      </c>
      <c r="G2757" s="74">
        <f>D2757/30.48</f>
        <v/>
      </c>
      <c r="H2757" s="615" t="n"/>
      <c r="N2757" s="211" t="n"/>
    </row>
    <row r="2758" ht="18" customHeight="1" s="305">
      <c r="A2758" s="8" t="n">
        <v>4112</v>
      </c>
      <c r="B2758" s="5" t="n">
        <v>66</v>
      </c>
      <c r="C2758" s="72" t="inlineStr">
        <is>
          <t>X</t>
        </is>
      </c>
      <c r="D2758" s="5" t="n">
        <v>107</v>
      </c>
      <c r="E2758" s="73">
        <f>B2758*D2758/10000</f>
        <v/>
      </c>
      <c r="F2758" s="74">
        <f>B2758/30.48</f>
        <v/>
      </c>
      <c r="G2758" s="74">
        <f>D2758/30.48</f>
        <v/>
      </c>
      <c r="H2758" s="615" t="n"/>
      <c r="N2758" s="211" t="n"/>
    </row>
    <row r="2759" ht="18" customHeight="1" s="305">
      <c r="A2759" s="8" t="n">
        <v>4113</v>
      </c>
      <c r="B2759" s="5" t="n">
        <v>70</v>
      </c>
      <c r="C2759" s="72" t="inlineStr">
        <is>
          <t>X</t>
        </is>
      </c>
      <c r="D2759" s="5" t="n">
        <v>133</v>
      </c>
      <c r="E2759" s="73">
        <f>B2759*D2759/10000</f>
        <v/>
      </c>
      <c r="F2759" s="74">
        <f>B2759/30.48</f>
        <v/>
      </c>
      <c r="G2759" s="74">
        <f>D2759/30.48</f>
        <v/>
      </c>
      <c r="H2759" s="615" t="n"/>
      <c r="N2759" s="211" t="n"/>
    </row>
    <row r="2760" ht="18" customHeight="1" s="305">
      <c r="A2760" s="8" t="n">
        <v>4114</v>
      </c>
      <c r="B2760" s="5" t="n">
        <v>80</v>
      </c>
      <c r="C2760" s="72" t="inlineStr">
        <is>
          <t>X</t>
        </is>
      </c>
      <c r="D2760" s="5" t="n">
        <v>274</v>
      </c>
      <c r="E2760" s="73">
        <f>B2760*D2760/10000</f>
        <v/>
      </c>
      <c r="F2760" s="74">
        <f>B2760/30.48</f>
        <v/>
      </c>
      <c r="G2760" s="74">
        <f>D2760/30.48</f>
        <v/>
      </c>
      <c r="H2760" s="615" t="n"/>
      <c r="N2760" s="211" t="n"/>
    </row>
    <row r="2761" ht="18" customHeight="1" s="305">
      <c r="A2761" s="8" t="n">
        <v>4115</v>
      </c>
      <c r="B2761" s="5" t="n">
        <v>65</v>
      </c>
      <c r="C2761" s="72" t="inlineStr">
        <is>
          <t>X</t>
        </is>
      </c>
      <c r="D2761" s="5" t="n">
        <v>109</v>
      </c>
      <c r="E2761" s="73">
        <f>B2761*D2761/10000</f>
        <v/>
      </c>
      <c r="F2761" s="74">
        <f>B2761/30.48</f>
        <v/>
      </c>
      <c r="G2761" s="74">
        <f>D2761/30.48</f>
        <v/>
      </c>
      <c r="H2761" s="615" t="n"/>
      <c r="N2761" s="211" t="n"/>
    </row>
    <row r="2762" ht="18" customHeight="1" s="305">
      <c r="A2762" s="8" t="n">
        <v>4117</v>
      </c>
      <c r="B2762" s="5" t="n">
        <v>73</v>
      </c>
      <c r="C2762" s="72" t="inlineStr">
        <is>
          <t>X</t>
        </is>
      </c>
      <c r="D2762" s="5" t="n">
        <v>277</v>
      </c>
      <c r="E2762" s="73">
        <f>B2762*D2762/10000</f>
        <v/>
      </c>
      <c r="F2762" s="74">
        <f>B2762/30.48</f>
        <v/>
      </c>
      <c r="G2762" s="74">
        <f>D2762/30.48</f>
        <v/>
      </c>
      <c r="H2762" s="615" t="n"/>
      <c r="N2762" s="211" t="n"/>
    </row>
    <row r="2763" ht="18" customHeight="1" s="305">
      <c r="A2763" s="8" t="n">
        <v>4119</v>
      </c>
      <c r="B2763" s="5" t="n">
        <v>82</v>
      </c>
      <c r="C2763" s="72" t="inlineStr">
        <is>
          <t>X</t>
        </is>
      </c>
      <c r="D2763" s="5" t="n">
        <v>386</v>
      </c>
      <c r="E2763" s="73">
        <f>B2763*D2763/10000</f>
        <v/>
      </c>
      <c r="F2763" s="74">
        <f>B2763/30.48</f>
        <v/>
      </c>
      <c r="G2763" s="74">
        <f>D2763/30.48</f>
        <v/>
      </c>
      <c r="H2763" s="615" t="n"/>
      <c r="N2763" s="211" t="n"/>
    </row>
    <row r="2764" ht="18" customHeight="1" s="305">
      <c r="A2764" s="8" t="n">
        <v>4120</v>
      </c>
      <c r="B2764" s="5" t="n">
        <v>70</v>
      </c>
      <c r="C2764" s="72" t="inlineStr">
        <is>
          <t>X</t>
        </is>
      </c>
      <c r="D2764" s="5" t="n">
        <v>127</v>
      </c>
      <c r="E2764" s="73">
        <f>B2764*D2764/10000</f>
        <v/>
      </c>
      <c r="F2764" s="74">
        <f>B2764/30.48</f>
        <v/>
      </c>
      <c r="G2764" s="74">
        <f>D2764/30.48</f>
        <v/>
      </c>
      <c r="H2764" s="615" t="n"/>
      <c r="N2764" s="211" t="n"/>
    </row>
    <row r="2765" ht="18" customHeight="1" s="305">
      <c r="A2765" s="8" t="inlineStr">
        <is>
          <t>4120 x2</t>
        </is>
      </c>
      <c r="B2765" s="5" t="n">
        <v>65</v>
      </c>
      <c r="C2765" s="72" t="inlineStr">
        <is>
          <t>X</t>
        </is>
      </c>
      <c r="D2765" s="5" t="n">
        <v>163</v>
      </c>
      <c r="E2765" s="73">
        <f>B2765*D2765/10000</f>
        <v/>
      </c>
      <c r="F2765" s="74">
        <f>B2765/30.48</f>
        <v/>
      </c>
      <c r="G2765" s="74">
        <f>D2765/30.48</f>
        <v/>
      </c>
      <c r="H2765" s="615" t="n"/>
      <c r="N2765" s="348" t="n"/>
    </row>
    <row r="2766" ht="18" customHeight="1" s="305">
      <c r="A2766" s="8" t="n">
        <v>4122</v>
      </c>
      <c r="B2766" s="5" t="n">
        <v>66</v>
      </c>
      <c r="C2766" s="72" t="inlineStr">
        <is>
          <t>X</t>
        </is>
      </c>
      <c r="D2766" s="5" t="n">
        <v>217</v>
      </c>
      <c r="E2766" s="73">
        <f>B2766*D2766/10000</f>
        <v/>
      </c>
      <c r="F2766" s="74">
        <f>B2766/30.48</f>
        <v/>
      </c>
      <c r="G2766" s="74">
        <f>D2766/30.48</f>
        <v/>
      </c>
      <c r="H2766" s="615" t="n"/>
      <c r="N2766" s="348" t="n"/>
    </row>
    <row r="2767" ht="18" customHeight="1" s="305">
      <c r="A2767" s="8" t="n">
        <v>4123</v>
      </c>
      <c r="B2767" s="5" t="n">
        <v>70</v>
      </c>
      <c r="C2767" s="72" t="inlineStr">
        <is>
          <t>X</t>
        </is>
      </c>
      <c r="D2767" s="5" t="n">
        <v>141</v>
      </c>
      <c r="E2767" s="73">
        <f>B2767*D2767/10000</f>
        <v/>
      </c>
      <c r="F2767" s="74">
        <f>B2767/30.48</f>
        <v/>
      </c>
      <c r="G2767" s="74">
        <f>D2767/30.48</f>
        <v/>
      </c>
      <c r="H2767" s="615" t="n"/>
    </row>
    <row r="2768" ht="18" customHeight="1" s="305">
      <c r="A2768" s="8" t="n">
        <v>4124</v>
      </c>
      <c r="B2768" s="5" t="n">
        <v>70</v>
      </c>
      <c r="C2768" s="72" t="inlineStr">
        <is>
          <t>X</t>
        </is>
      </c>
      <c r="D2768" s="5" t="n">
        <v>161</v>
      </c>
      <c r="E2768" s="73">
        <f>B2768*D2768/10000</f>
        <v/>
      </c>
      <c r="F2768" s="74">
        <f>B2768/30.48</f>
        <v/>
      </c>
      <c r="G2768" s="74">
        <f>D2768/30.48</f>
        <v/>
      </c>
      <c r="H2768" s="615" t="n"/>
    </row>
    <row r="2769" ht="18" customHeight="1" s="305">
      <c r="A2769" s="8" t="n">
        <v>4126</v>
      </c>
      <c r="B2769" s="5" t="n">
        <v>61</v>
      </c>
      <c r="C2769" s="72" t="inlineStr">
        <is>
          <t>X</t>
        </is>
      </c>
      <c r="D2769" s="5" t="n">
        <v>107</v>
      </c>
      <c r="E2769" s="73">
        <f>B2769*D2769/10000</f>
        <v/>
      </c>
      <c r="F2769" s="74">
        <f>B2769/30.48</f>
        <v/>
      </c>
      <c r="G2769" s="74">
        <f>D2769/30.48</f>
        <v/>
      </c>
      <c r="H2769" s="615" t="n"/>
    </row>
    <row r="2770" ht="18" customHeight="1" s="305">
      <c r="A2770" s="8" t="inlineStr">
        <is>
          <t>4127 x2</t>
        </is>
      </c>
      <c r="B2770" s="5" t="n">
        <v>80</v>
      </c>
      <c r="C2770" s="72" t="inlineStr">
        <is>
          <t>X</t>
        </is>
      </c>
      <c r="D2770" s="5" t="n">
        <v>309</v>
      </c>
      <c r="E2770" s="73">
        <f>B2770*D2770/10000</f>
        <v/>
      </c>
      <c r="F2770" s="74">
        <f>B2770/30.48</f>
        <v/>
      </c>
      <c r="G2770" s="74">
        <f>D2770/30.48</f>
        <v/>
      </c>
      <c r="H2770" s="615" t="n"/>
    </row>
    <row r="2771" ht="18" customHeight="1" s="305">
      <c r="A2771" s="8" t="n">
        <v>4128</v>
      </c>
      <c r="B2771" s="5" t="n">
        <v>67</v>
      </c>
      <c r="C2771" s="72" t="inlineStr">
        <is>
          <t>X</t>
        </is>
      </c>
      <c r="D2771" s="5" t="n">
        <v>277</v>
      </c>
      <c r="E2771" s="73">
        <f>B2771*D2771/10000</f>
        <v/>
      </c>
      <c r="F2771" s="74">
        <f>B2771/30.48</f>
        <v/>
      </c>
      <c r="G2771" s="74">
        <f>D2771/30.48</f>
        <v/>
      </c>
      <c r="H2771" s="615" t="n"/>
    </row>
    <row r="2772" ht="18" customHeight="1" s="305">
      <c r="A2772" s="8" t="inlineStr">
        <is>
          <t>4128 x2</t>
        </is>
      </c>
      <c r="B2772" s="5" t="n">
        <v>69</v>
      </c>
      <c r="C2772" s="72" t="inlineStr">
        <is>
          <t>X</t>
        </is>
      </c>
      <c r="D2772" s="5" t="n">
        <v>302</v>
      </c>
      <c r="E2772" s="73">
        <f>B2772*D2772/10000</f>
        <v/>
      </c>
      <c r="F2772" s="74">
        <f>B2772/30.48</f>
        <v/>
      </c>
      <c r="G2772" s="74">
        <f>D2772/30.48</f>
        <v/>
      </c>
      <c r="H2772" s="615" t="n"/>
    </row>
    <row r="2773" ht="18" customHeight="1" s="305">
      <c r="A2773" s="8" t="n">
        <v>4129</v>
      </c>
      <c r="B2773" s="5" t="n">
        <v>74</v>
      </c>
      <c r="C2773" s="72" t="inlineStr">
        <is>
          <t>X</t>
        </is>
      </c>
      <c r="D2773" s="5" t="n">
        <v>249</v>
      </c>
      <c r="E2773" s="73">
        <f>B2773*D2773/10000</f>
        <v/>
      </c>
      <c r="F2773" s="74">
        <f>B2773/30.48</f>
        <v/>
      </c>
      <c r="G2773" s="74">
        <f>D2773/30.48</f>
        <v/>
      </c>
      <c r="H2773" s="615" t="n"/>
    </row>
    <row r="2774" ht="18" customHeight="1" s="305">
      <c r="A2774" s="8" t="inlineStr">
        <is>
          <t>4129 x2</t>
        </is>
      </c>
      <c r="B2774" s="5" t="n">
        <v>230</v>
      </c>
      <c r="C2774" s="72" t="inlineStr">
        <is>
          <t>X</t>
        </is>
      </c>
      <c r="D2774" s="5" t="n">
        <v>332</v>
      </c>
      <c r="E2774" s="73">
        <f>B2774*D2774/10000</f>
        <v/>
      </c>
      <c r="F2774" s="74">
        <f>B2774/30.48</f>
        <v/>
      </c>
      <c r="G2774" s="74">
        <f>D2774/30.48</f>
        <v/>
      </c>
      <c r="H2774" s="615" t="n"/>
    </row>
    <row r="2775" ht="18" customHeight="1" s="305">
      <c r="A2775" s="8" t="inlineStr">
        <is>
          <t>4130 (2)</t>
        </is>
      </c>
      <c r="B2775" s="5" t="n">
        <v>70</v>
      </c>
      <c r="C2775" s="72" t="inlineStr">
        <is>
          <t>X</t>
        </is>
      </c>
      <c r="D2775" s="5" t="n">
        <v>127</v>
      </c>
      <c r="E2775" s="73">
        <f>B2775*D2775/10000</f>
        <v/>
      </c>
      <c r="F2775" s="74">
        <f>B2775/30.48</f>
        <v/>
      </c>
      <c r="G2775" s="74">
        <f>D2775/30.48</f>
        <v/>
      </c>
      <c r="H2775" s="615" t="n"/>
    </row>
    <row r="2776" ht="18" customHeight="1" s="305">
      <c r="A2776" s="8" t="n">
        <v>4130</v>
      </c>
      <c r="B2776" s="5" t="n">
        <v>160</v>
      </c>
      <c r="C2776" s="72" t="inlineStr">
        <is>
          <t>X</t>
        </is>
      </c>
      <c r="D2776" s="5" t="n">
        <v>261</v>
      </c>
      <c r="E2776" s="73">
        <f>B2776*D2776/10000</f>
        <v/>
      </c>
      <c r="F2776" s="74">
        <f>B2776/30.48</f>
        <v/>
      </c>
      <c r="G2776" s="74">
        <f>D2776/30.48</f>
        <v/>
      </c>
      <c r="H2776" s="615" t="n"/>
    </row>
    <row r="2777" ht="18" customHeight="1" s="305">
      <c r="A2777" s="8" t="n">
        <v>4131</v>
      </c>
      <c r="B2777" s="5" t="n">
        <v>70</v>
      </c>
      <c r="C2777" s="72" t="inlineStr">
        <is>
          <t>X</t>
        </is>
      </c>
      <c r="D2777" s="5" t="n">
        <v>129</v>
      </c>
      <c r="E2777" s="73">
        <f>B2777*D2777/10000</f>
        <v/>
      </c>
      <c r="F2777" s="74">
        <f>B2777/30.48</f>
        <v/>
      </c>
      <c r="G2777" s="74">
        <f>D2777/30.48</f>
        <v/>
      </c>
      <c r="H2777" s="615" t="n"/>
    </row>
    <row r="2778" ht="18" customHeight="1" s="305">
      <c r="A2778" s="8" t="n">
        <v>4132</v>
      </c>
      <c r="B2778" s="5" t="n">
        <v>66</v>
      </c>
      <c r="C2778" s="72" t="inlineStr">
        <is>
          <t>X</t>
        </is>
      </c>
      <c r="D2778" s="5" t="n">
        <v>279</v>
      </c>
      <c r="E2778" s="73">
        <f>B2778*D2778/10000</f>
        <v/>
      </c>
      <c r="F2778" s="74">
        <f>B2778/30.48</f>
        <v/>
      </c>
      <c r="G2778" s="74">
        <f>D2778/30.48</f>
        <v/>
      </c>
      <c r="H2778" s="615" t="n"/>
    </row>
    <row r="2779" ht="18" customHeight="1" s="305">
      <c r="A2779" s="8" t="n">
        <v>4134</v>
      </c>
      <c r="B2779" s="5" t="n">
        <v>65</v>
      </c>
      <c r="C2779" s="72" t="inlineStr">
        <is>
          <t>X</t>
        </is>
      </c>
      <c r="D2779" s="5" t="n">
        <v>132</v>
      </c>
      <c r="E2779" s="73">
        <f>B2779*D2779/10000</f>
        <v/>
      </c>
      <c r="F2779" s="74">
        <f>B2779/30.48</f>
        <v/>
      </c>
      <c r="G2779" s="74">
        <f>D2779/30.48</f>
        <v/>
      </c>
      <c r="H2779" s="615" t="n"/>
    </row>
    <row r="2780" ht="18" customHeight="1" s="305">
      <c r="A2780" s="8" t="n">
        <v>4135</v>
      </c>
      <c r="B2780" s="5" t="n">
        <v>66</v>
      </c>
      <c r="C2780" s="72" t="inlineStr">
        <is>
          <t>X</t>
        </is>
      </c>
      <c r="D2780" s="5" t="n">
        <v>160</v>
      </c>
      <c r="E2780" s="73">
        <f>B2780*D2780/10000</f>
        <v/>
      </c>
      <c r="F2780" s="74">
        <f>B2780/30.48</f>
        <v/>
      </c>
      <c r="G2780" s="74">
        <f>D2780/30.48</f>
        <v/>
      </c>
      <c r="H2780" s="615" t="n"/>
    </row>
    <row r="2781" ht="18" customHeight="1" s="305">
      <c r="A2781" s="8" t="n">
        <v>4137</v>
      </c>
      <c r="C2781" s="72" t="inlineStr">
        <is>
          <t>X</t>
        </is>
      </c>
      <c r="E2781" s="73">
        <f>B2781*D2781/10000</f>
        <v/>
      </c>
      <c r="F2781" s="74">
        <f>B2781/30.48</f>
        <v/>
      </c>
      <c r="G2781" s="74">
        <f>D2781/30.48</f>
        <v/>
      </c>
      <c r="H2781" s="615" t="n"/>
    </row>
    <row r="2782" ht="18" customHeight="1" s="305">
      <c r="A2782" s="8" t="n">
        <v>4138</v>
      </c>
      <c r="B2782" s="5" t="n">
        <v>69</v>
      </c>
      <c r="C2782" s="72" t="inlineStr">
        <is>
          <t>X</t>
        </is>
      </c>
      <c r="D2782" s="5" t="n">
        <v>133</v>
      </c>
      <c r="E2782" s="73">
        <f>B2782*D2782/10000</f>
        <v/>
      </c>
      <c r="F2782" s="74">
        <f>B2782/30.48</f>
        <v/>
      </c>
      <c r="G2782" s="74">
        <f>D2782/30.48</f>
        <v/>
      </c>
      <c r="H2782" s="615" t="n"/>
    </row>
    <row r="2783" ht="18" customHeight="1" s="305">
      <c r="A2783" s="8" t="n">
        <v>4139</v>
      </c>
      <c r="B2783" s="5" t="n">
        <v>84</v>
      </c>
      <c r="C2783" s="72" t="inlineStr">
        <is>
          <t>X</t>
        </is>
      </c>
      <c r="D2783" s="5" t="n">
        <v>266</v>
      </c>
      <c r="E2783" s="73">
        <f>B2783*D2783/10000</f>
        <v/>
      </c>
      <c r="F2783" s="74">
        <f>B2783/30.48</f>
        <v/>
      </c>
      <c r="G2783" s="74">
        <f>D2783/30.48</f>
        <v/>
      </c>
      <c r="H2783" s="615" t="n"/>
    </row>
    <row r="2784" ht="18" customHeight="1" s="305">
      <c r="A2784" s="8" t="n">
        <v>4140</v>
      </c>
      <c r="B2784" s="5" t="n">
        <v>78</v>
      </c>
      <c r="C2784" s="72" t="inlineStr">
        <is>
          <t>X</t>
        </is>
      </c>
      <c r="D2784" s="5" t="n">
        <v>207</v>
      </c>
      <c r="E2784" s="73">
        <f>B2784*D2784/10000</f>
        <v/>
      </c>
      <c r="F2784" s="74">
        <f>B2784/30.48</f>
        <v/>
      </c>
      <c r="G2784" s="74">
        <f>D2784/30.48</f>
        <v/>
      </c>
      <c r="H2784" s="615" t="n"/>
    </row>
    <row r="2785" ht="18" customHeight="1" s="305">
      <c r="A2785" s="8" t="n">
        <v>4141</v>
      </c>
      <c r="B2785" s="5" t="n">
        <v>115</v>
      </c>
      <c r="C2785" s="72" t="inlineStr">
        <is>
          <t>X</t>
        </is>
      </c>
      <c r="D2785" s="5" t="n">
        <v>210</v>
      </c>
      <c r="E2785" s="73">
        <f>B2785*D2785/10000</f>
        <v/>
      </c>
      <c r="F2785" s="74">
        <f>B2785/30.48</f>
        <v/>
      </c>
      <c r="G2785" s="74">
        <f>D2785/30.48</f>
        <v/>
      </c>
      <c r="H2785" s="615" t="n"/>
    </row>
    <row r="2786" ht="18" customHeight="1" s="305">
      <c r="A2786" s="8" t="n">
        <v>4143</v>
      </c>
      <c r="B2786" s="5" t="n">
        <v>190</v>
      </c>
      <c r="C2786" s="72" t="inlineStr">
        <is>
          <t>X</t>
        </is>
      </c>
      <c r="D2786" s="5" t="n">
        <v>280</v>
      </c>
      <c r="E2786" s="73">
        <f>B2786*D2786/10000</f>
        <v/>
      </c>
      <c r="F2786" s="74">
        <f>B2786/30.48</f>
        <v/>
      </c>
      <c r="G2786" s="74">
        <f>D2786/30.48</f>
        <v/>
      </c>
      <c r="H2786" s="615" t="n"/>
    </row>
    <row r="2787" ht="18" customHeight="1" s="305">
      <c r="A2787" s="8" t="n">
        <v>4149</v>
      </c>
      <c r="B2787" s="5" t="n">
        <v>170</v>
      </c>
      <c r="C2787" s="72" t="inlineStr">
        <is>
          <t>X</t>
        </is>
      </c>
      <c r="D2787" s="5" t="n">
        <v>377</v>
      </c>
      <c r="E2787" s="73">
        <f>B2787*D2787/10000</f>
        <v/>
      </c>
      <c r="F2787" s="74">
        <f>B2787/30.48</f>
        <v/>
      </c>
      <c r="G2787" s="74">
        <f>D2787/30.48</f>
        <v/>
      </c>
      <c r="H2787" s="615" t="n"/>
    </row>
    <row r="2788" ht="18" customHeight="1" s="305">
      <c r="A2788" s="8" t="n">
        <v>4150</v>
      </c>
      <c r="B2788" s="5" t="n">
        <v>96</v>
      </c>
      <c r="C2788" s="72" t="inlineStr">
        <is>
          <t>X</t>
        </is>
      </c>
      <c r="D2788" s="5" t="n">
        <v>261</v>
      </c>
      <c r="E2788" s="73">
        <f>B2788*D2788/10000</f>
        <v/>
      </c>
      <c r="F2788" s="74">
        <f>B2788/30.48</f>
        <v/>
      </c>
      <c r="G2788" s="74">
        <f>D2788/30.48</f>
        <v/>
      </c>
      <c r="H2788" s="615" t="n"/>
    </row>
    <row r="2789" ht="18" customHeight="1" s="305">
      <c r="A2789" s="8" t="n">
        <v>4151</v>
      </c>
      <c r="B2789" s="5" t="n">
        <v>99</v>
      </c>
      <c r="C2789" s="72" t="inlineStr">
        <is>
          <t>X</t>
        </is>
      </c>
      <c r="D2789" s="5" t="n">
        <v>276</v>
      </c>
      <c r="E2789" s="73">
        <f>B2789*D2789/10000</f>
        <v/>
      </c>
      <c r="F2789" s="74">
        <f>B2789/30.48</f>
        <v/>
      </c>
      <c r="G2789" s="74">
        <f>D2789/30.48</f>
        <v/>
      </c>
      <c r="H2789" s="615" t="n"/>
    </row>
    <row r="2790" ht="18" customHeight="1" s="305">
      <c r="A2790" s="8" t="n">
        <v>4152</v>
      </c>
      <c r="B2790" s="5" t="n">
        <v>165</v>
      </c>
      <c r="C2790" s="72" t="inlineStr">
        <is>
          <t>X</t>
        </is>
      </c>
      <c r="D2790" s="5" t="n">
        <v>290</v>
      </c>
      <c r="E2790" s="73">
        <f>B2790*D2790/10000</f>
        <v/>
      </c>
      <c r="F2790" s="74">
        <f>B2790/30.48</f>
        <v/>
      </c>
      <c r="G2790" s="74">
        <f>D2790/30.48</f>
        <v/>
      </c>
      <c r="H2790" s="615" t="n"/>
    </row>
    <row r="2791" ht="18" customHeight="1" s="305">
      <c r="A2791" s="8" t="n">
        <v>4153</v>
      </c>
      <c r="B2791" s="5" t="n">
        <v>104</v>
      </c>
      <c r="C2791" s="72" t="inlineStr">
        <is>
          <t>X</t>
        </is>
      </c>
      <c r="D2791" s="5" t="n">
        <v>308</v>
      </c>
      <c r="E2791" s="73">
        <f>B2791*D2791/10000</f>
        <v/>
      </c>
      <c r="F2791" s="74">
        <f>B2791/30.48</f>
        <v/>
      </c>
      <c r="G2791" s="74">
        <f>D2791/30.48</f>
        <v/>
      </c>
      <c r="H2791" s="615" t="n"/>
    </row>
    <row r="2792" ht="18" customHeight="1" s="305">
      <c r="A2792" s="8" t="n">
        <v>4155</v>
      </c>
      <c r="B2792" s="5" t="n">
        <v>78</v>
      </c>
      <c r="C2792" s="72" t="inlineStr">
        <is>
          <t>X</t>
        </is>
      </c>
      <c r="D2792" s="5" t="n">
        <v>141</v>
      </c>
      <c r="E2792" s="73">
        <f>B2792*D2792/10000</f>
        <v/>
      </c>
      <c r="F2792" s="74">
        <f>B2792/30.48</f>
        <v/>
      </c>
      <c r="G2792" s="74">
        <f>D2792/30.48</f>
        <v/>
      </c>
      <c r="H2792" s="615" t="n"/>
    </row>
    <row r="2793" ht="18" customHeight="1" s="305">
      <c r="A2793" s="8" t="n">
        <v>4156</v>
      </c>
      <c r="B2793" s="5" t="n">
        <v>120</v>
      </c>
      <c r="C2793" s="72" t="inlineStr">
        <is>
          <t>X</t>
        </is>
      </c>
      <c r="D2793" s="5" t="n">
        <v>237</v>
      </c>
      <c r="E2793" s="73">
        <f>B2793*D2793/10000</f>
        <v/>
      </c>
      <c r="F2793" s="74">
        <f>B2793/30.48</f>
        <v/>
      </c>
      <c r="G2793" s="74">
        <f>D2793/30.48</f>
        <v/>
      </c>
      <c r="H2793" s="615" t="n"/>
    </row>
    <row r="2794" ht="18" customHeight="1" s="305">
      <c r="A2794" s="8" t="n">
        <v>4157</v>
      </c>
      <c r="B2794" s="5" t="n">
        <v>103</v>
      </c>
      <c r="C2794" s="72" t="inlineStr">
        <is>
          <t>X</t>
        </is>
      </c>
      <c r="D2794" s="5" t="n">
        <v>362</v>
      </c>
      <c r="E2794" s="73">
        <f>B2794*D2794/10000</f>
        <v/>
      </c>
      <c r="F2794" s="74">
        <f>B2794/30.48</f>
        <v/>
      </c>
      <c r="G2794" s="74">
        <f>D2794/30.48</f>
        <v/>
      </c>
      <c r="H2794" s="615" t="n"/>
    </row>
    <row r="2795" ht="18" customHeight="1" s="305">
      <c r="A2795" s="8" t="n">
        <v>4158</v>
      </c>
      <c r="B2795" s="5" t="n">
        <v>100</v>
      </c>
      <c r="C2795" s="72" t="inlineStr">
        <is>
          <t>X</t>
        </is>
      </c>
      <c r="D2795" s="5" t="n">
        <v>150</v>
      </c>
      <c r="E2795" s="73">
        <f>B2795*D2795/10000</f>
        <v/>
      </c>
      <c r="F2795" s="74">
        <f>B2795/30.48</f>
        <v/>
      </c>
      <c r="G2795" s="74">
        <f>D2795/30.48</f>
        <v/>
      </c>
      <c r="H2795" s="615" t="n"/>
    </row>
    <row r="2796" ht="18" customHeight="1" s="305">
      <c r="A2796" s="8" t="n">
        <v>4159</v>
      </c>
      <c r="B2796" s="5" t="n">
        <v>116</v>
      </c>
      <c r="C2796" s="72" t="inlineStr">
        <is>
          <t>X</t>
        </is>
      </c>
      <c r="D2796" s="5" t="n">
        <v>411</v>
      </c>
      <c r="E2796" s="73">
        <f>B2796*D2796/10000</f>
        <v/>
      </c>
      <c r="F2796" s="74">
        <f>B2796/30.48</f>
        <v/>
      </c>
      <c r="G2796" s="74">
        <f>D2796/30.48</f>
        <v/>
      </c>
      <c r="H2796" s="615" t="n"/>
    </row>
    <row r="2797" ht="18" customHeight="1" s="305">
      <c r="A2797" s="8" t="n">
        <v>4160</v>
      </c>
      <c r="B2797" s="5" t="n">
        <v>119</v>
      </c>
      <c r="C2797" s="72" t="inlineStr">
        <is>
          <t>X</t>
        </is>
      </c>
      <c r="D2797" s="5" t="n">
        <v>317</v>
      </c>
      <c r="E2797" s="73">
        <f>B2797*D2797/10000</f>
        <v/>
      </c>
      <c r="F2797" s="74">
        <f>B2797/30.48</f>
        <v/>
      </c>
      <c r="G2797" s="74">
        <f>D2797/30.48</f>
        <v/>
      </c>
      <c r="H2797" s="615" t="n"/>
    </row>
    <row r="2798" ht="18" customHeight="1" s="305">
      <c r="A2798" s="8" t="n">
        <v>4161</v>
      </c>
      <c r="B2798" s="5" t="n">
        <v>120</v>
      </c>
      <c r="C2798" s="72" t="inlineStr">
        <is>
          <t>X</t>
        </is>
      </c>
      <c r="D2798" s="5" t="n">
        <v>337</v>
      </c>
      <c r="E2798" s="73">
        <f>B2798*D2798/10000</f>
        <v/>
      </c>
      <c r="F2798" s="74">
        <f>B2798/30.48</f>
        <v/>
      </c>
      <c r="G2798" s="74">
        <f>D2798/30.48</f>
        <v/>
      </c>
      <c r="H2798" s="615" t="n"/>
    </row>
    <row r="2799" ht="18" customHeight="1" s="305">
      <c r="A2799" s="8" t="n">
        <v>4162</v>
      </c>
      <c r="B2799" s="5" t="n">
        <v>120</v>
      </c>
      <c r="C2799" s="72" t="inlineStr">
        <is>
          <t>X</t>
        </is>
      </c>
      <c r="D2799" s="5" t="n">
        <v>223</v>
      </c>
      <c r="E2799" s="73">
        <f>B2799*D2799/10000</f>
        <v/>
      </c>
      <c r="F2799" s="74">
        <f>B2799/30.48</f>
        <v/>
      </c>
      <c r="G2799" s="74">
        <f>D2799/30.48</f>
        <v/>
      </c>
      <c r="H2799" s="615" t="n"/>
    </row>
    <row r="2800" ht="18" customHeight="1" s="305">
      <c r="A2800" s="8" t="n">
        <v>4165</v>
      </c>
      <c r="B2800" s="5" t="n">
        <v>92</v>
      </c>
      <c r="C2800" s="72" t="inlineStr">
        <is>
          <t>X</t>
        </is>
      </c>
      <c r="D2800" s="5" t="n">
        <v>283</v>
      </c>
      <c r="E2800" s="73">
        <f>B2800*D2800/10000</f>
        <v/>
      </c>
      <c r="F2800" s="74">
        <f>B2800/30.48</f>
        <v/>
      </c>
      <c r="G2800" s="74">
        <f>D2800/30.48</f>
        <v/>
      </c>
      <c r="H2800" s="615" t="n"/>
    </row>
    <row r="2801" ht="18" customHeight="1" s="305">
      <c r="A2801" s="8" t="n">
        <v>4166</v>
      </c>
      <c r="B2801" s="5" t="n">
        <v>117</v>
      </c>
      <c r="C2801" s="72" t="inlineStr">
        <is>
          <t>X</t>
        </is>
      </c>
      <c r="D2801" s="5" t="n">
        <v>440</v>
      </c>
      <c r="E2801" s="73">
        <f>B2801*D2801/10000</f>
        <v/>
      </c>
      <c r="F2801" s="74">
        <f>B2801/30.48</f>
        <v/>
      </c>
      <c r="G2801" s="74">
        <f>D2801/30.48</f>
        <v/>
      </c>
      <c r="H2801" s="615" t="n"/>
    </row>
    <row r="2802" ht="18" customHeight="1" s="305">
      <c r="A2802" s="8" t="n">
        <v>4168</v>
      </c>
      <c r="B2802" s="5" t="n">
        <v>216</v>
      </c>
      <c r="C2802" s="72" t="inlineStr">
        <is>
          <t>X</t>
        </is>
      </c>
      <c r="D2802" s="5" t="n">
        <v>292</v>
      </c>
      <c r="E2802" s="73">
        <f>B2802*D2802/10000</f>
        <v/>
      </c>
      <c r="F2802" s="74">
        <f>B2802/30.48</f>
        <v/>
      </c>
      <c r="G2802" s="74">
        <f>D2802/30.48</f>
        <v/>
      </c>
      <c r="H2802" s="615" t="n"/>
    </row>
    <row r="2803" ht="18" customHeight="1" s="305">
      <c r="A2803" s="8" t="n">
        <v>4169</v>
      </c>
      <c r="B2803" s="5" t="n">
        <v>105</v>
      </c>
      <c r="C2803" s="72" t="inlineStr">
        <is>
          <t>X</t>
        </is>
      </c>
      <c r="D2803" s="5" t="n">
        <v>295</v>
      </c>
      <c r="E2803" s="73">
        <f>B2803*D2803/10000</f>
        <v/>
      </c>
      <c r="F2803" s="74">
        <f>B2803/30.48</f>
        <v/>
      </c>
      <c r="G2803" s="74">
        <f>D2803/30.48</f>
        <v/>
      </c>
      <c r="H2803" s="615" t="n"/>
    </row>
    <row r="2804" ht="18" customHeight="1" s="305">
      <c r="A2804" s="8" t="n">
        <v>4171</v>
      </c>
      <c r="B2804" s="5" t="n">
        <v>110</v>
      </c>
      <c r="C2804" s="72" t="inlineStr">
        <is>
          <t>X</t>
        </is>
      </c>
      <c r="D2804" s="5" t="n">
        <v>281</v>
      </c>
      <c r="E2804" s="73">
        <f>B2804*D2804/10000</f>
        <v/>
      </c>
      <c r="F2804" s="74">
        <f>B2804/30.48</f>
        <v/>
      </c>
      <c r="G2804" s="74">
        <f>D2804/30.48</f>
        <v/>
      </c>
      <c r="H2804" s="615" t="n"/>
    </row>
    <row r="2805" ht="18" customHeight="1" s="305">
      <c r="A2805" s="8" t="n">
        <v>4173</v>
      </c>
      <c r="B2805" s="5" t="n">
        <v>93</v>
      </c>
      <c r="C2805" s="72" t="inlineStr">
        <is>
          <t>X</t>
        </is>
      </c>
      <c r="D2805" s="5" t="n">
        <v>277</v>
      </c>
      <c r="E2805" s="73">
        <f>B2805*D2805/10000</f>
        <v/>
      </c>
      <c r="F2805" s="74">
        <f>B2805/30.48</f>
        <v/>
      </c>
      <c r="G2805" s="74">
        <f>D2805/30.48</f>
        <v/>
      </c>
      <c r="H2805" s="615" t="n"/>
    </row>
    <row r="2806" ht="18" customHeight="1" s="305">
      <c r="A2806" s="8" t="n">
        <v>4174</v>
      </c>
      <c r="B2806" s="5" t="n">
        <v>108</v>
      </c>
      <c r="C2806" s="72" t="inlineStr">
        <is>
          <t>X</t>
        </is>
      </c>
      <c r="D2806" s="5" t="n">
        <v>200</v>
      </c>
      <c r="E2806" s="73">
        <f>B2806*D2806/10000</f>
        <v/>
      </c>
      <c r="F2806" s="74">
        <f>B2806/30.48</f>
        <v/>
      </c>
      <c r="G2806" s="74">
        <f>D2806/30.48</f>
        <v/>
      </c>
      <c r="H2806" s="615" t="n"/>
    </row>
    <row r="2807" ht="18" customHeight="1" s="305">
      <c r="A2807" s="8" t="n">
        <v>4175</v>
      </c>
      <c r="B2807" s="5" t="n">
        <v>116</v>
      </c>
      <c r="C2807" s="72" t="inlineStr">
        <is>
          <t>X</t>
        </is>
      </c>
      <c r="D2807" s="5" t="n">
        <v>196</v>
      </c>
      <c r="E2807" s="73">
        <f>B2807*D2807/10000</f>
        <v/>
      </c>
      <c r="F2807" s="74">
        <f>B2807/30.48</f>
        <v/>
      </c>
      <c r="G2807" s="74">
        <f>D2807/30.48</f>
        <v/>
      </c>
      <c r="H2807" s="615" t="n"/>
    </row>
    <row r="2808" ht="18" customHeight="1" s="305">
      <c r="A2808" s="8" t="n">
        <v>4176</v>
      </c>
      <c r="B2808" s="5" t="n">
        <v>188</v>
      </c>
      <c r="C2808" s="72" t="inlineStr">
        <is>
          <t>X</t>
        </is>
      </c>
      <c r="D2808" s="5" t="n">
        <v>293</v>
      </c>
      <c r="E2808" s="73">
        <f>B2808*D2808/10000</f>
        <v/>
      </c>
      <c r="F2808" s="74">
        <f>B2808/30.48</f>
        <v/>
      </c>
      <c r="G2808" s="74">
        <f>D2808/30.48</f>
        <v/>
      </c>
      <c r="H2808" s="615" t="n"/>
    </row>
    <row r="2809" ht="18" customHeight="1" s="305">
      <c r="A2809" s="8" t="n">
        <v>4177</v>
      </c>
      <c r="B2809" s="5" t="n">
        <v>145</v>
      </c>
      <c r="C2809" s="72" t="inlineStr">
        <is>
          <t>X</t>
        </is>
      </c>
      <c r="D2809" s="5" t="n">
        <v>235</v>
      </c>
      <c r="E2809" s="73">
        <f>B2809*D2809/10000</f>
        <v/>
      </c>
      <c r="F2809" s="74">
        <f>B2809/30.48</f>
        <v/>
      </c>
      <c r="G2809" s="74">
        <f>D2809/30.48</f>
        <v/>
      </c>
      <c r="H2809" s="615" t="n"/>
    </row>
    <row r="2810" ht="18" customHeight="1" s="305">
      <c r="A2810" s="8" t="inlineStr">
        <is>
          <t>4177 x2</t>
        </is>
      </c>
      <c r="B2810" s="5" t="n">
        <v>116</v>
      </c>
      <c r="C2810" s="72" t="inlineStr">
        <is>
          <t>X</t>
        </is>
      </c>
      <c r="D2810" s="5" t="n">
        <v>170</v>
      </c>
      <c r="E2810" s="73">
        <f>B2810*D2810/10000</f>
        <v/>
      </c>
      <c r="F2810" s="74">
        <f>B2810/30.48</f>
        <v/>
      </c>
      <c r="G2810" s="74">
        <f>D2810/30.48</f>
        <v/>
      </c>
      <c r="H2810" s="615" t="n"/>
    </row>
    <row r="2811" ht="18" customHeight="1" s="305">
      <c r="A2811" s="8" t="n">
        <v>4179</v>
      </c>
      <c r="B2811" s="5" t="n">
        <v>79</v>
      </c>
      <c r="C2811" s="72" t="inlineStr">
        <is>
          <t>X</t>
        </is>
      </c>
      <c r="D2811" s="5" t="n">
        <v>290</v>
      </c>
      <c r="E2811" s="73">
        <f>B2811*D2811/10000</f>
        <v/>
      </c>
      <c r="F2811" s="74">
        <f>B2811/30.48</f>
        <v/>
      </c>
      <c r="G2811" s="74">
        <f>D2811/30.48</f>
        <v/>
      </c>
      <c r="H2811" s="615" t="n"/>
    </row>
    <row r="2812" ht="18" customHeight="1" s="305">
      <c r="A2812" s="8" t="n">
        <v>4180</v>
      </c>
      <c r="B2812" s="5" t="n">
        <v>85</v>
      </c>
      <c r="C2812" s="72" t="inlineStr">
        <is>
          <t>X</t>
        </is>
      </c>
      <c r="D2812" s="5" t="n">
        <v>348</v>
      </c>
      <c r="E2812" s="73">
        <f>B2812*D2812/10000</f>
        <v/>
      </c>
      <c r="F2812" s="74">
        <f>B2812/30.48</f>
        <v/>
      </c>
      <c r="G2812" s="74">
        <f>D2812/30.48</f>
        <v/>
      </c>
      <c r="H2812" s="615" t="n"/>
    </row>
    <row r="2813" ht="18" customHeight="1" s="305">
      <c r="A2813" s="8" t="n">
        <v>4181</v>
      </c>
      <c r="B2813" s="5" t="n">
        <v>77</v>
      </c>
      <c r="C2813" s="72" t="inlineStr">
        <is>
          <t>X</t>
        </is>
      </c>
      <c r="D2813" s="5" t="n">
        <v>348</v>
      </c>
      <c r="E2813" s="73">
        <f>B2813*D2813/10000</f>
        <v/>
      </c>
      <c r="F2813" s="74">
        <f>B2813/30.48</f>
        <v/>
      </c>
      <c r="G2813" s="74">
        <f>D2813/30.48</f>
        <v/>
      </c>
      <c r="H2813" s="615" t="n"/>
    </row>
    <row r="2814" ht="18" customHeight="1" s="305">
      <c r="A2814" s="8" t="n">
        <v>4182</v>
      </c>
      <c r="B2814" s="5" t="n">
        <v>101</v>
      </c>
      <c r="C2814" s="72" t="inlineStr">
        <is>
          <t>X</t>
        </is>
      </c>
      <c r="D2814" s="5" t="n">
        <v>376</v>
      </c>
      <c r="E2814" s="73">
        <f>B2814*D2814/10000</f>
        <v/>
      </c>
      <c r="F2814" s="74">
        <f>B2814/30.48</f>
        <v/>
      </c>
      <c r="G2814" s="74">
        <f>D2814/30.48</f>
        <v/>
      </c>
      <c r="H2814" s="615" t="n"/>
    </row>
    <row r="2815" ht="18" customHeight="1" s="305">
      <c r="A2815" s="8" t="n">
        <v>4183</v>
      </c>
      <c r="B2815" s="5" t="n">
        <v>88</v>
      </c>
      <c r="C2815" s="72" t="inlineStr">
        <is>
          <t>X</t>
        </is>
      </c>
      <c r="D2815" s="5" t="n">
        <v>400</v>
      </c>
      <c r="E2815" s="73">
        <f>B2815*D2815/10000</f>
        <v/>
      </c>
      <c r="F2815" s="74">
        <f>B2815/30.48</f>
        <v/>
      </c>
      <c r="G2815" s="74">
        <f>D2815/30.48</f>
        <v/>
      </c>
      <c r="H2815" s="615" t="n"/>
    </row>
    <row r="2816" ht="18" customHeight="1" s="305">
      <c r="A2816" s="8" t="n">
        <v>4185</v>
      </c>
      <c r="B2816" s="5" t="n">
        <v>80</v>
      </c>
      <c r="C2816" s="72" t="inlineStr">
        <is>
          <t>X</t>
        </is>
      </c>
      <c r="D2816" s="5" t="n">
        <v>308</v>
      </c>
      <c r="E2816" s="73">
        <f>B2816*D2816/10000</f>
        <v/>
      </c>
      <c r="F2816" s="74">
        <f>B2816/30.48</f>
        <v/>
      </c>
      <c r="G2816" s="74">
        <f>D2816/30.48</f>
        <v/>
      </c>
      <c r="H2816" s="615" t="n"/>
    </row>
    <row r="2817" ht="18" customHeight="1" s="305">
      <c r="A2817" s="8" t="n">
        <v>4186</v>
      </c>
      <c r="B2817" s="5" t="n">
        <v>69</v>
      </c>
      <c r="C2817" s="72" t="inlineStr">
        <is>
          <t>X</t>
        </is>
      </c>
      <c r="D2817" s="5" t="n">
        <v>306</v>
      </c>
      <c r="E2817" s="73">
        <f>B2817*D2817/10000</f>
        <v/>
      </c>
      <c r="F2817" s="74">
        <f>B2817/30.48</f>
        <v/>
      </c>
      <c r="G2817" s="74">
        <f>D2817/30.48</f>
        <v/>
      </c>
      <c r="H2817" s="615" t="n"/>
    </row>
    <row r="2818" ht="18" customHeight="1" s="305">
      <c r="A2818" s="8" t="n">
        <v>4188</v>
      </c>
      <c r="B2818" s="5" t="n">
        <v>70</v>
      </c>
      <c r="C2818" s="72" t="inlineStr">
        <is>
          <t>X</t>
        </is>
      </c>
      <c r="D2818" s="5" t="n">
        <v>114</v>
      </c>
      <c r="E2818" s="73">
        <f>B2818*D2818/10000</f>
        <v/>
      </c>
      <c r="F2818" s="74">
        <f>B2818/30.48</f>
        <v/>
      </c>
      <c r="G2818" s="74">
        <f>D2818/30.48</f>
        <v/>
      </c>
      <c r="H2818" s="615" t="n"/>
    </row>
    <row r="2819" ht="18" customHeight="1" s="305">
      <c r="A2819" s="8" t="n">
        <v>4189</v>
      </c>
      <c r="B2819" s="5" t="n">
        <v>63</v>
      </c>
      <c r="C2819" s="72" t="inlineStr">
        <is>
          <t>X</t>
        </is>
      </c>
      <c r="D2819" s="5" t="n">
        <v>131</v>
      </c>
      <c r="E2819" s="73">
        <f>B2819*D2819/10000</f>
        <v/>
      </c>
      <c r="F2819" s="74">
        <f>B2819/30.48</f>
        <v/>
      </c>
      <c r="G2819" s="74">
        <f>D2819/30.48</f>
        <v/>
      </c>
      <c r="H2819" s="615" t="n"/>
    </row>
    <row r="2820" ht="18" customHeight="1" s="305">
      <c r="A2820" s="8" t="n">
        <v>4190</v>
      </c>
      <c r="B2820" s="5" t="n">
        <v>88</v>
      </c>
      <c r="C2820" s="72" t="inlineStr">
        <is>
          <t>X</t>
        </is>
      </c>
      <c r="D2820" s="5" t="n">
        <v>326</v>
      </c>
      <c r="E2820" s="73">
        <f>B2820*D2820/10000</f>
        <v/>
      </c>
      <c r="F2820" s="74">
        <f>B2820/30.48</f>
        <v/>
      </c>
      <c r="G2820" s="74">
        <f>D2820/30.48</f>
        <v/>
      </c>
      <c r="H2820" s="615" t="n"/>
    </row>
    <row r="2821" ht="18" customHeight="1" s="305">
      <c r="A2821" s="8" t="n">
        <v>4191</v>
      </c>
      <c r="B2821" s="5" t="n">
        <v>70</v>
      </c>
      <c r="C2821" s="72" t="inlineStr">
        <is>
          <t>X</t>
        </is>
      </c>
      <c r="D2821" s="5" t="n">
        <v>177</v>
      </c>
      <c r="E2821" s="73">
        <f>B2821*D2821/10000</f>
        <v/>
      </c>
      <c r="F2821" s="74">
        <f>B2821/30.48</f>
        <v/>
      </c>
      <c r="G2821" s="74">
        <f>D2821/30.48</f>
        <v/>
      </c>
      <c r="H2821" s="615" t="n"/>
    </row>
    <row r="2822" ht="18" customHeight="1" s="305">
      <c r="A2822" s="8" t="n">
        <v>4192</v>
      </c>
      <c r="B2822" s="5" t="n">
        <v>88</v>
      </c>
      <c r="C2822" s="72" t="inlineStr">
        <is>
          <t>X</t>
        </is>
      </c>
      <c r="D2822" s="5" t="n">
        <v>331</v>
      </c>
      <c r="E2822" s="73">
        <f>B2822*D2822/10000</f>
        <v/>
      </c>
      <c r="F2822" s="74">
        <f>B2822/30.48</f>
        <v/>
      </c>
      <c r="G2822" s="74">
        <f>D2822/30.48</f>
        <v/>
      </c>
      <c r="H2822" s="615" t="n"/>
    </row>
    <row r="2823" ht="18" customHeight="1" s="305">
      <c r="A2823" s="8" t="n">
        <v>4193</v>
      </c>
      <c r="B2823" s="5" t="n">
        <v>74</v>
      </c>
      <c r="C2823" s="72" t="inlineStr">
        <is>
          <t>X</t>
        </is>
      </c>
      <c r="D2823" s="5" t="n">
        <v>260</v>
      </c>
      <c r="E2823" s="73">
        <f>B2823*D2823/10000</f>
        <v/>
      </c>
      <c r="F2823" s="74">
        <f>B2823/30.48</f>
        <v/>
      </c>
      <c r="G2823" s="74">
        <f>D2823/30.48</f>
        <v/>
      </c>
      <c r="H2823" s="615" t="n"/>
    </row>
    <row r="2824" ht="18" customHeight="1" s="305">
      <c r="A2824" s="8" t="n">
        <v>4194</v>
      </c>
      <c r="B2824" s="5" t="n">
        <v>68</v>
      </c>
      <c r="C2824" s="72" t="inlineStr">
        <is>
          <t>X</t>
        </is>
      </c>
      <c r="D2824" s="5" t="n">
        <v>120</v>
      </c>
      <c r="E2824" s="73">
        <f>B2824*D2824/10000</f>
        <v/>
      </c>
      <c r="F2824" s="74">
        <f>B2824/30.48</f>
        <v/>
      </c>
      <c r="G2824" s="74">
        <f>D2824/30.48</f>
        <v/>
      </c>
      <c r="H2824" s="615" t="n"/>
    </row>
    <row r="2825" ht="18" customHeight="1" s="305">
      <c r="A2825" s="8" t="n">
        <v>4195</v>
      </c>
      <c r="B2825" s="5" t="n">
        <v>90</v>
      </c>
      <c r="C2825" s="72" t="inlineStr">
        <is>
          <t>X</t>
        </is>
      </c>
      <c r="D2825" s="5" t="n">
        <v>324</v>
      </c>
      <c r="E2825" s="73">
        <f>B2825*D2825/10000</f>
        <v/>
      </c>
      <c r="F2825" s="74">
        <f>B2825/30.48</f>
        <v/>
      </c>
      <c r="G2825" s="74">
        <f>D2825/30.48</f>
        <v/>
      </c>
      <c r="H2825" s="615" t="n"/>
    </row>
    <row r="2826" ht="18" customHeight="1" s="305">
      <c r="A2826" s="8" t="n">
        <v>4196</v>
      </c>
      <c r="B2826" s="5" t="n">
        <v>76</v>
      </c>
      <c r="C2826" s="72" t="inlineStr">
        <is>
          <t>X</t>
        </is>
      </c>
      <c r="D2826" s="5" t="n">
        <v>198</v>
      </c>
      <c r="E2826" s="73">
        <f>B2826*D2826/10000</f>
        <v/>
      </c>
      <c r="F2826" s="74">
        <f>B2826/30.48</f>
        <v/>
      </c>
      <c r="G2826" s="74">
        <f>D2826/30.48</f>
        <v/>
      </c>
      <c r="H2826" s="615" t="n"/>
    </row>
    <row r="2827" ht="18" customHeight="1" s="305">
      <c r="A2827" s="8" t="n">
        <v>4197</v>
      </c>
      <c r="B2827" s="5" t="n">
        <v>75</v>
      </c>
      <c r="C2827" s="72" t="inlineStr">
        <is>
          <t>X</t>
        </is>
      </c>
      <c r="D2827" s="5" t="n">
        <v>210</v>
      </c>
      <c r="E2827" s="73">
        <f>B2827*D2827/10000</f>
        <v/>
      </c>
      <c r="F2827" s="74">
        <f>B2827/30.48</f>
        <v/>
      </c>
      <c r="G2827" s="74">
        <f>D2827/30.48</f>
        <v/>
      </c>
      <c r="H2827" s="615" t="n"/>
    </row>
    <row r="2828" ht="18" customHeight="1" s="305">
      <c r="A2828" s="8" t="n">
        <v>4198</v>
      </c>
      <c r="B2828" s="5" t="n">
        <v>72</v>
      </c>
      <c r="C2828" s="72" t="inlineStr">
        <is>
          <t>X</t>
        </is>
      </c>
      <c r="D2828" s="5" t="n">
        <v>245</v>
      </c>
      <c r="E2828" s="73">
        <f>B2828*D2828/10000</f>
        <v/>
      </c>
      <c r="F2828" s="74">
        <f>B2828/30.48</f>
        <v/>
      </c>
      <c r="G2828" s="74">
        <f>D2828/30.48</f>
        <v/>
      </c>
      <c r="H2828" s="615" t="n"/>
    </row>
    <row r="2829" ht="18" customHeight="1" s="305">
      <c r="A2829" s="8" t="n">
        <v>4199</v>
      </c>
      <c r="B2829" s="5" t="n">
        <v>90</v>
      </c>
      <c r="C2829" s="72" t="inlineStr">
        <is>
          <t>X</t>
        </is>
      </c>
      <c r="D2829" s="5" t="n">
        <v>351</v>
      </c>
      <c r="E2829" s="73">
        <f>B2829*D2829/10000</f>
        <v/>
      </c>
      <c r="F2829" s="74">
        <f>B2829/30.48</f>
        <v/>
      </c>
      <c r="G2829" s="74">
        <f>D2829/30.48</f>
        <v/>
      </c>
      <c r="H2829" s="615" t="n"/>
    </row>
    <row r="2830" ht="18" customHeight="1" s="305">
      <c r="A2830" s="8" t="n">
        <v>4200</v>
      </c>
      <c r="B2830" s="5" t="n">
        <v>67</v>
      </c>
      <c r="C2830" s="72" t="inlineStr">
        <is>
          <t>X</t>
        </is>
      </c>
      <c r="D2830" s="5" t="n">
        <v>245</v>
      </c>
      <c r="E2830" s="73">
        <f>B2830*D2830/10000</f>
        <v/>
      </c>
      <c r="F2830" s="74">
        <f>B2830/30.48</f>
        <v/>
      </c>
      <c r="G2830" s="74">
        <f>D2830/30.48</f>
        <v/>
      </c>
      <c r="H2830" s="615" t="n"/>
    </row>
    <row r="2831" ht="18" customHeight="1" s="305">
      <c r="A2831" s="8" t="n">
        <v>4201</v>
      </c>
      <c r="B2831" s="5" t="n">
        <v>154</v>
      </c>
      <c r="C2831" s="72" t="inlineStr">
        <is>
          <t>X</t>
        </is>
      </c>
      <c r="D2831" s="5" t="n">
        <v>276</v>
      </c>
      <c r="E2831" s="73">
        <f>B2831*D2831/10000</f>
        <v/>
      </c>
      <c r="F2831" s="74">
        <f>B2831/30.48</f>
        <v/>
      </c>
      <c r="G2831" s="74">
        <f>D2831/30.48</f>
        <v/>
      </c>
      <c r="H2831" s="615" t="n"/>
    </row>
    <row r="2832" ht="18" customHeight="1" s="305">
      <c r="A2832" s="8" t="n">
        <v>4202</v>
      </c>
      <c r="B2832" s="5" t="n">
        <v>273</v>
      </c>
      <c r="C2832" s="72" t="inlineStr">
        <is>
          <t>X</t>
        </is>
      </c>
      <c r="D2832" s="5" t="n">
        <v>388</v>
      </c>
      <c r="E2832" s="73">
        <f>B2832*D2832/10000</f>
        <v/>
      </c>
      <c r="F2832" s="74">
        <f>B2832/30.48</f>
        <v/>
      </c>
      <c r="G2832" s="74">
        <f>D2832/30.48</f>
        <v/>
      </c>
      <c r="H2832" s="615" t="n"/>
    </row>
    <row r="2833" ht="18" customHeight="1" s="305">
      <c r="A2833" s="8" t="n">
        <v>4203</v>
      </c>
      <c r="B2833" s="5" t="n">
        <v>169</v>
      </c>
      <c r="C2833" s="72" t="inlineStr">
        <is>
          <t>X</t>
        </is>
      </c>
      <c r="D2833" s="5" t="n">
        <v>265</v>
      </c>
      <c r="E2833" s="73">
        <f>B2833*D2833/10000</f>
        <v/>
      </c>
      <c r="F2833" s="74">
        <f>B2833/30.48</f>
        <v/>
      </c>
      <c r="G2833" s="74">
        <f>D2833/30.48</f>
        <v/>
      </c>
      <c r="H2833" s="615" t="n"/>
    </row>
    <row r="2834">
      <c r="H2834" s="615" t="n"/>
    </row>
    <row r="2835" ht="18" customHeight="1" s="305">
      <c r="A2835" s="8" t="n">
        <v>4205</v>
      </c>
      <c r="B2835" s="5" t="n">
        <v>88</v>
      </c>
      <c r="C2835" s="72" t="inlineStr">
        <is>
          <t>X</t>
        </is>
      </c>
      <c r="D2835" s="5" t="n">
        <v>396</v>
      </c>
      <c r="E2835" s="73">
        <f>B2835*D2835/10000</f>
        <v/>
      </c>
      <c r="F2835" s="74">
        <f>B2835/30.48</f>
        <v/>
      </c>
      <c r="G2835" s="74">
        <f>D2835/30.48</f>
        <v/>
      </c>
      <c r="H2835" s="615" t="n"/>
    </row>
    <row r="2836" ht="18" customHeight="1" s="305">
      <c r="A2836" s="8" t="n">
        <v>4206</v>
      </c>
      <c r="B2836" s="5" t="n">
        <v>78</v>
      </c>
      <c r="C2836" s="72" t="inlineStr">
        <is>
          <t>X</t>
        </is>
      </c>
      <c r="D2836" s="5" t="n">
        <v>200</v>
      </c>
      <c r="E2836" s="73">
        <f>B2836*D2836/10000</f>
        <v/>
      </c>
      <c r="F2836" s="74">
        <f>B2836/30.48</f>
        <v/>
      </c>
      <c r="G2836" s="74">
        <f>D2836/30.48</f>
        <v/>
      </c>
      <c r="H2836" s="615" t="n"/>
    </row>
    <row r="2837" ht="18" customHeight="1" s="305">
      <c r="A2837" s="8" t="n">
        <v>4207</v>
      </c>
      <c r="B2837" s="5" t="n">
        <v>206</v>
      </c>
      <c r="C2837" s="72" t="inlineStr">
        <is>
          <t>X</t>
        </is>
      </c>
      <c r="D2837" s="5" t="n">
        <v>294</v>
      </c>
      <c r="E2837" s="73">
        <f>B2837*D2837/10000</f>
        <v/>
      </c>
      <c r="F2837" s="74">
        <f>B2837/30.48</f>
        <v/>
      </c>
      <c r="G2837" s="74">
        <f>D2837/30.48</f>
        <v/>
      </c>
      <c r="H2837" s="615" t="n"/>
    </row>
    <row r="2838" ht="18" customHeight="1" s="305">
      <c r="A2838" s="8" t="n">
        <v>4208</v>
      </c>
      <c r="B2838" s="5" t="n">
        <v>205</v>
      </c>
      <c r="C2838" s="72" t="inlineStr">
        <is>
          <t>X</t>
        </is>
      </c>
      <c r="D2838" s="5" t="n">
        <v>296</v>
      </c>
      <c r="E2838" s="73">
        <f>B2838*D2838/10000</f>
        <v/>
      </c>
      <c r="F2838" s="74">
        <f>B2838/30.48</f>
        <v/>
      </c>
      <c r="G2838" s="74">
        <f>D2838/30.48</f>
        <v/>
      </c>
      <c r="H2838" s="615" t="n"/>
    </row>
    <row r="2839" ht="18" customHeight="1" s="305">
      <c r="A2839" s="8" t="n">
        <v>4209</v>
      </c>
      <c r="B2839" s="5" t="n">
        <v>206</v>
      </c>
      <c r="C2839" s="72" t="inlineStr">
        <is>
          <t>X</t>
        </is>
      </c>
      <c r="D2839" s="5" t="n">
        <v>295</v>
      </c>
      <c r="E2839" s="73">
        <f>B2839*D2839/10000</f>
        <v/>
      </c>
      <c r="F2839" s="74">
        <f>B2839/30.48</f>
        <v/>
      </c>
      <c r="G2839" s="74">
        <f>D2839/30.48</f>
        <v/>
      </c>
      <c r="H2839" s="615" t="n"/>
    </row>
    <row r="2840" ht="18" customHeight="1" s="305">
      <c r="A2840" s="8" t="n">
        <v>4210</v>
      </c>
      <c r="B2840" s="5" t="n">
        <v>225</v>
      </c>
      <c r="C2840" s="72" t="inlineStr">
        <is>
          <t>X</t>
        </is>
      </c>
      <c r="D2840" s="5" t="n">
        <v>329</v>
      </c>
      <c r="E2840" s="73">
        <f>B2840*D2840/10000</f>
        <v/>
      </c>
      <c r="F2840" s="74">
        <f>B2840/30.48</f>
        <v/>
      </c>
      <c r="G2840" s="74">
        <f>D2840/30.48</f>
        <v/>
      </c>
      <c r="H2840" s="615" t="n"/>
    </row>
    <row r="2841" ht="18" customHeight="1" s="305">
      <c r="A2841" s="8" t="n">
        <v>4211</v>
      </c>
      <c r="B2841" s="5" t="n">
        <v>145</v>
      </c>
      <c r="C2841" s="72" t="inlineStr">
        <is>
          <t>X</t>
        </is>
      </c>
      <c r="D2841" s="5" t="n">
        <v>267</v>
      </c>
      <c r="E2841" s="73">
        <f>B2841*D2841/10000</f>
        <v/>
      </c>
      <c r="F2841" s="74">
        <f>B2841/30.48</f>
        <v/>
      </c>
      <c r="G2841" s="74">
        <f>D2841/30.48</f>
        <v/>
      </c>
      <c r="H2841" s="615" t="n"/>
    </row>
    <row r="2842" ht="18" customHeight="1" s="305">
      <c r="A2842" s="8" t="n">
        <v>4212</v>
      </c>
      <c r="B2842" s="5" t="n">
        <v>214</v>
      </c>
      <c r="C2842" s="72" t="inlineStr">
        <is>
          <t>X</t>
        </is>
      </c>
      <c r="D2842" s="5" t="n">
        <v>303</v>
      </c>
      <c r="E2842" s="73">
        <f>B2842*D2842/10000</f>
        <v/>
      </c>
      <c r="F2842" s="74">
        <f>B2842/30.48</f>
        <v/>
      </c>
      <c r="G2842" s="74">
        <f>D2842/30.48</f>
        <v/>
      </c>
      <c r="H2842" s="615" t="n"/>
    </row>
    <row r="2843" ht="18" customHeight="1" s="305">
      <c r="A2843" s="8" t="n">
        <v>4213</v>
      </c>
      <c r="B2843" s="5" t="n">
        <v>173</v>
      </c>
      <c r="C2843" s="72" t="inlineStr">
        <is>
          <t>X</t>
        </is>
      </c>
      <c r="D2843" s="5" t="n">
        <v>281</v>
      </c>
      <c r="E2843" s="73">
        <f>B2843*D2843/10000</f>
        <v/>
      </c>
      <c r="F2843" s="74">
        <f>B2843/30.48</f>
        <v/>
      </c>
      <c r="G2843" s="74">
        <f>D2843/30.48</f>
        <v/>
      </c>
      <c r="H2843" s="615" t="n"/>
    </row>
    <row r="2844" ht="18" customHeight="1" s="305">
      <c r="A2844" s="8" t="n">
        <v>4215</v>
      </c>
      <c r="B2844" s="5" t="n">
        <v>148</v>
      </c>
      <c r="C2844" s="72" t="inlineStr">
        <is>
          <t>X</t>
        </is>
      </c>
      <c r="D2844" s="5" t="n">
        <v>264</v>
      </c>
      <c r="E2844" s="73">
        <f>B2844*D2844/10000</f>
        <v/>
      </c>
      <c r="F2844" s="74">
        <f>B2844/30.48</f>
        <v/>
      </c>
      <c r="G2844" s="74">
        <f>D2844/30.48</f>
        <v/>
      </c>
      <c r="H2844" s="615" t="n"/>
    </row>
    <row r="2845" ht="18" customHeight="1" s="305">
      <c r="A2845" s="8" t="n">
        <v>4216</v>
      </c>
      <c r="B2845" s="5" t="n">
        <v>176</v>
      </c>
      <c r="C2845" s="72" t="inlineStr">
        <is>
          <t>X</t>
        </is>
      </c>
      <c r="D2845" s="5" t="n">
        <v>265</v>
      </c>
      <c r="E2845" s="73">
        <f>B2845*D2845/10000</f>
        <v/>
      </c>
      <c r="F2845" s="74">
        <f>B2845/30.48</f>
        <v/>
      </c>
      <c r="G2845" s="74">
        <f>D2845/30.48</f>
        <v/>
      </c>
      <c r="H2845" s="615" t="n"/>
    </row>
    <row r="2846" ht="18" customHeight="1" s="305">
      <c r="A2846" s="8" t="n">
        <v>4217</v>
      </c>
      <c r="B2846" s="5" t="n">
        <v>216</v>
      </c>
      <c r="C2846" s="72" t="inlineStr">
        <is>
          <t>X</t>
        </is>
      </c>
      <c r="D2846" s="5" t="n">
        <v>312</v>
      </c>
      <c r="E2846" s="73">
        <f>B2846*D2846/10000</f>
        <v/>
      </c>
      <c r="F2846" s="74">
        <f>B2846/30.48</f>
        <v/>
      </c>
      <c r="G2846" s="74">
        <f>D2846/30.48</f>
        <v/>
      </c>
      <c r="H2846" s="615" t="n"/>
    </row>
    <row r="2847" ht="18" customHeight="1" s="305">
      <c r="A2847" s="8" t="n">
        <v>4218</v>
      </c>
      <c r="B2847" s="5" t="n">
        <v>196</v>
      </c>
      <c r="C2847" s="72" t="inlineStr">
        <is>
          <t>X</t>
        </is>
      </c>
      <c r="D2847" s="5" t="n">
        <v>279</v>
      </c>
      <c r="E2847" s="73">
        <f>B2847*D2847/10000</f>
        <v/>
      </c>
      <c r="F2847" s="74">
        <f>B2847/30.48</f>
        <v/>
      </c>
      <c r="G2847" s="74">
        <f>D2847/30.48</f>
        <v/>
      </c>
      <c r="H2847" s="615" t="n"/>
    </row>
    <row r="2848" ht="18" customHeight="1" s="305">
      <c r="A2848" s="8" t="n">
        <v>4219</v>
      </c>
      <c r="B2848" s="5" t="n">
        <v>195</v>
      </c>
      <c r="C2848" s="72" t="inlineStr">
        <is>
          <t>X</t>
        </is>
      </c>
      <c r="D2848" s="5" t="n">
        <v>306</v>
      </c>
      <c r="E2848" s="73">
        <f>B2848*D2848/10000</f>
        <v/>
      </c>
      <c r="F2848" s="74">
        <f>B2848/30.48</f>
        <v/>
      </c>
      <c r="G2848" s="74">
        <f>D2848/30.48</f>
        <v/>
      </c>
      <c r="H2848" s="615" t="n"/>
    </row>
    <row r="2849" ht="18" customHeight="1" s="305">
      <c r="A2849" s="8" t="n">
        <v>4220</v>
      </c>
      <c r="B2849" s="5" t="n">
        <v>143</v>
      </c>
      <c r="C2849" s="72" t="inlineStr">
        <is>
          <t>X</t>
        </is>
      </c>
      <c r="D2849" s="5" t="n">
        <v>223</v>
      </c>
      <c r="E2849" s="73">
        <f>B2849*D2849/10000</f>
        <v/>
      </c>
      <c r="F2849" s="74">
        <f>B2849/30.48</f>
        <v/>
      </c>
      <c r="G2849" s="74">
        <f>D2849/30.48</f>
        <v/>
      </c>
      <c r="H2849" s="615" t="n"/>
    </row>
    <row r="2850" ht="18" customHeight="1" s="305">
      <c r="A2850" s="8" t="n">
        <v>4221</v>
      </c>
      <c r="B2850" s="5" t="n">
        <v>200</v>
      </c>
      <c r="C2850" s="72" t="inlineStr">
        <is>
          <t>X</t>
        </is>
      </c>
      <c r="D2850" s="5" t="n">
        <v>304</v>
      </c>
      <c r="E2850" s="73">
        <f>B2850*D2850/10000</f>
        <v/>
      </c>
      <c r="F2850" s="74">
        <f>B2850/30.48</f>
        <v/>
      </c>
      <c r="G2850" s="74">
        <f>D2850/30.48</f>
        <v/>
      </c>
      <c r="H2850" s="615" t="n"/>
    </row>
    <row r="2851" ht="18" customHeight="1" s="305">
      <c r="A2851" s="8" t="n">
        <v>4222</v>
      </c>
      <c r="B2851" s="5" t="n">
        <v>74</v>
      </c>
      <c r="C2851" s="72" t="inlineStr">
        <is>
          <t>X</t>
        </is>
      </c>
      <c r="D2851" s="5" t="n">
        <v>201</v>
      </c>
      <c r="E2851" s="73">
        <f>B2851*D2851/10000</f>
        <v/>
      </c>
      <c r="F2851" s="74">
        <f>B2851/30.48</f>
        <v/>
      </c>
      <c r="G2851" s="74">
        <f>D2851/30.48</f>
        <v/>
      </c>
      <c r="H2851" s="615" t="n"/>
    </row>
    <row r="2852" ht="18" customHeight="1" s="305">
      <c r="A2852" s="8" t="n">
        <v>4223</v>
      </c>
      <c r="B2852" s="5" t="n">
        <v>70</v>
      </c>
      <c r="C2852" s="72" t="inlineStr">
        <is>
          <t>X</t>
        </is>
      </c>
      <c r="D2852" s="5" t="n">
        <v>197</v>
      </c>
      <c r="E2852" s="73">
        <f>B2852*D2852/10000</f>
        <v/>
      </c>
      <c r="F2852" s="74">
        <f>B2852/30.48</f>
        <v/>
      </c>
      <c r="G2852" s="74">
        <f>D2852/30.48</f>
        <v/>
      </c>
      <c r="H2852" s="615" t="n"/>
    </row>
    <row r="2853" ht="18" customHeight="1" s="305">
      <c r="A2853" s="8" t="n">
        <v>4224</v>
      </c>
      <c r="B2853" s="5" t="n">
        <v>186</v>
      </c>
      <c r="C2853" s="72" t="inlineStr">
        <is>
          <t>X</t>
        </is>
      </c>
      <c r="D2853" s="5" t="n">
        <v>300</v>
      </c>
      <c r="E2853" s="73">
        <f>B2853*D2853/10000</f>
        <v/>
      </c>
      <c r="F2853" s="74">
        <f>B2853/30.48</f>
        <v/>
      </c>
      <c r="G2853" s="74">
        <f>D2853/30.48</f>
        <v/>
      </c>
      <c r="H2853" s="615" t="n"/>
    </row>
    <row r="2854" ht="18" customHeight="1" s="305">
      <c r="A2854" s="8" t="n">
        <v>4225</v>
      </c>
      <c r="B2854" s="5" t="n">
        <v>188</v>
      </c>
      <c r="C2854" s="72" t="inlineStr">
        <is>
          <t>X</t>
        </is>
      </c>
      <c r="D2854" s="5" t="n">
        <v>278</v>
      </c>
      <c r="E2854" s="73">
        <f>B2854*D2854/10000</f>
        <v/>
      </c>
      <c r="F2854" s="74">
        <f>B2854/30.48</f>
        <v/>
      </c>
      <c r="G2854" s="74">
        <f>D2854/30.48</f>
        <v/>
      </c>
      <c r="H2854" s="615" t="n"/>
    </row>
    <row r="2855" ht="18" customHeight="1" s="305">
      <c r="A2855" s="8" t="n">
        <v>4226</v>
      </c>
      <c r="B2855" s="5" t="n">
        <v>164</v>
      </c>
      <c r="C2855" s="72" t="inlineStr">
        <is>
          <t>X</t>
        </is>
      </c>
      <c r="D2855" s="5" t="n">
        <v>270</v>
      </c>
      <c r="E2855" s="73">
        <f>B2855*D2855/10000</f>
        <v/>
      </c>
      <c r="F2855" s="74">
        <f>B2855/30.48</f>
        <v/>
      </c>
      <c r="G2855" s="74">
        <f>D2855/30.48</f>
        <v/>
      </c>
      <c r="H2855" s="615" t="n"/>
    </row>
    <row r="2856" ht="18" customHeight="1" s="305">
      <c r="A2856" s="8" t="n">
        <v>4227</v>
      </c>
      <c r="B2856" s="5" t="n">
        <v>172</v>
      </c>
      <c r="C2856" s="72" t="inlineStr">
        <is>
          <t>X</t>
        </is>
      </c>
      <c r="D2856" s="5" t="n">
        <v>287</v>
      </c>
      <c r="E2856" s="73">
        <f>B2856*D2856/10000</f>
        <v/>
      </c>
      <c r="F2856" s="74">
        <f>B2856/30.48</f>
        <v/>
      </c>
      <c r="G2856" s="74">
        <f>D2856/30.48</f>
        <v/>
      </c>
      <c r="H2856" s="615" t="n"/>
    </row>
    <row r="2857" ht="18" customHeight="1" s="305">
      <c r="A2857" s="8" t="n">
        <v>4228</v>
      </c>
      <c r="B2857" s="5" t="n">
        <v>196</v>
      </c>
      <c r="C2857" s="72" t="inlineStr">
        <is>
          <t>X</t>
        </is>
      </c>
      <c r="D2857" s="5" t="n">
        <v>293</v>
      </c>
      <c r="E2857" s="73">
        <f>B2857*D2857/10000</f>
        <v/>
      </c>
      <c r="F2857" s="74">
        <f>B2857/30.48</f>
        <v/>
      </c>
      <c r="G2857" s="74">
        <f>D2857/30.48</f>
        <v/>
      </c>
      <c r="H2857" s="615" t="n"/>
    </row>
    <row r="2858" ht="18" customHeight="1" s="305">
      <c r="A2858" s="8" t="n">
        <v>4229</v>
      </c>
      <c r="B2858" s="5" t="n">
        <v>222</v>
      </c>
      <c r="C2858" s="72" t="inlineStr">
        <is>
          <t>X</t>
        </is>
      </c>
      <c r="D2858" s="5" t="n">
        <v>318</v>
      </c>
      <c r="E2858" s="73">
        <f>B2858*D2858/10000</f>
        <v/>
      </c>
      <c r="F2858" s="74">
        <f>B2858/30.48</f>
        <v/>
      </c>
      <c r="G2858" s="74">
        <f>D2858/30.48</f>
        <v/>
      </c>
      <c r="H2858" s="615" t="n"/>
    </row>
    <row r="2859" ht="18" customHeight="1" s="305">
      <c r="A2859" s="8" t="n">
        <v>4230</v>
      </c>
      <c r="B2859" s="5" t="n">
        <v>72</v>
      </c>
      <c r="C2859" s="72" t="inlineStr">
        <is>
          <t>X</t>
        </is>
      </c>
      <c r="D2859" s="5" t="n">
        <v>306</v>
      </c>
      <c r="E2859" s="73">
        <f>B2859*D2859/10000</f>
        <v/>
      </c>
      <c r="F2859" s="74">
        <f>B2859/30.48</f>
        <v/>
      </c>
      <c r="G2859" s="74">
        <f>D2859/30.48</f>
        <v/>
      </c>
      <c r="H2859" s="615" t="n"/>
    </row>
    <row r="2860" ht="18" customHeight="1" s="305">
      <c r="A2860" s="8" t="n">
        <v>4231</v>
      </c>
      <c r="B2860" s="5" t="n">
        <v>163</v>
      </c>
      <c r="C2860" s="72" t="inlineStr">
        <is>
          <t>X</t>
        </is>
      </c>
      <c r="D2860" s="5" t="n">
        <v>227</v>
      </c>
      <c r="E2860" s="73">
        <f>B2860*D2860/10000</f>
        <v/>
      </c>
      <c r="F2860" s="74">
        <f>B2860/30.48</f>
        <v/>
      </c>
      <c r="G2860" s="74">
        <f>D2860/30.48</f>
        <v/>
      </c>
      <c r="H2860" s="615" t="n"/>
    </row>
    <row r="2861" ht="18" customHeight="1" s="305">
      <c r="A2861" s="8" t="n">
        <v>4232</v>
      </c>
      <c r="B2861" s="5" t="n">
        <v>204</v>
      </c>
      <c r="C2861" s="72" t="inlineStr">
        <is>
          <t>X</t>
        </is>
      </c>
      <c r="D2861" s="5" t="n">
        <v>318</v>
      </c>
      <c r="E2861" s="73">
        <f>B2861*D2861/10000</f>
        <v/>
      </c>
      <c r="F2861" s="74">
        <f>B2861/30.48</f>
        <v/>
      </c>
      <c r="G2861" s="74">
        <f>D2861/30.48</f>
        <v/>
      </c>
      <c r="H2861" s="615" t="n"/>
    </row>
    <row r="2862" ht="18" customHeight="1" s="305">
      <c r="A2862" s="8" t="n">
        <v>4233</v>
      </c>
      <c r="B2862" s="5" t="n">
        <v>188</v>
      </c>
      <c r="C2862" s="72" t="inlineStr">
        <is>
          <t>X</t>
        </is>
      </c>
      <c r="D2862" s="5" t="n">
        <v>232</v>
      </c>
      <c r="E2862" s="73">
        <f>B2862*D2862/10000</f>
        <v/>
      </c>
      <c r="F2862" s="74">
        <f>B2862/30.48</f>
        <v/>
      </c>
      <c r="G2862" s="74">
        <f>D2862/30.48</f>
        <v/>
      </c>
      <c r="H2862" s="615" t="n"/>
    </row>
    <row r="2863" ht="18" customHeight="1" s="305">
      <c r="A2863" s="8" t="n">
        <v>4234</v>
      </c>
      <c r="B2863" s="5" t="n">
        <v>170</v>
      </c>
      <c r="C2863" s="72" t="inlineStr">
        <is>
          <t>X</t>
        </is>
      </c>
      <c r="D2863" s="5" t="n">
        <v>256</v>
      </c>
      <c r="E2863" s="73">
        <f>B2863*D2863/10000</f>
        <v/>
      </c>
      <c r="F2863" s="74">
        <f>B2863/30.48</f>
        <v/>
      </c>
      <c r="G2863" s="74">
        <f>D2863/30.48</f>
        <v/>
      </c>
      <c r="H2863" s="615" t="n"/>
    </row>
    <row r="2864" ht="18" customHeight="1" s="305">
      <c r="A2864" s="8" t="n">
        <v>4235</v>
      </c>
      <c r="B2864" s="5" t="n">
        <v>180</v>
      </c>
      <c r="C2864" s="72" t="inlineStr">
        <is>
          <t>X</t>
        </is>
      </c>
      <c r="D2864" s="5" t="n">
        <v>282</v>
      </c>
      <c r="E2864" s="73">
        <f>B2864*D2864/10000</f>
        <v/>
      </c>
      <c r="F2864" s="74">
        <f>B2864/30.48</f>
        <v/>
      </c>
      <c r="G2864" s="74">
        <f>D2864/30.48</f>
        <v/>
      </c>
      <c r="H2864" s="615" t="n"/>
    </row>
    <row r="2865" ht="18" customHeight="1" s="305">
      <c r="A2865" s="8" t="n">
        <v>4236</v>
      </c>
      <c r="B2865" s="5" t="n">
        <v>197</v>
      </c>
      <c r="C2865" s="72" t="inlineStr">
        <is>
          <t>X</t>
        </is>
      </c>
      <c r="D2865" s="5" t="n">
        <v>289</v>
      </c>
      <c r="E2865" s="73">
        <f>B2865*D2865/10000</f>
        <v/>
      </c>
      <c r="F2865" s="74">
        <f>B2865/30.48</f>
        <v/>
      </c>
      <c r="G2865" s="74">
        <f>D2865/30.48</f>
        <v/>
      </c>
      <c r="H2865" s="615" t="n"/>
    </row>
    <row r="2866" ht="18" customHeight="1" s="305">
      <c r="A2866" s="8" t="n">
        <v>4237</v>
      </c>
      <c r="B2866" s="5" t="n">
        <v>85</v>
      </c>
      <c r="C2866" s="72" t="inlineStr">
        <is>
          <t>X</t>
        </is>
      </c>
      <c r="D2866" s="5" t="n">
        <v>286</v>
      </c>
      <c r="E2866" s="73">
        <f>B2866*D2866/10000</f>
        <v/>
      </c>
      <c r="F2866" s="74">
        <f>B2866/30.48</f>
        <v/>
      </c>
      <c r="G2866" s="74">
        <f>D2866/30.48</f>
        <v/>
      </c>
      <c r="H2866" s="615" t="n"/>
    </row>
    <row r="2867" ht="18" customHeight="1" s="305">
      <c r="A2867" s="8" t="n">
        <v>4238</v>
      </c>
      <c r="B2867" s="5" t="n">
        <v>198</v>
      </c>
      <c r="C2867" s="72" t="inlineStr">
        <is>
          <t>X</t>
        </is>
      </c>
      <c r="D2867" s="5" t="n">
        <v>313</v>
      </c>
      <c r="E2867" s="73">
        <f>B2867*D2867/10000</f>
        <v/>
      </c>
      <c r="F2867" s="74">
        <f>B2867/30.48</f>
        <v/>
      </c>
      <c r="G2867" s="74">
        <f>D2867/30.48</f>
        <v/>
      </c>
      <c r="H2867" s="615" t="n"/>
    </row>
    <row r="2868" ht="18" customHeight="1" s="305">
      <c r="A2868" s="8" t="n">
        <v>4239</v>
      </c>
      <c r="B2868" s="5" t="n">
        <v>174</v>
      </c>
      <c r="C2868" s="72" t="inlineStr">
        <is>
          <t>X</t>
        </is>
      </c>
      <c r="D2868" s="5" t="n">
        <v>302</v>
      </c>
      <c r="E2868" s="73">
        <f>B2868*D2868/10000</f>
        <v/>
      </c>
      <c r="F2868" s="74">
        <f>B2868/30.48</f>
        <v/>
      </c>
      <c r="G2868" s="74">
        <f>D2868/30.48</f>
        <v/>
      </c>
      <c r="H2868" s="615" t="n"/>
    </row>
    <row r="2869" ht="18" customHeight="1" s="305">
      <c r="A2869" s="8" t="n">
        <v>4240</v>
      </c>
      <c r="B2869" s="5" t="n">
        <v>209</v>
      </c>
      <c r="C2869" s="72" t="inlineStr">
        <is>
          <t>X</t>
        </is>
      </c>
      <c r="D2869" s="5" t="n">
        <v>305</v>
      </c>
      <c r="E2869" s="73">
        <f>B2869*D2869/10000</f>
        <v/>
      </c>
      <c r="F2869" s="74">
        <f>B2869/30.48</f>
        <v/>
      </c>
      <c r="G2869" s="74">
        <f>D2869/30.48</f>
        <v/>
      </c>
      <c r="H2869" s="615" t="n"/>
    </row>
    <row r="2870" ht="18" customHeight="1" s="305">
      <c r="A2870" s="8" t="n">
        <v>4241</v>
      </c>
      <c r="B2870" s="5" t="n">
        <v>202</v>
      </c>
      <c r="C2870" s="72" t="inlineStr">
        <is>
          <t>X</t>
        </is>
      </c>
      <c r="D2870" s="5" t="n">
        <v>294</v>
      </c>
      <c r="E2870" s="73">
        <f>B2870*D2870/10000</f>
        <v/>
      </c>
      <c r="F2870" s="74">
        <f>B2870/30.48</f>
        <v/>
      </c>
      <c r="G2870" s="74">
        <f>D2870/30.48</f>
        <v/>
      </c>
      <c r="H2870" s="615" t="n"/>
    </row>
    <row r="2871" ht="18" customHeight="1" s="305">
      <c r="A2871" s="8" t="n">
        <v>4242</v>
      </c>
      <c r="B2871" s="5" t="n">
        <v>56</v>
      </c>
      <c r="C2871" s="72" t="inlineStr">
        <is>
          <t>X</t>
        </is>
      </c>
      <c r="D2871" s="5" t="n">
        <v>111</v>
      </c>
      <c r="E2871" s="73">
        <f>B2871*D2871/10000</f>
        <v/>
      </c>
      <c r="F2871" s="74">
        <f>B2871/30.48</f>
        <v/>
      </c>
      <c r="G2871" s="74">
        <f>D2871/30.48</f>
        <v/>
      </c>
      <c r="H2871" s="615" t="n"/>
    </row>
    <row r="2872" ht="18" customHeight="1" s="305">
      <c r="A2872" s="8" t="n">
        <v>4243</v>
      </c>
      <c r="B2872" s="5" t="n">
        <v>76</v>
      </c>
      <c r="C2872" s="72" t="inlineStr">
        <is>
          <t>X</t>
        </is>
      </c>
      <c r="D2872" s="5" t="n">
        <v>147</v>
      </c>
      <c r="E2872" s="73">
        <f>B2872*D2872/10000</f>
        <v/>
      </c>
      <c r="F2872" s="74">
        <f>B2872/30.48</f>
        <v/>
      </c>
      <c r="G2872" s="74">
        <f>D2872/30.48</f>
        <v/>
      </c>
      <c r="H2872" s="615" t="n"/>
    </row>
    <row r="2873" ht="18" customHeight="1" s="305">
      <c r="A2873" s="8" t="n">
        <v>4244</v>
      </c>
      <c r="B2873" s="5" t="n">
        <v>80</v>
      </c>
      <c r="C2873" s="72" t="inlineStr">
        <is>
          <t>X</t>
        </is>
      </c>
      <c r="D2873" s="5" t="n">
        <v>143</v>
      </c>
      <c r="E2873" s="73">
        <f>B2873*D2873/10000</f>
        <v/>
      </c>
      <c r="F2873" s="74">
        <f>B2873/30.48</f>
        <v/>
      </c>
      <c r="G2873" s="74">
        <f>D2873/30.48</f>
        <v/>
      </c>
      <c r="H2873" s="615" t="n"/>
    </row>
    <row r="2874" ht="18" customHeight="1" s="305">
      <c r="A2874" s="8" t="n">
        <v>4245</v>
      </c>
      <c r="B2874" s="5" t="n">
        <v>70</v>
      </c>
      <c r="C2874" s="72" t="inlineStr">
        <is>
          <t>X</t>
        </is>
      </c>
      <c r="D2874" s="5" t="n">
        <v>150</v>
      </c>
      <c r="E2874" s="73">
        <f>B2874*D2874/10000</f>
        <v/>
      </c>
      <c r="F2874" s="74">
        <f>B2874/30.48</f>
        <v/>
      </c>
      <c r="G2874" s="74">
        <f>D2874/30.48</f>
        <v/>
      </c>
      <c r="H2874" s="615" t="n"/>
    </row>
    <row r="2875" ht="18" customHeight="1" s="305">
      <c r="A2875" s="8" t="n">
        <v>4246</v>
      </c>
      <c r="B2875" s="5" t="n">
        <v>101</v>
      </c>
      <c r="C2875" s="72" t="inlineStr">
        <is>
          <t>X</t>
        </is>
      </c>
      <c r="D2875" s="5" t="n">
        <v>181</v>
      </c>
      <c r="E2875" s="73">
        <f>B2875*D2875/10000</f>
        <v/>
      </c>
      <c r="F2875" s="74">
        <f>B2875/30.48</f>
        <v/>
      </c>
      <c r="G2875" s="74">
        <f>D2875/30.48</f>
        <v/>
      </c>
      <c r="H2875" s="615" t="n"/>
    </row>
    <row r="2876" ht="18" customHeight="1" s="305">
      <c r="A2876" s="8" t="n">
        <v>4249</v>
      </c>
      <c r="B2876" s="5" t="n">
        <v>80</v>
      </c>
      <c r="C2876" s="72" t="inlineStr">
        <is>
          <t>X</t>
        </is>
      </c>
      <c r="D2876" s="5" t="n">
        <v>359</v>
      </c>
      <c r="E2876" s="73">
        <f>B2876*D2876/10000</f>
        <v/>
      </c>
      <c r="F2876" s="74">
        <f>B2876/30.48</f>
        <v/>
      </c>
      <c r="G2876" s="74">
        <f>D2876/30.48</f>
        <v/>
      </c>
      <c r="H2876" s="615" t="n"/>
    </row>
    <row r="2877" ht="18" customHeight="1" s="305">
      <c r="A2877" s="8" t="n">
        <v>4251</v>
      </c>
      <c r="B2877" s="5" t="n">
        <v>106</v>
      </c>
      <c r="C2877" s="72" t="inlineStr">
        <is>
          <t>X</t>
        </is>
      </c>
      <c r="D2877" s="5" t="n">
        <v>340</v>
      </c>
      <c r="E2877" s="73">
        <f>B2877*D2877/10000</f>
        <v/>
      </c>
      <c r="F2877" s="74">
        <f>B2877/30.48</f>
        <v/>
      </c>
      <c r="G2877" s="74">
        <f>D2877/30.48</f>
        <v/>
      </c>
      <c r="H2877" s="615" t="n"/>
    </row>
    <row r="2878" ht="18" customHeight="1" s="305">
      <c r="A2878" s="8" t="n">
        <v>4253</v>
      </c>
      <c r="B2878" s="5" t="n">
        <v>98</v>
      </c>
      <c r="C2878" s="72" t="inlineStr">
        <is>
          <t>X</t>
        </is>
      </c>
      <c r="D2878" s="5" t="n">
        <v>287</v>
      </c>
      <c r="E2878" s="73">
        <f>B2878*D2878/10000</f>
        <v/>
      </c>
      <c r="F2878" s="74">
        <f>B2878/30.48</f>
        <v/>
      </c>
      <c r="G2878" s="74">
        <f>D2878/30.48</f>
        <v/>
      </c>
      <c r="H2878" s="615" t="n"/>
    </row>
    <row r="2879" ht="18" customHeight="1" s="305">
      <c r="A2879" s="8" t="n">
        <v>4254</v>
      </c>
      <c r="B2879" s="5" t="n">
        <v>153</v>
      </c>
      <c r="C2879" s="72" t="inlineStr">
        <is>
          <t>X</t>
        </is>
      </c>
      <c r="D2879" s="5" t="n">
        <v>324</v>
      </c>
      <c r="E2879" s="73">
        <f>B2879*D2879/10000</f>
        <v/>
      </c>
      <c r="F2879" s="74">
        <f>B2879/30.48</f>
        <v/>
      </c>
      <c r="G2879" s="74">
        <f>D2879/30.48</f>
        <v/>
      </c>
      <c r="H2879" s="615" t="n"/>
    </row>
    <row r="2880" ht="18" customHeight="1" s="305">
      <c r="A2880" s="8" t="n">
        <v>4255</v>
      </c>
      <c r="B2880" s="5" t="n">
        <v>60</v>
      </c>
      <c r="C2880" s="72" t="inlineStr">
        <is>
          <t>X</t>
        </is>
      </c>
      <c r="D2880" s="5" t="n">
        <v>100</v>
      </c>
      <c r="E2880" s="73">
        <f>B2880*D2880/10000</f>
        <v/>
      </c>
      <c r="F2880" s="74">
        <f>B2880/30.48</f>
        <v/>
      </c>
      <c r="G2880" s="74">
        <f>D2880/30.48</f>
        <v/>
      </c>
      <c r="H2880" s="615" t="n"/>
    </row>
    <row r="2881" ht="18" customHeight="1" s="305">
      <c r="A2881" s="8" t="n">
        <v>4256</v>
      </c>
      <c r="B2881" s="5" t="n">
        <v>116</v>
      </c>
      <c r="C2881" s="72" t="inlineStr">
        <is>
          <t>X</t>
        </is>
      </c>
      <c r="D2881" s="5" t="n">
        <v>157</v>
      </c>
      <c r="E2881" s="73">
        <f>B2881*D2881/10000</f>
        <v/>
      </c>
      <c r="F2881" s="74">
        <f>B2881/30.48</f>
        <v/>
      </c>
      <c r="G2881" s="74">
        <f>D2881/30.48</f>
        <v/>
      </c>
      <c r="H2881" s="615" t="n"/>
    </row>
    <row r="2882" ht="18" customHeight="1" s="305">
      <c r="A2882" s="8" t="n">
        <v>4257</v>
      </c>
      <c r="B2882" s="5" t="n">
        <v>81</v>
      </c>
      <c r="C2882" s="72" t="inlineStr">
        <is>
          <t>X</t>
        </is>
      </c>
      <c r="D2882" s="5" t="n">
        <v>153</v>
      </c>
      <c r="E2882" s="73">
        <f>B2882*D2882/10000</f>
        <v/>
      </c>
      <c r="F2882" s="74">
        <f>B2882/30.48</f>
        <v/>
      </c>
      <c r="G2882" s="74">
        <f>D2882/30.48</f>
        <v/>
      </c>
      <c r="H2882" s="615" t="n"/>
    </row>
    <row r="2883" ht="18" customHeight="1" s="305">
      <c r="A2883" s="8" t="n">
        <v>4258</v>
      </c>
      <c r="B2883" s="5" t="n">
        <v>77</v>
      </c>
      <c r="C2883" s="72" t="inlineStr">
        <is>
          <t>X</t>
        </is>
      </c>
      <c r="D2883" s="5" t="n">
        <v>141</v>
      </c>
      <c r="E2883" s="73">
        <f>B2883*D2883/10000</f>
        <v/>
      </c>
      <c r="F2883" s="74">
        <f>B2883/30.48</f>
        <v/>
      </c>
      <c r="G2883" s="74">
        <f>D2883/30.48</f>
        <v/>
      </c>
      <c r="H2883" s="615" t="n"/>
    </row>
    <row r="2884" ht="18" customHeight="1" s="305">
      <c r="A2884" s="8" t="n">
        <v>4259</v>
      </c>
      <c r="B2884" s="5" t="n">
        <v>68</v>
      </c>
      <c r="C2884" s="72" t="inlineStr">
        <is>
          <t>X</t>
        </is>
      </c>
      <c r="D2884" s="5" t="n">
        <v>131</v>
      </c>
      <c r="E2884" s="73">
        <f>B2884*D2884/10000</f>
        <v/>
      </c>
      <c r="F2884" s="74">
        <f>B2884/30.48</f>
        <v/>
      </c>
      <c r="G2884" s="74">
        <f>D2884/30.48</f>
        <v/>
      </c>
      <c r="H2884" s="615" t="n"/>
    </row>
    <row r="2885" ht="18" customHeight="1" s="305">
      <c r="A2885" s="8" t="n">
        <v>4260</v>
      </c>
      <c r="B2885" s="5" t="n">
        <v>73</v>
      </c>
      <c r="C2885" s="72" t="inlineStr">
        <is>
          <t>X</t>
        </is>
      </c>
      <c r="D2885" s="5" t="n">
        <v>310</v>
      </c>
      <c r="E2885" s="73">
        <f>B2885*D2885/10000</f>
        <v/>
      </c>
      <c r="F2885" s="74">
        <f>B2885/30.48</f>
        <v/>
      </c>
      <c r="G2885" s="74">
        <f>D2885/30.48</f>
        <v/>
      </c>
      <c r="H2885" s="615" t="n"/>
    </row>
    <row r="2886" ht="18" customHeight="1" s="305">
      <c r="A2886" s="8" t="n">
        <v>4262</v>
      </c>
      <c r="B2886" s="5" t="n">
        <v>81</v>
      </c>
      <c r="C2886" s="72" t="inlineStr">
        <is>
          <t>X</t>
        </is>
      </c>
      <c r="D2886" s="5" t="n">
        <v>369</v>
      </c>
      <c r="E2886" s="73">
        <f>B2886*D2886/10000</f>
        <v/>
      </c>
      <c r="F2886" s="74">
        <f>B2886/30.48</f>
        <v/>
      </c>
      <c r="G2886" s="74">
        <f>D2886/30.48</f>
        <v/>
      </c>
      <c r="H2886" s="615" t="n"/>
    </row>
    <row r="2887" ht="18" customHeight="1" s="305">
      <c r="A2887" s="8" t="n">
        <v>4263</v>
      </c>
      <c r="B2887" s="5" t="n">
        <v>180</v>
      </c>
      <c r="C2887" s="72" t="inlineStr">
        <is>
          <t>X</t>
        </is>
      </c>
      <c r="D2887" s="5" t="n">
        <v>201</v>
      </c>
      <c r="E2887" s="73">
        <f>B2887*D2887/10000</f>
        <v/>
      </c>
      <c r="F2887" s="74">
        <f>B2887/30.48</f>
        <v/>
      </c>
      <c r="G2887" s="74">
        <f>D2887/30.48</f>
        <v/>
      </c>
      <c r="H2887" s="615" t="n"/>
    </row>
    <row r="2888" ht="18" customHeight="1" s="305">
      <c r="A2888" s="8" t="n">
        <v>4265</v>
      </c>
      <c r="B2888" s="5" t="n">
        <v>257</v>
      </c>
      <c r="C2888" s="72" t="inlineStr">
        <is>
          <t>X</t>
        </is>
      </c>
      <c r="D2888" s="5" t="n">
        <v>326</v>
      </c>
      <c r="E2888" s="73">
        <f>B2888*D2888/10000</f>
        <v/>
      </c>
      <c r="F2888" s="74">
        <f>B2888/30.48</f>
        <v/>
      </c>
      <c r="G2888" s="74">
        <f>D2888/30.48</f>
        <v/>
      </c>
      <c r="H2888" s="615" t="n"/>
    </row>
    <row r="2889" ht="18" customHeight="1" s="305">
      <c r="A2889" s="8" t="n">
        <v>4266</v>
      </c>
      <c r="B2889" s="5" t="n">
        <v>185</v>
      </c>
      <c r="C2889" s="72" t="inlineStr">
        <is>
          <t>X</t>
        </is>
      </c>
      <c r="D2889" s="5" t="n">
        <v>270</v>
      </c>
      <c r="E2889" s="73">
        <f>B2889*D2889/10000</f>
        <v/>
      </c>
      <c r="F2889" s="74">
        <f>B2889/30.48</f>
        <v/>
      </c>
      <c r="G2889" s="74">
        <f>D2889/30.48</f>
        <v/>
      </c>
      <c r="H2889" s="615" t="n"/>
    </row>
    <row r="2890" ht="18" customHeight="1" s="305">
      <c r="A2890" s="8" t="n">
        <v>4267</v>
      </c>
      <c r="B2890" s="5" t="n">
        <v>72</v>
      </c>
      <c r="C2890" s="72" t="inlineStr">
        <is>
          <t>X</t>
        </is>
      </c>
      <c r="D2890" s="5" t="n">
        <v>135</v>
      </c>
      <c r="E2890" s="73">
        <f>B2890*D2890/10000</f>
        <v/>
      </c>
      <c r="F2890" s="74">
        <f>B2890/30.48</f>
        <v/>
      </c>
      <c r="G2890" s="74">
        <f>D2890/30.48</f>
        <v/>
      </c>
      <c r="H2890" s="615" t="n"/>
    </row>
    <row r="2891" ht="18" customHeight="1" s="305">
      <c r="A2891" s="8" t="n">
        <v>4268</v>
      </c>
      <c r="B2891" s="5" t="n">
        <v>85</v>
      </c>
      <c r="C2891" s="72" t="inlineStr">
        <is>
          <t>X</t>
        </is>
      </c>
      <c r="D2891" s="5" t="n">
        <v>130</v>
      </c>
      <c r="E2891" s="73">
        <f>B2891*D2891/10000</f>
        <v/>
      </c>
      <c r="F2891" s="74">
        <f>B2891/30.48</f>
        <v/>
      </c>
      <c r="G2891" s="74">
        <f>D2891/30.48</f>
        <v/>
      </c>
      <c r="H2891" s="615" t="n"/>
    </row>
    <row r="2892" ht="18" customHeight="1" s="305">
      <c r="A2892" s="8" t="n">
        <v>4269</v>
      </c>
      <c r="B2892" s="5" t="n">
        <v>74</v>
      </c>
      <c r="C2892" s="72" t="inlineStr">
        <is>
          <t>X</t>
        </is>
      </c>
      <c r="D2892" s="5" t="n">
        <v>118</v>
      </c>
      <c r="E2892" s="73">
        <f>B2892*D2892/10000</f>
        <v/>
      </c>
      <c r="F2892" s="74">
        <f>B2892/30.48</f>
        <v/>
      </c>
      <c r="G2892" s="74">
        <f>D2892/30.48</f>
        <v/>
      </c>
      <c r="H2892" s="615" t="n"/>
    </row>
    <row r="2893" ht="18" customHeight="1" s="305">
      <c r="A2893" s="8" t="n">
        <v>4270</v>
      </c>
      <c r="B2893" s="5" t="n">
        <v>78</v>
      </c>
      <c r="C2893" s="72" t="inlineStr">
        <is>
          <t>X</t>
        </is>
      </c>
      <c r="D2893" s="5" t="n">
        <v>317</v>
      </c>
      <c r="E2893" s="73">
        <f>B2893*D2893/10000</f>
        <v/>
      </c>
      <c r="F2893" s="74">
        <f>B2893/30.48</f>
        <v/>
      </c>
      <c r="G2893" s="74">
        <f>D2893/30.48</f>
        <v/>
      </c>
      <c r="H2893" s="615" t="n"/>
    </row>
    <row r="2894" ht="18" customHeight="1" s="305">
      <c r="A2894" s="8" t="n">
        <v>4271</v>
      </c>
      <c r="B2894" s="5" t="n">
        <v>88</v>
      </c>
      <c r="C2894" s="72" t="inlineStr">
        <is>
          <t>X</t>
        </is>
      </c>
      <c r="D2894" s="5" t="n">
        <v>315</v>
      </c>
      <c r="E2894" s="73">
        <f>B2894*D2894/10000</f>
        <v/>
      </c>
      <c r="F2894" s="74">
        <f>B2894/30.48</f>
        <v/>
      </c>
      <c r="G2894" s="74">
        <f>D2894/30.48</f>
        <v/>
      </c>
      <c r="H2894" s="615" t="n"/>
    </row>
    <row r="2895" ht="18" customHeight="1" s="305">
      <c r="A2895" s="8" t="n">
        <v>4272</v>
      </c>
      <c r="B2895" s="5" t="n">
        <v>193</v>
      </c>
      <c r="C2895" s="72" t="inlineStr">
        <is>
          <t>X</t>
        </is>
      </c>
      <c r="D2895" s="5" t="n">
        <v>265</v>
      </c>
      <c r="E2895" s="73">
        <f>B2895*D2895/10000</f>
        <v/>
      </c>
      <c r="F2895" s="74">
        <f>B2895/30.48</f>
        <v/>
      </c>
      <c r="G2895" s="74">
        <f>D2895/30.48</f>
        <v/>
      </c>
      <c r="H2895" s="615" t="n"/>
    </row>
    <row r="2896" ht="18" customHeight="1" s="305">
      <c r="A2896" s="8" t="n">
        <v>4273</v>
      </c>
      <c r="B2896" s="5" t="n">
        <v>100</v>
      </c>
      <c r="C2896" s="72" t="inlineStr">
        <is>
          <t>X</t>
        </is>
      </c>
      <c r="D2896" s="5" t="n">
        <v>168</v>
      </c>
      <c r="E2896" s="73">
        <f>B2896*D2896/10000</f>
        <v/>
      </c>
      <c r="F2896" s="74">
        <f>B2896/30.48</f>
        <v/>
      </c>
      <c r="G2896" s="74">
        <f>D2896/30.48</f>
        <v/>
      </c>
      <c r="H2896" s="615" t="n"/>
    </row>
    <row r="2897" ht="18" customHeight="1" s="305">
      <c r="A2897" s="8" t="n">
        <v>4274</v>
      </c>
      <c r="B2897" s="5" t="n">
        <v>81</v>
      </c>
      <c r="C2897" s="72" t="inlineStr">
        <is>
          <t>X</t>
        </is>
      </c>
      <c r="D2897" s="5" t="n">
        <v>263</v>
      </c>
      <c r="E2897" s="73">
        <f>B2897*D2897/10000</f>
        <v/>
      </c>
      <c r="F2897" s="74">
        <f>B2897/30.48</f>
        <v/>
      </c>
      <c r="G2897" s="74">
        <f>D2897/30.48</f>
        <v/>
      </c>
      <c r="H2897" s="615" t="n"/>
    </row>
    <row r="2898" ht="18" customHeight="1" s="305">
      <c r="A2898" s="8" t="n">
        <v>4277</v>
      </c>
      <c r="B2898" s="5" t="n">
        <v>85</v>
      </c>
      <c r="C2898" s="72" t="inlineStr">
        <is>
          <t>X</t>
        </is>
      </c>
      <c r="D2898" s="5" t="n">
        <v>374</v>
      </c>
      <c r="E2898" s="73">
        <f>B2898*D2898/10000</f>
        <v/>
      </c>
      <c r="F2898" s="74">
        <f>B2898/30.48</f>
        <v/>
      </c>
      <c r="G2898" s="74">
        <f>D2898/30.48</f>
        <v/>
      </c>
      <c r="H2898" s="615" t="n"/>
    </row>
    <row r="2899" ht="18" customHeight="1" s="305">
      <c r="A2899" s="8" t="n">
        <v>4278</v>
      </c>
      <c r="B2899" s="5" t="n">
        <v>175</v>
      </c>
      <c r="C2899" s="72" t="inlineStr">
        <is>
          <t>X</t>
        </is>
      </c>
      <c r="D2899" s="5" t="n">
        <v>295</v>
      </c>
      <c r="E2899" s="73">
        <f>B2899*D2899/10000</f>
        <v/>
      </c>
      <c r="F2899" s="74">
        <f>B2899/30.48</f>
        <v/>
      </c>
      <c r="G2899" s="74">
        <f>D2899/30.48</f>
        <v/>
      </c>
      <c r="H2899" s="615" t="n"/>
    </row>
    <row r="2900" ht="18" customHeight="1" s="305">
      <c r="A2900" s="8" t="n">
        <v>4279</v>
      </c>
      <c r="B2900" s="5" t="n">
        <v>176</v>
      </c>
      <c r="C2900" s="72" t="inlineStr">
        <is>
          <t>X</t>
        </is>
      </c>
      <c r="D2900" s="5" t="n">
        <v>292</v>
      </c>
      <c r="E2900" s="73">
        <f>B2900*D2900/10000</f>
        <v/>
      </c>
      <c r="F2900" s="74">
        <f>B2900/30.48</f>
        <v/>
      </c>
      <c r="G2900" s="74">
        <f>D2900/30.48</f>
        <v/>
      </c>
      <c r="H2900" s="615" t="n"/>
    </row>
    <row r="2901" ht="18" customHeight="1" s="305">
      <c r="A2901" s="8" t="n">
        <v>4280</v>
      </c>
      <c r="B2901" s="5" t="n">
        <v>87</v>
      </c>
      <c r="C2901" s="72" t="inlineStr">
        <is>
          <t>X</t>
        </is>
      </c>
      <c r="D2901" s="5" t="n">
        <v>270</v>
      </c>
      <c r="E2901" s="73">
        <f>B2901*D2901/10000</f>
        <v/>
      </c>
      <c r="F2901" s="74">
        <f>B2901/30.48</f>
        <v/>
      </c>
      <c r="G2901" s="74">
        <f>D2901/30.48</f>
        <v/>
      </c>
      <c r="H2901" s="615" t="n"/>
    </row>
    <row r="2902" ht="18" customHeight="1" s="305">
      <c r="A2902" s="8" t="n">
        <v>4281</v>
      </c>
      <c r="B2902" s="5" t="n">
        <v>83</v>
      </c>
      <c r="C2902" s="72" t="inlineStr">
        <is>
          <t>X</t>
        </is>
      </c>
      <c r="D2902" s="5" t="n">
        <v>262</v>
      </c>
      <c r="E2902" s="73">
        <f>B2902*D2902/10000</f>
        <v/>
      </c>
      <c r="F2902" s="74">
        <f>B2902/30.48</f>
        <v/>
      </c>
      <c r="G2902" s="74">
        <f>D2902/30.48</f>
        <v/>
      </c>
      <c r="H2902" s="615" t="n"/>
    </row>
    <row r="2903" ht="18" customHeight="1" s="305">
      <c r="A2903" s="8" t="n">
        <v>4282</v>
      </c>
      <c r="B2903" s="5" t="n">
        <v>80</v>
      </c>
      <c r="C2903" s="72" t="inlineStr">
        <is>
          <t>X</t>
        </is>
      </c>
      <c r="D2903" s="5" t="n">
        <v>330</v>
      </c>
      <c r="E2903" s="73">
        <f>B2903*D2903/10000</f>
        <v/>
      </c>
      <c r="F2903" s="74">
        <f>B2903/30.48</f>
        <v/>
      </c>
      <c r="G2903" s="74">
        <f>D2903/30.48</f>
        <v/>
      </c>
      <c r="H2903" s="615" t="n"/>
    </row>
    <row r="2904" ht="18" customHeight="1" s="305">
      <c r="A2904" s="8" t="n">
        <v>4283</v>
      </c>
      <c r="B2904" s="5" t="n">
        <v>76</v>
      </c>
      <c r="C2904" s="72" t="inlineStr">
        <is>
          <t>X</t>
        </is>
      </c>
      <c r="D2904" s="5" t="n">
        <v>323</v>
      </c>
      <c r="E2904" s="73">
        <f>B2904*D2904/10000</f>
        <v/>
      </c>
      <c r="F2904" s="74">
        <f>B2904/30.48</f>
        <v/>
      </c>
      <c r="G2904" s="74">
        <f>D2904/30.48</f>
        <v/>
      </c>
      <c r="H2904" s="615" t="n"/>
    </row>
    <row r="2905" ht="18" customHeight="1" s="305">
      <c r="A2905" s="8" t="n">
        <v>4284</v>
      </c>
      <c r="B2905" s="5" t="n">
        <v>83</v>
      </c>
      <c r="C2905" s="72" t="inlineStr">
        <is>
          <t>X</t>
        </is>
      </c>
      <c r="D2905" s="5" t="n">
        <v>197</v>
      </c>
      <c r="E2905" s="73">
        <f>B2905*D2905/10000</f>
        <v/>
      </c>
      <c r="F2905" s="74">
        <f>B2905/30.48</f>
        <v/>
      </c>
      <c r="G2905" s="74">
        <f>D2905/30.48</f>
        <v/>
      </c>
      <c r="H2905" s="615" t="n"/>
    </row>
    <row r="2906" ht="18" customHeight="1" s="305">
      <c r="A2906" s="8" t="n">
        <v>4285</v>
      </c>
      <c r="B2906" s="5" t="n">
        <v>171</v>
      </c>
      <c r="C2906" s="72" t="inlineStr">
        <is>
          <t>X</t>
        </is>
      </c>
      <c r="D2906" s="5" t="n">
        <v>252</v>
      </c>
      <c r="E2906" s="73">
        <f>B2906*D2906/10000</f>
        <v/>
      </c>
      <c r="F2906" s="74">
        <f>B2906/30.48</f>
        <v/>
      </c>
      <c r="G2906" s="74">
        <f>D2906/30.48</f>
        <v/>
      </c>
      <c r="H2906" s="615" t="n"/>
    </row>
    <row r="2907" ht="18" customHeight="1" s="305">
      <c r="A2907" s="8" t="n">
        <v>4286</v>
      </c>
      <c r="B2907" s="5" t="n">
        <v>74</v>
      </c>
      <c r="C2907" s="72" t="inlineStr">
        <is>
          <t>X</t>
        </is>
      </c>
      <c r="D2907" s="5" t="n">
        <v>121</v>
      </c>
      <c r="E2907" s="73">
        <f>B2907*D2907/10000</f>
        <v/>
      </c>
      <c r="F2907" s="74">
        <f>B2907/30.48</f>
        <v/>
      </c>
      <c r="G2907" s="74">
        <f>D2907/30.48</f>
        <v/>
      </c>
      <c r="H2907" s="615" t="n"/>
    </row>
    <row r="2908" ht="18" customHeight="1" s="305">
      <c r="A2908" s="8" t="n">
        <v>4287</v>
      </c>
      <c r="B2908" s="5" t="n">
        <v>176</v>
      </c>
      <c r="C2908" s="72" t="inlineStr">
        <is>
          <t>X</t>
        </is>
      </c>
      <c r="D2908" s="5" t="n">
        <v>313</v>
      </c>
      <c r="E2908" s="73">
        <f>B2908*D2908/10000</f>
        <v/>
      </c>
      <c r="F2908" s="74">
        <f>B2908/30.48</f>
        <v/>
      </c>
      <c r="G2908" s="74">
        <f>D2908/30.48</f>
        <v/>
      </c>
      <c r="H2908" s="615" t="n"/>
    </row>
    <row r="2909" ht="18" customHeight="1" s="305">
      <c r="A2909" s="8" t="n">
        <v>4288</v>
      </c>
      <c r="B2909" s="5" t="n">
        <v>205</v>
      </c>
      <c r="C2909" s="72" t="inlineStr">
        <is>
          <t>X</t>
        </is>
      </c>
      <c r="D2909" s="5" t="n">
        <v>306</v>
      </c>
      <c r="E2909" s="73">
        <f>B2909*D2909/10000</f>
        <v/>
      </c>
      <c r="F2909" s="74">
        <f>B2909/30.48</f>
        <v/>
      </c>
      <c r="G2909" s="74">
        <f>D2909/30.48</f>
        <v/>
      </c>
      <c r="H2909" s="615" t="n"/>
    </row>
    <row r="2910" ht="18" customHeight="1" s="305">
      <c r="A2910" s="8" t="n">
        <v>4289</v>
      </c>
      <c r="B2910" s="5" t="n">
        <v>187</v>
      </c>
      <c r="C2910" s="72" t="inlineStr">
        <is>
          <t>X</t>
        </is>
      </c>
      <c r="D2910" s="5" t="n">
        <v>288</v>
      </c>
      <c r="E2910" s="73">
        <f>B2910*D2910/10000</f>
        <v/>
      </c>
      <c r="F2910" s="74">
        <f>B2910/30.48</f>
        <v/>
      </c>
      <c r="G2910" s="74">
        <f>D2910/30.48</f>
        <v/>
      </c>
      <c r="H2910" s="615" t="n"/>
    </row>
    <row r="2911" ht="18" customHeight="1" s="305">
      <c r="A2911" s="8" t="n">
        <v>4290</v>
      </c>
      <c r="B2911" s="5" t="n">
        <v>152</v>
      </c>
      <c r="C2911" s="72" t="inlineStr">
        <is>
          <t>X</t>
        </is>
      </c>
      <c r="D2911" s="5" t="n">
        <v>327</v>
      </c>
      <c r="E2911" s="73">
        <f>B2911*D2911/10000</f>
        <v/>
      </c>
      <c r="F2911" s="74">
        <f>B2911/30.48</f>
        <v/>
      </c>
      <c r="G2911" s="74">
        <f>D2911/30.48</f>
        <v/>
      </c>
      <c r="H2911" s="615" t="n"/>
    </row>
    <row r="2912" ht="18" customHeight="1" s="305">
      <c r="A2912" s="8" t="n">
        <v>4291</v>
      </c>
      <c r="B2912" s="5" t="n">
        <v>160</v>
      </c>
      <c r="C2912" s="72" t="inlineStr">
        <is>
          <t>X</t>
        </is>
      </c>
      <c r="D2912" s="5" t="n">
        <v>240</v>
      </c>
      <c r="E2912" s="73">
        <f>B2912*D2912/10000</f>
        <v/>
      </c>
      <c r="F2912" s="74">
        <f>B2912/30.48</f>
        <v/>
      </c>
      <c r="G2912" s="74">
        <f>D2912/30.48</f>
        <v/>
      </c>
      <c r="H2912" s="615" t="n"/>
    </row>
    <row r="2913" ht="18" customHeight="1" s="305">
      <c r="A2913" s="8" t="n">
        <v>4292</v>
      </c>
      <c r="B2913" s="5" t="n">
        <v>155</v>
      </c>
      <c r="C2913" s="72" t="inlineStr">
        <is>
          <t>X</t>
        </is>
      </c>
      <c r="D2913" s="5" t="n">
        <v>270</v>
      </c>
      <c r="E2913" s="73">
        <f>B2913*D2913/10000</f>
        <v/>
      </c>
      <c r="F2913" s="74">
        <f>B2913/30.48</f>
        <v/>
      </c>
      <c r="G2913" s="74">
        <f>D2913/30.48</f>
        <v/>
      </c>
      <c r="H2913" s="615" t="n"/>
    </row>
    <row r="2914" ht="18" customHeight="1" s="305">
      <c r="A2914" s="8" t="n">
        <v>4293</v>
      </c>
      <c r="B2914" s="5" t="n">
        <v>130</v>
      </c>
      <c r="C2914" s="72" t="inlineStr">
        <is>
          <t>X</t>
        </is>
      </c>
      <c r="D2914" s="5" t="n">
        <v>218</v>
      </c>
      <c r="E2914" s="73">
        <f>B2914*D2914/10000</f>
        <v/>
      </c>
      <c r="F2914" s="74">
        <f>B2914/30.48</f>
        <v/>
      </c>
      <c r="G2914" s="74">
        <f>D2914/30.48</f>
        <v/>
      </c>
      <c r="H2914" s="615" t="n"/>
    </row>
    <row r="2915" ht="18" customHeight="1" s="305">
      <c r="A2915" s="8" t="n">
        <v>4294</v>
      </c>
      <c r="B2915" s="5" t="n">
        <v>136</v>
      </c>
      <c r="C2915" s="72" t="inlineStr">
        <is>
          <t>X</t>
        </is>
      </c>
      <c r="D2915" s="5" t="n">
        <v>195</v>
      </c>
      <c r="E2915" s="73">
        <f>B2915*D2915/10000</f>
        <v/>
      </c>
      <c r="F2915" s="74">
        <f>B2915/30.48</f>
        <v/>
      </c>
      <c r="G2915" s="74">
        <f>D2915/30.48</f>
        <v/>
      </c>
      <c r="H2915" s="615" t="n"/>
    </row>
    <row r="2916" ht="18" customHeight="1" s="305">
      <c r="A2916" s="8" t="n">
        <v>4295</v>
      </c>
      <c r="B2916" s="5" t="n">
        <v>120</v>
      </c>
      <c r="C2916" s="72" t="inlineStr">
        <is>
          <t>X</t>
        </is>
      </c>
      <c r="D2916" s="5" t="n">
        <v>222</v>
      </c>
      <c r="E2916" s="73">
        <f>B2916*D2916/10000</f>
        <v/>
      </c>
      <c r="F2916" s="74">
        <f>B2916/30.48</f>
        <v/>
      </c>
      <c r="G2916" s="74">
        <f>D2916/30.48</f>
        <v/>
      </c>
      <c r="H2916" s="615" t="n"/>
    </row>
    <row r="2917" ht="18" customHeight="1" s="305">
      <c r="A2917" s="8" t="n">
        <v>4296</v>
      </c>
      <c r="B2917" s="5" t="n">
        <v>128</v>
      </c>
      <c r="C2917" s="72" t="inlineStr">
        <is>
          <t>X</t>
        </is>
      </c>
      <c r="D2917" s="5" t="n">
        <v>225</v>
      </c>
      <c r="E2917" s="73">
        <f>B2917*D2917/10000</f>
        <v/>
      </c>
      <c r="F2917" s="74">
        <f>B2917/30.48</f>
        <v/>
      </c>
      <c r="G2917" s="74">
        <f>D2917/30.48</f>
        <v/>
      </c>
      <c r="H2917" s="615" t="n"/>
    </row>
    <row r="2918" ht="18" customHeight="1" s="305">
      <c r="A2918" s="8" t="n">
        <v>4297</v>
      </c>
      <c r="B2918" s="5" t="n">
        <v>77</v>
      </c>
      <c r="C2918" s="72" t="inlineStr">
        <is>
          <t>X</t>
        </is>
      </c>
      <c r="D2918" s="5" t="n">
        <v>334</v>
      </c>
      <c r="E2918" s="73">
        <f>B2918*D2918/10000</f>
        <v/>
      </c>
      <c r="F2918" s="74">
        <f>B2918/30.48</f>
        <v/>
      </c>
      <c r="G2918" s="74">
        <f>D2918/30.48</f>
        <v/>
      </c>
      <c r="H2918" s="615" t="n"/>
    </row>
    <row r="2919" ht="18" customHeight="1" s="305">
      <c r="A2919" s="8" t="n">
        <v>4298</v>
      </c>
      <c r="B2919" s="5" t="n">
        <v>86</v>
      </c>
      <c r="C2919" s="72" t="inlineStr">
        <is>
          <t>X</t>
        </is>
      </c>
      <c r="D2919" s="5" t="n">
        <v>288</v>
      </c>
      <c r="E2919" s="73">
        <f>B2919*D2919/10000</f>
        <v/>
      </c>
      <c r="F2919" s="74">
        <f>B2919/30.48</f>
        <v/>
      </c>
      <c r="G2919" s="74">
        <f>D2919/30.48</f>
        <v/>
      </c>
      <c r="H2919" s="615" t="n"/>
    </row>
    <row r="2920" ht="18" customHeight="1" s="305">
      <c r="A2920" s="8" t="n">
        <v>4299</v>
      </c>
      <c r="B2920" s="5" t="n">
        <v>130</v>
      </c>
      <c r="C2920" s="72" t="inlineStr">
        <is>
          <t>X</t>
        </is>
      </c>
      <c r="D2920" s="5" t="n">
        <v>232</v>
      </c>
      <c r="E2920" s="73">
        <f>B2920*D2920/10000</f>
        <v/>
      </c>
      <c r="F2920" s="74">
        <f>B2920/30.48</f>
        <v/>
      </c>
      <c r="G2920" s="74">
        <f>D2920/30.48</f>
        <v/>
      </c>
      <c r="H2920" s="615" t="n"/>
    </row>
    <row r="2921" ht="18" customHeight="1" s="305">
      <c r="A2921" s="8" t="n">
        <v>4300</v>
      </c>
      <c r="B2921" s="5" t="n">
        <v>90</v>
      </c>
      <c r="C2921" s="72" t="inlineStr">
        <is>
          <t>X</t>
        </is>
      </c>
      <c r="D2921" s="5" t="n">
        <v>304</v>
      </c>
      <c r="E2921" s="73">
        <f>B2921*D2921/10000</f>
        <v/>
      </c>
      <c r="F2921" s="74">
        <f>B2921/30.48</f>
        <v/>
      </c>
      <c r="G2921" s="74">
        <f>D2921/30.48</f>
        <v/>
      </c>
      <c r="H2921" s="615" t="n"/>
    </row>
    <row r="2922" ht="18" customHeight="1" s="305">
      <c r="A2922" s="8" t="n">
        <v>4301</v>
      </c>
      <c r="B2922" s="5" t="n">
        <v>166</v>
      </c>
      <c r="C2922" s="72" t="inlineStr">
        <is>
          <t>X</t>
        </is>
      </c>
      <c r="D2922" s="5" t="n">
        <v>271</v>
      </c>
      <c r="E2922" s="73">
        <f>B2922*D2922/10000</f>
        <v/>
      </c>
      <c r="F2922" s="74">
        <f>B2922/30.48</f>
        <v/>
      </c>
      <c r="G2922" s="74">
        <f>D2922/30.48</f>
        <v/>
      </c>
      <c r="H2922" s="615" t="n"/>
    </row>
    <row r="2923" ht="18" customHeight="1" s="305">
      <c r="A2923" s="8" t="n">
        <v>4302</v>
      </c>
      <c r="B2923" s="5" t="n">
        <v>178</v>
      </c>
      <c r="C2923" s="72" t="inlineStr">
        <is>
          <t>X</t>
        </is>
      </c>
      <c r="D2923" s="5" t="n">
        <v>277</v>
      </c>
      <c r="E2923" s="73">
        <f>B2923*D2923/10000</f>
        <v/>
      </c>
      <c r="F2923" s="74">
        <f>B2923/30.48</f>
        <v/>
      </c>
      <c r="G2923" s="74">
        <f>D2923/30.48</f>
        <v/>
      </c>
      <c r="H2923" s="615" t="n"/>
    </row>
    <row r="2924" ht="18" customHeight="1" s="305">
      <c r="A2924" s="8" t="n">
        <v>4303</v>
      </c>
      <c r="B2924" s="5" t="n">
        <v>82</v>
      </c>
      <c r="C2924" s="72" t="inlineStr">
        <is>
          <t>X</t>
        </is>
      </c>
      <c r="D2924" s="5" t="n">
        <v>330</v>
      </c>
      <c r="E2924" s="73">
        <f>B2924*D2924/10000</f>
        <v/>
      </c>
      <c r="F2924" s="74">
        <f>B2924/30.48</f>
        <v/>
      </c>
      <c r="G2924" s="74">
        <f>D2924/30.48</f>
        <v/>
      </c>
      <c r="H2924" s="615" t="n"/>
    </row>
    <row r="2925" ht="18" customHeight="1" s="305">
      <c r="A2925" s="8" t="n">
        <v>4304</v>
      </c>
      <c r="B2925" s="5" t="n">
        <v>105</v>
      </c>
      <c r="C2925" s="72" t="inlineStr">
        <is>
          <t>X</t>
        </is>
      </c>
      <c r="D2925" s="5" t="n">
        <v>198</v>
      </c>
      <c r="E2925" s="73">
        <f>B2925*D2925/10000</f>
        <v/>
      </c>
      <c r="F2925" s="74">
        <f>B2925/30.48</f>
        <v/>
      </c>
      <c r="G2925" s="74">
        <f>D2925/30.48</f>
        <v/>
      </c>
      <c r="H2925" s="615" t="n"/>
    </row>
    <row r="2926" ht="18" customHeight="1" s="305">
      <c r="A2926" s="8" t="n">
        <v>4305</v>
      </c>
      <c r="B2926" s="5" t="n">
        <v>87</v>
      </c>
      <c r="C2926" s="72" t="inlineStr">
        <is>
          <t>X</t>
        </is>
      </c>
      <c r="D2926" s="5" t="n">
        <v>330</v>
      </c>
      <c r="E2926" s="73">
        <f>B2926*D2926/10000</f>
        <v/>
      </c>
      <c r="F2926" s="74">
        <f>B2926/30.48</f>
        <v/>
      </c>
      <c r="G2926" s="74">
        <f>D2926/30.48</f>
        <v/>
      </c>
      <c r="H2926" s="615" t="n"/>
    </row>
    <row r="2927" ht="18" customHeight="1" s="305">
      <c r="A2927" s="8" t="n">
        <v>4306</v>
      </c>
      <c r="B2927" s="5" t="n">
        <v>183</v>
      </c>
      <c r="C2927" s="72" t="inlineStr">
        <is>
          <t>X</t>
        </is>
      </c>
      <c r="D2927" s="5" t="n">
        <v>285</v>
      </c>
      <c r="E2927" s="73">
        <f>B2927*D2927/10000</f>
        <v/>
      </c>
      <c r="F2927" s="74">
        <f>B2927/30.48</f>
        <v/>
      </c>
      <c r="G2927" s="74">
        <f>D2927/30.48</f>
        <v/>
      </c>
      <c r="H2927" s="615" t="n"/>
    </row>
    <row r="2928" ht="18" customHeight="1" s="305">
      <c r="A2928" s="8" t="n">
        <v>4307</v>
      </c>
      <c r="B2928" s="5" t="n">
        <v>113</v>
      </c>
      <c r="C2928" s="72" t="inlineStr">
        <is>
          <t>X</t>
        </is>
      </c>
      <c r="D2928" s="5" t="n">
        <v>355</v>
      </c>
      <c r="E2928" s="73">
        <f>B2928*D2928/10000</f>
        <v/>
      </c>
      <c r="F2928" s="74">
        <f>B2928/30.48</f>
        <v/>
      </c>
      <c r="G2928" s="74">
        <f>D2928/30.48</f>
        <v/>
      </c>
      <c r="H2928" s="615" t="n"/>
    </row>
    <row r="2929" ht="18" customHeight="1" s="305">
      <c r="A2929" s="8" t="n">
        <v>4308</v>
      </c>
      <c r="B2929" s="5" t="n">
        <v>236</v>
      </c>
      <c r="C2929" s="72" t="inlineStr">
        <is>
          <t>X</t>
        </is>
      </c>
      <c r="D2929" s="5" t="n">
        <v>341</v>
      </c>
      <c r="E2929" s="73">
        <f>B2929*D2929/10000</f>
        <v/>
      </c>
      <c r="F2929" s="74">
        <f>B2929/30.48</f>
        <v/>
      </c>
      <c r="G2929" s="74">
        <f>D2929/30.48</f>
        <v/>
      </c>
      <c r="H2929" s="615" t="n"/>
    </row>
    <row r="2930" ht="18" customHeight="1" s="305">
      <c r="A2930" s="8" t="n">
        <v>4309</v>
      </c>
      <c r="B2930" s="5" t="n">
        <v>67</v>
      </c>
      <c r="C2930" s="72" t="inlineStr">
        <is>
          <t>X</t>
        </is>
      </c>
      <c r="D2930" s="5" t="n">
        <v>133</v>
      </c>
      <c r="E2930" s="73">
        <f>B2930*D2930/10000</f>
        <v/>
      </c>
      <c r="F2930" s="74">
        <f>B2930/30.48</f>
        <v/>
      </c>
      <c r="G2930" s="74">
        <f>D2930/30.48</f>
        <v/>
      </c>
      <c r="H2930" s="615" t="n"/>
    </row>
    <row r="2931" ht="18" customHeight="1" s="305">
      <c r="A2931" s="8" t="n">
        <v>4310</v>
      </c>
      <c r="B2931" s="5" t="n">
        <v>66</v>
      </c>
      <c r="C2931" s="72" t="inlineStr">
        <is>
          <t>X</t>
        </is>
      </c>
      <c r="D2931" s="5" t="n">
        <v>178</v>
      </c>
      <c r="E2931" s="73">
        <f>B2931*D2931/10000</f>
        <v/>
      </c>
      <c r="F2931" s="74">
        <f>B2931/30.48</f>
        <v/>
      </c>
      <c r="G2931" s="74">
        <f>D2931/30.48</f>
        <v/>
      </c>
      <c r="H2931" s="615" t="n"/>
    </row>
    <row r="2932" ht="18" customHeight="1" s="305">
      <c r="A2932" s="8" t="n">
        <v>4311</v>
      </c>
      <c r="B2932" s="5" t="n">
        <v>71</v>
      </c>
      <c r="C2932" s="72" t="inlineStr">
        <is>
          <t>X</t>
        </is>
      </c>
      <c r="D2932" s="5" t="n">
        <v>278</v>
      </c>
      <c r="E2932" s="73">
        <f>B2932*D2932/10000</f>
        <v/>
      </c>
      <c r="F2932" s="74">
        <f>B2932/30.48</f>
        <v/>
      </c>
      <c r="G2932" s="74">
        <f>D2932/30.48</f>
        <v/>
      </c>
      <c r="H2932" s="615" t="n"/>
    </row>
    <row r="2933" ht="18" customHeight="1" s="305">
      <c r="A2933" s="8" t="n">
        <v>4313</v>
      </c>
      <c r="B2933" s="5" t="n">
        <v>130</v>
      </c>
      <c r="C2933" s="72" t="inlineStr">
        <is>
          <t>X</t>
        </is>
      </c>
      <c r="D2933" s="5" t="n">
        <v>235</v>
      </c>
      <c r="E2933" s="73">
        <f>B2933*D2933/10000</f>
        <v/>
      </c>
      <c r="F2933" s="74">
        <f>B2933/30.48</f>
        <v/>
      </c>
      <c r="G2933" s="74">
        <f>D2933/30.48</f>
        <v/>
      </c>
      <c r="H2933" s="615" t="n"/>
    </row>
    <row r="2934" ht="18" customHeight="1" s="305">
      <c r="A2934" s="8" t="n">
        <v>4314</v>
      </c>
      <c r="B2934" s="5" t="n">
        <v>170</v>
      </c>
      <c r="C2934" s="72" t="inlineStr">
        <is>
          <t>X</t>
        </is>
      </c>
      <c r="D2934" s="5" t="n">
        <v>261</v>
      </c>
      <c r="E2934" s="73">
        <f>B2934*D2934/10000</f>
        <v/>
      </c>
      <c r="F2934" s="74">
        <f>B2934/30.48</f>
        <v/>
      </c>
      <c r="G2934" s="74">
        <f>D2934/30.48</f>
        <v/>
      </c>
      <c r="H2934" s="615" t="n"/>
    </row>
    <row r="2935" ht="18" customHeight="1" s="305">
      <c r="A2935" s="8" t="n">
        <v>4315</v>
      </c>
      <c r="B2935" s="5" t="n">
        <v>66</v>
      </c>
      <c r="C2935" s="72" t="inlineStr">
        <is>
          <t>X</t>
        </is>
      </c>
      <c r="D2935" s="5" t="n">
        <v>177</v>
      </c>
      <c r="E2935" s="73">
        <f>B2935*D2935/10000</f>
        <v/>
      </c>
      <c r="F2935" s="74">
        <f>B2935/30.48</f>
        <v/>
      </c>
      <c r="G2935" s="74">
        <f>D2935/30.48</f>
        <v/>
      </c>
      <c r="H2935" s="615" t="n"/>
    </row>
    <row r="2936" ht="18" customHeight="1" s="305">
      <c r="A2936" s="8" t="n">
        <v>4317</v>
      </c>
      <c r="B2936" s="5" t="n">
        <v>63</v>
      </c>
      <c r="C2936" s="72" t="inlineStr">
        <is>
          <t>X</t>
        </is>
      </c>
      <c r="D2936" s="5" t="n">
        <v>266</v>
      </c>
      <c r="E2936" s="73">
        <f>B2936*D2936/10000</f>
        <v/>
      </c>
      <c r="F2936" s="74">
        <f>B2936/30.48</f>
        <v/>
      </c>
      <c r="G2936" s="74">
        <f>D2936/30.48</f>
        <v/>
      </c>
      <c r="H2936" s="615" t="n"/>
    </row>
    <row r="2937" ht="18" customHeight="1" s="305">
      <c r="A2937" s="8" t="n">
        <v>4318</v>
      </c>
      <c r="B2937" s="5" t="n">
        <v>133</v>
      </c>
      <c r="C2937" s="72" t="inlineStr">
        <is>
          <t>X</t>
        </is>
      </c>
      <c r="D2937" s="5" t="n">
        <v>222</v>
      </c>
      <c r="E2937" s="73">
        <f>B2937*D2937/10000</f>
        <v/>
      </c>
      <c r="F2937" s="74">
        <f>B2937/30.48</f>
        <v/>
      </c>
      <c r="G2937" s="74">
        <f>D2937/30.48</f>
        <v/>
      </c>
      <c r="H2937" s="615" t="n"/>
    </row>
    <row r="2938" ht="18" customHeight="1" s="305">
      <c r="A2938" s="8" t="n">
        <v>4319</v>
      </c>
      <c r="B2938" s="5" t="n">
        <v>75</v>
      </c>
      <c r="C2938" s="72" t="inlineStr">
        <is>
          <t>X</t>
        </is>
      </c>
      <c r="D2938" s="5" t="n">
        <v>137</v>
      </c>
      <c r="E2938" s="73">
        <f>B2938*D2938/10000</f>
        <v/>
      </c>
      <c r="F2938" s="74">
        <f>B2938/30.48</f>
        <v/>
      </c>
      <c r="G2938" s="74">
        <f>D2938/30.48</f>
        <v/>
      </c>
      <c r="H2938" s="615" t="n"/>
    </row>
    <row r="2939" ht="18" customHeight="1" s="305">
      <c r="A2939" s="8" t="n">
        <v>4320</v>
      </c>
      <c r="B2939" s="5" t="n">
        <v>75</v>
      </c>
      <c r="C2939" s="72" t="inlineStr">
        <is>
          <t>X</t>
        </is>
      </c>
      <c r="D2939" s="5" t="n">
        <v>147</v>
      </c>
      <c r="E2939" s="73">
        <f>B2939*D2939/10000</f>
        <v/>
      </c>
      <c r="F2939" s="74">
        <f>B2939/30.48</f>
        <v/>
      </c>
      <c r="G2939" s="74">
        <f>D2939/30.48</f>
        <v/>
      </c>
      <c r="H2939" s="615" t="n"/>
    </row>
    <row r="2940" ht="18" customHeight="1" s="305">
      <c r="A2940" s="8" t="n">
        <v>4321</v>
      </c>
      <c r="B2940" s="5" t="n">
        <v>87</v>
      </c>
      <c r="C2940" s="72" t="inlineStr">
        <is>
          <t>X</t>
        </is>
      </c>
      <c r="D2940" s="5" t="n">
        <v>331</v>
      </c>
      <c r="E2940" s="73">
        <f>B2940*D2940/10000</f>
        <v/>
      </c>
      <c r="F2940" s="74">
        <f>B2940/30.48</f>
        <v/>
      </c>
      <c r="G2940" s="74">
        <f>D2940/30.48</f>
        <v/>
      </c>
      <c r="H2940" s="615" t="n"/>
    </row>
    <row r="2941" ht="18" customHeight="1" s="305">
      <c r="A2941" s="8" t="n">
        <v>4322</v>
      </c>
      <c r="B2941" s="5" t="n">
        <v>85</v>
      </c>
      <c r="C2941" s="72" t="inlineStr">
        <is>
          <t>X</t>
        </is>
      </c>
      <c r="D2941" s="5" t="n">
        <v>250</v>
      </c>
      <c r="E2941" s="73">
        <f>B2941*D2941/10000</f>
        <v/>
      </c>
      <c r="F2941" s="74">
        <f>B2941/30.48</f>
        <v/>
      </c>
      <c r="G2941" s="74">
        <f>D2941/30.48</f>
        <v/>
      </c>
      <c r="H2941" s="615" t="n"/>
    </row>
    <row r="2942" ht="18" customHeight="1" s="305">
      <c r="A2942" s="8" t="n">
        <v>4325</v>
      </c>
      <c r="B2942" s="5" t="n">
        <v>79</v>
      </c>
      <c r="C2942" s="72" t="inlineStr">
        <is>
          <t>X</t>
        </is>
      </c>
      <c r="D2942" s="5" t="n">
        <v>261</v>
      </c>
      <c r="E2942" s="73">
        <f>B2942*D2942/10000</f>
        <v/>
      </c>
      <c r="F2942" s="74">
        <f>B2942/30.48</f>
        <v/>
      </c>
      <c r="G2942" s="74">
        <f>D2942/30.48</f>
        <v/>
      </c>
      <c r="H2942" s="615" t="n"/>
    </row>
    <row r="2943" ht="18" customHeight="1" s="305">
      <c r="A2943" s="8" t="n">
        <v>4326</v>
      </c>
      <c r="B2943" s="5" t="n">
        <v>90</v>
      </c>
      <c r="C2943" s="72" t="inlineStr">
        <is>
          <t>X</t>
        </is>
      </c>
      <c r="D2943" s="5" t="n">
        <v>337</v>
      </c>
      <c r="E2943" s="73">
        <f>B2943*D2943/10000</f>
        <v/>
      </c>
      <c r="F2943" s="74">
        <f>B2943/30.48</f>
        <v/>
      </c>
      <c r="G2943" s="74">
        <f>D2943/30.48</f>
        <v/>
      </c>
      <c r="H2943" s="615" t="n"/>
    </row>
    <row r="2944" ht="18" customHeight="1" s="305">
      <c r="A2944" s="8" t="n">
        <v>4327</v>
      </c>
      <c r="B2944" s="5" t="n">
        <v>89</v>
      </c>
      <c r="C2944" s="72" t="inlineStr">
        <is>
          <t>X</t>
        </is>
      </c>
      <c r="D2944" s="5" t="n">
        <v>291</v>
      </c>
      <c r="E2944" s="73">
        <f>B2944*D2944/10000</f>
        <v/>
      </c>
      <c r="F2944" s="74">
        <f>B2944/30.48</f>
        <v/>
      </c>
      <c r="G2944" s="74">
        <f>D2944/30.48</f>
        <v/>
      </c>
      <c r="H2944" s="615" t="n"/>
    </row>
    <row r="2945" ht="18" customHeight="1" s="305">
      <c r="A2945" s="8" t="n">
        <v>4328</v>
      </c>
      <c r="B2945" s="5" t="n">
        <v>80</v>
      </c>
      <c r="C2945" s="72" t="inlineStr">
        <is>
          <t>X</t>
        </is>
      </c>
      <c r="D2945" s="5" t="n">
        <v>329</v>
      </c>
      <c r="E2945" s="73">
        <f>B2945*D2945/10000</f>
        <v/>
      </c>
      <c r="F2945" s="74">
        <f>B2945/30.48</f>
        <v/>
      </c>
      <c r="G2945" s="74">
        <f>D2945/30.48</f>
        <v/>
      </c>
      <c r="H2945" s="615" t="n"/>
    </row>
    <row r="2946" ht="18" customHeight="1" s="305">
      <c r="A2946" s="8" t="n">
        <v>4329</v>
      </c>
      <c r="B2946" s="5" t="n">
        <v>110</v>
      </c>
      <c r="C2946" s="72" t="inlineStr">
        <is>
          <t>X</t>
        </is>
      </c>
      <c r="D2946" s="5" t="n">
        <v>196</v>
      </c>
      <c r="E2946" s="73">
        <f>B2946*D2946/10000</f>
        <v/>
      </c>
      <c r="F2946" s="74">
        <f>B2946/30.48</f>
        <v/>
      </c>
      <c r="G2946" s="74">
        <f>D2946/30.48</f>
        <v/>
      </c>
      <c r="H2946" s="615" t="n"/>
    </row>
    <row r="2947" ht="18" customHeight="1" s="305">
      <c r="A2947" s="8" t="n">
        <v>4330</v>
      </c>
      <c r="B2947" s="5" t="n">
        <v>255</v>
      </c>
      <c r="C2947" s="72" t="inlineStr">
        <is>
          <t>X</t>
        </is>
      </c>
      <c r="D2947" s="5" t="n">
        <v>340</v>
      </c>
      <c r="E2947" s="73">
        <f>B2947*D2947/10000</f>
        <v/>
      </c>
      <c r="F2947" s="74">
        <f>B2947/30.48</f>
        <v/>
      </c>
      <c r="G2947" s="74">
        <f>D2947/30.48</f>
        <v/>
      </c>
      <c r="H2947" s="615" t="n"/>
    </row>
    <row r="2948" ht="18" customHeight="1" s="305">
      <c r="A2948" s="8" t="n">
        <v>4331</v>
      </c>
      <c r="B2948" s="5" t="n">
        <v>148</v>
      </c>
      <c r="C2948" s="72" t="inlineStr">
        <is>
          <t>X</t>
        </is>
      </c>
      <c r="D2948" s="5" t="n">
        <v>261</v>
      </c>
      <c r="E2948" s="73">
        <f>B2948*D2948/10000</f>
        <v/>
      </c>
      <c r="F2948" s="74">
        <f>B2948/30.48</f>
        <v/>
      </c>
      <c r="G2948" s="74">
        <f>D2948/30.48</f>
        <v/>
      </c>
      <c r="H2948" s="615" t="n"/>
    </row>
    <row r="2949" ht="18" customHeight="1" s="305">
      <c r="A2949" s="8" t="n">
        <v>4332</v>
      </c>
      <c r="B2949" s="5" t="n">
        <v>96</v>
      </c>
      <c r="C2949" s="72" t="inlineStr">
        <is>
          <t>X</t>
        </is>
      </c>
      <c r="D2949" s="5" t="n">
        <v>287</v>
      </c>
      <c r="E2949" s="73">
        <f>B2949*D2949/10000</f>
        <v/>
      </c>
      <c r="F2949" s="74">
        <f>B2949/30.48</f>
        <v/>
      </c>
      <c r="G2949" s="74">
        <f>D2949/30.48</f>
        <v/>
      </c>
      <c r="H2949" s="615" t="n"/>
    </row>
    <row r="2950" ht="18" customHeight="1" s="305">
      <c r="A2950" s="8" t="n">
        <v>4333</v>
      </c>
      <c r="B2950" s="5" t="n">
        <v>86</v>
      </c>
      <c r="C2950" s="72" t="inlineStr">
        <is>
          <t>X</t>
        </is>
      </c>
      <c r="D2950" s="5" t="n">
        <v>334</v>
      </c>
      <c r="E2950" s="73">
        <f>B2950*D2950/10000</f>
        <v/>
      </c>
      <c r="F2950" s="74">
        <f>B2950/30.48</f>
        <v/>
      </c>
      <c r="G2950" s="74">
        <f>D2950/30.48</f>
        <v/>
      </c>
      <c r="H2950" s="615" t="n"/>
    </row>
    <row r="2951" ht="18" customHeight="1" s="305">
      <c r="A2951" s="8" t="n">
        <v>4335</v>
      </c>
      <c r="B2951" s="5" t="n">
        <v>127</v>
      </c>
      <c r="C2951" s="72" t="inlineStr">
        <is>
          <t>X</t>
        </is>
      </c>
      <c r="D2951" s="5" t="n">
        <v>258</v>
      </c>
      <c r="E2951" s="73">
        <f>B2951*D2951/10000</f>
        <v/>
      </c>
      <c r="F2951" s="74">
        <f>B2951/30.48</f>
        <v/>
      </c>
      <c r="G2951" s="74">
        <f>D2951/30.48</f>
        <v/>
      </c>
      <c r="H2951" s="615" t="n"/>
    </row>
    <row r="2952" ht="18" customHeight="1" s="305">
      <c r="A2952" s="8" t="n">
        <v>4336</v>
      </c>
      <c r="B2952" s="5" t="n">
        <v>83</v>
      </c>
      <c r="C2952" s="72" t="inlineStr">
        <is>
          <t>X</t>
        </is>
      </c>
      <c r="D2952" s="5" t="n">
        <v>293</v>
      </c>
      <c r="E2952" s="73">
        <f>B2952*D2952/10000</f>
        <v/>
      </c>
      <c r="F2952" s="74">
        <f>B2952/30.48</f>
        <v/>
      </c>
      <c r="G2952" s="74">
        <f>D2952/30.48</f>
        <v/>
      </c>
      <c r="H2952" s="615" t="n"/>
    </row>
    <row r="2953" ht="18" customHeight="1" s="305">
      <c r="A2953" s="8" t="n">
        <v>4337</v>
      </c>
      <c r="B2953" s="5" t="n">
        <v>85</v>
      </c>
      <c r="C2953" s="72" t="inlineStr">
        <is>
          <t>X</t>
        </is>
      </c>
      <c r="D2953" s="5" t="n">
        <v>289</v>
      </c>
      <c r="E2953" s="73">
        <f>B2953*D2953/10000</f>
        <v/>
      </c>
      <c r="F2953" s="74">
        <f>B2953/30.48</f>
        <v/>
      </c>
      <c r="G2953" s="74">
        <f>D2953/30.48</f>
        <v/>
      </c>
      <c r="H2953" s="615" t="n"/>
    </row>
    <row r="2954" ht="18" customHeight="1" s="305">
      <c r="A2954" s="8" t="n">
        <v>4338</v>
      </c>
      <c r="B2954" s="5" t="n">
        <v>90</v>
      </c>
      <c r="C2954" s="72" t="inlineStr">
        <is>
          <t>X</t>
        </is>
      </c>
      <c r="D2954" s="5" t="n">
        <v>369</v>
      </c>
      <c r="E2954" s="73">
        <f>B2954*D2954/10000</f>
        <v/>
      </c>
      <c r="F2954" s="74">
        <f>B2954/30.48</f>
        <v/>
      </c>
      <c r="G2954" s="74">
        <f>D2954/30.48</f>
        <v/>
      </c>
      <c r="H2954" s="615" t="n"/>
    </row>
    <row r="2955" ht="18" customHeight="1" s="305">
      <c r="A2955" s="8" t="n">
        <v>4339</v>
      </c>
      <c r="B2955" s="5" t="n">
        <v>153</v>
      </c>
      <c r="C2955" s="72" t="inlineStr">
        <is>
          <t>X</t>
        </is>
      </c>
      <c r="D2955" s="5" t="n">
        <v>260</v>
      </c>
      <c r="E2955" s="73">
        <f>B2955*D2955/10000</f>
        <v/>
      </c>
      <c r="F2955" s="74">
        <f>B2955/30.48</f>
        <v/>
      </c>
      <c r="G2955" s="74">
        <f>D2955/30.48</f>
        <v/>
      </c>
      <c r="H2955" s="615" t="n"/>
    </row>
    <row r="2956" ht="18" customHeight="1" s="305">
      <c r="A2956" s="8" t="n">
        <v>4342</v>
      </c>
      <c r="B2956" s="5" t="n">
        <v>78</v>
      </c>
      <c r="C2956" s="72" t="inlineStr">
        <is>
          <t>X</t>
        </is>
      </c>
      <c r="D2956" s="5" t="n">
        <v>383</v>
      </c>
      <c r="E2956" s="73">
        <f>B2956*D2956/10000</f>
        <v/>
      </c>
      <c r="F2956" s="74">
        <f>B2956/30.48</f>
        <v/>
      </c>
      <c r="G2956" s="74">
        <f>D2956/30.48</f>
        <v/>
      </c>
      <c r="H2956" s="615" t="n"/>
    </row>
    <row r="2957" ht="18" customHeight="1" s="305">
      <c r="A2957" s="8" t="n">
        <v>4343</v>
      </c>
      <c r="B2957" s="5" t="n">
        <v>89</v>
      </c>
      <c r="C2957" s="72" t="inlineStr">
        <is>
          <t>X</t>
        </is>
      </c>
      <c r="D2957" s="5" t="n">
        <v>403</v>
      </c>
      <c r="E2957" s="73">
        <f>B2957*D2957/10000</f>
        <v/>
      </c>
      <c r="F2957" s="74">
        <f>B2957/30.48</f>
        <v/>
      </c>
      <c r="G2957" s="74">
        <f>D2957/30.48</f>
        <v/>
      </c>
      <c r="H2957" s="615" t="n"/>
    </row>
    <row r="2958" ht="18" customHeight="1" s="305">
      <c r="A2958" s="8" t="n">
        <v>4344</v>
      </c>
      <c r="B2958" s="5" t="n">
        <v>80</v>
      </c>
      <c r="C2958" s="72" t="inlineStr">
        <is>
          <t>X</t>
        </is>
      </c>
      <c r="D2958" s="5" t="n">
        <v>314</v>
      </c>
      <c r="E2958" s="73">
        <f>B2958*D2958/10000</f>
        <v/>
      </c>
      <c r="F2958" s="74">
        <f>B2958/30.48</f>
        <v/>
      </c>
      <c r="G2958" s="74">
        <f>D2958/30.48</f>
        <v/>
      </c>
      <c r="H2958" s="615" t="n"/>
    </row>
    <row r="2959" ht="18" customHeight="1" s="305">
      <c r="A2959" s="8" t="n">
        <v>4345</v>
      </c>
      <c r="B2959" s="5" t="n">
        <v>80</v>
      </c>
      <c r="C2959" s="72" t="inlineStr">
        <is>
          <t>X</t>
        </is>
      </c>
      <c r="D2959" s="5" t="n">
        <v>319</v>
      </c>
      <c r="E2959" s="73">
        <f>B2959*D2959/10000</f>
        <v/>
      </c>
      <c r="F2959" s="74">
        <f>B2959/30.48</f>
        <v/>
      </c>
      <c r="G2959" s="74">
        <f>D2959/30.48</f>
        <v/>
      </c>
      <c r="H2959" s="615" t="n"/>
    </row>
    <row r="2960" ht="18" customHeight="1" s="305">
      <c r="A2960" s="8" t="n">
        <v>4346</v>
      </c>
      <c r="B2960" s="5" t="n">
        <v>72</v>
      </c>
      <c r="C2960" s="72" t="inlineStr">
        <is>
          <t>X</t>
        </is>
      </c>
      <c r="D2960" s="5" t="n">
        <v>106</v>
      </c>
      <c r="E2960" s="73">
        <f>B2960*D2960/10000</f>
        <v/>
      </c>
      <c r="F2960" s="74">
        <f>B2960/30.48</f>
        <v/>
      </c>
      <c r="G2960" s="74">
        <f>D2960/30.48</f>
        <v/>
      </c>
      <c r="H2960" s="615" t="n"/>
    </row>
    <row r="2961" ht="18" customHeight="1" s="305">
      <c r="A2961" s="8" t="n">
        <v>4347</v>
      </c>
      <c r="B2961" s="5" t="n">
        <v>54</v>
      </c>
      <c r="C2961" s="72" t="inlineStr">
        <is>
          <t>X</t>
        </is>
      </c>
      <c r="D2961" s="5" t="n">
        <v>313</v>
      </c>
      <c r="E2961" s="73">
        <f>B2961*D2961/10000</f>
        <v/>
      </c>
      <c r="F2961" s="74">
        <f>B2961/30.48</f>
        <v/>
      </c>
      <c r="G2961" s="74">
        <f>D2961/30.48</f>
        <v/>
      </c>
      <c r="H2961" s="615" t="n"/>
    </row>
    <row r="2962" ht="18" customHeight="1" s="305">
      <c r="A2962" s="8" t="n">
        <v>4348</v>
      </c>
      <c r="B2962" s="5" t="n">
        <v>77</v>
      </c>
      <c r="C2962" s="72" t="inlineStr">
        <is>
          <t>X</t>
        </is>
      </c>
      <c r="D2962" s="5" t="n">
        <v>149</v>
      </c>
      <c r="E2962" s="73">
        <f>B2962*D2962/10000</f>
        <v/>
      </c>
      <c r="F2962" s="74">
        <f>B2962/30.48</f>
        <v/>
      </c>
      <c r="G2962" s="74">
        <f>D2962/30.48</f>
        <v/>
      </c>
      <c r="H2962" s="615" t="n"/>
    </row>
    <row r="2963" ht="18" customHeight="1" s="305">
      <c r="A2963" s="8" t="n">
        <v>4349</v>
      </c>
      <c r="B2963" s="5" t="n">
        <v>74</v>
      </c>
      <c r="C2963" s="72" t="inlineStr">
        <is>
          <t>X</t>
        </is>
      </c>
      <c r="D2963" s="5" t="n">
        <v>183</v>
      </c>
      <c r="E2963" s="73">
        <f>B2963*D2963/10000</f>
        <v/>
      </c>
      <c r="F2963" s="74">
        <f>B2963/30.48</f>
        <v/>
      </c>
      <c r="G2963" s="74">
        <f>D2963/30.48</f>
        <v/>
      </c>
      <c r="H2963" s="615" t="n"/>
    </row>
    <row r="2964" ht="18" customHeight="1" s="305">
      <c r="A2964" s="8" t="n">
        <v>4350</v>
      </c>
      <c r="B2964" s="5" t="n">
        <v>80</v>
      </c>
      <c r="C2964" s="72" t="inlineStr">
        <is>
          <t>X</t>
        </is>
      </c>
      <c r="D2964" s="5" t="n">
        <v>295</v>
      </c>
      <c r="E2964" s="73">
        <f>B2964*D2964/10000</f>
        <v/>
      </c>
      <c r="F2964" s="74">
        <f>B2964/30.48</f>
        <v/>
      </c>
      <c r="G2964" s="74">
        <f>D2964/30.48</f>
        <v/>
      </c>
      <c r="H2964" s="615" t="n"/>
    </row>
    <row r="2965" ht="18" customHeight="1" s="305">
      <c r="A2965" s="8" t="n">
        <v>4351</v>
      </c>
      <c r="B2965" s="5" t="n">
        <v>70</v>
      </c>
      <c r="C2965" s="72" t="inlineStr">
        <is>
          <t>X</t>
        </is>
      </c>
      <c r="D2965" s="5" t="n">
        <v>185</v>
      </c>
      <c r="E2965" s="73">
        <f>B2965*D2965/10000</f>
        <v/>
      </c>
      <c r="F2965" s="74">
        <f>B2965/30.48</f>
        <v/>
      </c>
      <c r="G2965" s="74">
        <f>D2965/30.48</f>
        <v/>
      </c>
      <c r="H2965" s="615" t="n"/>
    </row>
    <row r="2966" ht="18" customHeight="1" s="305">
      <c r="A2966" s="8" t="n">
        <v>4352</v>
      </c>
      <c r="B2966" s="5" t="n">
        <v>60</v>
      </c>
      <c r="C2966" s="72" t="inlineStr">
        <is>
          <t>X</t>
        </is>
      </c>
      <c r="D2966" s="5" t="n">
        <v>350</v>
      </c>
      <c r="E2966" s="73">
        <f>B2966*D2966/10000</f>
        <v/>
      </c>
      <c r="F2966" s="74">
        <f>B2966/30.48</f>
        <v/>
      </c>
      <c r="G2966" s="74">
        <f>D2966/30.48</f>
        <v/>
      </c>
      <c r="H2966" s="615" t="n"/>
    </row>
    <row r="2967" ht="18" customHeight="1" s="305">
      <c r="A2967" s="8" t="n">
        <v>4353</v>
      </c>
      <c r="B2967" s="5" t="n">
        <v>50</v>
      </c>
      <c r="C2967" s="72" t="inlineStr">
        <is>
          <t>X</t>
        </is>
      </c>
      <c r="D2967" s="5" t="n">
        <v>310</v>
      </c>
      <c r="E2967" s="73">
        <f>B2967*D2967/10000</f>
        <v/>
      </c>
      <c r="F2967" s="74">
        <f>B2967/30.48</f>
        <v/>
      </c>
      <c r="G2967" s="74">
        <f>D2967/30.48</f>
        <v/>
      </c>
      <c r="H2967" s="615" t="n"/>
    </row>
    <row r="2968" ht="18" customHeight="1" s="305">
      <c r="A2968" s="8" t="n">
        <v>4354</v>
      </c>
      <c r="B2968" s="5" t="n">
        <v>60</v>
      </c>
      <c r="C2968" s="72" t="inlineStr">
        <is>
          <t>X</t>
        </is>
      </c>
      <c r="D2968" s="5" t="n">
        <v>129</v>
      </c>
      <c r="E2968" s="73">
        <f>B2968*D2968/10000</f>
        <v/>
      </c>
      <c r="F2968" s="74">
        <f>B2968/30.48</f>
        <v/>
      </c>
      <c r="G2968" s="74">
        <f>D2968/30.48</f>
        <v/>
      </c>
      <c r="H2968" s="615" t="n"/>
    </row>
    <row r="2969" ht="18" customHeight="1" s="305">
      <c r="A2969" s="8" t="n">
        <v>4356</v>
      </c>
      <c r="B2969" s="5" t="n">
        <v>91</v>
      </c>
      <c r="C2969" s="72" t="inlineStr">
        <is>
          <t>X</t>
        </is>
      </c>
      <c r="D2969" s="5" t="n">
        <v>336</v>
      </c>
      <c r="E2969" s="73">
        <f>B2969*D2969/10000</f>
        <v/>
      </c>
      <c r="F2969" s="74">
        <f>B2969/30.48</f>
        <v/>
      </c>
      <c r="G2969" s="74">
        <f>D2969/30.48</f>
        <v/>
      </c>
      <c r="H2969" s="615" t="n"/>
    </row>
    <row r="2970" ht="18" customHeight="1" s="305">
      <c r="A2970" s="8" t="n">
        <v>4357</v>
      </c>
      <c r="B2970" s="5" t="n">
        <v>191</v>
      </c>
      <c r="C2970" s="72" t="inlineStr">
        <is>
          <t>X</t>
        </is>
      </c>
      <c r="D2970" s="5" t="n">
        <v>294</v>
      </c>
      <c r="E2970" s="73">
        <f>B2970*D2970/10000</f>
        <v/>
      </c>
      <c r="F2970" s="74">
        <f>B2970/30.48</f>
        <v/>
      </c>
      <c r="G2970" s="74">
        <f>D2970/30.48</f>
        <v/>
      </c>
      <c r="H2970" s="615" t="n"/>
    </row>
    <row r="2971" ht="18" customHeight="1" s="305">
      <c r="A2971" s="8" t="n">
        <v>4359</v>
      </c>
      <c r="B2971" s="5" t="n">
        <v>101</v>
      </c>
      <c r="C2971" s="72" t="inlineStr">
        <is>
          <t>X</t>
        </is>
      </c>
      <c r="D2971" s="5" t="n">
        <v>330</v>
      </c>
      <c r="E2971" s="73">
        <f>B2971*D2971/10000</f>
        <v/>
      </c>
      <c r="F2971" s="74">
        <f>B2971/30.48</f>
        <v/>
      </c>
      <c r="G2971" s="74">
        <f>D2971/30.48</f>
        <v/>
      </c>
      <c r="H2971" s="615" t="n"/>
    </row>
    <row r="2972" ht="18" customHeight="1" s="305">
      <c r="A2972" s="8" t="n">
        <v>4360</v>
      </c>
      <c r="B2972" s="5" t="n">
        <v>77</v>
      </c>
      <c r="C2972" s="72" t="inlineStr">
        <is>
          <t>X</t>
        </is>
      </c>
      <c r="D2972" s="5" t="n">
        <v>317</v>
      </c>
      <c r="E2972" s="73">
        <f>B2972*D2972/10000</f>
        <v/>
      </c>
      <c r="F2972" s="74">
        <f>B2972/30.48</f>
        <v/>
      </c>
      <c r="G2972" s="74">
        <f>D2972/30.48</f>
        <v/>
      </c>
      <c r="H2972" s="615" t="n"/>
    </row>
    <row r="2973" ht="18" customHeight="1" s="305">
      <c r="A2973" s="8" t="n">
        <v>4361</v>
      </c>
      <c r="B2973" s="5" t="n">
        <v>86</v>
      </c>
      <c r="C2973" s="72" t="inlineStr">
        <is>
          <t>X</t>
        </is>
      </c>
      <c r="D2973" s="5" t="n">
        <v>350</v>
      </c>
      <c r="E2973" s="73">
        <f>B2973*D2973/10000</f>
        <v/>
      </c>
      <c r="F2973" s="74">
        <f>B2973/30.48</f>
        <v/>
      </c>
      <c r="G2973" s="74">
        <f>D2973/30.48</f>
        <v/>
      </c>
      <c r="H2973" s="615" t="n"/>
    </row>
    <row r="2974" ht="18" customHeight="1" s="305">
      <c r="A2974" s="8" t="n">
        <v>4363</v>
      </c>
      <c r="B2974" s="5" t="n">
        <v>67</v>
      </c>
      <c r="C2974" s="72" t="inlineStr">
        <is>
          <t>X</t>
        </is>
      </c>
      <c r="D2974" s="5" t="n">
        <v>142</v>
      </c>
      <c r="E2974" s="73">
        <f>B2974*D2974/10000</f>
        <v/>
      </c>
      <c r="F2974" s="74">
        <f>B2974/30.48</f>
        <v/>
      </c>
      <c r="G2974" s="74">
        <f>D2974/30.48</f>
        <v/>
      </c>
      <c r="H2974" s="615" t="n"/>
    </row>
    <row r="2975" ht="18" customHeight="1" s="305">
      <c r="A2975" s="8" t="n">
        <v>4364</v>
      </c>
      <c r="B2975" s="5" t="n">
        <v>65</v>
      </c>
      <c r="C2975" s="72" t="inlineStr">
        <is>
          <t>X</t>
        </is>
      </c>
      <c r="D2975" s="5" t="n">
        <v>200</v>
      </c>
      <c r="E2975" s="73">
        <f>B2975*D2975/10000</f>
        <v/>
      </c>
      <c r="F2975" s="74">
        <f>B2975/30.48</f>
        <v/>
      </c>
      <c r="G2975" s="74">
        <f>D2975/30.48</f>
        <v/>
      </c>
      <c r="H2975" s="615" t="n"/>
    </row>
    <row r="2976" ht="18" customHeight="1" s="305">
      <c r="A2976" s="8" t="n">
        <v>4365</v>
      </c>
      <c r="B2976" s="5" t="n">
        <v>69</v>
      </c>
      <c r="C2976" s="72" t="inlineStr">
        <is>
          <t>X</t>
        </is>
      </c>
      <c r="D2976" s="5" t="n">
        <v>130</v>
      </c>
      <c r="E2976" s="73">
        <f>B2976*D2976/10000</f>
        <v/>
      </c>
      <c r="F2976" s="74">
        <f>B2976/30.48</f>
        <v/>
      </c>
      <c r="G2976" s="74">
        <f>D2976/30.48</f>
        <v/>
      </c>
      <c r="H2976" s="615" t="n"/>
    </row>
    <row r="2977" ht="18" customHeight="1" s="305">
      <c r="A2977" s="8" t="n">
        <v>4367</v>
      </c>
      <c r="B2977" s="5" t="n">
        <v>85</v>
      </c>
      <c r="C2977" s="72" t="inlineStr">
        <is>
          <t>X</t>
        </is>
      </c>
      <c r="D2977" s="5" t="n">
        <v>320</v>
      </c>
      <c r="E2977" s="73">
        <f>B2977*D2977/10000</f>
        <v/>
      </c>
      <c r="F2977" s="74">
        <f>B2977/30.48</f>
        <v/>
      </c>
      <c r="G2977" s="74">
        <f>D2977/30.48</f>
        <v/>
      </c>
      <c r="H2977" s="615" t="n"/>
    </row>
    <row r="2978" ht="18" customHeight="1" s="305">
      <c r="A2978" s="8" t="n">
        <v>4368</v>
      </c>
      <c r="B2978" s="5" t="n">
        <v>86</v>
      </c>
      <c r="C2978" s="72" t="inlineStr">
        <is>
          <t>X</t>
        </is>
      </c>
      <c r="D2978" s="5" t="n">
        <v>305</v>
      </c>
      <c r="E2978" s="73">
        <f>B2978*D2978/10000</f>
        <v/>
      </c>
      <c r="F2978" s="74">
        <f>B2978/30.48</f>
        <v/>
      </c>
      <c r="G2978" s="74">
        <f>D2978/30.48</f>
        <v/>
      </c>
      <c r="H2978" s="615" t="n"/>
    </row>
    <row r="2979" ht="18" customHeight="1" s="305">
      <c r="A2979" s="8" t="n">
        <v>4370</v>
      </c>
      <c r="B2979" s="5" t="n">
        <v>147</v>
      </c>
      <c r="C2979" s="72" t="inlineStr">
        <is>
          <t>X</t>
        </is>
      </c>
      <c r="D2979" s="5" t="n">
        <v>257</v>
      </c>
      <c r="E2979" s="73">
        <f>B2979*D2979/10000</f>
        <v/>
      </c>
      <c r="F2979" s="74">
        <f>B2979/30.48</f>
        <v/>
      </c>
      <c r="G2979" s="74">
        <f>D2979/30.48</f>
        <v/>
      </c>
      <c r="H2979" s="615" t="n"/>
    </row>
    <row r="2980" ht="18" customHeight="1" s="305">
      <c r="A2980" s="8" t="n">
        <v>4371</v>
      </c>
      <c r="B2980" s="5" t="n">
        <v>80</v>
      </c>
      <c r="C2980" s="72" t="inlineStr">
        <is>
          <t>X</t>
        </is>
      </c>
      <c r="D2980" s="5" t="n">
        <v>280</v>
      </c>
      <c r="E2980" s="73">
        <f>B2980*D2980/10000</f>
        <v/>
      </c>
      <c r="F2980" s="74">
        <f>B2980/30.48</f>
        <v/>
      </c>
      <c r="G2980" s="74">
        <f>D2980/30.48</f>
        <v/>
      </c>
      <c r="H2980" s="615" t="n"/>
    </row>
    <row r="2981" ht="18" customHeight="1" s="305">
      <c r="A2981" s="8" t="n">
        <v>4372</v>
      </c>
      <c r="B2981" s="5" t="n">
        <v>95</v>
      </c>
      <c r="C2981" s="72" t="inlineStr">
        <is>
          <t>X</t>
        </is>
      </c>
      <c r="D2981" s="5" t="n">
        <v>157</v>
      </c>
      <c r="E2981" s="73">
        <f>B2981*D2981/10000</f>
        <v/>
      </c>
      <c r="F2981" s="74">
        <f>B2981/30.48</f>
        <v/>
      </c>
      <c r="G2981" s="74">
        <f>D2981/30.48</f>
        <v/>
      </c>
      <c r="H2981" s="615" t="n"/>
    </row>
    <row r="2982" ht="18" customHeight="1" s="305">
      <c r="A2982" s="8" t="n">
        <v>4373</v>
      </c>
      <c r="B2982" s="5" t="n">
        <v>74</v>
      </c>
      <c r="C2982" s="72" t="inlineStr">
        <is>
          <t>X</t>
        </is>
      </c>
      <c r="D2982" s="5" t="n">
        <v>249</v>
      </c>
      <c r="E2982" s="73">
        <f>B2982*D2982/10000</f>
        <v/>
      </c>
      <c r="F2982" s="74">
        <f>B2982/30.48</f>
        <v/>
      </c>
      <c r="G2982" s="74">
        <f>D2982/30.48</f>
        <v/>
      </c>
      <c r="H2982" s="615" t="n"/>
    </row>
    <row r="2983" ht="18" customHeight="1" s="305">
      <c r="A2983" s="8" t="n">
        <v>4374</v>
      </c>
      <c r="B2983" s="5" t="n">
        <v>90</v>
      </c>
      <c r="C2983" s="72" t="inlineStr">
        <is>
          <t>X</t>
        </is>
      </c>
      <c r="D2983" s="5" t="n">
        <v>314</v>
      </c>
      <c r="E2983" s="73">
        <f>B2983*D2983/10000</f>
        <v/>
      </c>
      <c r="F2983" s="74">
        <f>B2983/30.48</f>
        <v/>
      </c>
      <c r="G2983" s="74">
        <f>D2983/30.48</f>
        <v/>
      </c>
      <c r="H2983" s="615" t="n"/>
    </row>
    <row r="2984" ht="18" customHeight="1" s="305">
      <c r="A2984" s="8" t="n">
        <v>4375</v>
      </c>
      <c r="B2984" s="5" t="n">
        <v>70</v>
      </c>
      <c r="C2984" s="72" t="inlineStr">
        <is>
          <t>X</t>
        </is>
      </c>
      <c r="D2984" s="5" t="n">
        <v>233</v>
      </c>
      <c r="E2984" s="73">
        <f>B2984*D2984/10000</f>
        <v/>
      </c>
      <c r="F2984" s="74">
        <f>B2984/30.48</f>
        <v/>
      </c>
      <c r="G2984" s="74">
        <f>D2984/30.48</f>
        <v/>
      </c>
      <c r="H2984" s="615" t="n"/>
    </row>
    <row r="2985" ht="18" customHeight="1" s="305">
      <c r="A2985" s="8" t="n">
        <v>4376</v>
      </c>
      <c r="B2985" s="5" t="n">
        <v>85</v>
      </c>
      <c r="C2985" s="72" t="inlineStr">
        <is>
          <t>X</t>
        </is>
      </c>
      <c r="D2985" s="5" t="n">
        <v>271</v>
      </c>
      <c r="E2985" s="73">
        <f>B2985*D2985/10000</f>
        <v/>
      </c>
      <c r="F2985" s="74">
        <f>B2985/30.48</f>
        <v/>
      </c>
      <c r="G2985" s="74">
        <f>D2985/30.48</f>
        <v/>
      </c>
      <c r="H2985" s="615" t="n"/>
    </row>
    <row r="2986" ht="18" customHeight="1" s="305">
      <c r="A2986" s="8" t="n">
        <v>4377</v>
      </c>
      <c r="B2986" s="5" t="n">
        <v>68</v>
      </c>
      <c r="C2986" s="72" t="inlineStr">
        <is>
          <t>X</t>
        </is>
      </c>
      <c r="D2986" s="5" t="n">
        <v>161</v>
      </c>
      <c r="E2986" s="73">
        <f>B2986*D2986/10000</f>
        <v/>
      </c>
      <c r="F2986" s="74">
        <f>B2986/30.48</f>
        <v/>
      </c>
      <c r="G2986" s="74">
        <f>D2986/30.48</f>
        <v/>
      </c>
      <c r="H2986" s="615" t="n"/>
    </row>
    <row r="2987" ht="18" customHeight="1" s="305">
      <c r="A2987" s="8" t="n">
        <v>4378</v>
      </c>
      <c r="B2987" s="5" t="n">
        <v>80</v>
      </c>
      <c r="C2987" s="72" t="inlineStr">
        <is>
          <t>X</t>
        </is>
      </c>
      <c r="D2987" s="5" t="n">
        <v>278</v>
      </c>
      <c r="E2987" s="73">
        <f>B2987*D2987/10000</f>
        <v/>
      </c>
      <c r="F2987" s="74">
        <f>B2987/30.48</f>
        <v/>
      </c>
      <c r="G2987" s="74">
        <f>D2987/30.48</f>
        <v/>
      </c>
      <c r="H2987" s="615" t="n"/>
    </row>
    <row r="2988" ht="18" customHeight="1" s="305">
      <c r="A2988" s="8" t="n">
        <v>4379</v>
      </c>
      <c r="B2988" s="5" t="n">
        <v>226</v>
      </c>
      <c r="C2988" s="72" t="inlineStr">
        <is>
          <t>X</t>
        </is>
      </c>
      <c r="D2988" s="5" t="n">
        <v>316</v>
      </c>
      <c r="E2988" s="73">
        <f>B2988*D2988/10000</f>
        <v/>
      </c>
      <c r="F2988" s="74">
        <f>B2988/30.48</f>
        <v/>
      </c>
      <c r="G2988" s="74">
        <f>D2988/30.48</f>
        <v/>
      </c>
      <c r="H2988" s="615" t="n"/>
    </row>
    <row r="2989" ht="18" customHeight="1" s="305">
      <c r="A2989" s="8" t="n">
        <v>4381</v>
      </c>
      <c r="B2989" s="5" t="n">
        <v>117</v>
      </c>
      <c r="C2989" s="72" t="inlineStr">
        <is>
          <t>X</t>
        </is>
      </c>
      <c r="D2989" s="5" t="n">
        <v>234</v>
      </c>
      <c r="E2989" s="73">
        <f>B2989*D2989/10000</f>
        <v/>
      </c>
      <c r="F2989" s="74">
        <f>B2989/30.48</f>
        <v/>
      </c>
      <c r="G2989" s="74">
        <f>D2989/30.48</f>
        <v/>
      </c>
      <c r="H2989" s="615" t="n"/>
    </row>
    <row r="2990" ht="18" customHeight="1" s="305">
      <c r="A2990" s="8" t="n">
        <v>4382</v>
      </c>
      <c r="B2990" s="5" t="n">
        <v>118</v>
      </c>
      <c r="C2990" s="72" t="inlineStr">
        <is>
          <t>X</t>
        </is>
      </c>
      <c r="D2990" s="5" t="n">
        <v>347</v>
      </c>
      <c r="E2990" s="73">
        <f>B2990*D2990/10000</f>
        <v/>
      </c>
      <c r="F2990" s="74">
        <f>B2990/30.48</f>
        <v/>
      </c>
      <c r="G2990" s="74">
        <f>D2990/30.48</f>
        <v/>
      </c>
      <c r="H2990" s="615" t="n"/>
    </row>
    <row r="2991" ht="18" customHeight="1" s="305">
      <c r="A2991" s="8" t="n">
        <v>4383</v>
      </c>
      <c r="B2991" s="5" t="n">
        <v>113</v>
      </c>
      <c r="C2991" s="72" t="inlineStr">
        <is>
          <t>X</t>
        </is>
      </c>
      <c r="D2991" s="5" t="n">
        <v>197</v>
      </c>
      <c r="E2991" s="73">
        <f>B2991*D2991/10000</f>
        <v/>
      </c>
      <c r="F2991" s="74">
        <f>B2991/30.48</f>
        <v/>
      </c>
      <c r="G2991" s="74">
        <f>D2991/30.48</f>
        <v/>
      </c>
      <c r="H2991" s="615" t="n"/>
    </row>
    <row r="2992" ht="18" customHeight="1" s="305">
      <c r="A2992" s="8" t="n">
        <v>4384</v>
      </c>
      <c r="B2992" s="5" t="n">
        <v>160</v>
      </c>
      <c r="C2992" s="72" t="inlineStr">
        <is>
          <t>X</t>
        </is>
      </c>
      <c r="D2992" s="5" t="n">
        <v>223</v>
      </c>
      <c r="E2992" s="73">
        <f>B2992*D2992/10000</f>
        <v/>
      </c>
      <c r="F2992" s="74">
        <f>B2992/30.48</f>
        <v/>
      </c>
      <c r="G2992" s="74">
        <f>D2992/30.48</f>
        <v/>
      </c>
      <c r="H2992" s="615" t="n"/>
    </row>
    <row r="2993" ht="18" customHeight="1" s="305">
      <c r="A2993" s="8" t="n">
        <v>4385</v>
      </c>
      <c r="B2993" s="5" t="n">
        <v>155</v>
      </c>
      <c r="C2993" s="72" t="inlineStr">
        <is>
          <t>X</t>
        </is>
      </c>
      <c r="D2993" s="5" t="n">
        <v>210</v>
      </c>
      <c r="E2993" s="73">
        <f>B2993*D2993/10000</f>
        <v/>
      </c>
      <c r="F2993" s="74">
        <f>B2993/30.48</f>
        <v/>
      </c>
      <c r="G2993" s="74">
        <f>D2993/30.48</f>
        <v/>
      </c>
      <c r="H2993" s="615" t="n"/>
    </row>
    <row r="2994" ht="18" customHeight="1" s="305">
      <c r="A2994" s="8" t="n">
        <v>4386</v>
      </c>
      <c r="B2994" s="5" t="n">
        <v>213</v>
      </c>
      <c r="C2994" s="72" t="inlineStr">
        <is>
          <t>X</t>
        </is>
      </c>
      <c r="D2994" s="5" t="n">
        <v>333</v>
      </c>
      <c r="E2994" s="73">
        <f>B2994*D2994/10000</f>
        <v/>
      </c>
      <c r="F2994" s="74">
        <f>B2994/30.48</f>
        <v/>
      </c>
      <c r="G2994" s="74">
        <f>D2994/30.48</f>
        <v/>
      </c>
      <c r="H2994" s="615" t="n"/>
    </row>
    <row r="2995" ht="18" customHeight="1" s="305">
      <c r="A2995" s="8" t="n">
        <v>4387</v>
      </c>
      <c r="B2995" s="5" t="n">
        <v>162</v>
      </c>
      <c r="C2995" s="72" t="inlineStr">
        <is>
          <t>X</t>
        </is>
      </c>
      <c r="D2995" s="5" t="n">
        <v>292</v>
      </c>
      <c r="E2995" s="73">
        <f>B2995*D2995/10000</f>
        <v/>
      </c>
      <c r="F2995" s="74">
        <f>B2995/30.48</f>
        <v/>
      </c>
      <c r="G2995" s="74">
        <f>D2995/30.48</f>
        <v/>
      </c>
      <c r="H2995" s="615" t="n"/>
    </row>
    <row r="2996" ht="18" customHeight="1" s="305">
      <c r="A2996" s="8" t="n">
        <v>4388</v>
      </c>
      <c r="B2996" s="5" t="n">
        <v>233</v>
      </c>
      <c r="C2996" s="72" t="inlineStr">
        <is>
          <t>X</t>
        </is>
      </c>
      <c r="D2996" s="5" t="n">
        <v>332</v>
      </c>
      <c r="E2996" s="73">
        <f>B2996*D2996/10000</f>
        <v/>
      </c>
      <c r="F2996" s="74">
        <f>B2996/30.48</f>
        <v/>
      </c>
      <c r="G2996" s="74">
        <f>D2996/30.48</f>
        <v/>
      </c>
      <c r="H2996" s="615" t="n"/>
    </row>
    <row r="2997" ht="18" customHeight="1" s="305">
      <c r="A2997" s="8" t="n">
        <v>4389</v>
      </c>
      <c r="B2997" s="5" t="n">
        <v>145</v>
      </c>
      <c r="C2997" s="72" t="inlineStr">
        <is>
          <t>X</t>
        </is>
      </c>
      <c r="D2997" s="5" t="n">
        <v>317</v>
      </c>
      <c r="E2997" s="73">
        <f>B2997*D2997/10000</f>
        <v/>
      </c>
      <c r="F2997" s="74">
        <f>B2997/30.48</f>
        <v/>
      </c>
      <c r="G2997" s="74">
        <f>D2997/30.48</f>
        <v/>
      </c>
      <c r="H2997" s="615" t="n"/>
    </row>
    <row r="2998" ht="18" customHeight="1" s="305">
      <c r="A2998" s="8" t="n">
        <v>4390</v>
      </c>
      <c r="B2998" s="5" t="n">
        <v>82</v>
      </c>
      <c r="C2998" s="72" t="inlineStr">
        <is>
          <t>X</t>
        </is>
      </c>
      <c r="D2998" s="5" t="n">
        <v>178</v>
      </c>
      <c r="E2998" s="73">
        <f>B2998*D2998/10000</f>
        <v/>
      </c>
      <c r="F2998" s="74">
        <f>B2998/30.48</f>
        <v/>
      </c>
      <c r="G2998" s="74">
        <f>D2998/30.48</f>
        <v/>
      </c>
      <c r="H2998" s="615" t="n"/>
    </row>
    <row r="2999" ht="18" customHeight="1" s="305">
      <c r="A2999" s="8" t="n">
        <v>4391</v>
      </c>
      <c r="B2999" s="5" t="n">
        <v>67</v>
      </c>
      <c r="C2999" s="72" t="inlineStr">
        <is>
          <t>X</t>
        </is>
      </c>
      <c r="D2999" s="5" t="n">
        <v>112</v>
      </c>
      <c r="E2999" s="73">
        <f>B2999*D2999/10000</f>
        <v/>
      </c>
      <c r="F2999" s="74">
        <f>B2999/30.48</f>
        <v/>
      </c>
      <c r="G2999" s="74">
        <f>D2999/30.48</f>
        <v/>
      </c>
      <c r="H2999" s="615" t="n"/>
    </row>
    <row r="3000" ht="18" customHeight="1" s="305">
      <c r="A3000" s="8" t="n">
        <v>4392</v>
      </c>
      <c r="B3000" s="5" t="n">
        <v>80</v>
      </c>
      <c r="C3000" s="72" t="inlineStr">
        <is>
          <t>X</t>
        </is>
      </c>
      <c r="D3000" s="5" t="n">
        <v>307</v>
      </c>
      <c r="E3000" s="73">
        <f>B3000*D3000/10000</f>
        <v/>
      </c>
      <c r="F3000" s="74">
        <f>B3000/30.48</f>
        <v/>
      </c>
      <c r="G3000" s="74">
        <f>D3000/30.48</f>
        <v/>
      </c>
      <c r="H3000" s="615" t="n"/>
    </row>
    <row r="3001" ht="18" customHeight="1" s="305">
      <c r="A3001" s="8" t="n">
        <v>4393</v>
      </c>
      <c r="B3001" s="5" t="n">
        <v>120</v>
      </c>
      <c r="C3001" s="72" t="inlineStr">
        <is>
          <t>X</t>
        </is>
      </c>
      <c r="D3001" s="5" t="n">
        <v>210</v>
      </c>
      <c r="E3001" s="73">
        <f>B3001*D3001/10000</f>
        <v/>
      </c>
      <c r="F3001" s="74">
        <f>B3001/30.48</f>
        <v/>
      </c>
      <c r="G3001" s="74">
        <f>D3001/30.48</f>
        <v/>
      </c>
      <c r="H3001" s="615" t="n"/>
    </row>
    <row r="3002" ht="18" customHeight="1" s="305">
      <c r="A3002" s="8" t="n">
        <v>4394</v>
      </c>
      <c r="B3002" s="5" t="n">
        <v>122</v>
      </c>
      <c r="C3002" s="72" t="inlineStr">
        <is>
          <t>X</t>
        </is>
      </c>
      <c r="D3002" s="5" t="n">
        <v>211</v>
      </c>
      <c r="E3002" s="73">
        <f>B3002*D3002/10000</f>
        <v/>
      </c>
      <c r="F3002" s="74">
        <f>B3002/30.48</f>
        <v/>
      </c>
      <c r="G3002" s="74">
        <f>D3002/30.48</f>
        <v/>
      </c>
      <c r="H3002" s="615" t="n"/>
    </row>
    <row r="3003" ht="18" customHeight="1" s="305">
      <c r="A3003" s="8" t="n">
        <v>4395</v>
      </c>
      <c r="B3003" s="5" t="n">
        <v>208</v>
      </c>
      <c r="C3003" s="72" t="inlineStr">
        <is>
          <t>X</t>
        </is>
      </c>
      <c r="D3003" s="5" t="n">
        <v>327</v>
      </c>
      <c r="E3003" s="73">
        <f>B3003*D3003/10000</f>
        <v/>
      </c>
      <c r="F3003" s="74">
        <f>B3003/30.48</f>
        <v/>
      </c>
      <c r="G3003" s="74">
        <f>D3003/30.48</f>
        <v/>
      </c>
      <c r="H3003" s="615" t="n"/>
    </row>
    <row r="3004" ht="18" customHeight="1" s="305">
      <c r="A3004" s="8" t="n">
        <v>4396</v>
      </c>
      <c r="B3004" s="5" t="n">
        <v>215</v>
      </c>
      <c r="C3004" s="72" t="inlineStr">
        <is>
          <t>X</t>
        </is>
      </c>
      <c r="D3004" s="5" t="n">
        <v>305</v>
      </c>
      <c r="E3004" s="73">
        <f>B3004*D3004/10000</f>
        <v/>
      </c>
      <c r="F3004" s="74">
        <f>B3004/30.48</f>
        <v/>
      </c>
      <c r="G3004" s="74">
        <f>D3004/30.48</f>
        <v/>
      </c>
      <c r="H3004" s="615" t="n"/>
    </row>
    <row r="3005" ht="18" customHeight="1" s="305">
      <c r="A3005" s="8" t="n">
        <v>4397</v>
      </c>
      <c r="B3005" s="5" t="n">
        <v>155</v>
      </c>
      <c r="C3005" s="72" t="inlineStr">
        <is>
          <t>X</t>
        </is>
      </c>
      <c r="D3005" s="5" t="n">
        <v>390</v>
      </c>
      <c r="E3005" s="73">
        <f>B3005*D3005/10000</f>
        <v/>
      </c>
      <c r="F3005" s="74">
        <f>B3005/30.48</f>
        <v/>
      </c>
      <c r="G3005" s="74">
        <f>D3005/30.48</f>
        <v/>
      </c>
      <c r="H3005" s="615" t="n"/>
    </row>
    <row r="3006" ht="18" customHeight="1" s="305">
      <c r="A3006" s="8" t="n">
        <v>4398</v>
      </c>
      <c r="B3006" s="5" t="n">
        <v>180</v>
      </c>
      <c r="C3006" s="72" t="inlineStr">
        <is>
          <t>X</t>
        </is>
      </c>
      <c r="D3006" s="5" t="n">
        <v>307</v>
      </c>
      <c r="E3006" s="73">
        <f>B3006*D3006/10000</f>
        <v/>
      </c>
      <c r="F3006" s="74">
        <f>B3006/30.48</f>
        <v/>
      </c>
      <c r="G3006" s="74">
        <f>D3006/30.48</f>
        <v/>
      </c>
      <c r="H3006" s="615" t="n"/>
    </row>
    <row r="3007" ht="18" customHeight="1" s="305">
      <c r="A3007" s="8" t="n">
        <v>4399</v>
      </c>
      <c r="B3007" s="5" t="n">
        <v>150</v>
      </c>
      <c r="C3007" s="72" t="inlineStr">
        <is>
          <t>X</t>
        </is>
      </c>
      <c r="D3007" s="5" t="n">
        <v>204</v>
      </c>
      <c r="E3007" s="73">
        <f>B3007*D3007/10000</f>
        <v/>
      </c>
      <c r="F3007" s="74">
        <f>B3007/30.48</f>
        <v/>
      </c>
      <c r="G3007" s="74">
        <f>D3007/30.48</f>
        <v/>
      </c>
      <c r="H3007" s="615" t="n"/>
    </row>
    <row r="3008" ht="18" customHeight="1" s="305">
      <c r="A3008" s="8" t="n">
        <v>4401</v>
      </c>
      <c r="B3008" s="5" t="n">
        <v>76</v>
      </c>
      <c r="C3008" s="72" t="inlineStr">
        <is>
          <t>X</t>
        </is>
      </c>
      <c r="D3008" s="5" t="n">
        <v>140</v>
      </c>
      <c r="E3008" s="73">
        <f>B3008*D3008/10000</f>
        <v/>
      </c>
      <c r="F3008" s="74">
        <f>B3008/30.48</f>
        <v/>
      </c>
      <c r="G3008" s="74">
        <f>D3008/30.48</f>
        <v/>
      </c>
      <c r="H3008" s="615" t="n"/>
    </row>
    <row r="3009" ht="18" customHeight="1" s="305">
      <c r="A3009" s="8" t="n">
        <v>4402</v>
      </c>
      <c r="B3009" s="5" t="n">
        <v>293</v>
      </c>
      <c r="C3009" s="72" t="inlineStr">
        <is>
          <t>X</t>
        </is>
      </c>
      <c r="D3009" s="5" t="n">
        <v>154</v>
      </c>
      <c r="E3009" s="73">
        <f>B3009*D3009/10000</f>
        <v/>
      </c>
      <c r="F3009" s="74">
        <f>B3009/30.48</f>
        <v/>
      </c>
      <c r="G3009" s="74">
        <f>D3009/30.48</f>
        <v/>
      </c>
      <c r="H3009" s="615" t="n"/>
    </row>
    <row r="3010" ht="18" customHeight="1" s="305">
      <c r="A3010" s="8" t="n">
        <v>4403</v>
      </c>
      <c r="B3010" s="5" t="n">
        <v>119</v>
      </c>
      <c r="C3010" s="72" t="inlineStr">
        <is>
          <t>X</t>
        </is>
      </c>
      <c r="D3010" s="5" t="n">
        <v>170</v>
      </c>
      <c r="E3010" s="73">
        <f>B3010*D3010/10000</f>
        <v/>
      </c>
      <c r="F3010" s="74">
        <f>B3010/30.48</f>
        <v/>
      </c>
      <c r="G3010" s="74">
        <f>D3010/30.48</f>
        <v/>
      </c>
      <c r="H3010" s="615" t="n"/>
    </row>
    <row r="3011" ht="18" customHeight="1" s="305">
      <c r="A3011" s="8" t="n">
        <v>4404</v>
      </c>
      <c r="B3011" s="5" t="n">
        <v>85</v>
      </c>
      <c r="C3011" s="72" t="inlineStr">
        <is>
          <t>X</t>
        </is>
      </c>
      <c r="D3011" s="5" t="n">
        <v>296</v>
      </c>
      <c r="E3011" s="73">
        <f>B3011*D3011/10000</f>
        <v/>
      </c>
      <c r="F3011" s="74">
        <f>B3011/30.48</f>
        <v/>
      </c>
      <c r="G3011" s="74">
        <f>D3011/30.48</f>
        <v/>
      </c>
      <c r="H3011" s="615" t="n"/>
    </row>
    <row r="3012" ht="18" customHeight="1" s="305">
      <c r="A3012" s="8" t="n">
        <v>4405</v>
      </c>
      <c r="B3012" s="5" t="n">
        <v>190</v>
      </c>
      <c r="C3012" s="72" t="inlineStr">
        <is>
          <t>X</t>
        </is>
      </c>
      <c r="D3012" s="5" t="n">
        <v>304</v>
      </c>
      <c r="E3012" s="73">
        <f>B3012*D3012/10000</f>
        <v/>
      </c>
      <c r="F3012" s="74">
        <f>B3012/30.48</f>
        <v/>
      </c>
      <c r="G3012" s="74">
        <f>D3012/30.48</f>
        <v/>
      </c>
      <c r="H3012" s="615" t="n"/>
    </row>
    <row r="3013" ht="18" customHeight="1" s="305">
      <c r="A3013" s="8" t="n">
        <v>4406</v>
      </c>
      <c r="B3013" s="5" t="n">
        <v>86</v>
      </c>
      <c r="C3013" s="72" t="inlineStr">
        <is>
          <t>X</t>
        </is>
      </c>
      <c r="D3013" s="5" t="n">
        <v>132</v>
      </c>
      <c r="E3013" s="73">
        <f>B3013*D3013/10000</f>
        <v/>
      </c>
      <c r="F3013" s="74">
        <f>B3013/30.48</f>
        <v/>
      </c>
      <c r="G3013" s="74">
        <f>D3013/30.48</f>
        <v/>
      </c>
      <c r="H3013" s="615" t="n"/>
    </row>
    <row r="3014" ht="18" customHeight="1" s="305">
      <c r="A3014" s="8" t="n">
        <v>4409</v>
      </c>
      <c r="B3014" s="5" t="n">
        <v>153</v>
      </c>
      <c r="C3014" s="72" t="inlineStr">
        <is>
          <t>X</t>
        </is>
      </c>
      <c r="D3014" s="5" t="n">
        <v>173</v>
      </c>
      <c r="E3014" s="73">
        <f>B3014*D3014/10000</f>
        <v/>
      </c>
      <c r="F3014" s="74">
        <f>B3014/30.48</f>
        <v/>
      </c>
      <c r="G3014" s="74">
        <f>D3014/30.48</f>
        <v/>
      </c>
      <c r="H3014" s="615" t="n"/>
    </row>
    <row r="3015" ht="18" customHeight="1" s="305">
      <c r="A3015" s="8" t="n">
        <v>4410</v>
      </c>
      <c r="B3015" s="5" t="n">
        <v>125</v>
      </c>
      <c r="C3015" s="72" t="inlineStr">
        <is>
          <t>X</t>
        </is>
      </c>
      <c r="D3015" s="5" t="n">
        <v>217</v>
      </c>
      <c r="E3015" s="73">
        <f>B3015*D3015/10000</f>
        <v/>
      </c>
      <c r="F3015" s="74">
        <f>B3015/30.48</f>
        <v/>
      </c>
      <c r="G3015" s="74">
        <f>D3015/30.48</f>
        <v/>
      </c>
      <c r="H3015" s="615" t="n"/>
    </row>
    <row r="3016" ht="18" customHeight="1" s="305">
      <c r="A3016" s="8" t="n">
        <v>4411</v>
      </c>
      <c r="B3016" s="5" t="n">
        <v>90</v>
      </c>
      <c r="C3016" s="72" t="inlineStr">
        <is>
          <t>X</t>
        </is>
      </c>
      <c r="D3016" s="5" t="n">
        <v>352</v>
      </c>
      <c r="E3016" s="73">
        <f>B3016*D3016/10000</f>
        <v/>
      </c>
      <c r="F3016" s="74">
        <f>B3016/30.48</f>
        <v/>
      </c>
      <c r="G3016" s="74">
        <f>D3016/30.48</f>
        <v/>
      </c>
      <c r="H3016" s="615" t="n"/>
    </row>
    <row r="3017" ht="18" customHeight="1" s="305">
      <c r="A3017" s="8" t="n">
        <v>4412</v>
      </c>
      <c r="B3017" s="5" t="n">
        <v>190</v>
      </c>
      <c r="C3017" s="72" t="inlineStr">
        <is>
          <t>X</t>
        </is>
      </c>
      <c r="D3017" s="5" t="n">
        <v>292</v>
      </c>
      <c r="E3017" s="73">
        <f>B3017*D3017/10000</f>
        <v/>
      </c>
      <c r="F3017" s="74">
        <f>B3017/30.48</f>
        <v/>
      </c>
      <c r="G3017" s="74">
        <f>D3017/30.48</f>
        <v/>
      </c>
      <c r="H3017" s="615" t="n"/>
    </row>
    <row r="3018" ht="18" customHeight="1" s="305">
      <c r="A3018" s="8" t="n">
        <v>4413</v>
      </c>
      <c r="B3018" s="5" t="n">
        <v>99</v>
      </c>
      <c r="C3018" s="72" t="inlineStr">
        <is>
          <t>X</t>
        </is>
      </c>
      <c r="D3018" s="5" t="n">
        <v>390</v>
      </c>
      <c r="E3018" s="73">
        <f>B3018*D3018/10000</f>
        <v/>
      </c>
      <c r="F3018" s="74">
        <f>B3018/30.48</f>
        <v/>
      </c>
      <c r="G3018" s="74">
        <f>D3018/30.48</f>
        <v/>
      </c>
      <c r="H3018" s="615" t="n"/>
    </row>
    <row r="3019" ht="18" customHeight="1" s="305">
      <c r="A3019" s="8" t="n">
        <v>4414</v>
      </c>
      <c r="B3019" s="5" t="n">
        <v>199</v>
      </c>
      <c r="C3019" s="72" t="inlineStr">
        <is>
          <t>X</t>
        </is>
      </c>
      <c r="D3019" s="5" t="n">
        <v>297</v>
      </c>
      <c r="E3019" s="73">
        <f>B3019*D3019/10000</f>
        <v/>
      </c>
      <c r="F3019" s="74">
        <f>B3019/30.48</f>
        <v/>
      </c>
      <c r="G3019" s="74">
        <f>D3019/30.48</f>
        <v/>
      </c>
      <c r="H3019" s="615" t="n"/>
    </row>
    <row r="3020" ht="18" customHeight="1" s="305">
      <c r="A3020" s="8" t="n">
        <v>4415</v>
      </c>
      <c r="B3020" s="5" t="n">
        <v>161</v>
      </c>
      <c r="C3020" s="72" t="inlineStr">
        <is>
          <t>X</t>
        </is>
      </c>
      <c r="D3020" s="5" t="n">
        <v>255</v>
      </c>
      <c r="E3020" s="73">
        <f>B3020*D3020/10000</f>
        <v/>
      </c>
      <c r="F3020" s="74">
        <f>B3020/30.48</f>
        <v/>
      </c>
      <c r="G3020" s="74">
        <f>D3020/30.48</f>
        <v/>
      </c>
      <c r="H3020" s="615" t="n"/>
    </row>
    <row r="3021" ht="18" customHeight="1" s="305">
      <c r="A3021" s="8" t="n">
        <v>4416</v>
      </c>
      <c r="B3021" s="5" t="n">
        <v>183</v>
      </c>
      <c r="C3021" s="72" t="inlineStr">
        <is>
          <t>X</t>
        </is>
      </c>
      <c r="D3021" s="5" t="n">
        <v>305</v>
      </c>
      <c r="E3021" s="73">
        <f>B3021*D3021/10000</f>
        <v/>
      </c>
      <c r="F3021" s="74">
        <f>B3021/30.48</f>
        <v/>
      </c>
      <c r="G3021" s="74">
        <f>D3021/30.48</f>
        <v/>
      </c>
      <c r="H3021" s="615" t="n"/>
    </row>
    <row r="3022" ht="18" customHeight="1" s="305">
      <c r="A3022" s="8" t="n">
        <v>4417</v>
      </c>
      <c r="B3022" s="5" t="n">
        <v>76</v>
      </c>
      <c r="C3022" s="72" t="inlineStr">
        <is>
          <t>X</t>
        </is>
      </c>
      <c r="D3022" s="5" t="n">
        <v>388</v>
      </c>
      <c r="E3022" s="73">
        <f>B3022*D3022/10000</f>
        <v/>
      </c>
      <c r="F3022" s="74">
        <f>B3022/30.48</f>
        <v/>
      </c>
      <c r="G3022" s="74">
        <f>D3022/30.48</f>
        <v/>
      </c>
      <c r="H3022" s="615" t="n"/>
    </row>
    <row r="3023" ht="18" customHeight="1" s="305">
      <c r="A3023" s="8" t="n">
        <v>4418</v>
      </c>
      <c r="B3023" s="5" t="n">
        <v>81</v>
      </c>
      <c r="C3023" s="72" t="inlineStr">
        <is>
          <t>X</t>
        </is>
      </c>
      <c r="D3023" s="5" t="n">
        <v>345</v>
      </c>
      <c r="E3023" s="73">
        <f>B3023*D3023/10000</f>
        <v/>
      </c>
      <c r="F3023" s="74">
        <f>B3023/30.48</f>
        <v/>
      </c>
      <c r="G3023" s="74">
        <f>D3023/30.48</f>
        <v/>
      </c>
      <c r="H3023" s="615" t="n"/>
    </row>
    <row r="3024" ht="18" customHeight="1" s="305">
      <c r="A3024" s="8" t="n">
        <v>4419</v>
      </c>
      <c r="B3024" s="5" t="n">
        <v>206</v>
      </c>
      <c r="C3024" s="72" t="inlineStr">
        <is>
          <t>X</t>
        </is>
      </c>
      <c r="D3024" s="5" t="n">
        <v>304</v>
      </c>
      <c r="E3024" s="73">
        <f>B3024*D3024/10000</f>
        <v/>
      </c>
      <c r="F3024" s="74">
        <f>B3024/30.48</f>
        <v/>
      </c>
      <c r="G3024" s="74">
        <f>D3024/30.48</f>
        <v/>
      </c>
      <c r="H3024" s="615" t="n"/>
    </row>
    <row r="3025" ht="18" customHeight="1" s="305">
      <c r="A3025" s="8" t="n">
        <v>4420</v>
      </c>
      <c r="B3025" s="5" t="n">
        <v>108</v>
      </c>
      <c r="C3025" s="72" t="inlineStr">
        <is>
          <t>X</t>
        </is>
      </c>
      <c r="D3025" s="5" t="n">
        <v>353</v>
      </c>
      <c r="E3025" s="73">
        <f>B3025*D3025/10000</f>
        <v/>
      </c>
      <c r="F3025" s="74">
        <f>B3025/30.48</f>
        <v/>
      </c>
      <c r="G3025" s="74">
        <f>D3025/30.48</f>
        <v/>
      </c>
      <c r="H3025" s="615" t="n"/>
    </row>
    <row r="3026" ht="18" customHeight="1" s="305">
      <c r="A3026" s="8" t="n">
        <v>4421</v>
      </c>
      <c r="B3026" s="5" t="n">
        <v>208</v>
      </c>
      <c r="C3026" s="72" t="inlineStr">
        <is>
          <t>X</t>
        </is>
      </c>
      <c r="D3026" s="5" t="n">
        <v>306</v>
      </c>
      <c r="E3026" s="73">
        <f>B3026*D3026/10000</f>
        <v/>
      </c>
      <c r="F3026" s="74">
        <f>B3026/30.48</f>
        <v/>
      </c>
      <c r="G3026" s="74">
        <f>D3026/30.48</f>
        <v/>
      </c>
      <c r="H3026" s="615" t="n"/>
    </row>
    <row r="3027" ht="18" customHeight="1" s="305">
      <c r="A3027" s="8" t="n">
        <v>4422</v>
      </c>
      <c r="B3027" s="5" t="n">
        <v>110</v>
      </c>
      <c r="C3027" s="72" t="inlineStr">
        <is>
          <t>X</t>
        </is>
      </c>
      <c r="D3027" s="5" t="n">
        <v>340</v>
      </c>
      <c r="E3027" s="73">
        <f>B3027*D3027/10000</f>
        <v/>
      </c>
      <c r="F3027" s="74">
        <f>B3027/30.48</f>
        <v/>
      </c>
      <c r="G3027" s="74">
        <f>D3027/30.48</f>
        <v/>
      </c>
      <c r="H3027" s="615" t="n"/>
    </row>
    <row r="3028" ht="18" customHeight="1" s="305">
      <c r="A3028" s="8" t="n">
        <v>4423</v>
      </c>
      <c r="B3028" s="5" t="n">
        <v>135</v>
      </c>
      <c r="C3028" s="72" t="inlineStr">
        <is>
          <t>X</t>
        </is>
      </c>
      <c r="D3028" s="5" t="n">
        <v>288</v>
      </c>
      <c r="E3028" s="73">
        <f>B3028*D3028/10000</f>
        <v/>
      </c>
      <c r="F3028" s="74">
        <f>B3028/30.48</f>
        <v/>
      </c>
      <c r="G3028" s="74">
        <f>D3028/30.48</f>
        <v/>
      </c>
      <c r="H3028" s="615" t="n"/>
    </row>
    <row r="3029" ht="18" customHeight="1" s="305">
      <c r="A3029" s="8" t="n">
        <v>4424</v>
      </c>
      <c r="B3029" s="5" t="n">
        <v>130</v>
      </c>
      <c r="C3029" s="72" t="inlineStr">
        <is>
          <t>X</t>
        </is>
      </c>
      <c r="D3029" s="5" t="n">
        <v>319</v>
      </c>
      <c r="E3029" s="73">
        <f>B3029*D3029/10000</f>
        <v/>
      </c>
      <c r="F3029" s="74">
        <f>B3029/30.48</f>
        <v/>
      </c>
      <c r="G3029" s="74">
        <f>D3029/30.48</f>
        <v/>
      </c>
      <c r="H3029" s="615" t="n"/>
    </row>
    <row r="3030" ht="18" customHeight="1" s="305">
      <c r="A3030" s="8" t="n">
        <v>4425</v>
      </c>
      <c r="B3030" s="5" t="n">
        <v>93</v>
      </c>
      <c r="C3030" s="72" t="inlineStr">
        <is>
          <t>X</t>
        </is>
      </c>
      <c r="D3030" s="5" t="n">
        <v>377</v>
      </c>
      <c r="E3030" s="73">
        <f>B3030*D3030/10000</f>
        <v/>
      </c>
      <c r="F3030" s="74">
        <f>B3030/30.48</f>
        <v/>
      </c>
      <c r="G3030" s="74">
        <f>D3030/30.48</f>
        <v/>
      </c>
      <c r="H3030" s="615" t="n"/>
    </row>
    <row r="3031" ht="18" customHeight="1" s="305">
      <c r="A3031" s="8" t="n">
        <v>4427</v>
      </c>
      <c r="B3031" s="5" t="n">
        <v>91</v>
      </c>
      <c r="C3031" s="72" t="inlineStr">
        <is>
          <t>X</t>
        </is>
      </c>
      <c r="D3031" s="5" t="n">
        <v>333</v>
      </c>
      <c r="E3031" s="73">
        <f>B3031*D3031/10000</f>
        <v/>
      </c>
      <c r="F3031" s="74">
        <f>B3031/30.48</f>
        <v/>
      </c>
      <c r="G3031" s="74">
        <f>D3031/30.48</f>
        <v/>
      </c>
      <c r="H3031" s="615" t="n"/>
    </row>
    <row r="3032" ht="18" customHeight="1" s="305">
      <c r="A3032" s="8" t="n">
        <v>4428</v>
      </c>
      <c r="B3032" s="5" t="n">
        <v>83</v>
      </c>
      <c r="C3032" s="72" t="inlineStr">
        <is>
          <t>X</t>
        </is>
      </c>
      <c r="D3032" s="5" t="n">
        <v>300</v>
      </c>
      <c r="E3032" s="73">
        <f>B3032*D3032/10000</f>
        <v/>
      </c>
      <c r="F3032" s="74">
        <f>B3032/30.48</f>
        <v/>
      </c>
      <c r="G3032" s="74">
        <f>D3032/30.48</f>
        <v/>
      </c>
      <c r="H3032" s="615" t="n"/>
    </row>
    <row r="3033" ht="18" customHeight="1" s="305">
      <c r="A3033" s="8" t="n">
        <v>4429</v>
      </c>
      <c r="B3033" s="5" t="n">
        <v>90</v>
      </c>
      <c r="C3033" s="72" t="inlineStr">
        <is>
          <t>X</t>
        </is>
      </c>
      <c r="D3033" s="5" t="n">
        <v>383</v>
      </c>
      <c r="E3033" s="73">
        <f>B3033*D3033/10000</f>
        <v/>
      </c>
      <c r="F3033" s="74">
        <f>B3033/30.48</f>
        <v/>
      </c>
      <c r="G3033" s="74">
        <f>D3033/30.48</f>
        <v/>
      </c>
      <c r="H3033" s="615" t="n"/>
    </row>
    <row r="3034" ht="18" customHeight="1" s="305">
      <c r="A3034" s="8" t="n">
        <v>4430</v>
      </c>
      <c r="B3034" s="5" t="n">
        <v>82</v>
      </c>
      <c r="C3034" s="72" t="inlineStr">
        <is>
          <t>X</t>
        </is>
      </c>
      <c r="D3034" s="5" t="n">
        <v>392</v>
      </c>
      <c r="E3034" s="73">
        <f>B3034*D3034/10000</f>
        <v/>
      </c>
      <c r="F3034" s="74">
        <f>B3034/30.48</f>
        <v/>
      </c>
      <c r="G3034" s="74">
        <f>D3034/30.48</f>
        <v/>
      </c>
      <c r="H3034" s="615" t="n"/>
    </row>
    <row r="3035" ht="18" customHeight="1" s="305">
      <c r="A3035" s="8" t="n">
        <v>4431</v>
      </c>
      <c r="B3035" s="5" t="n">
        <v>93</v>
      </c>
      <c r="C3035" s="72" t="inlineStr">
        <is>
          <t>X</t>
        </is>
      </c>
      <c r="D3035" s="5" t="n">
        <v>75</v>
      </c>
      <c r="E3035" s="73">
        <f>B3035*D3035/10000</f>
        <v/>
      </c>
      <c r="F3035" s="74">
        <f>B3035/30.48</f>
        <v/>
      </c>
      <c r="G3035" s="74">
        <f>D3035/30.48</f>
        <v/>
      </c>
      <c r="H3035" s="615" t="n"/>
    </row>
    <row r="3036" ht="18" customHeight="1" s="305">
      <c r="A3036" s="8" t="n">
        <v>4434</v>
      </c>
      <c r="B3036" s="5" t="n">
        <v>108</v>
      </c>
      <c r="C3036" s="72" t="inlineStr">
        <is>
          <t>X</t>
        </is>
      </c>
      <c r="D3036" s="5" t="n">
        <v>196</v>
      </c>
      <c r="E3036" s="73">
        <f>B3036*D3036/10000</f>
        <v/>
      </c>
      <c r="F3036" s="74">
        <f>B3036/30.48</f>
        <v/>
      </c>
      <c r="G3036" s="74">
        <f>D3036/30.48</f>
        <v/>
      </c>
      <c r="H3036" s="615" t="n"/>
      <c r="O3036" s="1" t="n"/>
      <c r="P3036" s="1" t="n"/>
      <c r="Q3036" s="1" t="n"/>
      <c r="R3036" s="1" t="n"/>
    </row>
    <row r="3037" ht="18" customHeight="1" s="305">
      <c r="A3037" s="8" t="n">
        <v>4435</v>
      </c>
      <c r="B3037" s="5" t="n">
        <v>103</v>
      </c>
      <c r="C3037" s="72" t="inlineStr">
        <is>
          <t>X</t>
        </is>
      </c>
      <c r="D3037" s="5" t="n">
        <v>212</v>
      </c>
      <c r="E3037" s="73">
        <f>B3037*D3037/10000</f>
        <v/>
      </c>
      <c r="F3037" s="74">
        <f>B3037/30.48</f>
        <v/>
      </c>
      <c r="G3037" s="74">
        <f>D3037/30.48</f>
        <v/>
      </c>
      <c r="H3037" s="615" t="n"/>
      <c r="O3037" s="1" t="n"/>
      <c r="P3037" s="1" t="n"/>
      <c r="Q3037" s="1" t="n"/>
      <c r="R3037" s="1" t="n"/>
    </row>
    <row r="3038" ht="18" customHeight="1" s="305">
      <c r="A3038" s="8" t="n">
        <v>4438</v>
      </c>
      <c r="B3038" s="5" t="n">
        <v>86</v>
      </c>
      <c r="C3038" s="72" t="inlineStr">
        <is>
          <t>X</t>
        </is>
      </c>
      <c r="D3038" s="5" t="n">
        <v>387</v>
      </c>
      <c r="E3038" s="73">
        <f>B3038*D3038/10000</f>
        <v/>
      </c>
      <c r="F3038" s="74">
        <f>B3038/30.48</f>
        <v/>
      </c>
      <c r="G3038" s="74">
        <f>D3038/30.48</f>
        <v/>
      </c>
      <c r="H3038" s="615" t="n"/>
      <c r="O3038" s="1" t="n"/>
      <c r="P3038" s="1" t="n"/>
      <c r="Q3038" s="1" t="n"/>
      <c r="R3038" s="1" t="n"/>
    </row>
    <row r="3039" ht="18" customHeight="1" s="305">
      <c r="A3039" s="8" t="n">
        <v>4440</v>
      </c>
      <c r="B3039" s="5" t="n">
        <v>89</v>
      </c>
      <c r="C3039" s="72" t="inlineStr">
        <is>
          <t>X</t>
        </is>
      </c>
      <c r="D3039" s="5" t="n">
        <v>186</v>
      </c>
      <c r="E3039" s="73">
        <f>B3039*D3039/10000</f>
        <v/>
      </c>
      <c r="F3039" s="74">
        <f>B3039/30.48</f>
        <v/>
      </c>
      <c r="G3039" s="74">
        <f>D3039/30.48</f>
        <v/>
      </c>
      <c r="H3039" s="615" t="n"/>
      <c r="O3039" s="1" t="n"/>
      <c r="P3039" s="1" t="n"/>
      <c r="Q3039" s="1" t="n"/>
      <c r="R3039" s="1" t="n"/>
    </row>
    <row r="3040" ht="18" customHeight="1" s="305">
      <c r="A3040" s="8" t="n">
        <v>4441</v>
      </c>
      <c r="B3040" s="5" t="n">
        <v>105</v>
      </c>
      <c r="C3040" s="72" t="inlineStr">
        <is>
          <t>X</t>
        </is>
      </c>
      <c r="D3040" s="5" t="n">
        <v>382</v>
      </c>
      <c r="E3040" s="73">
        <f>B3040*D3040/10000</f>
        <v/>
      </c>
      <c r="F3040" s="74">
        <f>B3040/30.48</f>
        <v/>
      </c>
      <c r="G3040" s="74">
        <f>D3040/30.48</f>
        <v/>
      </c>
      <c r="H3040" s="615" t="n"/>
      <c r="O3040" s="1" t="n"/>
      <c r="P3040" s="1" t="n"/>
      <c r="Q3040" s="1" t="n"/>
      <c r="R3040" s="1" t="n"/>
    </row>
    <row r="3041" ht="18" customHeight="1" s="305">
      <c r="A3041" s="8" t="n">
        <v>4442</v>
      </c>
      <c r="B3041" s="5" t="n">
        <v>94</v>
      </c>
      <c r="C3041" s="72" t="inlineStr">
        <is>
          <t>X</t>
        </is>
      </c>
      <c r="D3041" s="5" t="n">
        <v>373</v>
      </c>
      <c r="E3041" s="73">
        <f>B3041*D3041/10000</f>
        <v/>
      </c>
      <c r="F3041" s="74">
        <f>B3041/30.48</f>
        <v/>
      </c>
      <c r="G3041" s="74">
        <f>D3041/30.48</f>
        <v/>
      </c>
      <c r="H3041" s="615" t="n"/>
      <c r="O3041" s="1" t="n"/>
      <c r="P3041" s="1" t="n"/>
      <c r="Q3041" s="1" t="n"/>
      <c r="R3041" s="1" t="n"/>
    </row>
    <row r="3042" ht="18" customHeight="1" s="305">
      <c r="A3042" s="8" t="n">
        <v>4443</v>
      </c>
      <c r="B3042" s="5" t="n">
        <v>86</v>
      </c>
      <c r="C3042" s="72" t="inlineStr">
        <is>
          <t>X</t>
        </is>
      </c>
      <c r="D3042" s="5" t="n">
        <v>382</v>
      </c>
      <c r="E3042" s="73">
        <f>B3042*D3042/10000</f>
        <v/>
      </c>
      <c r="F3042" s="74">
        <f>B3042/30.48</f>
        <v/>
      </c>
      <c r="G3042" s="74">
        <f>D3042/30.48</f>
        <v/>
      </c>
      <c r="H3042" s="615" t="n"/>
      <c r="O3042" s="1" t="n"/>
      <c r="P3042" s="1" t="n"/>
      <c r="Q3042" s="1" t="n"/>
      <c r="R3042" s="1" t="n"/>
    </row>
    <row r="3043" ht="18" customHeight="1" s="305">
      <c r="A3043" s="8" t="n">
        <v>4444</v>
      </c>
      <c r="B3043" s="5" t="n">
        <v>80</v>
      </c>
      <c r="C3043" s="72" t="inlineStr">
        <is>
          <t>X</t>
        </is>
      </c>
      <c r="D3043" s="5" t="n">
        <v>272</v>
      </c>
      <c r="E3043" s="73">
        <f>B3043*D3043/10000</f>
        <v/>
      </c>
      <c r="F3043" s="74">
        <f>B3043/30.48</f>
        <v/>
      </c>
      <c r="G3043" s="74">
        <f>D3043/30.48</f>
        <v/>
      </c>
      <c r="H3043" s="615" t="n"/>
      <c r="O3043" s="1" t="n"/>
      <c r="P3043" s="1" t="n"/>
      <c r="Q3043" s="1" t="n"/>
      <c r="R3043" s="1" t="n"/>
    </row>
    <row r="3044" ht="18" customHeight="1" s="305">
      <c r="A3044" s="8" t="n">
        <v>4445</v>
      </c>
      <c r="B3044" s="5" t="n">
        <v>85</v>
      </c>
      <c r="C3044" s="72" t="inlineStr">
        <is>
          <t>X</t>
        </is>
      </c>
      <c r="D3044" s="5" t="n">
        <v>327</v>
      </c>
      <c r="E3044" s="73">
        <f>B3044*D3044/10000</f>
        <v/>
      </c>
      <c r="F3044" s="74">
        <f>B3044/30.48</f>
        <v/>
      </c>
      <c r="G3044" s="74">
        <f>D3044/30.48</f>
        <v/>
      </c>
      <c r="H3044" s="615" t="n"/>
      <c r="O3044" s="1" t="n"/>
      <c r="P3044" s="1" t="n"/>
      <c r="Q3044" s="1" t="n"/>
      <c r="R3044" s="1" t="n"/>
    </row>
    <row r="3045" ht="18" customHeight="1" s="305">
      <c r="A3045" s="8" t="n">
        <v>4446</v>
      </c>
      <c r="B3045" s="5" t="n">
        <v>77</v>
      </c>
      <c r="C3045" s="72" t="inlineStr">
        <is>
          <t>X</t>
        </is>
      </c>
      <c r="D3045" s="5" t="n">
        <v>382</v>
      </c>
      <c r="E3045" s="73">
        <f>B3045*D3045/10000</f>
        <v/>
      </c>
      <c r="F3045" s="74">
        <f>B3045/30.48</f>
        <v/>
      </c>
      <c r="G3045" s="74">
        <f>D3045/30.48</f>
        <v/>
      </c>
      <c r="H3045" s="615" t="n"/>
      <c r="O3045" s="1" t="n"/>
      <c r="P3045" s="1" t="n"/>
      <c r="Q3045" s="1" t="n"/>
      <c r="R3045" s="1" t="n"/>
    </row>
    <row r="3046" ht="18" customHeight="1" s="305">
      <c r="A3046" s="8" t="n">
        <v>4447</v>
      </c>
      <c r="B3046" s="5" t="n">
        <v>80</v>
      </c>
      <c r="C3046" s="72" t="inlineStr">
        <is>
          <t>X</t>
        </is>
      </c>
      <c r="D3046" s="5" t="n">
        <v>336</v>
      </c>
      <c r="E3046" s="73">
        <f>B3046*D3046/10000</f>
        <v/>
      </c>
      <c r="F3046" s="74">
        <f>B3046/30.48</f>
        <v/>
      </c>
      <c r="G3046" s="74">
        <f>D3046/30.48</f>
        <v/>
      </c>
      <c r="H3046" s="615" t="n"/>
      <c r="O3046" s="1" t="n"/>
      <c r="P3046" s="1" t="n"/>
      <c r="Q3046" s="1" t="n"/>
      <c r="R3046" s="1" t="n"/>
    </row>
    <row r="3047" ht="18" customHeight="1" s="305">
      <c r="A3047" s="8" t="n">
        <v>4448</v>
      </c>
      <c r="B3047" s="5" t="n">
        <v>93</v>
      </c>
      <c r="C3047" s="72" t="inlineStr">
        <is>
          <t>X</t>
        </is>
      </c>
      <c r="D3047" s="5" t="n">
        <v>344</v>
      </c>
      <c r="E3047" s="73">
        <f>B3047*D3047/10000</f>
        <v/>
      </c>
      <c r="F3047" s="74">
        <f>B3047/30.48</f>
        <v/>
      </c>
      <c r="G3047" s="74">
        <f>D3047/30.48</f>
        <v/>
      </c>
      <c r="H3047" s="615" t="n"/>
      <c r="O3047" s="1" t="n"/>
      <c r="P3047" s="1" t="n"/>
      <c r="Q3047" s="1" t="n"/>
      <c r="R3047" s="1" t="n"/>
    </row>
    <row r="3048" ht="18" customHeight="1" s="305">
      <c r="A3048" s="8" t="n">
        <v>4449</v>
      </c>
      <c r="B3048" s="5" t="n">
        <v>204</v>
      </c>
      <c r="C3048" s="72" t="inlineStr">
        <is>
          <t>X</t>
        </is>
      </c>
      <c r="D3048" s="5" t="n">
        <v>107</v>
      </c>
      <c r="E3048" s="73">
        <f>B3048*D3048/10000</f>
        <v/>
      </c>
      <c r="F3048" s="74">
        <f>B3048/30.48</f>
        <v/>
      </c>
      <c r="G3048" s="74">
        <f>D3048/30.48</f>
        <v/>
      </c>
      <c r="H3048" s="615" t="n"/>
      <c r="O3048" s="1" t="n"/>
      <c r="P3048" s="1" t="n"/>
      <c r="Q3048" s="1" t="n"/>
      <c r="R3048" s="1" t="n"/>
    </row>
    <row r="3049" ht="18" customHeight="1" s="305">
      <c r="A3049" s="8" t="n">
        <v>4450</v>
      </c>
      <c r="B3049" s="5" t="n">
        <v>101</v>
      </c>
      <c r="C3049" s="72" t="inlineStr">
        <is>
          <t>X</t>
        </is>
      </c>
      <c r="D3049" s="5" t="n">
        <v>348</v>
      </c>
      <c r="E3049" s="73">
        <f>B3049*D3049/10000</f>
        <v/>
      </c>
      <c r="F3049" s="74">
        <f>B3049/30.48</f>
        <v/>
      </c>
      <c r="G3049" s="74">
        <f>D3049/30.48</f>
        <v/>
      </c>
      <c r="H3049" s="615" t="n"/>
      <c r="O3049" s="1" t="n"/>
      <c r="P3049" s="1" t="n"/>
      <c r="Q3049" s="1" t="n"/>
      <c r="R3049" s="1" t="n"/>
    </row>
    <row r="3050" ht="18" customHeight="1" s="305">
      <c r="A3050" s="8" t="n">
        <v>4451</v>
      </c>
      <c r="B3050" s="5" t="n">
        <v>70</v>
      </c>
      <c r="C3050" s="72" t="inlineStr">
        <is>
          <t>X</t>
        </is>
      </c>
      <c r="D3050" s="5" t="n">
        <v>276</v>
      </c>
      <c r="E3050" s="73">
        <f>B3050*D3050/10000</f>
        <v/>
      </c>
      <c r="F3050" s="74">
        <f>B3050/30.48</f>
        <v/>
      </c>
      <c r="G3050" s="74">
        <f>D3050/30.48</f>
        <v/>
      </c>
      <c r="H3050" s="615" t="n"/>
      <c r="O3050" s="1" t="n"/>
      <c r="P3050" s="1" t="n"/>
      <c r="Q3050" s="1" t="n"/>
      <c r="R3050" s="1" t="n"/>
    </row>
    <row r="3051" ht="18" customHeight="1" s="305">
      <c r="A3051" s="8" t="n">
        <v>4453</v>
      </c>
      <c r="B3051" s="5" t="n">
        <v>207</v>
      </c>
      <c r="C3051" s="72" t="inlineStr">
        <is>
          <t>X</t>
        </is>
      </c>
      <c r="D3051" s="5" t="n">
        <v>315</v>
      </c>
      <c r="E3051" s="73">
        <f>B3051*D3051/10000</f>
        <v/>
      </c>
      <c r="F3051" s="74">
        <f>B3051/30.48</f>
        <v/>
      </c>
      <c r="G3051" s="74">
        <f>D3051/30.48</f>
        <v/>
      </c>
      <c r="H3051" s="615" t="n"/>
      <c r="O3051" s="1" t="n"/>
      <c r="P3051" s="1" t="n"/>
      <c r="Q3051" s="1" t="n"/>
      <c r="R3051" s="1" t="n"/>
    </row>
    <row r="3052" ht="18" customHeight="1" s="305">
      <c r="A3052" s="8" t="n">
        <v>4454</v>
      </c>
      <c r="B3052" s="5" t="n">
        <v>138</v>
      </c>
      <c r="C3052" s="72" t="inlineStr">
        <is>
          <t>X</t>
        </is>
      </c>
      <c r="D3052" s="5" t="n">
        <v>381</v>
      </c>
      <c r="E3052" s="73">
        <f>B3052*D3052/10000</f>
        <v/>
      </c>
      <c r="F3052" s="74">
        <f>B3052/30.48</f>
        <v/>
      </c>
      <c r="G3052" s="74">
        <f>D3052/30.48</f>
        <v/>
      </c>
      <c r="H3052" s="615" t="n"/>
      <c r="O3052" s="1" t="n"/>
      <c r="P3052" s="1" t="n"/>
      <c r="Q3052" s="1" t="n"/>
      <c r="R3052" s="1" t="n"/>
    </row>
    <row r="3053" ht="18" customHeight="1" s="305">
      <c r="A3053" s="8" t="n">
        <v>4455</v>
      </c>
      <c r="B3053" s="5" t="n">
        <v>100</v>
      </c>
      <c r="C3053" s="72" t="inlineStr">
        <is>
          <t>X</t>
        </is>
      </c>
      <c r="D3053" s="5" t="n">
        <v>369</v>
      </c>
      <c r="E3053" s="73">
        <f>B3053*D3053/10000</f>
        <v/>
      </c>
      <c r="F3053" s="74">
        <f>B3053/30.48</f>
        <v/>
      </c>
      <c r="G3053" s="74">
        <f>D3053/30.48</f>
        <v/>
      </c>
      <c r="H3053" s="615" t="n"/>
      <c r="O3053" s="1" t="n"/>
      <c r="P3053" s="1" t="n"/>
      <c r="Q3053" s="1" t="n"/>
      <c r="R3053" s="1" t="n"/>
    </row>
    <row r="3054" ht="18" customHeight="1" s="305">
      <c r="A3054" s="8" t="n">
        <v>4456</v>
      </c>
      <c r="B3054" s="5" t="n">
        <v>182</v>
      </c>
      <c r="C3054" s="72" t="inlineStr">
        <is>
          <t>X</t>
        </is>
      </c>
      <c r="D3054" s="5" t="n">
        <v>306</v>
      </c>
      <c r="E3054" s="73">
        <f>B3054*D3054/10000</f>
        <v/>
      </c>
      <c r="F3054" s="74">
        <f>B3054/30.48</f>
        <v/>
      </c>
      <c r="G3054" s="74">
        <f>D3054/30.48</f>
        <v/>
      </c>
      <c r="H3054" s="615" t="n"/>
      <c r="O3054" s="1" t="n"/>
      <c r="P3054" s="1" t="n"/>
      <c r="Q3054" s="1" t="n"/>
      <c r="R3054" s="1" t="n"/>
    </row>
    <row r="3055" ht="18" customHeight="1" s="305">
      <c r="A3055" s="8" t="n">
        <v>4457</v>
      </c>
      <c r="B3055" s="5" t="n">
        <v>102</v>
      </c>
      <c r="C3055" s="72" t="inlineStr">
        <is>
          <t>X</t>
        </is>
      </c>
      <c r="D3055" s="5" t="n">
        <v>378</v>
      </c>
      <c r="E3055" s="73">
        <f>B3055*D3055/10000</f>
        <v/>
      </c>
      <c r="F3055" s="74">
        <f>B3055/30.48</f>
        <v/>
      </c>
      <c r="G3055" s="74">
        <f>D3055/30.48</f>
        <v/>
      </c>
      <c r="H3055" s="615" t="n"/>
      <c r="O3055" s="1" t="n"/>
      <c r="P3055" s="1" t="n"/>
      <c r="Q3055" s="1" t="n"/>
      <c r="R3055" s="1" t="n"/>
    </row>
    <row r="3056" ht="18" customHeight="1" s="305">
      <c r="A3056" s="8" t="n">
        <v>4458</v>
      </c>
      <c r="B3056" s="5" t="n">
        <v>120</v>
      </c>
      <c r="C3056" s="72" t="inlineStr">
        <is>
          <t>X</t>
        </is>
      </c>
      <c r="D3056" s="5" t="n">
        <v>228</v>
      </c>
      <c r="E3056" s="73">
        <f>B3056*D3056/10000</f>
        <v/>
      </c>
      <c r="F3056" s="74">
        <f>B3056/30.48</f>
        <v/>
      </c>
      <c r="G3056" s="74">
        <f>D3056/30.48</f>
        <v/>
      </c>
      <c r="H3056" s="615" t="n"/>
      <c r="O3056" s="1" t="n"/>
      <c r="P3056" s="1" t="n"/>
      <c r="Q3056" s="1" t="n"/>
      <c r="R3056" s="1" t="n"/>
    </row>
    <row r="3057" ht="18" customHeight="1" s="305">
      <c r="A3057" s="8" t="n">
        <v>4459</v>
      </c>
      <c r="B3057" s="5" t="n">
        <v>173</v>
      </c>
      <c r="C3057" s="72" t="inlineStr">
        <is>
          <t>X</t>
        </is>
      </c>
      <c r="D3057" s="5" t="n">
        <v>236</v>
      </c>
      <c r="E3057" s="73">
        <f>B3057*D3057/10000</f>
        <v/>
      </c>
      <c r="F3057" s="74">
        <f>B3057/30.48</f>
        <v/>
      </c>
      <c r="G3057" s="74">
        <f>D3057/30.48</f>
        <v/>
      </c>
      <c r="H3057" s="615" t="n"/>
      <c r="O3057" s="1" t="n"/>
      <c r="P3057" s="1" t="n"/>
      <c r="Q3057" s="1" t="n"/>
      <c r="R3057" s="1" t="n"/>
    </row>
    <row r="3058" ht="18" customHeight="1" s="305">
      <c r="A3058" s="8" t="n">
        <v>4461</v>
      </c>
      <c r="B3058" s="5" t="n">
        <v>92</v>
      </c>
      <c r="C3058" s="72" t="inlineStr">
        <is>
          <t>X</t>
        </is>
      </c>
      <c r="D3058" s="5" t="n">
        <v>399</v>
      </c>
      <c r="E3058" s="73">
        <f>B3058*D3058/10000</f>
        <v/>
      </c>
      <c r="F3058" s="74">
        <f>B3058/30.48</f>
        <v/>
      </c>
      <c r="G3058" s="74">
        <f>D3058/30.48</f>
        <v/>
      </c>
      <c r="H3058" s="615" t="n"/>
      <c r="O3058" s="1" t="n"/>
      <c r="P3058" s="1" t="n"/>
      <c r="Q3058" s="1" t="n"/>
      <c r="R3058" s="1" t="n"/>
    </row>
    <row r="3059" ht="18" customHeight="1" s="305">
      <c r="A3059" s="8" t="n">
        <v>4462</v>
      </c>
      <c r="B3059" s="5" t="n">
        <v>139</v>
      </c>
      <c r="C3059" s="72" t="inlineStr">
        <is>
          <t>X</t>
        </is>
      </c>
      <c r="D3059" s="5" t="n">
        <v>378</v>
      </c>
      <c r="E3059" s="73">
        <f>B3059*D3059/10000</f>
        <v/>
      </c>
      <c r="F3059" s="74">
        <f>B3059/30.48</f>
        <v/>
      </c>
      <c r="G3059" s="74">
        <f>D3059/30.48</f>
        <v/>
      </c>
      <c r="H3059" s="615" t="n"/>
      <c r="O3059" s="1" t="n"/>
      <c r="P3059" s="1" t="n"/>
      <c r="Q3059" s="1" t="n"/>
      <c r="R3059" s="1" t="n"/>
    </row>
    <row r="3060" ht="18" customHeight="1" s="305">
      <c r="A3060" s="8" t="n">
        <v>4464</v>
      </c>
      <c r="B3060" s="5" t="n">
        <v>111</v>
      </c>
      <c r="C3060" s="72" t="inlineStr">
        <is>
          <t>X</t>
        </is>
      </c>
      <c r="D3060" s="5" t="n">
        <v>460</v>
      </c>
      <c r="E3060" s="73">
        <f>B3060*D3060/10000</f>
        <v/>
      </c>
      <c r="F3060" s="74">
        <f>B3060/30.48</f>
        <v/>
      </c>
      <c r="G3060" s="74">
        <f>D3060/30.48</f>
        <v/>
      </c>
      <c r="H3060" s="615" t="n"/>
      <c r="O3060" s="1" t="n"/>
      <c r="P3060" s="1" t="n"/>
      <c r="Q3060" s="1" t="n"/>
      <c r="R3060" s="1" t="n"/>
    </row>
    <row r="3061" ht="18" customHeight="1" s="305">
      <c r="A3061" s="8" t="n">
        <v>4465</v>
      </c>
      <c r="B3061" s="5" t="n">
        <v>93</v>
      </c>
      <c r="C3061" s="72" t="inlineStr">
        <is>
          <t>X</t>
        </is>
      </c>
      <c r="D3061" s="5" t="n">
        <v>379</v>
      </c>
      <c r="E3061" s="73">
        <f>B3061*D3061/10000</f>
        <v/>
      </c>
      <c r="F3061" s="74">
        <f>B3061/30.48</f>
        <v/>
      </c>
      <c r="G3061" s="74">
        <f>D3061/30.48</f>
        <v/>
      </c>
      <c r="H3061" s="615" t="n"/>
      <c r="O3061" s="1" t="n"/>
      <c r="P3061" s="1" t="n"/>
      <c r="Q3061" s="1" t="n"/>
      <c r="R3061" s="1" t="n"/>
    </row>
    <row r="3062" ht="18" customHeight="1" s="305">
      <c r="A3062" s="8" t="n">
        <v>4466</v>
      </c>
      <c r="B3062" s="5" t="n">
        <v>165</v>
      </c>
      <c r="C3062" s="72" t="inlineStr">
        <is>
          <t>X</t>
        </is>
      </c>
      <c r="D3062" s="5" t="n">
        <v>275</v>
      </c>
      <c r="E3062" s="73">
        <f>B3062*D3062/10000</f>
        <v/>
      </c>
      <c r="F3062" s="74">
        <f>B3062/30.48</f>
        <v/>
      </c>
      <c r="G3062" s="74">
        <f>D3062/30.48</f>
        <v/>
      </c>
      <c r="H3062" s="615" t="n"/>
      <c r="O3062" s="1" t="n"/>
      <c r="P3062" s="1" t="n"/>
      <c r="Q3062" s="1" t="n"/>
      <c r="R3062" s="1" t="n"/>
    </row>
    <row r="3063" ht="18" customHeight="1" s="305">
      <c r="A3063" s="8" t="n">
        <v>4467</v>
      </c>
      <c r="B3063" s="5" t="n">
        <v>205</v>
      </c>
      <c r="C3063" s="72" t="inlineStr">
        <is>
          <t>X</t>
        </is>
      </c>
      <c r="D3063" s="5" t="n">
        <v>309</v>
      </c>
      <c r="E3063" s="73">
        <f>B3063*D3063/10000</f>
        <v/>
      </c>
      <c r="F3063" s="74">
        <f>B3063/30.48</f>
        <v/>
      </c>
      <c r="G3063" s="74">
        <f>D3063/30.48</f>
        <v/>
      </c>
      <c r="H3063" s="615" t="n"/>
      <c r="O3063" s="1" t="n"/>
      <c r="P3063" s="1" t="n"/>
      <c r="Q3063" s="1" t="n"/>
      <c r="R3063" s="1" t="n"/>
    </row>
    <row r="3064" ht="18" customHeight="1" s="305">
      <c r="A3064" s="8" t="n">
        <v>4468</v>
      </c>
      <c r="B3064" s="5" t="n">
        <v>168</v>
      </c>
      <c r="C3064" s="72" t="inlineStr">
        <is>
          <t>X</t>
        </is>
      </c>
      <c r="D3064" s="5" t="n">
        <v>191</v>
      </c>
      <c r="E3064" s="73">
        <f>B3064*D3064/10000</f>
        <v/>
      </c>
      <c r="F3064" s="74">
        <f>B3064/30.48</f>
        <v/>
      </c>
      <c r="G3064" s="74">
        <f>D3064/30.48</f>
        <v/>
      </c>
      <c r="H3064" s="615" t="n"/>
      <c r="O3064" s="1" t="n"/>
      <c r="P3064" s="1" t="n"/>
      <c r="Q3064" s="1" t="n"/>
      <c r="R3064" s="1" t="n"/>
    </row>
    <row r="3065" ht="18" customHeight="1" s="305">
      <c r="A3065" s="8" t="n">
        <v>4469</v>
      </c>
      <c r="B3065" s="5" t="n">
        <v>195</v>
      </c>
      <c r="C3065" s="72" t="inlineStr">
        <is>
          <t>X</t>
        </is>
      </c>
      <c r="D3065" s="5" t="n">
        <v>302</v>
      </c>
      <c r="E3065" s="73">
        <f>B3065*D3065/10000</f>
        <v/>
      </c>
      <c r="F3065" s="74">
        <f>B3065/30.48</f>
        <v/>
      </c>
      <c r="G3065" s="74">
        <f>D3065/30.48</f>
        <v/>
      </c>
      <c r="H3065" s="615" t="n"/>
      <c r="O3065" s="1" t="n"/>
      <c r="P3065" s="1" t="n"/>
      <c r="Q3065" s="1" t="n"/>
      <c r="R3065" s="1" t="n"/>
    </row>
    <row r="3066" ht="18" customHeight="1" s="305">
      <c r="A3066" s="8" t="n">
        <v>4470</v>
      </c>
      <c r="B3066" s="5" t="n">
        <v>90</v>
      </c>
      <c r="C3066" s="72" t="inlineStr">
        <is>
          <t>X</t>
        </is>
      </c>
      <c r="D3066" s="5" t="n">
        <v>357</v>
      </c>
      <c r="E3066" s="73">
        <f>B3066*D3066/10000</f>
        <v/>
      </c>
      <c r="F3066" s="74">
        <f>B3066/30.48</f>
        <v/>
      </c>
      <c r="G3066" s="74">
        <f>D3066/30.48</f>
        <v/>
      </c>
      <c r="H3066" s="615" t="n"/>
      <c r="O3066" s="1" t="n"/>
      <c r="P3066" s="1" t="n"/>
      <c r="Q3066" s="1" t="n"/>
      <c r="R3066" s="1" t="n"/>
    </row>
    <row r="3067" ht="18" customHeight="1" s="305">
      <c r="A3067" s="8" t="n">
        <v>4471</v>
      </c>
      <c r="B3067" s="5" t="n">
        <v>82</v>
      </c>
      <c r="C3067" s="72" t="inlineStr">
        <is>
          <t>X</t>
        </is>
      </c>
      <c r="D3067" s="5" t="n">
        <v>290</v>
      </c>
      <c r="E3067" s="73">
        <f>B3067*D3067/10000</f>
        <v/>
      </c>
      <c r="F3067" s="74">
        <f>B3067/30.48</f>
        <v/>
      </c>
      <c r="G3067" s="74">
        <f>D3067/30.48</f>
        <v/>
      </c>
      <c r="H3067" s="615" t="n"/>
      <c r="O3067" s="1" t="n"/>
      <c r="P3067" s="1" t="n"/>
      <c r="Q3067" s="1" t="n"/>
      <c r="R3067" s="1" t="n"/>
    </row>
    <row r="3068" ht="18" customHeight="1" s="305">
      <c r="A3068" s="8" t="n">
        <v>4472</v>
      </c>
      <c r="B3068" s="5" t="n">
        <v>85</v>
      </c>
      <c r="C3068" s="72" t="inlineStr">
        <is>
          <t>X</t>
        </is>
      </c>
      <c r="D3068" s="5" t="n">
        <v>288</v>
      </c>
      <c r="E3068" s="73">
        <f>B3068*D3068/10000</f>
        <v/>
      </c>
      <c r="F3068" s="74">
        <f>B3068/30.48</f>
        <v/>
      </c>
      <c r="G3068" s="74">
        <f>D3068/30.48</f>
        <v/>
      </c>
      <c r="H3068" s="615" t="n"/>
      <c r="O3068" s="1" t="n"/>
      <c r="P3068" s="1" t="n"/>
      <c r="Q3068" s="1" t="n"/>
      <c r="R3068" s="1" t="n"/>
    </row>
    <row r="3069" ht="18" customHeight="1" s="305">
      <c r="A3069" s="8" t="n">
        <v>4473</v>
      </c>
      <c r="B3069" s="5" t="n">
        <v>190</v>
      </c>
      <c r="C3069" s="72" t="inlineStr">
        <is>
          <t>X</t>
        </is>
      </c>
      <c r="D3069" s="5" t="n">
        <v>356</v>
      </c>
      <c r="E3069" s="73">
        <f>B3069*D3069/10000</f>
        <v/>
      </c>
      <c r="F3069" s="74">
        <f>B3069/30.48</f>
        <v/>
      </c>
      <c r="G3069" s="74">
        <f>D3069/30.48</f>
        <v/>
      </c>
      <c r="H3069" s="615" t="n"/>
      <c r="O3069" s="1" t="n"/>
      <c r="P3069" s="1" t="n"/>
      <c r="Q3069" s="1" t="n"/>
      <c r="R3069" s="1" t="n"/>
    </row>
    <row r="3070" ht="18" customHeight="1" s="305">
      <c r="A3070" s="8" t="n">
        <v>4474</v>
      </c>
      <c r="B3070" s="5" t="n">
        <v>73</v>
      </c>
      <c r="C3070" s="72" t="inlineStr">
        <is>
          <t>X</t>
        </is>
      </c>
      <c r="D3070" s="5" t="n">
        <v>135</v>
      </c>
      <c r="E3070" s="73">
        <f>B3070*D3070/10000</f>
        <v/>
      </c>
      <c r="F3070" s="74">
        <f>B3070/30.48</f>
        <v/>
      </c>
      <c r="G3070" s="74">
        <f>D3070/30.48</f>
        <v/>
      </c>
      <c r="H3070" s="615" t="n"/>
      <c r="O3070" s="1" t="n"/>
      <c r="P3070" s="1" t="n"/>
      <c r="Q3070" s="1" t="n"/>
      <c r="R3070" s="1" t="n"/>
    </row>
    <row r="3071" ht="18" customHeight="1" s="305">
      <c r="A3071" s="8" t="n">
        <v>4475</v>
      </c>
      <c r="B3071" s="5" t="n">
        <v>63</v>
      </c>
      <c r="C3071" s="72" t="inlineStr">
        <is>
          <t>X</t>
        </is>
      </c>
      <c r="D3071" s="5" t="n">
        <v>100</v>
      </c>
      <c r="E3071" s="73">
        <f>B3071*D3071/10000</f>
        <v/>
      </c>
      <c r="F3071" s="74">
        <f>B3071/30.48</f>
        <v/>
      </c>
      <c r="G3071" s="74">
        <f>D3071/30.48</f>
        <v/>
      </c>
      <c r="H3071" s="615" t="n"/>
      <c r="O3071" s="1" t="n"/>
      <c r="P3071" s="1" t="n"/>
      <c r="Q3071" s="1" t="n"/>
      <c r="R3071" s="1" t="n"/>
    </row>
    <row r="3072" ht="18" customHeight="1" s="305">
      <c r="A3072" s="8" t="n">
        <v>4476</v>
      </c>
      <c r="B3072" s="5" t="n">
        <v>80</v>
      </c>
      <c r="C3072" s="72" t="inlineStr">
        <is>
          <t>X</t>
        </is>
      </c>
      <c r="D3072" s="5" t="n">
        <v>240</v>
      </c>
      <c r="E3072" s="73">
        <f>B3072*D3072/10000</f>
        <v/>
      </c>
      <c r="F3072" s="74">
        <f>B3072/30.48</f>
        <v/>
      </c>
      <c r="G3072" s="74">
        <f>D3072/30.48</f>
        <v/>
      </c>
      <c r="H3072" s="615" t="n"/>
      <c r="O3072" s="1" t="n"/>
      <c r="P3072" s="1" t="n"/>
      <c r="Q3072" s="1" t="n"/>
      <c r="R3072" s="1" t="n"/>
    </row>
    <row r="3073" ht="18" customHeight="1" s="305">
      <c r="A3073" s="8" t="n">
        <v>4477</v>
      </c>
      <c r="B3073" s="5" t="n">
        <v>70</v>
      </c>
      <c r="C3073" s="72" t="inlineStr">
        <is>
          <t>X</t>
        </is>
      </c>
      <c r="D3073" s="5" t="n">
        <v>106</v>
      </c>
      <c r="E3073" s="73">
        <f>B3073*D3073/10000</f>
        <v/>
      </c>
      <c r="F3073" s="74">
        <f>B3073/30.48</f>
        <v/>
      </c>
      <c r="G3073" s="74">
        <f>D3073/30.48</f>
        <v/>
      </c>
      <c r="H3073" s="615" t="n"/>
      <c r="O3073" s="1" t="n"/>
      <c r="P3073" s="1" t="n"/>
      <c r="Q3073" s="1" t="n"/>
      <c r="R3073" s="1" t="n"/>
    </row>
    <row r="3074" ht="18" customHeight="1" s="305">
      <c r="A3074" s="8" t="n">
        <v>4478</v>
      </c>
      <c r="B3074" s="5" t="n">
        <v>164</v>
      </c>
      <c r="C3074" s="72" t="inlineStr">
        <is>
          <t>X</t>
        </is>
      </c>
      <c r="D3074" s="5" t="n">
        <v>262</v>
      </c>
      <c r="E3074" s="73">
        <f>B3074*D3074/10000</f>
        <v/>
      </c>
      <c r="F3074" s="74">
        <f>B3074/30.48</f>
        <v/>
      </c>
      <c r="G3074" s="74">
        <f>D3074/30.48</f>
        <v/>
      </c>
      <c r="H3074" s="615" t="n"/>
      <c r="O3074" s="1" t="n"/>
      <c r="P3074" s="1" t="n"/>
      <c r="Q3074" s="1" t="n"/>
      <c r="R3074" s="1" t="n"/>
    </row>
    <row r="3075" ht="18" customHeight="1" s="305">
      <c r="A3075" s="8" t="n">
        <v>4479</v>
      </c>
      <c r="B3075" s="5" t="n">
        <v>86</v>
      </c>
      <c r="C3075" s="72" t="inlineStr">
        <is>
          <t>X</t>
        </is>
      </c>
      <c r="D3075" s="5" t="n">
        <v>125</v>
      </c>
      <c r="E3075" s="73">
        <f>B3075*D3075/10000</f>
        <v/>
      </c>
      <c r="F3075" s="74">
        <f>B3075/30.48</f>
        <v/>
      </c>
      <c r="G3075" s="74">
        <f>D3075/30.48</f>
        <v/>
      </c>
      <c r="H3075" s="615" t="n"/>
      <c r="O3075" s="1" t="n"/>
      <c r="P3075" s="1" t="n"/>
      <c r="Q3075" s="1" t="n"/>
      <c r="R3075" s="1" t="n"/>
    </row>
    <row r="3076" ht="18" customHeight="1" s="305">
      <c r="A3076" s="8" t="n">
        <v>4480</v>
      </c>
      <c r="B3076" s="5" t="n">
        <v>79</v>
      </c>
      <c r="C3076" s="72" t="inlineStr">
        <is>
          <t>X</t>
        </is>
      </c>
      <c r="D3076" s="5" t="n">
        <v>271</v>
      </c>
      <c r="E3076" s="73">
        <f>B3076*D3076/10000</f>
        <v/>
      </c>
      <c r="F3076" s="74">
        <f>B3076/30.48</f>
        <v/>
      </c>
      <c r="G3076" s="74">
        <f>D3076/30.48</f>
        <v/>
      </c>
      <c r="H3076" s="615" t="n"/>
      <c r="O3076" s="1" t="n"/>
      <c r="P3076" s="1" t="n"/>
      <c r="Q3076" s="1" t="n"/>
      <c r="R3076" s="1" t="n"/>
    </row>
    <row r="3077" ht="18" customHeight="1" s="305">
      <c r="A3077" s="8" t="n">
        <v>4482</v>
      </c>
      <c r="B3077" s="5" t="n">
        <v>203</v>
      </c>
      <c r="C3077" s="72" t="inlineStr">
        <is>
          <t>X</t>
        </is>
      </c>
      <c r="D3077" s="5" t="n">
        <v>313</v>
      </c>
      <c r="E3077" s="73">
        <f>B3077*D3077/10000</f>
        <v/>
      </c>
      <c r="F3077" s="74">
        <f>B3077/30.48</f>
        <v/>
      </c>
      <c r="G3077" s="74">
        <f>D3077/30.48</f>
        <v/>
      </c>
      <c r="H3077" s="615" t="n"/>
      <c r="O3077" s="1" t="n"/>
      <c r="P3077" s="1" t="n"/>
      <c r="Q3077" s="1" t="n"/>
      <c r="R3077" s="1" t="n"/>
    </row>
    <row r="3078" ht="18" customHeight="1" s="305">
      <c r="A3078" s="8" t="n">
        <v>4483</v>
      </c>
      <c r="B3078" s="5" t="n">
        <v>66</v>
      </c>
      <c r="C3078" s="72" t="inlineStr">
        <is>
          <t>X</t>
        </is>
      </c>
      <c r="D3078" s="5" t="n">
        <v>98</v>
      </c>
      <c r="E3078" s="73">
        <f>B3078*D3078/10000</f>
        <v/>
      </c>
      <c r="F3078" s="74">
        <f>B3078/30.48</f>
        <v/>
      </c>
      <c r="G3078" s="74">
        <f>D3078/30.48</f>
        <v/>
      </c>
      <c r="H3078" s="615" t="n"/>
      <c r="O3078" s="1" t="n"/>
      <c r="P3078" s="1" t="n"/>
      <c r="Q3078" s="1" t="n"/>
      <c r="R3078" s="1" t="n"/>
    </row>
    <row r="3079" ht="18" customHeight="1" s="305">
      <c r="A3079" s="8" t="n">
        <v>4484</v>
      </c>
      <c r="B3079" s="5" t="n">
        <v>63</v>
      </c>
      <c r="C3079" s="72" t="inlineStr">
        <is>
          <t>X</t>
        </is>
      </c>
      <c r="D3079" s="5" t="n">
        <v>97</v>
      </c>
      <c r="E3079" s="73">
        <f>B3079*D3079/10000</f>
        <v/>
      </c>
      <c r="F3079" s="74">
        <f>B3079/30.48</f>
        <v/>
      </c>
      <c r="G3079" s="74">
        <f>D3079/30.48</f>
        <v/>
      </c>
      <c r="H3079" s="615" t="n"/>
      <c r="O3079" s="1" t="n"/>
      <c r="P3079" s="1" t="n"/>
      <c r="Q3079" s="1" t="n"/>
      <c r="R3079" s="1" t="n"/>
    </row>
    <row r="3080" ht="18" customHeight="1" s="305">
      <c r="A3080" s="8" t="n">
        <v>4485</v>
      </c>
      <c r="B3080" s="5" t="n">
        <v>67</v>
      </c>
      <c r="C3080" s="72" t="inlineStr">
        <is>
          <t>X</t>
        </is>
      </c>
      <c r="D3080" s="5" t="n">
        <v>107</v>
      </c>
      <c r="E3080" s="73">
        <f>B3080*D3080/10000</f>
        <v/>
      </c>
      <c r="F3080" s="74">
        <f>B3080/30.48</f>
        <v/>
      </c>
      <c r="G3080" s="74">
        <f>D3080/30.48</f>
        <v/>
      </c>
      <c r="H3080" s="615" t="n"/>
      <c r="O3080" s="1" t="n"/>
      <c r="P3080" s="1" t="n"/>
      <c r="Q3080" s="1" t="n"/>
      <c r="R3080" s="1" t="n"/>
    </row>
    <row r="3081" ht="18" customHeight="1" s="305">
      <c r="A3081" s="8" t="n">
        <v>4488</v>
      </c>
      <c r="B3081" s="5" t="n">
        <v>235</v>
      </c>
      <c r="C3081" s="72" t="inlineStr">
        <is>
          <t>X</t>
        </is>
      </c>
      <c r="D3081" s="5" t="n">
        <v>338</v>
      </c>
      <c r="E3081" s="73">
        <f>B3081*D3081/10000</f>
        <v/>
      </c>
      <c r="F3081" s="74">
        <f>B3081/30.48</f>
        <v/>
      </c>
      <c r="G3081" s="74">
        <f>D3081/30.48</f>
        <v/>
      </c>
      <c r="H3081" s="615" t="n"/>
      <c r="O3081" s="1" t="n"/>
      <c r="P3081" s="1" t="n"/>
      <c r="Q3081" s="1" t="n"/>
      <c r="R3081" s="1" t="n"/>
    </row>
    <row r="3082" ht="18" customHeight="1" s="305">
      <c r="A3082" s="8" t="n">
        <v>4489</v>
      </c>
      <c r="B3082" s="5" t="n">
        <v>149</v>
      </c>
      <c r="C3082" s="72" t="inlineStr">
        <is>
          <t>X</t>
        </is>
      </c>
      <c r="D3082" s="5" t="n">
        <v>279</v>
      </c>
      <c r="E3082" s="73">
        <f>B3082*D3082/10000</f>
        <v/>
      </c>
      <c r="F3082" s="74">
        <f>B3082/30.48</f>
        <v/>
      </c>
      <c r="G3082" s="74">
        <f>D3082/30.48</f>
        <v/>
      </c>
      <c r="H3082" s="615" t="n"/>
      <c r="O3082" s="1" t="n"/>
      <c r="P3082" s="1" t="n"/>
      <c r="Q3082" s="1" t="n"/>
      <c r="R3082" s="1" t="n"/>
    </row>
    <row r="3083" ht="18" customHeight="1" s="305">
      <c r="A3083" s="8" t="n">
        <v>4491</v>
      </c>
      <c r="B3083" s="5" t="n">
        <v>85</v>
      </c>
      <c r="C3083" s="72" t="inlineStr">
        <is>
          <t>X</t>
        </is>
      </c>
      <c r="D3083" s="5" t="n">
        <v>330</v>
      </c>
      <c r="E3083" s="73">
        <f>B3083*D3083/10000</f>
        <v/>
      </c>
      <c r="F3083" s="74">
        <f>B3083/30.48</f>
        <v/>
      </c>
      <c r="G3083" s="74">
        <f>D3083/30.48</f>
        <v/>
      </c>
      <c r="H3083" s="615" t="n"/>
      <c r="O3083" s="1" t="n"/>
      <c r="P3083" s="1" t="n"/>
      <c r="Q3083" s="1" t="n"/>
      <c r="R3083" s="1" t="n"/>
    </row>
    <row r="3084" ht="18" customHeight="1" s="305">
      <c r="A3084" s="8" t="n">
        <v>4492</v>
      </c>
      <c r="C3084" s="72" t="inlineStr">
        <is>
          <t>X</t>
        </is>
      </c>
      <c r="E3084" s="73">
        <f>B3084*D3084/10000</f>
        <v/>
      </c>
      <c r="F3084" s="74">
        <f>B3084/30.48</f>
        <v/>
      </c>
      <c r="G3084" s="74">
        <f>D3084/30.48</f>
        <v/>
      </c>
      <c r="H3084" s="615" t="n"/>
      <c r="O3084" s="1" t="n"/>
      <c r="P3084" s="1" t="n"/>
      <c r="Q3084" s="1" t="n"/>
      <c r="R3084" s="1" t="n"/>
    </row>
    <row r="3085" ht="18" customHeight="1" s="305">
      <c r="A3085" s="8" t="n">
        <v>4493</v>
      </c>
      <c r="B3085" s="5" t="n">
        <v>110</v>
      </c>
      <c r="C3085" s="72" t="inlineStr">
        <is>
          <t>X</t>
        </is>
      </c>
      <c r="D3085" s="5" t="n">
        <v>194</v>
      </c>
      <c r="E3085" s="73">
        <f>B3085*D3085/10000</f>
        <v/>
      </c>
      <c r="F3085" s="74">
        <f>B3085/30.48</f>
        <v/>
      </c>
      <c r="G3085" s="74">
        <f>D3085/30.48</f>
        <v/>
      </c>
      <c r="H3085" s="615" t="n"/>
      <c r="O3085" s="1" t="n"/>
      <c r="P3085" s="1" t="n"/>
      <c r="Q3085" s="1" t="n"/>
      <c r="R3085" s="1" t="n"/>
    </row>
    <row r="3086" ht="18" customHeight="1" s="305">
      <c r="A3086" s="8" t="n">
        <v>4494</v>
      </c>
      <c r="B3086" s="5" t="n">
        <v>99</v>
      </c>
      <c r="C3086" s="72" t="inlineStr">
        <is>
          <t>X</t>
        </is>
      </c>
      <c r="D3086" s="5" t="n">
        <v>394</v>
      </c>
      <c r="E3086" s="73">
        <f>B3086*D3086/10000</f>
        <v/>
      </c>
      <c r="F3086" s="74">
        <f>B3086/30.48</f>
        <v/>
      </c>
      <c r="G3086" s="74">
        <f>D3086/30.48</f>
        <v/>
      </c>
      <c r="H3086" s="615" t="n"/>
      <c r="O3086" s="1" t="n"/>
      <c r="P3086" s="1" t="n"/>
      <c r="Q3086" s="1" t="n"/>
      <c r="R3086" s="1" t="n"/>
    </row>
    <row r="3087" ht="18" customHeight="1" s="305">
      <c r="A3087" s="8" t="n">
        <v>4495</v>
      </c>
      <c r="B3087" s="5" t="n">
        <v>207</v>
      </c>
      <c r="C3087" s="72" t="inlineStr">
        <is>
          <t>X</t>
        </is>
      </c>
      <c r="D3087" s="5" t="n">
        <v>311</v>
      </c>
      <c r="E3087" s="73">
        <f>B3087*D3087/10000</f>
        <v/>
      </c>
      <c r="F3087" s="74">
        <f>B3087/30.48</f>
        <v/>
      </c>
      <c r="G3087" s="74">
        <f>D3087/30.48</f>
        <v/>
      </c>
      <c r="H3087" s="615" t="n"/>
      <c r="O3087" s="1" t="n"/>
      <c r="P3087" s="1" t="n"/>
      <c r="Q3087" s="1" t="n"/>
      <c r="R3087" s="1" t="n"/>
    </row>
    <row r="3088" ht="18" customHeight="1" s="305">
      <c r="A3088" s="8" t="n">
        <v>4496</v>
      </c>
      <c r="B3088" s="5" t="n">
        <v>109</v>
      </c>
      <c r="C3088" s="72" t="inlineStr">
        <is>
          <t>X</t>
        </is>
      </c>
      <c r="D3088" s="5" t="n">
        <v>196</v>
      </c>
      <c r="E3088" s="73">
        <f>B3088*D3088/10000</f>
        <v/>
      </c>
      <c r="F3088" s="74">
        <f>B3088/30.48</f>
        <v/>
      </c>
      <c r="G3088" s="74">
        <f>D3088/30.48</f>
        <v/>
      </c>
      <c r="H3088" s="615" t="n"/>
      <c r="O3088" s="1" t="n"/>
      <c r="P3088" s="1" t="n"/>
      <c r="Q3088" s="1" t="n"/>
      <c r="R3088" s="1" t="n"/>
    </row>
    <row r="3089" ht="18" customHeight="1" s="305">
      <c r="A3089" s="8" t="n">
        <v>4497</v>
      </c>
      <c r="B3089" s="5" t="n">
        <v>154</v>
      </c>
      <c r="C3089" s="72" t="inlineStr">
        <is>
          <t>X</t>
        </is>
      </c>
      <c r="D3089" s="5" t="n">
        <v>202</v>
      </c>
      <c r="E3089" s="73">
        <f>B3089*D3089/10000</f>
        <v/>
      </c>
      <c r="F3089" s="74">
        <f>B3089/30.48</f>
        <v/>
      </c>
      <c r="G3089" s="74">
        <f>D3089/30.48</f>
        <v/>
      </c>
      <c r="H3089" s="615" t="n"/>
      <c r="O3089" s="1" t="n"/>
      <c r="P3089" s="1" t="n"/>
      <c r="Q3089" s="1" t="n"/>
      <c r="R3089" s="1" t="n"/>
    </row>
    <row r="3090" ht="18" customHeight="1" s="305">
      <c r="A3090" s="8" t="n">
        <v>4498</v>
      </c>
      <c r="B3090" s="5" t="n">
        <v>192</v>
      </c>
      <c r="C3090" s="72" t="inlineStr">
        <is>
          <t>X</t>
        </is>
      </c>
      <c r="D3090" s="5" t="n">
        <v>232</v>
      </c>
      <c r="E3090" s="73">
        <f>B3090*D3090/10000</f>
        <v/>
      </c>
      <c r="F3090" s="74">
        <f>B3090/30.48</f>
        <v/>
      </c>
      <c r="G3090" s="74">
        <f>D3090/30.48</f>
        <v/>
      </c>
      <c r="H3090" s="615" t="n"/>
      <c r="O3090" s="1" t="n"/>
      <c r="P3090" s="1" t="n"/>
      <c r="Q3090" s="1" t="n"/>
      <c r="R3090" s="1" t="n"/>
    </row>
    <row r="3091" ht="18" customHeight="1" s="305">
      <c r="A3091" s="8" t="n">
        <v>4499</v>
      </c>
      <c r="B3091" s="5" t="n">
        <v>181</v>
      </c>
      <c r="C3091" s="72" t="inlineStr">
        <is>
          <t>X</t>
        </is>
      </c>
      <c r="D3091" s="5" t="n">
        <v>259</v>
      </c>
      <c r="E3091" s="73">
        <f>B3091*D3091/10000</f>
        <v/>
      </c>
      <c r="F3091" s="74">
        <f>B3091/30.48</f>
        <v/>
      </c>
      <c r="G3091" s="74">
        <f>D3091/30.48</f>
        <v/>
      </c>
      <c r="H3091" s="615" t="n"/>
      <c r="O3091" s="1" t="n"/>
      <c r="P3091" s="1" t="n"/>
      <c r="Q3091" s="1" t="n"/>
      <c r="R3091" s="1" t="n"/>
    </row>
    <row r="3092" ht="18" customHeight="1" s="305">
      <c r="A3092" s="8" t="n">
        <v>4500</v>
      </c>
      <c r="B3092" s="5" t="n">
        <v>115</v>
      </c>
      <c r="C3092" s="72" t="inlineStr">
        <is>
          <t>X</t>
        </is>
      </c>
      <c r="D3092" s="5" t="n">
        <v>201</v>
      </c>
      <c r="E3092" s="73">
        <f>B3092*D3092/10000</f>
        <v/>
      </c>
      <c r="F3092" s="74">
        <f>B3092/30.48</f>
        <v/>
      </c>
      <c r="G3092" s="74">
        <f>D3092/30.48</f>
        <v/>
      </c>
      <c r="H3092" s="615" t="n"/>
      <c r="O3092" s="1" t="n"/>
      <c r="P3092" s="1" t="n"/>
      <c r="Q3092" s="1" t="n"/>
      <c r="R3092" s="1" t="n"/>
    </row>
    <row r="3093" ht="18" customHeight="1" s="305">
      <c r="A3093" s="8" t="n">
        <v>4501</v>
      </c>
      <c r="B3093" s="5" t="n">
        <v>152</v>
      </c>
      <c r="C3093" s="72" t="inlineStr">
        <is>
          <t>X</t>
        </is>
      </c>
      <c r="D3093" s="5" t="n">
        <v>257</v>
      </c>
      <c r="E3093" s="73">
        <f>B3093*D3093/10000</f>
        <v/>
      </c>
      <c r="F3093" s="74">
        <f>B3093/30.48</f>
        <v/>
      </c>
      <c r="G3093" s="74">
        <f>D3093/30.48</f>
        <v/>
      </c>
      <c r="H3093" s="615" t="n"/>
      <c r="O3093" s="1" t="n"/>
      <c r="P3093" s="1" t="n"/>
      <c r="Q3093" s="1" t="n"/>
      <c r="R3093" s="1" t="n"/>
    </row>
    <row r="3094" ht="18" customHeight="1" s="305">
      <c r="A3094" s="8" t="n">
        <v>4502</v>
      </c>
      <c r="B3094" s="5" t="n">
        <v>145</v>
      </c>
      <c r="C3094" s="72" t="inlineStr">
        <is>
          <t>X</t>
        </is>
      </c>
      <c r="D3094" s="5" t="n">
        <v>179</v>
      </c>
      <c r="E3094" s="73">
        <f>B3094*D3094/10000</f>
        <v/>
      </c>
      <c r="F3094" s="74">
        <f>B3094/30.48</f>
        <v/>
      </c>
      <c r="G3094" s="74">
        <f>D3094/30.48</f>
        <v/>
      </c>
      <c r="H3094" s="615" t="n"/>
      <c r="O3094" s="1" t="n"/>
      <c r="P3094" s="1" t="n"/>
      <c r="Q3094" s="1" t="n"/>
      <c r="R3094" s="1" t="n"/>
    </row>
    <row r="3095" ht="18" customHeight="1" s="305">
      <c r="A3095" s="8" t="n">
        <v>4503</v>
      </c>
      <c r="B3095" s="5" t="n">
        <v>188</v>
      </c>
      <c r="C3095" s="72" t="inlineStr">
        <is>
          <t>X</t>
        </is>
      </c>
      <c r="D3095" s="5" t="n">
        <v>295</v>
      </c>
      <c r="E3095" s="73">
        <f>B3095*D3095/10000</f>
        <v/>
      </c>
      <c r="F3095" s="74">
        <f>B3095/30.48</f>
        <v/>
      </c>
      <c r="G3095" s="74">
        <f>D3095/30.48</f>
        <v/>
      </c>
      <c r="H3095" s="615" t="n"/>
      <c r="O3095" s="1" t="n"/>
      <c r="P3095" s="1" t="n"/>
      <c r="Q3095" s="1" t="n"/>
      <c r="R3095" s="1" t="n"/>
    </row>
    <row r="3096" ht="18" customHeight="1" s="305">
      <c r="A3096" s="8" t="n">
        <v>4504</v>
      </c>
      <c r="B3096" s="5" t="n">
        <v>83</v>
      </c>
      <c r="C3096" s="72" t="inlineStr">
        <is>
          <t>X</t>
        </is>
      </c>
      <c r="D3096" s="5" t="n">
        <v>366</v>
      </c>
      <c r="E3096" s="73">
        <f>B3096*D3096/10000</f>
        <v/>
      </c>
      <c r="F3096" s="74">
        <f>B3096/30.48</f>
        <v/>
      </c>
      <c r="G3096" s="74">
        <f>D3096/30.48</f>
        <v/>
      </c>
      <c r="H3096" s="615" t="n"/>
      <c r="O3096" s="1" t="n"/>
      <c r="P3096" s="1" t="n"/>
      <c r="Q3096" s="1" t="n"/>
      <c r="R3096" s="1" t="n"/>
    </row>
    <row r="3097" ht="18" customHeight="1" s="305">
      <c r="A3097" s="8" t="n">
        <v>4505</v>
      </c>
      <c r="B3097" s="5" t="n">
        <v>80</v>
      </c>
      <c r="C3097" s="72" t="inlineStr">
        <is>
          <t>X</t>
        </is>
      </c>
      <c r="D3097" s="5" t="n">
        <v>506</v>
      </c>
      <c r="E3097" s="73">
        <f>B3097*D3097/10000</f>
        <v/>
      </c>
      <c r="F3097" s="74">
        <f>B3097/30.48</f>
        <v/>
      </c>
      <c r="G3097" s="74">
        <f>D3097/30.48</f>
        <v/>
      </c>
      <c r="H3097" s="615" t="n"/>
      <c r="O3097" s="1" t="n"/>
      <c r="P3097" s="1" t="n"/>
      <c r="Q3097" s="1" t="n"/>
      <c r="R3097" s="1" t="n"/>
    </row>
    <row r="3098" ht="18" customHeight="1" s="305">
      <c r="A3098" s="8" t="n">
        <v>4506</v>
      </c>
      <c r="B3098" s="5" t="n">
        <v>165</v>
      </c>
      <c r="C3098" s="72" t="inlineStr">
        <is>
          <t>X</t>
        </is>
      </c>
      <c r="D3098" s="5" t="n">
        <v>245</v>
      </c>
      <c r="E3098" s="73">
        <f>B3098*D3098/10000</f>
        <v/>
      </c>
      <c r="F3098" s="74">
        <f>B3098/30.48</f>
        <v/>
      </c>
      <c r="G3098" s="74">
        <f>D3098/30.48</f>
        <v/>
      </c>
      <c r="H3098" s="615" t="n"/>
      <c r="O3098" s="1" t="n"/>
      <c r="P3098" s="1" t="n"/>
      <c r="Q3098" s="1" t="n"/>
      <c r="R3098" s="1" t="n"/>
    </row>
    <row r="3099" ht="18" customHeight="1" s="305">
      <c r="A3099" s="8" t="n">
        <v>4508</v>
      </c>
      <c r="B3099" s="5" t="n">
        <v>113</v>
      </c>
      <c r="C3099" s="72" t="inlineStr">
        <is>
          <t>X</t>
        </is>
      </c>
      <c r="D3099" s="5" t="n">
        <v>200</v>
      </c>
      <c r="E3099" s="73">
        <f>B3099*D3099/10000</f>
        <v/>
      </c>
      <c r="F3099" s="74">
        <f>B3099/30.48</f>
        <v/>
      </c>
      <c r="G3099" s="74">
        <f>D3099/30.48</f>
        <v/>
      </c>
      <c r="H3099" s="615" t="n"/>
      <c r="O3099" s="1" t="n"/>
      <c r="P3099" s="1" t="n"/>
      <c r="Q3099" s="1" t="n"/>
      <c r="R3099" s="1" t="n"/>
    </row>
    <row r="3100" ht="18" customHeight="1" s="305">
      <c r="A3100" s="8" t="n">
        <v>4509</v>
      </c>
      <c r="B3100" s="5" t="n">
        <v>113</v>
      </c>
      <c r="C3100" s="72" t="inlineStr">
        <is>
          <t>X</t>
        </is>
      </c>
      <c r="D3100" s="5" t="n">
        <v>200</v>
      </c>
      <c r="E3100" s="73">
        <f>B3100*D3100/10000</f>
        <v/>
      </c>
      <c r="F3100" s="74">
        <f>B3100/30.48</f>
        <v/>
      </c>
      <c r="G3100" s="74">
        <f>D3100/30.48</f>
        <v/>
      </c>
      <c r="H3100" s="615" t="n"/>
      <c r="O3100" s="1" t="n"/>
      <c r="P3100" s="1" t="n"/>
      <c r="Q3100" s="1" t="n"/>
      <c r="R3100" s="1" t="n"/>
    </row>
    <row r="3101" ht="18" customHeight="1" s="305">
      <c r="A3101" s="8" t="n">
        <v>4510</v>
      </c>
      <c r="B3101" s="5" t="n">
        <v>109</v>
      </c>
      <c r="C3101" s="72" t="inlineStr">
        <is>
          <t>X</t>
        </is>
      </c>
      <c r="D3101" s="5" t="n">
        <v>193</v>
      </c>
      <c r="E3101" s="73">
        <f>B3101*D3101/10000</f>
        <v/>
      </c>
      <c r="F3101" s="74">
        <f>B3101/30.48</f>
        <v/>
      </c>
      <c r="G3101" s="74">
        <f>D3101/30.48</f>
        <v/>
      </c>
      <c r="H3101" s="615" t="n"/>
      <c r="O3101" s="1" t="n"/>
      <c r="P3101" s="1" t="n"/>
      <c r="Q3101" s="1" t="n"/>
      <c r="R3101" s="1" t="n"/>
    </row>
    <row r="3102" ht="18" customHeight="1" s="305">
      <c r="A3102" s="8" t="n">
        <v>4511</v>
      </c>
      <c r="B3102" s="5" t="n">
        <v>114</v>
      </c>
      <c r="C3102" s="72" t="inlineStr">
        <is>
          <t>X</t>
        </is>
      </c>
      <c r="D3102" s="5" t="n">
        <v>201</v>
      </c>
      <c r="E3102" s="73">
        <f>B3102*D3102/10000</f>
        <v/>
      </c>
      <c r="F3102" s="74">
        <f>B3102/30.48</f>
        <v/>
      </c>
      <c r="G3102" s="74">
        <f>D3102/30.48</f>
        <v/>
      </c>
      <c r="H3102" s="615" t="n"/>
      <c r="O3102" s="1" t="n"/>
      <c r="P3102" s="1" t="n"/>
      <c r="Q3102" s="1" t="n"/>
      <c r="R3102" s="1" t="n"/>
    </row>
    <row r="3103" ht="18" customHeight="1" s="305">
      <c r="A3103" s="8" t="n">
        <v>4512</v>
      </c>
      <c r="B3103" s="5" t="n">
        <v>217</v>
      </c>
      <c r="C3103" s="72" t="inlineStr">
        <is>
          <t>X</t>
        </is>
      </c>
      <c r="D3103" s="5" t="n">
        <v>292</v>
      </c>
      <c r="E3103" s="73">
        <f>B3103*D3103/10000</f>
        <v/>
      </c>
      <c r="F3103" s="74">
        <f>B3103/30.48</f>
        <v/>
      </c>
      <c r="G3103" s="74">
        <f>D3103/30.48</f>
        <v/>
      </c>
      <c r="H3103" s="615" t="n"/>
      <c r="O3103" s="1" t="n"/>
      <c r="P3103" s="1" t="n"/>
      <c r="Q3103" s="1" t="n"/>
      <c r="R3103" s="1" t="n"/>
    </row>
    <row r="3104" ht="18" customHeight="1" s="305">
      <c r="A3104" s="8" t="n">
        <v>4513</v>
      </c>
      <c r="B3104" s="5" t="n">
        <v>83</v>
      </c>
      <c r="C3104" s="72" t="inlineStr">
        <is>
          <t>X</t>
        </is>
      </c>
      <c r="D3104" s="5" t="n">
        <v>334</v>
      </c>
      <c r="E3104" s="73">
        <f>B3104*D3104/10000</f>
        <v/>
      </c>
      <c r="F3104" s="74">
        <f>B3104/30.48</f>
        <v/>
      </c>
      <c r="G3104" s="74">
        <f>D3104/30.48</f>
        <v/>
      </c>
      <c r="H3104" s="615" t="n"/>
      <c r="O3104" s="1" t="n"/>
      <c r="P3104" s="1" t="n"/>
      <c r="Q3104" s="1" t="n"/>
      <c r="R3104" s="1" t="n"/>
    </row>
    <row r="3105" ht="18" customHeight="1" s="305">
      <c r="A3105" s="8" t="n">
        <v>4514</v>
      </c>
      <c r="B3105" s="5" t="n">
        <v>127</v>
      </c>
      <c r="C3105" s="72" t="inlineStr">
        <is>
          <t>X</t>
        </is>
      </c>
      <c r="D3105" s="5" t="n">
        <v>253</v>
      </c>
      <c r="E3105" s="73">
        <f>B3105*D3105/10000</f>
        <v/>
      </c>
      <c r="F3105" s="74">
        <f>B3105/30.48</f>
        <v/>
      </c>
      <c r="G3105" s="74">
        <f>D3105/30.48</f>
        <v/>
      </c>
      <c r="H3105" s="615" t="n"/>
      <c r="O3105" s="1" t="n"/>
      <c r="P3105" s="1" t="n"/>
      <c r="Q3105" s="1" t="n"/>
      <c r="R3105" s="1" t="n"/>
    </row>
    <row r="3106" ht="18" customHeight="1" s="305">
      <c r="A3106" s="8" t="n">
        <v>4515</v>
      </c>
      <c r="B3106" s="5" t="n">
        <v>109</v>
      </c>
      <c r="C3106" s="72" t="inlineStr">
        <is>
          <t>X</t>
        </is>
      </c>
      <c r="D3106" s="5" t="n">
        <v>196</v>
      </c>
      <c r="E3106" s="73">
        <f>B3106*D3106/10000</f>
        <v/>
      </c>
      <c r="F3106" s="74">
        <f>B3106/30.48</f>
        <v/>
      </c>
      <c r="G3106" s="74">
        <f>D3106/30.48</f>
        <v/>
      </c>
      <c r="H3106" s="615" t="n"/>
      <c r="O3106" s="1" t="n"/>
      <c r="P3106" s="1" t="n"/>
      <c r="Q3106" s="1" t="n"/>
      <c r="R3106" s="1" t="n"/>
    </row>
    <row r="3107" ht="18" customHeight="1" s="305">
      <c r="A3107" s="8" t="inlineStr">
        <is>
          <t>E-3</t>
        </is>
      </c>
      <c r="C3107" s="72" t="inlineStr">
        <is>
          <t>X</t>
        </is>
      </c>
      <c r="E3107" s="73">
        <f>B3107*D3107/10000</f>
        <v/>
      </c>
      <c r="F3107" s="74">
        <f>B3107/30.48</f>
        <v/>
      </c>
      <c r="G3107" s="74">
        <f>D3107/30.48</f>
        <v/>
      </c>
      <c r="H3107" s="615" t="n"/>
    </row>
    <row r="3108" ht="18" customHeight="1" s="305">
      <c r="A3108" s="8" t="inlineStr">
        <is>
          <t>E-7</t>
        </is>
      </c>
      <c r="C3108" s="72" t="inlineStr">
        <is>
          <t>X</t>
        </is>
      </c>
      <c r="E3108" s="73">
        <f>B3108*D3108/10000</f>
        <v/>
      </c>
      <c r="F3108" s="74">
        <f>B3108/30.48</f>
        <v/>
      </c>
      <c r="G3108" s="74">
        <f>D3108/30.48</f>
        <v/>
      </c>
      <c r="H3108" s="615" t="n"/>
    </row>
    <row r="3109" ht="18" customHeight="1" s="305">
      <c r="A3109" s="8" t="inlineStr">
        <is>
          <t>E-8</t>
        </is>
      </c>
      <c r="C3109" s="72" t="inlineStr">
        <is>
          <t>X</t>
        </is>
      </c>
      <c r="E3109" s="73">
        <f>B3109*D3109/10000</f>
        <v/>
      </c>
      <c r="F3109" s="74">
        <f>B3109/30.48</f>
        <v/>
      </c>
      <c r="G3109" s="74">
        <f>D3109/30.48</f>
        <v/>
      </c>
      <c r="H3109" s="615" t="n"/>
    </row>
    <row r="3110" ht="18" customHeight="1" s="305">
      <c r="A3110" s="8" t="inlineStr">
        <is>
          <t>E-9</t>
        </is>
      </c>
      <c r="C3110" s="72" t="inlineStr">
        <is>
          <t>X</t>
        </is>
      </c>
      <c r="E3110" s="73">
        <f>B3110*D3110/10000</f>
        <v/>
      </c>
      <c r="F3110" s="74">
        <f>B3110/30.48</f>
        <v/>
      </c>
      <c r="G3110" s="74">
        <f>D3110/30.48</f>
        <v/>
      </c>
      <c r="H3110" s="615" t="n"/>
    </row>
    <row r="3111" ht="18" customHeight="1" s="305">
      <c r="A3111" s="8" t="inlineStr">
        <is>
          <t>E-11</t>
        </is>
      </c>
      <c r="C3111" s="72" t="inlineStr">
        <is>
          <t>X</t>
        </is>
      </c>
      <c r="E3111" s="73">
        <f>B3111*D3111/10000</f>
        <v/>
      </c>
      <c r="F3111" s="74">
        <f>B3111/30.48</f>
        <v/>
      </c>
      <c r="G3111" s="74">
        <f>D3111/30.48</f>
        <v/>
      </c>
      <c r="H3111" s="615" t="n"/>
    </row>
    <row r="3112" ht="18" customHeight="1" s="305">
      <c r="A3112" s="8" t="inlineStr">
        <is>
          <t>E-12</t>
        </is>
      </c>
      <c r="C3112" s="72" t="inlineStr">
        <is>
          <t>X</t>
        </is>
      </c>
      <c r="E3112" s="73">
        <f>B3112*D3112/10000</f>
        <v/>
      </c>
      <c r="F3112" s="74">
        <f>B3112/30.48</f>
        <v/>
      </c>
      <c r="G3112" s="74">
        <f>D3112/30.48</f>
        <v/>
      </c>
      <c r="H3112" s="615" t="n"/>
    </row>
    <row r="3113" ht="18" customHeight="1" s="305">
      <c r="A3113" s="8" t="inlineStr">
        <is>
          <t>E-13</t>
        </is>
      </c>
      <c r="C3113" s="72" t="inlineStr">
        <is>
          <t>X</t>
        </is>
      </c>
      <c r="E3113" s="73">
        <f>B3113*D3113/10000</f>
        <v/>
      </c>
      <c r="F3113" s="74">
        <f>B3113/30.48</f>
        <v/>
      </c>
      <c r="G3113" s="74">
        <f>D3113/30.48</f>
        <v/>
      </c>
      <c r="H3113" s="615" t="n"/>
    </row>
    <row r="3114" ht="18" customHeight="1" s="305">
      <c r="A3114" s="8" t="inlineStr">
        <is>
          <t>E-14</t>
        </is>
      </c>
      <c r="C3114" s="72" t="inlineStr">
        <is>
          <t>X</t>
        </is>
      </c>
      <c r="E3114" s="73">
        <f>B3114*D3114/10000</f>
        <v/>
      </c>
      <c r="F3114" s="74">
        <f>B3114/30.48</f>
        <v/>
      </c>
      <c r="G3114" s="74">
        <f>D3114/30.48</f>
        <v/>
      </c>
      <c r="H3114" s="615" t="n"/>
    </row>
    <row r="3115" ht="18" customHeight="1" s="305">
      <c r="A3115" s="8" t="inlineStr">
        <is>
          <t>E-15</t>
        </is>
      </c>
      <c r="C3115" s="72" t="inlineStr">
        <is>
          <t>X</t>
        </is>
      </c>
      <c r="E3115" s="73">
        <f>B3115*D3115/10000</f>
        <v/>
      </c>
      <c r="F3115" s="74">
        <f>B3115/30.48</f>
        <v/>
      </c>
      <c r="G3115" s="74">
        <f>D3115/30.48</f>
        <v/>
      </c>
      <c r="H3115" s="615" t="n"/>
    </row>
    <row r="3116" ht="18" customHeight="1" s="305">
      <c r="A3116" s="8" t="inlineStr">
        <is>
          <t>E-16</t>
        </is>
      </c>
      <c r="C3116" s="72" t="inlineStr">
        <is>
          <t>X</t>
        </is>
      </c>
      <c r="E3116" s="73">
        <f>B3116*D3116/10000</f>
        <v/>
      </c>
      <c r="F3116" s="74">
        <f>B3116/30.48</f>
        <v/>
      </c>
      <c r="G3116" s="74">
        <f>D3116/30.48</f>
        <v/>
      </c>
      <c r="H3116" s="615" t="n"/>
    </row>
    <row r="3117" ht="18" customHeight="1" s="305">
      <c r="A3117" s="8" t="inlineStr">
        <is>
          <t>E-17</t>
        </is>
      </c>
      <c r="C3117" s="72" t="inlineStr">
        <is>
          <t>X</t>
        </is>
      </c>
      <c r="E3117" s="73">
        <f>B3117*D3117/10000</f>
        <v/>
      </c>
      <c r="F3117" s="74">
        <f>B3117/30.48</f>
        <v/>
      </c>
      <c r="G3117" s="74">
        <f>D3117/30.48</f>
        <v/>
      </c>
      <c r="H3117" s="615" t="n"/>
    </row>
    <row r="3118" ht="18" customHeight="1" s="305">
      <c r="A3118" s="8" t="inlineStr">
        <is>
          <t>E-18</t>
        </is>
      </c>
      <c r="C3118" s="72" t="inlineStr">
        <is>
          <t>X</t>
        </is>
      </c>
      <c r="E3118" s="73">
        <f>B3118*D3118/10000</f>
        <v/>
      </c>
      <c r="F3118" s="74">
        <f>B3118/30.48</f>
        <v/>
      </c>
      <c r="G3118" s="74">
        <f>D3118/30.48</f>
        <v/>
      </c>
      <c r="H3118" s="615" t="n"/>
    </row>
    <row r="3119" ht="18" customHeight="1" s="305">
      <c r="A3119" s="8" t="inlineStr">
        <is>
          <t>E-19</t>
        </is>
      </c>
      <c r="C3119" s="72" t="inlineStr">
        <is>
          <t>X</t>
        </is>
      </c>
      <c r="E3119" s="73">
        <f>B3119*D3119/10000</f>
        <v/>
      </c>
      <c r="F3119" s="74">
        <f>B3119/30.48</f>
        <v/>
      </c>
      <c r="G3119" s="74">
        <f>D3119/30.48</f>
        <v/>
      </c>
      <c r="H3119" s="615" t="n"/>
    </row>
    <row r="3120" ht="18" customHeight="1" s="305">
      <c r="A3120" s="8" t="inlineStr">
        <is>
          <t>E-20</t>
        </is>
      </c>
      <c r="C3120" s="72" t="inlineStr">
        <is>
          <t>X</t>
        </is>
      </c>
      <c r="E3120" s="73">
        <f>B3120*D3120/10000</f>
        <v/>
      </c>
      <c r="F3120" s="74">
        <f>B3120/30.48</f>
        <v/>
      </c>
      <c r="G3120" s="74">
        <f>D3120/30.48</f>
        <v/>
      </c>
      <c r="H3120" s="615" t="n"/>
    </row>
    <row r="3121" ht="18" customHeight="1" s="305">
      <c r="A3121" s="8" t="inlineStr">
        <is>
          <t>E-21</t>
        </is>
      </c>
      <c r="C3121" s="72" t="inlineStr">
        <is>
          <t>X</t>
        </is>
      </c>
      <c r="E3121" s="73">
        <f>B3121*D3121/10000</f>
        <v/>
      </c>
      <c r="F3121" s="74">
        <f>B3121/30.48</f>
        <v/>
      </c>
      <c r="G3121" s="74">
        <f>D3121/30.48</f>
        <v/>
      </c>
      <c r="H3121" s="615" t="n"/>
    </row>
    <row r="3122" ht="18" customHeight="1" s="305">
      <c r="A3122" s="8" t="inlineStr">
        <is>
          <t>E-22</t>
        </is>
      </c>
      <c r="C3122" s="72" t="inlineStr">
        <is>
          <t>X</t>
        </is>
      </c>
      <c r="E3122" s="73">
        <f>B3122*D3122/10000</f>
        <v/>
      </c>
      <c r="F3122" s="74">
        <f>B3122/30.48</f>
        <v/>
      </c>
      <c r="G3122" s="74">
        <f>D3122/30.48</f>
        <v/>
      </c>
      <c r="H3122" s="615" t="n"/>
    </row>
    <row r="3123" ht="18" customHeight="1" s="305">
      <c r="A3123" s="8" t="inlineStr">
        <is>
          <t>E-23</t>
        </is>
      </c>
      <c r="C3123" s="72" t="inlineStr">
        <is>
          <t>X</t>
        </is>
      </c>
      <c r="E3123" s="73">
        <f>B3123*D3123/10000</f>
        <v/>
      </c>
      <c r="F3123" s="74">
        <f>B3123/30.48</f>
        <v/>
      </c>
      <c r="G3123" s="74">
        <f>D3123/30.48</f>
        <v/>
      </c>
      <c r="H3123" s="615" t="n"/>
    </row>
    <row r="3124" ht="18" customHeight="1" s="305">
      <c r="A3124" s="8" t="inlineStr">
        <is>
          <t>E-24</t>
        </is>
      </c>
      <c r="C3124" s="72" t="inlineStr">
        <is>
          <t>X</t>
        </is>
      </c>
      <c r="E3124" s="73">
        <f>B3124*D3124/10000</f>
        <v/>
      </c>
      <c r="F3124" s="74">
        <f>B3124/30.48</f>
        <v/>
      </c>
      <c r="G3124" s="74">
        <f>D3124/30.48</f>
        <v/>
      </c>
      <c r="H3124" s="615" t="n"/>
    </row>
    <row r="3125" ht="18" customHeight="1" s="305">
      <c r="A3125" s="8" t="inlineStr">
        <is>
          <t>E-25</t>
        </is>
      </c>
      <c r="C3125" s="72" t="inlineStr">
        <is>
          <t>X</t>
        </is>
      </c>
      <c r="E3125" s="73">
        <f>B3125*D3125/10000</f>
        <v/>
      </c>
      <c r="F3125" s="74">
        <f>B3125/30.48</f>
        <v/>
      </c>
      <c r="G3125" s="74">
        <f>D3125/30.48</f>
        <v/>
      </c>
      <c r="H3125" s="615" t="n"/>
    </row>
    <row r="3126" ht="18" customHeight="1" s="305">
      <c r="A3126" s="8" t="inlineStr">
        <is>
          <t>E-26</t>
        </is>
      </c>
      <c r="C3126" s="72" t="inlineStr">
        <is>
          <t>X</t>
        </is>
      </c>
      <c r="E3126" s="73">
        <f>B3126*D3126/10000</f>
        <v/>
      </c>
      <c r="F3126" s="74">
        <f>B3126/30.48</f>
        <v/>
      </c>
      <c r="G3126" s="74">
        <f>D3126/30.48</f>
        <v/>
      </c>
      <c r="H3126" s="615" t="n"/>
    </row>
    <row r="3127" ht="18" customHeight="1" s="305">
      <c r="A3127" s="8" t="inlineStr">
        <is>
          <t>E-27</t>
        </is>
      </c>
      <c r="C3127" s="72" t="inlineStr">
        <is>
          <t>X</t>
        </is>
      </c>
      <c r="E3127" s="73">
        <f>B3127*D3127/10000</f>
        <v/>
      </c>
      <c r="F3127" s="74">
        <f>B3127/30.48</f>
        <v/>
      </c>
      <c r="G3127" s="74">
        <f>D3127/30.48</f>
        <v/>
      </c>
      <c r="H3127" s="615" t="n"/>
    </row>
    <row r="3128" ht="18" customHeight="1" s="305">
      <c r="A3128" s="8" t="inlineStr">
        <is>
          <t>E-28</t>
        </is>
      </c>
      <c r="C3128" s="72" t="inlineStr">
        <is>
          <t>X</t>
        </is>
      </c>
      <c r="E3128" s="73">
        <f>B3128*D3128/10000</f>
        <v/>
      </c>
      <c r="F3128" s="74">
        <f>B3128/30.48</f>
        <v/>
      </c>
      <c r="G3128" s="74">
        <f>D3128/30.48</f>
        <v/>
      </c>
      <c r="H3128" s="615" t="n"/>
    </row>
    <row r="3129" ht="18" customHeight="1" s="305">
      <c r="A3129" s="8" t="inlineStr">
        <is>
          <t>E-29</t>
        </is>
      </c>
      <c r="C3129" s="72" t="inlineStr">
        <is>
          <t>X</t>
        </is>
      </c>
      <c r="E3129" s="73">
        <f>B3129*D3129/10000</f>
        <v/>
      </c>
      <c r="F3129" s="74">
        <f>B3129/30.48</f>
        <v/>
      </c>
      <c r="G3129" s="74">
        <f>D3129/30.48</f>
        <v/>
      </c>
      <c r="H3129" s="615" t="n"/>
    </row>
    <row r="3130" ht="18" customHeight="1" s="305">
      <c r="A3130" s="8" t="inlineStr">
        <is>
          <t>E-30</t>
        </is>
      </c>
      <c r="C3130" s="72" t="inlineStr">
        <is>
          <t>X</t>
        </is>
      </c>
      <c r="E3130" s="73">
        <f>B3130*D3130/10000</f>
        <v/>
      </c>
      <c r="F3130" s="74">
        <f>B3130/30.48</f>
        <v/>
      </c>
      <c r="G3130" s="74">
        <f>D3130/30.48</f>
        <v/>
      </c>
      <c r="H3130" s="615" t="n"/>
    </row>
    <row r="3131" ht="18" customHeight="1" s="305">
      <c r="A3131" s="8" t="inlineStr">
        <is>
          <t>E-31</t>
        </is>
      </c>
      <c r="C3131" s="72" t="inlineStr">
        <is>
          <t>X</t>
        </is>
      </c>
      <c r="E3131" s="73">
        <f>B3131*D3131/10000</f>
        <v/>
      </c>
      <c r="F3131" s="74">
        <f>B3131/30.48</f>
        <v/>
      </c>
      <c r="G3131" s="74">
        <f>D3131/30.48</f>
        <v/>
      </c>
      <c r="H3131" s="615" t="n"/>
    </row>
    <row r="3132" ht="18" customHeight="1" s="305">
      <c r="A3132" s="8" t="inlineStr">
        <is>
          <t>E-32</t>
        </is>
      </c>
      <c r="C3132" s="72" t="inlineStr">
        <is>
          <t>X</t>
        </is>
      </c>
      <c r="E3132" s="73">
        <f>B3132*D3132/10000</f>
        <v/>
      </c>
      <c r="F3132" s="74">
        <f>B3132/30.48</f>
        <v/>
      </c>
      <c r="G3132" s="74">
        <f>D3132/30.48</f>
        <v/>
      </c>
      <c r="H3132" s="615" t="n"/>
    </row>
    <row r="3133" ht="18" customHeight="1" s="305">
      <c r="A3133" s="8" t="inlineStr">
        <is>
          <t>E-33</t>
        </is>
      </c>
      <c r="C3133" s="72" t="inlineStr">
        <is>
          <t>X</t>
        </is>
      </c>
      <c r="E3133" s="73">
        <f>B3133*D3133/10000</f>
        <v/>
      </c>
      <c r="F3133" s="74">
        <f>B3133/30.48</f>
        <v/>
      </c>
      <c r="G3133" s="74">
        <f>D3133/30.48</f>
        <v/>
      </c>
      <c r="H3133" s="615" t="n"/>
    </row>
    <row r="3134" ht="18" customHeight="1" s="305">
      <c r="A3134" s="8" t="inlineStr">
        <is>
          <t>E-34</t>
        </is>
      </c>
      <c r="C3134" s="72" t="inlineStr">
        <is>
          <t>X</t>
        </is>
      </c>
      <c r="E3134" s="73">
        <f>B3134*D3134/10000</f>
        <v/>
      </c>
      <c r="F3134" s="74">
        <f>B3134/30.48</f>
        <v/>
      </c>
      <c r="G3134" s="74">
        <f>D3134/30.48</f>
        <v/>
      </c>
      <c r="H3134" s="615" t="n"/>
    </row>
    <row r="3135" ht="18" customHeight="1" s="305">
      <c r="A3135" s="8" t="inlineStr">
        <is>
          <t>E-35</t>
        </is>
      </c>
      <c r="C3135" s="72" t="inlineStr">
        <is>
          <t>X</t>
        </is>
      </c>
      <c r="E3135" s="73">
        <f>B3135*D3135/10000</f>
        <v/>
      </c>
      <c r="F3135" s="74">
        <f>B3135/30.48</f>
        <v/>
      </c>
      <c r="G3135" s="74">
        <f>D3135/30.48</f>
        <v/>
      </c>
      <c r="H3135" s="615" t="n"/>
    </row>
    <row r="3136" ht="18" customHeight="1" s="305">
      <c r="A3136" s="8" t="inlineStr">
        <is>
          <t>E-36</t>
        </is>
      </c>
      <c r="C3136" s="72" t="inlineStr">
        <is>
          <t>X</t>
        </is>
      </c>
      <c r="E3136" s="73">
        <f>B3136*D3136/10000</f>
        <v/>
      </c>
      <c r="F3136" s="74">
        <f>B3136/30.48</f>
        <v/>
      </c>
      <c r="G3136" s="74">
        <f>D3136/30.48</f>
        <v/>
      </c>
      <c r="H3136" s="615" t="n"/>
    </row>
    <row r="3137" ht="18" customHeight="1" s="305">
      <c r="A3137" s="8" t="inlineStr">
        <is>
          <t>E-37</t>
        </is>
      </c>
      <c r="C3137" s="72" t="inlineStr">
        <is>
          <t>X</t>
        </is>
      </c>
      <c r="E3137" s="73">
        <f>B3137*D3137/10000</f>
        <v/>
      </c>
      <c r="F3137" s="74">
        <f>B3137/30.48</f>
        <v/>
      </c>
      <c r="G3137" s="74">
        <f>D3137/30.48</f>
        <v/>
      </c>
      <c r="H3137" s="615" t="n"/>
    </row>
    <row r="3138" ht="18" customHeight="1" s="305">
      <c r="A3138" s="8" t="inlineStr">
        <is>
          <t>E-38</t>
        </is>
      </c>
      <c r="C3138" s="72" t="inlineStr">
        <is>
          <t>X</t>
        </is>
      </c>
      <c r="E3138" s="73">
        <f>B3138*D3138/10000</f>
        <v/>
      </c>
      <c r="F3138" s="74">
        <f>B3138/30.48</f>
        <v/>
      </c>
      <c r="G3138" s="74">
        <f>D3138/30.48</f>
        <v/>
      </c>
      <c r="H3138" s="615" t="n"/>
    </row>
    <row r="3139" ht="18" customHeight="1" s="305">
      <c r="A3139" s="8" t="inlineStr">
        <is>
          <t>E-39</t>
        </is>
      </c>
      <c r="C3139" s="72" t="inlineStr">
        <is>
          <t>X</t>
        </is>
      </c>
      <c r="E3139" s="73">
        <f>B3139*D3139/10000</f>
        <v/>
      </c>
      <c r="F3139" s="74">
        <f>B3139/30.48</f>
        <v/>
      </c>
      <c r="G3139" s="74">
        <f>D3139/30.48</f>
        <v/>
      </c>
      <c r="H3139" s="615" t="n"/>
    </row>
    <row r="3140" ht="18" customHeight="1" s="305">
      <c r="A3140" s="8" t="inlineStr">
        <is>
          <t>E-40</t>
        </is>
      </c>
      <c r="C3140" s="72" t="inlineStr">
        <is>
          <t>X</t>
        </is>
      </c>
      <c r="E3140" s="73">
        <f>B3140*D3140/10000</f>
        <v/>
      </c>
      <c r="F3140" s="74">
        <f>B3140/30.48</f>
        <v/>
      </c>
      <c r="G3140" s="74">
        <f>D3140/30.48</f>
        <v/>
      </c>
      <c r="H3140" s="615" t="n"/>
    </row>
    <row r="3141" ht="18" customHeight="1" s="305">
      <c r="A3141" s="8" t="inlineStr">
        <is>
          <t>E-41</t>
        </is>
      </c>
      <c r="C3141" s="72" t="inlineStr">
        <is>
          <t>X</t>
        </is>
      </c>
      <c r="E3141" s="73">
        <f>B3141*D3141/10000</f>
        <v/>
      </c>
      <c r="F3141" s="74">
        <f>B3141/30.48</f>
        <v/>
      </c>
      <c r="G3141" s="74">
        <f>D3141/30.48</f>
        <v/>
      </c>
      <c r="H3141" s="615" t="n"/>
    </row>
    <row r="3142" ht="18" customHeight="1" s="305">
      <c r="A3142" s="8" t="inlineStr">
        <is>
          <t>E-42</t>
        </is>
      </c>
      <c r="C3142" s="72" t="inlineStr">
        <is>
          <t>X</t>
        </is>
      </c>
      <c r="E3142" s="73">
        <f>B3142*D3142/10000</f>
        <v/>
      </c>
      <c r="F3142" s="74">
        <f>B3142/30.48</f>
        <v/>
      </c>
      <c r="G3142" s="74">
        <f>D3142/30.48</f>
        <v/>
      </c>
      <c r="H3142" s="615" t="n"/>
    </row>
    <row r="3143" ht="18" customHeight="1" s="305">
      <c r="A3143" s="8" t="inlineStr">
        <is>
          <t>E-43</t>
        </is>
      </c>
      <c r="C3143" s="72" t="inlineStr">
        <is>
          <t>X</t>
        </is>
      </c>
      <c r="E3143" s="73">
        <f>B3143*D3143/10000</f>
        <v/>
      </c>
      <c r="F3143" s="74">
        <f>B3143/30.48</f>
        <v/>
      </c>
      <c r="G3143" s="74">
        <f>D3143/30.48</f>
        <v/>
      </c>
      <c r="H3143" s="615" t="n"/>
    </row>
    <row r="3144" ht="18" customHeight="1" s="305">
      <c r="A3144" s="8" t="inlineStr">
        <is>
          <t>E-44</t>
        </is>
      </c>
      <c r="C3144" s="72" t="inlineStr">
        <is>
          <t>X</t>
        </is>
      </c>
      <c r="E3144" s="73">
        <f>B3144*D3144/10000</f>
        <v/>
      </c>
      <c r="F3144" s="74">
        <f>B3144/30.48</f>
        <v/>
      </c>
      <c r="G3144" s="74">
        <f>D3144/30.48</f>
        <v/>
      </c>
      <c r="H3144" s="615" t="n"/>
    </row>
    <row r="3145" ht="18" customHeight="1" s="305">
      <c r="A3145" s="8" t="inlineStr">
        <is>
          <t>E-45</t>
        </is>
      </c>
      <c r="C3145" s="72" t="inlineStr">
        <is>
          <t>X</t>
        </is>
      </c>
      <c r="E3145" s="73">
        <f>B3145*D3145/10000</f>
        <v/>
      </c>
      <c r="F3145" s="74">
        <f>B3145/30.48</f>
        <v/>
      </c>
      <c r="G3145" s="74">
        <f>D3145/30.48</f>
        <v/>
      </c>
      <c r="H3145" s="615" t="n"/>
    </row>
    <row r="3146" ht="18" customHeight="1" s="305">
      <c r="A3146" s="8" t="inlineStr">
        <is>
          <t>E-46</t>
        </is>
      </c>
      <c r="C3146" s="72" t="inlineStr">
        <is>
          <t>X</t>
        </is>
      </c>
      <c r="E3146" s="73">
        <f>B3146*D3146/10000</f>
        <v/>
      </c>
      <c r="F3146" s="74">
        <f>B3146/30.48</f>
        <v/>
      </c>
      <c r="G3146" s="74">
        <f>D3146/30.48</f>
        <v/>
      </c>
      <c r="H3146" s="615" t="n"/>
    </row>
    <row r="3147" ht="18" customHeight="1" s="305">
      <c r="A3147" s="8" t="inlineStr">
        <is>
          <t>E-47</t>
        </is>
      </c>
      <c r="C3147" s="72" t="inlineStr">
        <is>
          <t>X</t>
        </is>
      </c>
      <c r="E3147" s="73">
        <f>B3147*D3147/10000</f>
        <v/>
      </c>
      <c r="F3147" s="74">
        <f>B3147/30.48</f>
        <v/>
      </c>
      <c r="G3147" s="74">
        <f>D3147/30.48</f>
        <v/>
      </c>
      <c r="H3147" s="615" t="n"/>
    </row>
    <row r="3148" ht="18" customHeight="1" s="305">
      <c r="A3148" s="8" t="inlineStr">
        <is>
          <t>E-48</t>
        </is>
      </c>
      <c r="C3148" s="72" t="inlineStr">
        <is>
          <t>X</t>
        </is>
      </c>
      <c r="E3148" s="73">
        <f>B3148*D3148/10000</f>
        <v/>
      </c>
      <c r="F3148" s="74">
        <f>B3148/30.48</f>
        <v/>
      </c>
      <c r="G3148" s="74">
        <f>D3148/30.48</f>
        <v/>
      </c>
      <c r="H3148" s="615" t="n"/>
    </row>
    <row r="3149" ht="18" customHeight="1" s="305">
      <c r="A3149" s="8" t="inlineStr">
        <is>
          <t>E-49</t>
        </is>
      </c>
      <c r="C3149" s="72" t="inlineStr">
        <is>
          <t>X</t>
        </is>
      </c>
      <c r="E3149" s="73">
        <f>B3149*D3149/10000</f>
        <v/>
      </c>
      <c r="F3149" s="74">
        <f>B3149/30.48</f>
        <v/>
      </c>
      <c r="G3149" s="74">
        <f>D3149/30.48</f>
        <v/>
      </c>
      <c r="H3149" s="615" t="n"/>
    </row>
    <row r="3150" ht="18" customHeight="1" s="305">
      <c r="A3150" s="8" t="inlineStr">
        <is>
          <t>E-50</t>
        </is>
      </c>
      <c r="C3150" s="72" t="inlineStr">
        <is>
          <t>X</t>
        </is>
      </c>
      <c r="E3150" s="73">
        <f>B3150*D3150/10000</f>
        <v/>
      </c>
      <c r="F3150" s="74">
        <f>B3150/30.48</f>
        <v/>
      </c>
      <c r="G3150" s="74">
        <f>D3150/30.48</f>
        <v/>
      </c>
      <c r="H3150" s="615" t="n"/>
    </row>
    <row r="3151" ht="18" customHeight="1" s="305">
      <c r="A3151" s="8" t="inlineStr">
        <is>
          <t>E-51</t>
        </is>
      </c>
      <c r="C3151" s="72" t="inlineStr">
        <is>
          <t>X</t>
        </is>
      </c>
      <c r="E3151" s="73">
        <f>B3151*D3151/10000</f>
        <v/>
      </c>
      <c r="F3151" s="74">
        <f>B3151/30.48</f>
        <v/>
      </c>
      <c r="G3151" s="74">
        <f>D3151/30.48</f>
        <v/>
      </c>
      <c r="H3151" s="615" t="n"/>
    </row>
    <row r="3152" ht="18" customHeight="1" s="305">
      <c r="A3152" s="8" t="inlineStr">
        <is>
          <t>E-52</t>
        </is>
      </c>
      <c r="C3152" s="72" t="inlineStr">
        <is>
          <t>X</t>
        </is>
      </c>
      <c r="E3152" s="73">
        <f>B3152*D3152/10000</f>
        <v/>
      </c>
      <c r="F3152" s="74">
        <f>B3152/30.48</f>
        <v/>
      </c>
      <c r="G3152" s="74">
        <f>D3152/30.48</f>
        <v/>
      </c>
      <c r="H3152" s="615" t="n"/>
    </row>
    <row r="3153" ht="18" customHeight="1" s="305">
      <c r="A3153" s="8" t="inlineStr">
        <is>
          <t>E-53</t>
        </is>
      </c>
      <c r="C3153" s="72" t="inlineStr">
        <is>
          <t>X</t>
        </is>
      </c>
      <c r="E3153" s="73">
        <f>B3153*D3153/10000</f>
        <v/>
      </c>
      <c r="F3153" s="74">
        <f>B3153/30.48</f>
        <v/>
      </c>
      <c r="G3153" s="74">
        <f>D3153/30.48</f>
        <v/>
      </c>
      <c r="H3153" s="615" t="n"/>
    </row>
    <row r="3154" ht="18" customHeight="1" s="305">
      <c r="A3154" s="8" t="inlineStr">
        <is>
          <t>E-54</t>
        </is>
      </c>
      <c r="C3154" s="72" t="inlineStr">
        <is>
          <t>X</t>
        </is>
      </c>
      <c r="E3154" s="73">
        <f>B3154*D3154/10000</f>
        <v/>
      </c>
      <c r="F3154" s="74">
        <f>B3154/30.48</f>
        <v/>
      </c>
      <c r="G3154" s="74">
        <f>D3154/30.48</f>
        <v/>
      </c>
      <c r="H3154" s="615" t="n"/>
    </row>
    <row r="3155" ht="18" customHeight="1" s="305">
      <c r="A3155" s="8" t="inlineStr">
        <is>
          <t>E-55</t>
        </is>
      </c>
      <c r="C3155" s="72" t="inlineStr">
        <is>
          <t>X</t>
        </is>
      </c>
      <c r="E3155" s="73">
        <f>B3155*D3155/10000</f>
        <v/>
      </c>
      <c r="F3155" s="74">
        <f>B3155/30.48</f>
        <v/>
      </c>
      <c r="G3155" s="74">
        <f>D3155/30.48</f>
        <v/>
      </c>
      <c r="H3155" s="615" t="n"/>
    </row>
    <row r="3156" ht="18" customHeight="1" s="305">
      <c r="A3156" s="8" t="inlineStr">
        <is>
          <t>E-56</t>
        </is>
      </c>
      <c r="C3156" s="72" t="inlineStr">
        <is>
          <t>X</t>
        </is>
      </c>
      <c r="E3156" s="73">
        <f>B3156*D3156/10000</f>
        <v/>
      </c>
      <c r="F3156" s="74">
        <f>B3156/30.48</f>
        <v/>
      </c>
      <c r="G3156" s="74">
        <f>D3156/30.48</f>
        <v/>
      </c>
      <c r="H3156" s="615" t="n"/>
    </row>
    <row r="3157" ht="18" customHeight="1" s="305">
      <c r="A3157" s="8" t="inlineStr">
        <is>
          <t>E-57</t>
        </is>
      </c>
      <c r="C3157" s="72" t="inlineStr">
        <is>
          <t>X</t>
        </is>
      </c>
      <c r="E3157" s="73">
        <f>B3157*D3157/10000</f>
        <v/>
      </c>
      <c r="F3157" s="74">
        <f>B3157/30.48</f>
        <v/>
      </c>
      <c r="G3157" s="74">
        <f>D3157/30.48</f>
        <v/>
      </c>
      <c r="H3157" s="615" t="n"/>
    </row>
    <row r="3158" ht="18" customHeight="1" s="305">
      <c r="A3158" s="8" t="inlineStr">
        <is>
          <t>E-58</t>
        </is>
      </c>
      <c r="C3158" s="72" t="inlineStr">
        <is>
          <t>X</t>
        </is>
      </c>
      <c r="E3158" s="73">
        <f>B3158*D3158/10000</f>
        <v/>
      </c>
      <c r="F3158" s="74">
        <f>B3158/30.48</f>
        <v/>
      </c>
      <c r="G3158" s="74">
        <f>D3158/30.48</f>
        <v/>
      </c>
      <c r="H3158" s="615" t="n"/>
    </row>
    <row r="3159" ht="18" customHeight="1" s="305">
      <c r="A3159" s="8" t="inlineStr">
        <is>
          <t>E-59</t>
        </is>
      </c>
      <c r="C3159" s="72" t="inlineStr">
        <is>
          <t>X</t>
        </is>
      </c>
      <c r="E3159" s="73">
        <f>B3159*D3159/10000</f>
        <v/>
      </c>
      <c r="F3159" s="74">
        <f>B3159/30.48</f>
        <v/>
      </c>
      <c r="G3159" s="74">
        <f>D3159/30.48</f>
        <v/>
      </c>
      <c r="H3159" s="615" t="n"/>
    </row>
    <row r="3160" ht="18" customHeight="1" s="305">
      <c r="A3160" s="8" t="inlineStr">
        <is>
          <t>E-60</t>
        </is>
      </c>
      <c r="C3160" s="72" t="inlineStr">
        <is>
          <t>X</t>
        </is>
      </c>
      <c r="E3160" s="73">
        <f>B3160*D3160/10000</f>
        <v/>
      </c>
      <c r="F3160" s="74">
        <f>B3160/30.48</f>
        <v/>
      </c>
      <c r="G3160" s="74">
        <f>D3160/30.48</f>
        <v/>
      </c>
      <c r="H3160" s="615" t="n"/>
    </row>
    <row r="3161" ht="18" customHeight="1" s="305">
      <c r="A3161" s="8" t="inlineStr">
        <is>
          <t>E-61</t>
        </is>
      </c>
      <c r="C3161" s="72" t="inlineStr">
        <is>
          <t>X</t>
        </is>
      </c>
      <c r="E3161" s="73">
        <f>B3161*D3161/10000</f>
        <v/>
      </c>
      <c r="F3161" s="74">
        <f>B3161/30.48</f>
        <v/>
      </c>
      <c r="G3161" s="74">
        <f>D3161/30.48</f>
        <v/>
      </c>
      <c r="H3161" s="615" t="n"/>
    </row>
    <row r="3162" ht="18" customHeight="1" s="305">
      <c r="A3162" s="8" t="inlineStr">
        <is>
          <t>E-62</t>
        </is>
      </c>
      <c r="C3162" s="72" t="inlineStr">
        <is>
          <t>X</t>
        </is>
      </c>
      <c r="E3162" s="73">
        <f>B3162*D3162/10000</f>
        <v/>
      </c>
      <c r="F3162" s="74">
        <f>B3162/30.48</f>
        <v/>
      </c>
      <c r="G3162" s="74">
        <f>D3162/30.48</f>
        <v/>
      </c>
      <c r="H3162" s="615" t="n"/>
    </row>
    <row r="3163" ht="18" customHeight="1" s="305">
      <c r="A3163" s="8" t="inlineStr">
        <is>
          <t>E-63</t>
        </is>
      </c>
      <c r="C3163" s="72" t="inlineStr">
        <is>
          <t>X</t>
        </is>
      </c>
      <c r="E3163" s="73">
        <f>B3163*D3163/10000</f>
        <v/>
      </c>
      <c r="F3163" s="74">
        <f>B3163/30.48</f>
        <v/>
      </c>
      <c r="G3163" s="74">
        <f>D3163/30.48</f>
        <v/>
      </c>
      <c r="H3163" s="615" t="n"/>
    </row>
    <row r="3164" ht="18" customHeight="1" s="305">
      <c r="A3164" s="8" t="inlineStr">
        <is>
          <t>E-64</t>
        </is>
      </c>
      <c r="C3164" s="72" t="inlineStr">
        <is>
          <t>X</t>
        </is>
      </c>
      <c r="E3164" s="73">
        <f>B3164*D3164/10000</f>
        <v/>
      </c>
      <c r="F3164" s="74">
        <f>B3164/30.48</f>
        <v/>
      </c>
      <c r="G3164" s="74">
        <f>D3164/30.48</f>
        <v/>
      </c>
      <c r="H3164" s="615" t="n"/>
    </row>
    <row r="3165" ht="18" customHeight="1" s="305">
      <c r="A3165" s="8" t="inlineStr">
        <is>
          <t>E-65</t>
        </is>
      </c>
      <c r="C3165" s="72" t="inlineStr">
        <is>
          <t>X</t>
        </is>
      </c>
      <c r="E3165" s="73">
        <f>B3165*D3165/10000</f>
        <v/>
      </c>
      <c r="F3165" s="74">
        <f>B3165/30.48</f>
        <v/>
      </c>
      <c r="G3165" s="74">
        <f>D3165/30.48</f>
        <v/>
      </c>
      <c r="H3165" s="615" t="n"/>
    </row>
    <row r="3166" ht="18" customHeight="1" s="305">
      <c r="A3166" s="8" t="inlineStr">
        <is>
          <t>E-66</t>
        </is>
      </c>
      <c r="C3166" s="72" t="inlineStr">
        <is>
          <t>X</t>
        </is>
      </c>
      <c r="E3166" s="73">
        <f>B3166*D3166/10000</f>
        <v/>
      </c>
      <c r="F3166" s="74">
        <f>B3166/30.48</f>
        <v/>
      </c>
      <c r="G3166" s="74">
        <f>D3166/30.48</f>
        <v/>
      </c>
      <c r="H3166" s="615" t="n"/>
    </row>
    <row r="3167" ht="18" customHeight="1" s="305">
      <c r="A3167" s="8" t="inlineStr">
        <is>
          <t>E-67</t>
        </is>
      </c>
      <c r="C3167" s="72" t="inlineStr">
        <is>
          <t>X</t>
        </is>
      </c>
      <c r="E3167" s="73">
        <f>B3167*D3167/10000</f>
        <v/>
      </c>
      <c r="F3167" s="74">
        <f>B3167/30.48</f>
        <v/>
      </c>
      <c r="G3167" s="74">
        <f>D3167/30.48</f>
        <v/>
      </c>
      <c r="H3167" s="615" t="n"/>
    </row>
    <row r="3168" ht="18" customHeight="1" s="305">
      <c r="A3168" s="8" t="inlineStr">
        <is>
          <t>E-68</t>
        </is>
      </c>
      <c r="C3168" s="72" t="inlineStr">
        <is>
          <t>X</t>
        </is>
      </c>
      <c r="E3168" s="73">
        <f>B3168*D3168/10000</f>
        <v/>
      </c>
      <c r="F3168" s="74">
        <f>B3168/30.48</f>
        <v/>
      </c>
      <c r="G3168" s="74">
        <f>D3168/30.48</f>
        <v/>
      </c>
      <c r="H3168" s="615" t="n"/>
    </row>
    <row r="3169" ht="18" customHeight="1" s="305">
      <c r="A3169" s="8" t="inlineStr">
        <is>
          <t>E-69</t>
        </is>
      </c>
      <c r="C3169" s="72" t="inlineStr">
        <is>
          <t>X</t>
        </is>
      </c>
      <c r="E3169" s="73">
        <f>B3169*D3169/10000</f>
        <v/>
      </c>
      <c r="F3169" s="74">
        <f>B3169/30.48</f>
        <v/>
      </c>
      <c r="G3169" s="74">
        <f>D3169/30.48</f>
        <v/>
      </c>
      <c r="H3169" s="615" t="n"/>
    </row>
    <row r="3170" ht="18" customHeight="1" s="305">
      <c r="A3170" s="8" t="inlineStr">
        <is>
          <t>E-70</t>
        </is>
      </c>
      <c r="C3170" s="72" t="inlineStr">
        <is>
          <t>X</t>
        </is>
      </c>
      <c r="E3170" s="73">
        <f>B3170*D3170/10000</f>
        <v/>
      </c>
      <c r="F3170" s="74">
        <f>B3170/30.48</f>
        <v/>
      </c>
      <c r="G3170" s="74">
        <f>D3170/30.48</f>
        <v/>
      </c>
      <c r="H3170" s="615" t="n"/>
    </row>
    <row r="3171" ht="18" customHeight="1" s="305">
      <c r="A3171" s="8" t="inlineStr">
        <is>
          <t>E-71</t>
        </is>
      </c>
      <c r="C3171" s="72" t="inlineStr">
        <is>
          <t>X</t>
        </is>
      </c>
      <c r="E3171" s="73">
        <f>B3171*D3171/10000</f>
        <v/>
      </c>
      <c r="F3171" s="74">
        <f>B3171/30.48</f>
        <v/>
      </c>
      <c r="G3171" s="74">
        <f>D3171/30.48</f>
        <v/>
      </c>
      <c r="H3171" s="615" t="n"/>
    </row>
    <row r="3172" ht="18" customHeight="1" s="305">
      <c r="A3172" s="8" t="inlineStr">
        <is>
          <t>E-72</t>
        </is>
      </c>
      <c r="C3172" s="72" t="inlineStr">
        <is>
          <t>X</t>
        </is>
      </c>
      <c r="E3172" s="73">
        <f>B3172*D3172/10000</f>
        <v/>
      </c>
      <c r="F3172" s="74">
        <f>B3172/30.48</f>
        <v/>
      </c>
      <c r="G3172" s="74">
        <f>D3172/30.48</f>
        <v/>
      </c>
      <c r="H3172" s="615" t="n"/>
    </row>
    <row r="3173" ht="18" customHeight="1" s="305">
      <c r="A3173" s="8" t="inlineStr">
        <is>
          <t>E-73</t>
        </is>
      </c>
      <c r="C3173" s="72" t="inlineStr">
        <is>
          <t>X</t>
        </is>
      </c>
      <c r="E3173" s="73">
        <f>B3173*D3173/10000</f>
        <v/>
      </c>
      <c r="F3173" s="74">
        <f>B3173/30.48</f>
        <v/>
      </c>
      <c r="G3173" s="74">
        <f>D3173/30.48</f>
        <v/>
      </c>
      <c r="H3173" s="615" t="n"/>
    </row>
    <row r="3174" ht="18" customHeight="1" s="305">
      <c r="A3174" s="8" t="inlineStr">
        <is>
          <t>E-74</t>
        </is>
      </c>
      <c r="C3174" s="72" t="inlineStr">
        <is>
          <t>X</t>
        </is>
      </c>
      <c r="E3174" s="73">
        <f>B3174*D3174/10000</f>
        <v/>
      </c>
      <c r="F3174" s="74">
        <f>B3174/30.48</f>
        <v/>
      </c>
      <c r="G3174" s="74">
        <f>D3174/30.48</f>
        <v/>
      </c>
      <c r="H3174" s="615" t="n"/>
    </row>
    <row r="3175" ht="18" customHeight="1" s="305">
      <c r="A3175" s="8" t="inlineStr">
        <is>
          <t>E-75</t>
        </is>
      </c>
      <c r="C3175" s="72" t="inlineStr">
        <is>
          <t>X</t>
        </is>
      </c>
      <c r="E3175" s="73">
        <f>B3175*D3175/10000</f>
        <v/>
      </c>
      <c r="F3175" s="74">
        <f>B3175/30.48</f>
        <v/>
      </c>
      <c r="G3175" s="74">
        <f>D3175/30.48</f>
        <v/>
      </c>
      <c r="H3175" s="615" t="n"/>
    </row>
    <row r="3176" ht="18" customHeight="1" s="305">
      <c r="A3176" s="8" t="inlineStr">
        <is>
          <t>E-76</t>
        </is>
      </c>
      <c r="C3176" s="72" t="inlineStr">
        <is>
          <t>X</t>
        </is>
      </c>
      <c r="E3176" s="73">
        <f>B3176*D3176/10000</f>
        <v/>
      </c>
      <c r="F3176" s="74">
        <f>B3176/30.48</f>
        <v/>
      </c>
      <c r="G3176" s="74">
        <f>D3176/30.48</f>
        <v/>
      </c>
      <c r="H3176" s="615" t="n"/>
    </row>
    <row r="3177" ht="18" customHeight="1" s="305">
      <c r="A3177" s="8" t="inlineStr">
        <is>
          <t>E-77</t>
        </is>
      </c>
      <c r="C3177" s="72" t="inlineStr">
        <is>
          <t>X</t>
        </is>
      </c>
      <c r="E3177" s="73">
        <f>B3177*D3177/10000</f>
        <v/>
      </c>
      <c r="F3177" s="74">
        <f>B3177/30.48</f>
        <v/>
      </c>
      <c r="G3177" s="74">
        <f>D3177/30.48</f>
        <v/>
      </c>
      <c r="H3177" s="615" t="n"/>
    </row>
    <row r="3178" ht="18" customHeight="1" s="305">
      <c r="A3178" s="8" t="inlineStr">
        <is>
          <t>E-78</t>
        </is>
      </c>
      <c r="C3178" s="72" t="inlineStr">
        <is>
          <t>X</t>
        </is>
      </c>
      <c r="E3178" s="73">
        <f>B3178*D3178/10000</f>
        <v/>
      </c>
      <c r="F3178" s="74">
        <f>B3178/30.48</f>
        <v/>
      </c>
      <c r="G3178" s="74">
        <f>D3178/30.48</f>
        <v/>
      </c>
      <c r="H3178" s="615" t="n"/>
    </row>
    <row r="3179" ht="18" customHeight="1" s="305">
      <c r="A3179" s="8" t="inlineStr">
        <is>
          <t>E-79</t>
        </is>
      </c>
      <c r="C3179" s="72" t="inlineStr">
        <is>
          <t>X</t>
        </is>
      </c>
      <c r="E3179" s="73">
        <f>B3179*D3179/10000</f>
        <v/>
      </c>
      <c r="F3179" s="74">
        <f>B3179/30.48</f>
        <v/>
      </c>
      <c r="G3179" s="74">
        <f>D3179/30.48</f>
        <v/>
      </c>
      <c r="H3179" s="615" t="n"/>
    </row>
    <row r="3180" ht="18" customHeight="1" s="305">
      <c r="A3180" s="8" t="inlineStr">
        <is>
          <t>E-80</t>
        </is>
      </c>
      <c r="C3180" s="72" t="inlineStr">
        <is>
          <t>X</t>
        </is>
      </c>
      <c r="E3180" s="73">
        <f>B3180*D3180/10000</f>
        <v/>
      </c>
      <c r="F3180" s="74">
        <f>B3180/30.48</f>
        <v/>
      </c>
      <c r="G3180" s="74">
        <f>D3180/30.48</f>
        <v/>
      </c>
      <c r="H3180" s="615" t="n"/>
    </row>
    <row r="3181" ht="18" customHeight="1" s="305">
      <c r="A3181" s="8" t="inlineStr">
        <is>
          <t>E-82</t>
        </is>
      </c>
      <c r="C3181" s="72" t="inlineStr">
        <is>
          <t>X</t>
        </is>
      </c>
      <c r="E3181" s="73">
        <f>B3181*D3181/10000</f>
        <v/>
      </c>
      <c r="F3181" s="74">
        <f>B3181/30.48</f>
        <v/>
      </c>
      <c r="G3181" s="74">
        <f>D3181/30.48</f>
        <v/>
      </c>
      <c r="H3181" s="615" t="n"/>
    </row>
    <row r="3182" ht="18" customHeight="1" s="305">
      <c r="A3182" s="8" t="inlineStr">
        <is>
          <t>E-83</t>
        </is>
      </c>
      <c r="C3182" s="72" t="inlineStr">
        <is>
          <t>X</t>
        </is>
      </c>
      <c r="E3182" s="73">
        <f>B3182*D3182/10000</f>
        <v/>
      </c>
      <c r="F3182" s="74">
        <f>B3182/30.48</f>
        <v/>
      </c>
      <c r="G3182" s="74">
        <f>D3182/30.48</f>
        <v/>
      </c>
      <c r="H3182" s="615" t="n"/>
    </row>
    <row r="3183" ht="18" customHeight="1" s="305">
      <c r="A3183" s="8" t="inlineStr">
        <is>
          <t>E-84</t>
        </is>
      </c>
      <c r="C3183" s="72" t="inlineStr">
        <is>
          <t>X</t>
        </is>
      </c>
      <c r="E3183" s="73">
        <f>B3183*D3183/10000</f>
        <v/>
      </c>
      <c r="F3183" s="74">
        <f>B3183/30.48</f>
        <v/>
      </c>
      <c r="G3183" s="74">
        <f>D3183/30.48</f>
        <v/>
      </c>
      <c r="H3183" s="615" t="n"/>
    </row>
    <row r="3184" ht="18" customHeight="1" s="305">
      <c r="A3184" s="8" t="inlineStr">
        <is>
          <t>E-85</t>
        </is>
      </c>
      <c r="C3184" s="72" t="inlineStr">
        <is>
          <t>X</t>
        </is>
      </c>
      <c r="E3184" s="73">
        <f>B3184*D3184/10000</f>
        <v/>
      </c>
      <c r="F3184" s="74">
        <f>B3184/30.48</f>
        <v/>
      </c>
      <c r="G3184" s="74">
        <f>D3184/30.48</f>
        <v/>
      </c>
      <c r="H3184" s="615" t="n"/>
    </row>
    <row r="3185" ht="18" customHeight="1" s="305">
      <c r="A3185" s="8" t="inlineStr">
        <is>
          <t>E-86</t>
        </is>
      </c>
      <c r="C3185" s="72" t="inlineStr">
        <is>
          <t>X</t>
        </is>
      </c>
      <c r="E3185" s="73">
        <f>B3185*D3185/10000</f>
        <v/>
      </c>
      <c r="F3185" s="74">
        <f>B3185/30.48</f>
        <v/>
      </c>
      <c r="G3185" s="74">
        <f>D3185/30.48</f>
        <v/>
      </c>
      <c r="H3185" s="615" t="n"/>
    </row>
    <row r="3186" ht="18" customHeight="1" s="305">
      <c r="A3186" s="8" t="inlineStr">
        <is>
          <t>E-87</t>
        </is>
      </c>
      <c r="C3186" s="72" t="inlineStr">
        <is>
          <t>X</t>
        </is>
      </c>
      <c r="E3186" s="73">
        <f>B3186*D3186/10000</f>
        <v/>
      </c>
      <c r="F3186" s="74">
        <f>B3186/30.48</f>
        <v/>
      </c>
      <c r="G3186" s="74">
        <f>D3186/30.48</f>
        <v/>
      </c>
      <c r="H3186" s="615" t="n"/>
    </row>
    <row r="3187" ht="18" customHeight="1" s="305">
      <c r="A3187" s="8" t="inlineStr">
        <is>
          <t>E-88</t>
        </is>
      </c>
      <c r="C3187" s="72" t="inlineStr">
        <is>
          <t>X</t>
        </is>
      </c>
      <c r="E3187" s="73">
        <f>B3187*D3187/10000</f>
        <v/>
      </c>
      <c r="F3187" s="74">
        <f>B3187/30.48</f>
        <v/>
      </c>
      <c r="G3187" s="74">
        <f>D3187/30.48</f>
        <v/>
      </c>
      <c r="H3187" s="615" t="n"/>
    </row>
    <row r="3188" ht="18" customHeight="1" s="305">
      <c r="A3188" s="8" t="inlineStr">
        <is>
          <t>E-89</t>
        </is>
      </c>
      <c r="C3188" s="72" t="inlineStr">
        <is>
          <t>X</t>
        </is>
      </c>
      <c r="E3188" s="73">
        <f>B3188*D3188/10000</f>
        <v/>
      </c>
      <c r="F3188" s="74">
        <f>B3188/30.48</f>
        <v/>
      </c>
      <c r="G3188" s="74">
        <f>D3188/30.48</f>
        <v/>
      </c>
      <c r="H3188" s="615" t="n"/>
    </row>
    <row r="3189" ht="18" customHeight="1" s="305">
      <c r="A3189" s="8" t="inlineStr">
        <is>
          <t>E-90</t>
        </is>
      </c>
      <c r="C3189" s="72" t="inlineStr">
        <is>
          <t>X</t>
        </is>
      </c>
      <c r="E3189" s="73">
        <f>B3189*D3189/10000</f>
        <v/>
      </c>
      <c r="F3189" s="74">
        <f>B3189/30.48</f>
        <v/>
      </c>
      <c r="G3189" s="74">
        <f>D3189/30.48</f>
        <v/>
      </c>
      <c r="H3189" s="615" t="n"/>
    </row>
    <row r="3190" ht="18" customHeight="1" s="305">
      <c r="A3190" s="8" t="inlineStr">
        <is>
          <t>E-91</t>
        </is>
      </c>
      <c r="C3190" s="72" t="inlineStr">
        <is>
          <t>X</t>
        </is>
      </c>
      <c r="E3190" s="73">
        <f>B3190*D3190/10000</f>
        <v/>
      </c>
      <c r="F3190" s="74">
        <f>B3190/30.48</f>
        <v/>
      </c>
      <c r="G3190" s="74">
        <f>D3190/30.48</f>
        <v/>
      </c>
      <c r="H3190" s="615" t="n"/>
    </row>
    <row r="3191" ht="18" customHeight="1" s="305">
      <c r="A3191" s="8" t="inlineStr">
        <is>
          <t>E-92</t>
        </is>
      </c>
      <c r="C3191" s="72" t="inlineStr">
        <is>
          <t>X</t>
        </is>
      </c>
      <c r="E3191" s="73">
        <f>B3191*D3191/10000</f>
        <v/>
      </c>
      <c r="F3191" s="74">
        <f>B3191/30.48</f>
        <v/>
      </c>
      <c r="G3191" s="74">
        <f>D3191/30.48</f>
        <v/>
      </c>
      <c r="H3191" s="615" t="n"/>
    </row>
    <row r="3192" ht="18" customHeight="1" s="305">
      <c r="A3192" s="8" t="inlineStr">
        <is>
          <t>E-93</t>
        </is>
      </c>
      <c r="C3192" s="72" t="inlineStr">
        <is>
          <t>X</t>
        </is>
      </c>
      <c r="E3192" s="73">
        <f>B3192*D3192/10000</f>
        <v/>
      </c>
      <c r="F3192" s="74">
        <f>B3192/30.48</f>
        <v/>
      </c>
      <c r="G3192" s="74">
        <f>D3192/30.48</f>
        <v/>
      </c>
      <c r="H3192" s="615" t="n"/>
    </row>
    <row r="3193" ht="18" customHeight="1" s="305">
      <c r="A3193" s="8" t="inlineStr">
        <is>
          <t>E-94</t>
        </is>
      </c>
      <c r="C3193" s="72" t="inlineStr">
        <is>
          <t>X</t>
        </is>
      </c>
      <c r="E3193" s="73">
        <f>B3193*D3193/10000</f>
        <v/>
      </c>
      <c r="F3193" s="74">
        <f>B3193/30.48</f>
        <v/>
      </c>
      <c r="G3193" s="74">
        <f>D3193/30.48</f>
        <v/>
      </c>
      <c r="H3193" s="615" t="n"/>
    </row>
    <row r="3194" ht="18" customHeight="1" s="305">
      <c r="A3194" s="8" t="inlineStr">
        <is>
          <t>E-95</t>
        </is>
      </c>
      <c r="C3194" s="72" t="inlineStr">
        <is>
          <t>X</t>
        </is>
      </c>
      <c r="E3194" s="73">
        <f>B3194*D3194/10000</f>
        <v/>
      </c>
      <c r="F3194" s="74">
        <f>B3194/30.48</f>
        <v/>
      </c>
      <c r="G3194" s="74">
        <f>D3194/30.48</f>
        <v/>
      </c>
      <c r="H3194" s="615" t="n"/>
    </row>
    <row r="3195" ht="18" customHeight="1" s="305">
      <c r="A3195" s="8" t="inlineStr">
        <is>
          <t>E-96</t>
        </is>
      </c>
      <c r="C3195" s="72" t="inlineStr">
        <is>
          <t>X</t>
        </is>
      </c>
      <c r="E3195" s="73">
        <f>B3195*D3195/10000</f>
        <v/>
      </c>
      <c r="F3195" s="74">
        <f>B3195/30.48</f>
        <v/>
      </c>
      <c r="G3195" s="74">
        <f>D3195/30.48</f>
        <v/>
      </c>
      <c r="H3195" s="615" t="n"/>
    </row>
    <row r="3196" ht="18" customHeight="1" s="305">
      <c r="A3196" s="8" t="inlineStr">
        <is>
          <t>E-98</t>
        </is>
      </c>
      <c r="C3196" s="72" t="inlineStr">
        <is>
          <t>X</t>
        </is>
      </c>
      <c r="E3196" s="73">
        <f>B3196*D3196/10000</f>
        <v/>
      </c>
      <c r="F3196" s="74">
        <f>B3196/30.48</f>
        <v/>
      </c>
      <c r="G3196" s="74">
        <f>D3196/30.48</f>
        <v/>
      </c>
      <c r="H3196" s="615" t="n"/>
    </row>
    <row r="3197" ht="18" customHeight="1" s="305">
      <c r="A3197" s="8" t="inlineStr">
        <is>
          <t>E-99</t>
        </is>
      </c>
      <c r="C3197" s="72" t="inlineStr">
        <is>
          <t>X</t>
        </is>
      </c>
      <c r="E3197" s="73">
        <f>B3197*D3197/10000</f>
        <v/>
      </c>
      <c r="F3197" s="74">
        <f>B3197/30.48</f>
        <v/>
      </c>
      <c r="G3197" s="74">
        <f>D3197/30.48</f>
        <v/>
      </c>
      <c r="H3197" s="615" t="n"/>
    </row>
    <row r="3198" ht="18" customHeight="1" s="305">
      <c r="A3198" s="8" t="inlineStr">
        <is>
          <t>E-100</t>
        </is>
      </c>
      <c r="C3198" s="72" t="inlineStr">
        <is>
          <t>X</t>
        </is>
      </c>
      <c r="E3198" s="73">
        <f>B3198*D3198/10000</f>
        <v/>
      </c>
      <c r="F3198" s="74">
        <f>B3198/30.48</f>
        <v/>
      </c>
      <c r="G3198" s="74">
        <f>D3198/30.48</f>
        <v/>
      </c>
      <c r="H3198" s="615" t="n"/>
    </row>
    <row r="3199" ht="18" customHeight="1" s="305">
      <c r="A3199" s="8" t="inlineStr">
        <is>
          <t>E-101</t>
        </is>
      </c>
      <c r="C3199" s="72" t="inlineStr">
        <is>
          <t>X</t>
        </is>
      </c>
      <c r="E3199" s="73">
        <f>B3199*D3199/10000</f>
        <v/>
      </c>
      <c r="F3199" s="74">
        <f>B3199/30.48</f>
        <v/>
      </c>
      <c r="G3199" s="74">
        <f>D3199/30.48</f>
        <v/>
      </c>
      <c r="H3199" s="615" t="n"/>
    </row>
    <row r="3200" ht="18" customHeight="1" s="305">
      <c r="A3200" s="8" t="inlineStr">
        <is>
          <t>E-102</t>
        </is>
      </c>
      <c r="B3200" s="5" t="n">
        <v>74</v>
      </c>
      <c r="C3200" s="72" t="inlineStr">
        <is>
          <t>X</t>
        </is>
      </c>
      <c r="D3200" s="5" t="n">
        <v>328</v>
      </c>
      <c r="E3200" s="73">
        <f>B3200*D3200/10000</f>
        <v/>
      </c>
      <c r="F3200" s="74">
        <f>B3200/30.48</f>
        <v/>
      </c>
      <c r="G3200" s="74">
        <f>D3200/30.48</f>
        <v/>
      </c>
      <c r="H3200" s="615" t="n"/>
    </row>
    <row r="3201" ht="18" customHeight="1" s="305">
      <c r="A3201" s="8" t="inlineStr">
        <is>
          <t>E-103</t>
        </is>
      </c>
      <c r="B3201" s="5" t="n">
        <v>79</v>
      </c>
      <c r="C3201" s="72" t="inlineStr">
        <is>
          <t>X</t>
        </is>
      </c>
      <c r="D3201" s="5" t="n">
        <v>400</v>
      </c>
      <c r="E3201" s="73">
        <f>B3201*D3201/10000</f>
        <v/>
      </c>
      <c r="F3201" s="74">
        <f>B3201/30.48</f>
        <v/>
      </c>
      <c r="G3201" s="74">
        <f>D3201/30.48</f>
        <v/>
      </c>
      <c r="H3201" s="615" t="n"/>
    </row>
    <row r="3202" ht="18" customHeight="1" s="305">
      <c r="A3202" s="8" t="inlineStr">
        <is>
          <t>E-104</t>
        </is>
      </c>
      <c r="B3202" s="5" t="n">
        <v>80</v>
      </c>
      <c r="C3202" s="72" t="inlineStr">
        <is>
          <t>X</t>
        </is>
      </c>
      <c r="D3202" s="5" t="n">
        <v>350</v>
      </c>
      <c r="E3202" s="73">
        <f>B3202*D3202/10000</f>
        <v/>
      </c>
      <c r="F3202" s="74">
        <f>B3202/30.48</f>
        <v/>
      </c>
      <c r="G3202" s="74">
        <f>D3202/30.48</f>
        <v/>
      </c>
      <c r="H3202" s="615" t="n"/>
    </row>
    <row r="3203" ht="18" customHeight="1" s="305">
      <c r="A3203" s="8" t="inlineStr">
        <is>
          <t>E-105</t>
        </is>
      </c>
      <c r="B3203" s="5" t="n">
        <v>80</v>
      </c>
      <c r="C3203" s="72" t="inlineStr">
        <is>
          <t>X</t>
        </is>
      </c>
      <c r="D3203" s="5" t="n">
        <v>343</v>
      </c>
      <c r="E3203" s="73">
        <f>B3203*D3203/10000</f>
        <v/>
      </c>
      <c r="F3203" s="74">
        <f>B3203/30.48</f>
        <v/>
      </c>
      <c r="G3203" s="74">
        <f>D3203/30.48</f>
        <v/>
      </c>
      <c r="H3203" s="615" t="n"/>
    </row>
    <row r="3204" ht="18" customHeight="1" s="305">
      <c r="A3204" s="8" t="inlineStr">
        <is>
          <t>E-106</t>
        </is>
      </c>
      <c r="B3204" s="5" t="n">
        <v>67</v>
      </c>
      <c r="C3204" s="72" t="inlineStr">
        <is>
          <t>X</t>
        </is>
      </c>
      <c r="D3204" s="5" t="n">
        <v>289</v>
      </c>
      <c r="E3204" s="73">
        <f>B3204*D3204/10000</f>
        <v/>
      </c>
      <c r="F3204" s="74">
        <f>B3204/30.48</f>
        <v/>
      </c>
      <c r="G3204" s="74">
        <f>D3204/30.48</f>
        <v/>
      </c>
      <c r="H3204" s="615" t="n"/>
    </row>
    <row r="3205" ht="18" customHeight="1" s="305">
      <c r="A3205" s="8" t="inlineStr">
        <is>
          <t>E-107</t>
        </is>
      </c>
      <c r="B3205" s="5" t="n">
        <v>79</v>
      </c>
      <c r="C3205" s="72" t="inlineStr">
        <is>
          <t>X</t>
        </is>
      </c>
      <c r="D3205" s="5" t="n">
        <v>340</v>
      </c>
      <c r="E3205" s="73">
        <f>B3205*D3205/10000</f>
        <v/>
      </c>
      <c r="F3205" s="74">
        <f>B3205/30.48</f>
        <v/>
      </c>
      <c r="G3205" s="74">
        <f>D3205/30.48</f>
        <v/>
      </c>
      <c r="H3205" s="615" t="n"/>
    </row>
    <row r="3206" ht="18" customHeight="1" s="305">
      <c r="A3206" s="8" t="inlineStr">
        <is>
          <t>E-108</t>
        </is>
      </c>
      <c r="B3206" s="5" t="n">
        <v>79</v>
      </c>
      <c r="C3206" s="72" t="inlineStr">
        <is>
          <t>X</t>
        </is>
      </c>
      <c r="D3206" s="5" t="n">
        <v>313</v>
      </c>
      <c r="E3206" s="73">
        <f>B3206*D3206/10000</f>
        <v/>
      </c>
      <c r="F3206" s="74">
        <f>B3206/30.48</f>
        <v/>
      </c>
      <c r="G3206" s="74">
        <f>D3206/30.48</f>
        <v/>
      </c>
      <c r="H3206" s="615" t="n"/>
    </row>
    <row r="3207" ht="18" customHeight="1" s="305">
      <c r="A3207" s="8" t="inlineStr">
        <is>
          <t>E-109</t>
        </is>
      </c>
      <c r="B3207" s="5" t="n">
        <v>77</v>
      </c>
      <c r="C3207" s="72" t="inlineStr">
        <is>
          <t>X</t>
        </is>
      </c>
      <c r="D3207" s="5" t="n">
        <v>365</v>
      </c>
      <c r="E3207" s="73">
        <f>B3207*D3207/10000</f>
        <v/>
      </c>
      <c r="F3207" s="74">
        <f>B3207/30.48</f>
        <v/>
      </c>
      <c r="G3207" s="74">
        <f>D3207/30.48</f>
        <v/>
      </c>
      <c r="H3207" s="615" t="n"/>
    </row>
    <row r="3208" ht="18" customHeight="1" s="305">
      <c r="A3208" s="8" t="inlineStr">
        <is>
          <t>E-110</t>
        </is>
      </c>
      <c r="B3208" s="5" t="n">
        <v>78</v>
      </c>
      <c r="C3208" s="72" t="inlineStr">
        <is>
          <t>X</t>
        </is>
      </c>
      <c r="D3208" s="5" t="n">
        <v>367</v>
      </c>
      <c r="E3208" s="73">
        <f>B3208*D3208/10000</f>
        <v/>
      </c>
      <c r="F3208" s="74">
        <f>B3208/30.48</f>
        <v/>
      </c>
      <c r="G3208" s="74">
        <f>D3208/30.48</f>
        <v/>
      </c>
      <c r="H3208" s="615" t="n"/>
    </row>
    <row r="3209" ht="18" customHeight="1" s="305">
      <c r="A3209" s="8" t="inlineStr">
        <is>
          <t>E-111</t>
        </is>
      </c>
      <c r="B3209" s="5" t="n">
        <v>60</v>
      </c>
      <c r="C3209" s="72" t="inlineStr">
        <is>
          <t>X</t>
        </is>
      </c>
      <c r="D3209" s="5" t="n">
        <v>281</v>
      </c>
      <c r="E3209" s="73">
        <f>B3209*D3209/10000</f>
        <v/>
      </c>
      <c r="F3209" s="74">
        <f>B3209/30.48</f>
        <v/>
      </c>
      <c r="G3209" s="74">
        <f>D3209/30.48</f>
        <v/>
      </c>
      <c r="H3209" s="615" t="n"/>
    </row>
    <row r="3210" ht="18" customHeight="1" s="305">
      <c r="A3210" s="8" t="inlineStr">
        <is>
          <t>E-112</t>
        </is>
      </c>
      <c r="B3210" s="5" t="n">
        <v>80</v>
      </c>
      <c r="C3210" s="72" t="inlineStr">
        <is>
          <t>X</t>
        </is>
      </c>
      <c r="D3210" s="5" t="n">
        <v>364</v>
      </c>
      <c r="E3210" s="73">
        <f>B3210*D3210/10000</f>
        <v/>
      </c>
      <c r="F3210" s="74">
        <f>B3210/30.48</f>
        <v/>
      </c>
      <c r="G3210" s="74">
        <f>D3210/30.48</f>
        <v/>
      </c>
      <c r="H3210" s="615" t="n"/>
    </row>
    <row r="3211" ht="18" customHeight="1" s="305">
      <c r="A3211" s="8" t="inlineStr">
        <is>
          <t>E-113</t>
        </is>
      </c>
      <c r="B3211" s="5" t="n">
        <v>80</v>
      </c>
      <c r="C3211" s="72" t="inlineStr">
        <is>
          <t>X</t>
        </is>
      </c>
      <c r="D3211" s="5" t="n">
        <v>377</v>
      </c>
      <c r="E3211" s="73">
        <f>B3211*D3211/10000</f>
        <v/>
      </c>
      <c r="F3211" s="74">
        <f>B3211/30.48</f>
        <v/>
      </c>
      <c r="G3211" s="74">
        <f>D3211/30.48</f>
        <v/>
      </c>
      <c r="H3211" s="615" t="n"/>
    </row>
    <row r="3212" ht="18" customHeight="1" s="305">
      <c r="A3212" s="8" t="inlineStr">
        <is>
          <t>E-114</t>
        </is>
      </c>
      <c r="B3212" s="5" t="n">
        <v>80</v>
      </c>
      <c r="C3212" s="72" t="inlineStr">
        <is>
          <t>X</t>
        </is>
      </c>
      <c r="D3212" s="5" t="n">
        <v>324</v>
      </c>
      <c r="E3212" s="73">
        <f>B3212*D3212/10000</f>
        <v/>
      </c>
      <c r="F3212" s="74">
        <f>B3212/30.48</f>
        <v/>
      </c>
      <c r="G3212" s="74">
        <f>D3212/30.48</f>
        <v/>
      </c>
      <c r="H3212" s="615" t="n"/>
    </row>
    <row r="3213" ht="18" customHeight="1" s="305">
      <c r="A3213" s="8" t="inlineStr">
        <is>
          <t>E-115</t>
        </is>
      </c>
      <c r="B3213" s="5" t="n">
        <v>59</v>
      </c>
      <c r="C3213" s="72" t="inlineStr">
        <is>
          <t>X</t>
        </is>
      </c>
      <c r="D3213" s="5" t="n">
        <v>259</v>
      </c>
      <c r="E3213" s="73">
        <f>B3213*D3213/10000</f>
        <v/>
      </c>
      <c r="F3213" s="74">
        <f>B3213/30.48</f>
        <v/>
      </c>
      <c r="G3213" s="74">
        <f>D3213/30.48</f>
        <v/>
      </c>
      <c r="H3213" s="615" t="n"/>
    </row>
    <row r="3214" ht="18" customHeight="1" s="305">
      <c r="A3214" s="8" t="inlineStr">
        <is>
          <t>E-116</t>
        </is>
      </c>
      <c r="B3214" s="5" t="n">
        <v>79</v>
      </c>
      <c r="C3214" s="72" t="inlineStr">
        <is>
          <t>X</t>
        </is>
      </c>
      <c r="D3214" s="5" t="n">
        <v>355</v>
      </c>
      <c r="E3214" s="73">
        <f>B3214*D3214/10000</f>
        <v/>
      </c>
      <c r="F3214" s="74">
        <f>B3214/30.48</f>
        <v/>
      </c>
      <c r="G3214" s="74">
        <f>D3214/30.48</f>
        <v/>
      </c>
      <c r="H3214" s="615" t="n"/>
    </row>
    <row r="3215" ht="18" customHeight="1" s="305">
      <c r="A3215" s="8" t="inlineStr">
        <is>
          <t>E-117</t>
        </is>
      </c>
      <c r="B3215" s="5" t="n">
        <v>79</v>
      </c>
      <c r="C3215" s="72" t="inlineStr">
        <is>
          <t>X</t>
        </is>
      </c>
      <c r="D3215" s="5" t="n">
        <v>354</v>
      </c>
      <c r="E3215" s="73">
        <f>B3215*D3215/10000</f>
        <v/>
      </c>
      <c r="F3215" s="74">
        <f>B3215/30.48</f>
        <v/>
      </c>
      <c r="G3215" s="74">
        <f>D3215/30.48</f>
        <v/>
      </c>
      <c r="H3215" s="615" t="n"/>
    </row>
    <row r="3216" ht="18" customHeight="1" s="305">
      <c r="A3216" s="8" t="inlineStr">
        <is>
          <t>E-118</t>
        </is>
      </c>
      <c r="B3216" s="5" t="n">
        <v>80</v>
      </c>
      <c r="C3216" s="72" t="inlineStr">
        <is>
          <t>X</t>
        </is>
      </c>
      <c r="D3216" s="5" t="n">
        <v>383</v>
      </c>
      <c r="E3216" s="73">
        <f>B3216*D3216/10000</f>
        <v/>
      </c>
      <c r="F3216" s="74">
        <f>B3216/30.48</f>
        <v/>
      </c>
      <c r="G3216" s="74">
        <f>D3216/30.48</f>
        <v/>
      </c>
      <c r="H3216" s="615" t="n"/>
    </row>
    <row r="3217" ht="18" customHeight="1" s="305">
      <c r="A3217" s="8" t="inlineStr">
        <is>
          <t>E-119</t>
        </is>
      </c>
      <c r="B3217" s="5" t="n">
        <v>80</v>
      </c>
      <c r="C3217" s="72" t="inlineStr">
        <is>
          <t>X</t>
        </is>
      </c>
      <c r="D3217" s="5" t="n">
        <v>325</v>
      </c>
      <c r="E3217" s="73">
        <f>B3217*D3217/10000</f>
        <v/>
      </c>
      <c r="F3217" s="74">
        <f>B3217/30.48</f>
        <v/>
      </c>
      <c r="G3217" s="74">
        <f>D3217/30.48</f>
        <v/>
      </c>
      <c r="H3217" s="615" t="n"/>
    </row>
    <row r="3218" ht="18" customHeight="1" s="305">
      <c r="A3218" s="8" t="inlineStr">
        <is>
          <t>E-120</t>
        </is>
      </c>
      <c r="B3218" s="5" t="n">
        <v>80</v>
      </c>
      <c r="C3218" s="72" t="inlineStr">
        <is>
          <t>X</t>
        </is>
      </c>
      <c r="D3218" s="5" t="n">
        <v>385</v>
      </c>
      <c r="E3218" s="73">
        <f>B3218*D3218/10000</f>
        <v/>
      </c>
      <c r="F3218" s="74">
        <f>B3218/30.48</f>
        <v/>
      </c>
      <c r="G3218" s="74">
        <f>D3218/30.48</f>
        <v/>
      </c>
      <c r="H3218" s="615" t="n"/>
    </row>
    <row r="3219" ht="18" customHeight="1" s="305">
      <c r="A3219" s="8" t="inlineStr">
        <is>
          <t>E-121</t>
        </is>
      </c>
      <c r="B3219" s="5" t="n">
        <v>81</v>
      </c>
      <c r="C3219" s="72" t="inlineStr">
        <is>
          <t>X</t>
        </is>
      </c>
      <c r="D3219" s="5" t="n">
        <v>359</v>
      </c>
      <c r="E3219" s="73">
        <f>B3219*D3219/10000</f>
        <v/>
      </c>
      <c r="F3219" s="74">
        <f>B3219/30.48</f>
        <v/>
      </c>
      <c r="G3219" s="74">
        <f>D3219/30.48</f>
        <v/>
      </c>
      <c r="H3219" s="615" t="n"/>
    </row>
    <row r="3220" ht="18" customHeight="1" s="305">
      <c r="A3220" s="8" t="inlineStr">
        <is>
          <t>E-122</t>
        </is>
      </c>
      <c r="B3220" s="5" t="n">
        <v>58</v>
      </c>
      <c r="C3220" s="72" t="inlineStr">
        <is>
          <t>X</t>
        </is>
      </c>
      <c r="D3220" s="5" t="n">
        <v>316</v>
      </c>
      <c r="E3220" s="73">
        <f>B3220*D3220/10000</f>
        <v/>
      </c>
      <c r="F3220" s="74">
        <f>B3220/30.48</f>
        <v/>
      </c>
      <c r="G3220" s="74">
        <f>D3220/30.48</f>
        <v/>
      </c>
      <c r="H3220" s="615" t="n"/>
    </row>
    <row r="3221" ht="18" customHeight="1" s="305">
      <c r="A3221" s="8" t="inlineStr">
        <is>
          <t>E-123</t>
        </is>
      </c>
      <c r="C3221" s="72" t="inlineStr">
        <is>
          <t>X</t>
        </is>
      </c>
      <c r="E3221" s="73">
        <f>B3221*D3221/10000</f>
        <v/>
      </c>
      <c r="F3221" s="74">
        <f>B3221/30.48</f>
        <v/>
      </c>
      <c r="G3221" s="74">
        <f>D3221/30.48</f>
        <v/>
      </c>
      <c r="H3221" s="615" t="n"/>
    </row>
    <row r="3222" ht="18" customHeight="1" s="305">
      <c r="A3222" s="8" t="inlineStr">
        <is>
          <t>E-124</t>
        </is>
      </c>
      <c r="C3222" s="72" t="inlineStr">
        <is>
          <t>X</t>
        </is>
      </c>
      <c r="E3222" s="73">
        <f>B3222*D3222/10000</f>
        <v/>
      </c>
      <c r="F3222" s="74">
        <f>B3222/30.48</f>
        <v/>
      </c>
      <c r="G3222" s="74">
        <f>D3222/30.48</f>
        <v/>
      </c>
      <c r="H3222" s="615" t="n"/>
    </row>
    <row r="3223" ht="18" customHeight="1" s="305">
      <c r="A3223" s="8" t="inlineStr">
        <is>
          <t>E-125</t>
        </is>
      </c>
      <c r="C3223" s="72" t="inlineStr">
        <is>
          <t>X</t>
        </is>
      </c>
      <c r="E3223" s="73">
        <f>B3223*D3223/10000</f>
        <v/>
      </c>
      <c r="F3223" s="74">
        <f>B3223/30.48</f>
        <v/>
      </c>
      <c r="G3223" s="74">
        <f>D3223/30.48</f>
        <v/>
      </c>
      <c r="H3223" s="615" t="n"/>
    </row>
    <row r="3224" ht="18" customHeight="1" s="305">
      <c r="A3224" s="8" t="inlineStr">
        <is>
          <t>E-126</t>
        </is>
      </c>
      <c r="C3224" s="72" t="inlineStr">
        <is>
          <t>X</t>
        </is>
      </c>
      <c r="E3224" s="73">
        <f>B3224*D3224/10000</f>
        <v/>
      </c>
      <c r="F3224" s="74">
        <f>B3224/30.48</f>
        <v/>
      </c>
      <c r="G3224" s="74">
        <f>D3224/30.48</f>
        <v/>
      </c>
      <c r="H3224" s="615" t="n"/>
    </row>
    <row r="3225" ht="18" customHeight="1" s="305">
      <c r="A3225" s="8" t="inlineStr">
        <is>
          <t>E-127</t>
        </is>
      </c>
      <c r="C3225" s="72" t="inlineStr">
        <is>
          <t>X</t>
        </is>
      </c>
      <c r="E3225" s="73">
        <f>B3225*D3225/10000</f>
        <v/>
      </c>
      <c r="F3225" s="74">
        <f>B3225/30.48</f>
        <v/>
      </c>
      <c r="G3225" s="74">
        <f>D3225/30.48</f>
        <v/>
      </c>
      <c r="H3225" s="615" t="n"/>
    </row>
    <row r="3226" ht="18" customHeight="1" s="305">
      <c r="A3226" s="8" t="inlineStr">
        <is>
          <t>E-128</t>
        </is>
      </c>
      <c r="C3226" s="72" t="inlineStr">
        <is>
          <t>X</t>
        </is>
      </c>
      <c r="E3226" s="73">
        <f>B3226*D3226/10000</f>
        <v/>
      </c>
      <c r="F3226" s="74">
        <f>B3226/30.48</f>
        <v/>
      </c>
      <c r="G3226" s="74">
        <f>D3226/30.48</f>
        <v/>
      </c>
      <c r="H3226" s="615" t="n"/>
    </row>
    <row r="3227" ht="18" customHeight="1" s="305">
      <c r="A3227" s="8" t="inlineStr">
        <is>
          <t>E-129</t>
        </is>
      </c>
      <c r="C3227" s="72" t="inlineStr">
        <is>
          <t>X</t>
        </is>
      </c>
      <c r="E3227" s="73">
        <f>B3227*D3227/10000</f>
        <v/>
      </c>
      <c r="F3227" s="74">
        <f>B3227/30.48</f>
        <v/>
      </c>
      <c r="G3227" s="74">
        <f>D3227/30.48</f>
        <v/>
      </c>
      <c r="H3227" s="615" t="n"/>
    </row>
    <row r="3228" ht="18" customHeight="1" s="305">
      <c r="A3228" s="8" t="inlineStr">
        <is>
          <t>E-131</t>
        </is>
      </c>
      <c r="C3228" s="72" t="inlineStr">
        <is>
          <t>X</t>
        </is>
      </c>
      <c r="E3228" s="73">
        <f>B3228*D3228/10000</f>
        <v/>
      </c>
      <c r="F3228" s="74">
        <f>B3228/30.48</f>
        <v/>
      </c>
      <c r="G3228" s="74">
        <f>D3228/30.48</f>
        <v/>
      </c>
      <c r="H3228" s="615" t="n"/>
    </row>
    <row r="3229" ht="18" customHeight="1" s="305">
      <c r="A3229" s="8" t="inlineStr">
        <is>
          <t>E-132</t>
        </is>
      </c>
      <c r="C3229" s="72" t="inlineStr">
        <is>
          <t>X</t>
        </is>
      </c>
      <c r="E3229" s="73">
        <f>B3229*D3229/10000</f>
        <v/>
      </c>
      <c r="F3229" s="74">
        <f>B3229/30.48</f>
        <v/>
      </c>
      <c r="G3229" s="74">
        <f>D3229/30.48</f>
        <v/>
      </c>
      <c r="H3229" s="615" t="n"/>
    </row>
    <row r="3230" ht="18" customHeight="1" s="305">
      <c r="A3230" s="8" t="inlineStr">
        <is>
          <t>E-133</t>
        </is>
      </c>
      <c r="C3230" s="72" t="inlineStr">
        <is>
          <t>X</t>
        </is>
      </c>
      <c r="E3230" s="73">
        <f>B3230*D3230/10000</f>
        <v/>
      </c>
      <c r="F3230" s="74">
        <f>B3230/30.48</f>
        <v/>
      </c>
      <c r="G3230" s="74">
        <f>D3230/30.48</f>
        <v/>
      </c>
      <c r="H3230" s="615" t="n"/>
    </row>
    <row r="3231" ht="18" customHeight="1" s="305">
      <c r="A3231" s="8" t="inlineStr">
        <is>
          <t>E-134</t>
        </is>
      </c>
      <c r="C3231" s="72" t="inlineStr">
        <is>
          <t>X</t>
        </is>
      </c>
      <c r="E3231" s="73">
        <f>B3231*D3231/10000</f>
        <v/>
      </c>
      <c r="F3231" s="74">
        <f>B3231/30.48</f>
        <v/>
      </c>
      <c r="G3231" s="74">
        <f>D3231/30.48</f>
        <v/>
      </c>
      <c r="H3231" s="615" t="n"/>
    </row>
    <row r="3232" ht="18" customHeight="1" s="305">
      <c r="A3232" s="8" t="inlineStr">
        <is>
          <t>E-135</t>
        </is>
      </c>
      <c r="C3232" s="72" t="inlineStr">
        <is>
          <t>X</t>
        </is>
      </c>
      <c r="E3232" s="73">
        <f>B3232*D3232/10000</f>
        <v/>
      </c>
      <c r="F3232" s="74">
        <f>B3232/30.48</f>
        <v/>
      </c>
      <c r="G3232" s="74">
        <f>D3232/30.48</f>
        <v/>
      </c>
      <c r="H3232" s="615" t="n"/>
    </row>
    <row r="3233" ht="18" customHeight="1" s="305">
      <c r="A3233" s="8" t="inlineStr">
        <is>
          <t>E-136</t>
        </is>
      </c>
      <c r="C3233" s="72" t="inlineStr">
        <is>
          <t>X</t>
        </is>
      </c>
      <c r="E3233" s="73">
        <f>B3233*D3233/10000</f>
        <v/>
      </c>
      <c r="F3233" s="74">
        <f>B3233/30.48</f>
        <v/>
      </c>
      <c r="G3233" s="74">
        <f>D3233/30.48</f>
        <v/>
      </c>
      <c r="H3233" s="615" t="n"/>
    </row>
    <row r="3234" ht="18" customHeight="1" s="305">
      <c r="A3234" s="8" t="inlineStr">
        <is>
          <t>E-137</t>
        </is>
      </c>
      <c r="C3234" s="72" t="inlineStr">
        <is>
          <t>X</t>
        </is>
      </c>
      <c r="E3234" s="73">
        <f>B3234*D3234/10000</f>
        <v/>
      </c>
      <c r="F3234" s="74">
        <f>B3234/30.48</f>
        <v/>
      </c>
      <c r="G3234" s="74">
        <f>D3234/30.48</f>
        <v/>
      </c>
      <c r="H3234" s="615" t="n"/>
    </row>
    <row r="3235" ht="18" customHeight="1" s="305">
      <c r="A3235" s="8" t="inlineStr">
        <is>
          <t>E-138</t>
        </is>
      </c>
      <c r="C3235" s="72" t="inlineStr">
        <is>
          <t>X</t>
        </is>
      </c>
      <c r="E3235" s="73">
        <f>B3235*D3235/10000</f>
        <v/>
      </c>
      <c r="F3235" s="74">
        <f>B3235/30.48</f>
        <v/>
      </c>
      <c r="G3235" s="74">
        <f>D3235/30.48</f>
        <v/>
      </c>
      <c r="H3235" s="615" t="n"/>
    </row>
    <row r="3236" ht="18" customHeight="1" s="305">
      <c r="A3236" s="8" t="inlineStr">
        <is>
          <t>E-139</t>
        </is>
      </c>
      <c r="C3236" s="72" t="inlineStr">
        <is>
          <t>X</t>
        </is>
      </c>
      <c r="E3236" s="73">
        <f>B3236*D3236/10000</f>
        <v/>
      </c>
      <c r="F3236" s="74">
        <f>B3236/30.48</f>
        <v/>
      </c>
      <c r="G3236" s="74">
        <f>D3236/30.48</f>
        <v/>
      </c>
      <c r="H3236" s="615" t="n"/>
    </row>
    <row r="3237" ht="18" customHeight="1" s="305">
      <c r="A3237" s="8" t="inlineStr">
        <is>
          <t>E-140</t>
        </is>
      </c>
      <c r="C3237" s="72" t="inlineStr">
        <is>
          <t>X</t>
        </is>
      </c>
      <c r="E3237" s="73">
        <f>B3237*D3237/10000</f>
        <v/>
      </c>
      <c r="F3237" s="74">
        <f>B3237/30.48</f>
        <v/>
      </c>
      <c r="G3237" s="74">
        <f>D3237/30.48</f>
        <v/>
      </c>
      <c r="H3237" s="615" t="n"/>
    </row>
    <row r="3238" ht="18" customHeight="1" s="305">
      <c r="A3238" s="8" t="inlineStr">
        <is>
          <t>E-141</t>
        </is>
      </c>
      <c r="C3238" s="72" t="inlineStr">
        <is>
          <t>X</t>
        </is>
      </c>
      <c r="E3238" s="73">
        <f>B3238*D3238/10000</f>
        <v/>
      </c>
      <c r="F3238" s="74">
        <f>B3238/30.48</f>
        <v/>
      </c>
      <c r="G3238" s="74">
        <f>D3238/30.48</f>
        <v/>
      </c>
      <c r="H3238" s="615" t="n"/>
    </row>
    <row r="3239" ht="18" customHeight="1" s="305">
      <c r="A3239" s="8" t="inlineStr">
        <is>
          <t>E-142</t>
        </is>
      </c>
      <c r="C3239" s="72" t="inlineStr">
        <is>
          <t>X</t>
        </is>
      </c>
      <c r="E3239" s="73">
        <f>B3239*D3239/10000</f>
        <v/>
      </c>
      <c r="F3239" s="74">
        <f>B3239/30.48</f>
        <v/>
      </c>
      <c r="G3239" s="74">
        <f>D3239/30.48</f>
        <v/>
      </c>
      <c r="H3239" s="615" t="n"/>
    </row>
    <row r="3240" ht="18" customHeight="1" s="305">
      <c r="A3240" s="8" t="inlineStr">
        <is>
          <t>E-143</t>
        </is>
      </c>
      <c r="C3240" s="72" t="inlineStr">
        <is>
          <t>X</t>
        </is>
      </c>
      <c r="E3240" s="73">
        <f>B3240*D3240/10000</f>
        <v/>
      </c>
      <c r="F3240" s="74">
        <f>B3240/30.48</f>
        <v/>
      </c>
      <c r="G3240" s="74">
        <f>D3240/30.48</f>
        <v/>
      </c>
      <c r="H3240" s="615" t="n"/>
    </row>
    <row r="3241" ht="18" customHeight="1" s="305">
      <c r="A3241" s="8" t="inlineStr">
        <is>
          <t>E-144</t>
        </is>
      </c>
      <c r="C3241" s="72" t="inlineStr">
        <is>
          <t>X</t>
        </is>
      </c>
      <c r="E3241" s="73">
        <f>B3241*D3241/10000</f>
        <v/>
      </c>
      <c r="F3241" s="74">
        <f>B3241/30.48</f>
        <v/>
      </c>
      <c r="G3241" s="74">
        <f>D3241/30.48</f>
        <v/>
      </c>
      <c r="H3241" s="615" t="n"/>
    </row>
    <row r="3242" ht="18" customHeight="1" s="305">
      <c r="A3242" s="8" t="inlineStr">
        <is>
          <t>E-145</t>
        </is>
      </c>
      <c r="C3242" s="72" t="inlineStr">
        <is>
          <t>X</t>
        </is>
      </c>
      <c r="E3242" s="73">
        <f>B3242*D3242/10000</f>
        <v/>
      </c>
      <c r="F3242" s="74">
        <f>B3242/30.48</f>
        <v/>
      </c>
      <c r="G3242" s="74">
        <f>D3242/30.48</f>
        <v/>
      </c>
      <c r="H3242" s="615" t="n"/>
    </row>
    <row r="3243" ht="18" customHeight="1" s="305">
      <c r="A3243" s="8" t="inlineStr">
        <is>
          <t>E-146</t>
        </is>
      </c>
      <c r="C3243" s="72" t="inlineStr">
        <is>
          <t>X</t>
        </is>
      </c>
      <c r="E3243" s="73">
        <f>B3243*D3243/10000</f>
        <v/>
      </c>
      <c r="F3243" s="74">
        <f>B3243/30.48</f>
        <v/>
      </c>
      <c r="G3243" s="74">
        <f>D3243/30.48</f>
        <v/>
      </c>
      <c r="H3243" s="615" t="n"/>
    </row>
    <row r="3244" ht="18" customHeight="1" s="305">
      <c r="A3244" s="8" t="inlineStr">
        <is>
          <t>E-147</t>
        </is>
      </c>
      <c r="C3244" s="72" t="inlineStr">
        <is>
          <t>X</t>
        </is>
      </c>
      <c r="E3244" s="73">
        <f>B3244*D3244/10000</f>
        <v/>
      </c>
      <c r="F3244" s="74">
        <f>B3244/30.48</f>
        <v/>
      </c>
      <c r="G3244" s="74">
        <f>D3244/30.48</f>
        <v/>
      </c>
      <c r="H3244" s="615" t="n"/>
    </row>
    <row r="3245" ht="18" customHeight="1" s="305">
      <c r="A3245" s="8" t="inlineStr">
        <is>
          <t>E-148</t>
        </is>
      </c>
      <c r="C3245" s="72" t="inlineStr">
        <is>
          <t>X</t>
        </is>
      </c>
      <c r="E3245" s="73">
        <f>B3245*D3245/10000</f>
        <v/>
      </c>
      <c r="F3245" s="74">
        <f>B3245/30.48</f>
        <v/>
      </c>
      <c r="G3245" s="74">
        <f>D3245/30.48</f>
        <v/>
      </c>
      <c r="H3245" s="615" t="n"/>
    </row>
    <row r="3246" ht="18" customHeight="1" s="305">
      <c r="A3246" s="8" t="inlineStr">
        <is>
          <t>E-149</t>
        </is>
      </c>
      <c r="C3246" s="72" t="inlineStr">
        <is>
          <t>X</t>
        </is>
      </c>
      <c r="E3246" s="73">
        <f>B3246*D3246/10000</f>
        <v/>
      </c>
      <c r="F3246" s="74">
        <f>B3246/30.48</f>
        <v/>
      </c>
      <c r="G3246" s="74">
        <f>D3246/30.48</f>
        <v/>
      </c>
      <c r="H3246" s="615" t="n"/>
    </row>
    <row r="3247" ht="18" customHeight="1" s="305">
      <c r="A3247" s="8" t="inlineStr">
        <is>
          <t>E-150</t>
        </is>
      </c>
      <c r="C3247" s="72" t="inlineStr">
        <is>
          <t>X</t>
        </is>
      </c>
      <c r="E3247" s="73">
        <f>B3247*D3247/10000</f>
        <v/>
      </c>
      <c r="F3247" s="74">
        <f>B3247/30.48</f>
        <v/>
      </c>
      <c r="G3247" s="74">
        <f>D3247/30.48</f>
        <v/>
      </c>
      <c r="H3247" s="615" t="n"/>
    </row>
    <row r="3248" ht="18" customHeight="1" s="305">
      <c r="A3248" s="8" t="inlineStr">
        <is>
          <t>E-151</t>
        </is>
      </c>
      <c r="B3248" s="5" t="n">
        <v>53</v>
      </c>
      <c r="C3248" s="72" t="inlineStr">
        <is>
          <t>X</t>
        </is>
      </c>
      <c r="D3248" s="5" t="n">
        <v>115</v>
      </c>
      <c r="E3248" s="73">
        <f>B3248*D3248/10000</f>
        <v/>
      </c>
      <c r="F3248" s="74">
        <f>B3248/30.48</f>
        <v/>
      </c>
      <c r="G3248" s="74">
        <f>D3248/30.48</f>
        <v/>
      </c>
      <c r="H3248" s="615" t="n"/>
    </row>
    <row r="3249" ht="18" customHeight="1" s="305">
      <c r="A3249" s="8" t="inlineStr">
        <is>
          <t>E-152</t>
        </is>
      </c>
      <c r="C3249" s="72" t="inlineStr">
        <is>
          <t>X</t>
        </is>
      </c>
      <c r="E3249" s="73">
        <f>B3249*D3249/10000</f>
        <v/>
      </c>
      <c r="F3249" s="74">
        <f>B3249/30.48</f>
        <v/>
      </c>
      <c r="G3249" s="74">
        <f>D3249/30.48</f>
        <v/>
      </c>
      <c r="H3249" s="615" t="n"/>
    </row>
    <row r="3250" ht="18" customHeight="1" s="305">
      <c r="A3250" s="8" t="inlineStr">
        <is>
          <t>E-153</t>
        </is>
      </c>
      <c r="C3250" s="72" t="inlineStr">
        <is>
          <t>X</t>
        </is>
      </c>
      <c r="E3250" s="73">
        <f>B3250*D3250/10000</f>
        <v/>
      </c>
      <c r="F3250" s="74">
        <f>B3250/30.48</f>
        <v/>
      </c>
      <c r="G3250" s="74">
        <f>D3250/30.48</f>
        <v/>
      </c>
      <c r="H3250" s="615" t="n"/>
    </row>
    <row r="3251" ht="18" customHeight="1" s="305">
      <c r="A3251" s="8" t="inlineStr">
        <is>
          <t>E-154</t>
        </is>
      </c>
      <c r="C3251" s="72" t="inlineStr">
        <is>
          <t>X</t>
        </is>
      </c>
      <c r="E3251" s="73">
        <f>B3251*D3251/10000</f>
        <v/>
      </c>
      <c r="F3251" s="74">
        <f>B3251/30.48</f>
        <v/>
      </c>
      <c r="G3251" s="74">
        <f>D3251/30.48</f>
        <v/>
      </c>
      <c r="H3251" s="615" t="n"/>
    </row>
    <row r="3252" ht="18" customHeight="1" s="305">
      <c r="A3252" s="8" t="inlineStr">
        <is>
          <t>E-155</t>
        </is>
      </c>
      <c r="C3252" s="72" t="inlineStr">
        <is>
          <t>X</t>
        </is>
      </c>
      <c r="E3252" s="73">
        <f>B3252*D3252/10000</f>
        <v/>
      </c>
      <c r="F3252" s="74">
        <f>B3252/30.48</f>
        <v/>
      </c>
      <c r="G3252" s="74">
        <f>D3252/30.48</f>
        <v/>
      </c>
      <c r="H3252" s="615" t="n"/>
    </row>
    <row r="3253" ht="18" customHeight="1" s="305">
      <c r="A3253" s="8" t="inlineStr">
        <is>
          <t>E-156</t>
        </is>
      </c>
      <c r="C3253" s="72" t="inlineStr">
        <is>
          <t>X</t>
        </is>
      </c>
      <c r="E3253" s="73">
        <f>B3253*D3253/10000</f>
        <v/>
      </c>
      <c r="F3253" s="74">
        <f>B3253/30.48</f>
        <v/>
      </c>
      <c r="G3253" s="74">
        <f>D3253/30.48</f>
        <v/>
      </c>
      <c r="H3253" s="615" t="n"/>
    </row>
    <row r="3254" ht="18" customHeight="1" s="305">
      <c r="A3254" s="8" t="inlineStr">
        <is>
          <t>E-157</t>
        </is>
      </c>
      <c r="C3254" s="72" t="inlineStr">
        <is>
          <t>X</t>
        </is>
      </c>
      <c r="E3254" s="73">
        <f>B3254*D3254/10000</f>
        <v/>
      </c>
      <c r="F3254" s="74">
        <f>B3254/30.48</f>
        <v/>
      </c>
      <c r="G3254" s="74">
        <f>D3254/30.48</f>
        <v/>
      </c>
      <c r="H3254" s="615" t="n"/>
    </row>
    <row r="3255" ht="18" customHeight="1" s="305">
      <c r="A3255" s="8" t="inlineStr">
        <is>
          <t>E-158</t>
        </is>
      </c>
      <c r="C3255" s="72" t="inlineStr">
        <is>
          <t>X</t>
        </is>
      </c>
      <c r="E3255" s="73">
        <f>B3255*D3255/10000</f>
        <v/>
      </c>
      <c r="F3255" s="74">
        <f>B3255/30.48</f>
        <v/>
      </c>
      <c r="G3255" s="74">
        <f>D3255/30.48</f>
        <v/>
      </c>
      <c r="H3255" s="615" t="n"/>
    </row>
    <row r="3256" ht="18" customHeight="1" s="305">
      <c r="A3256" s="8" t="inlineStr">
        <is>
          <t>E-159</t>
        </is>
      </c>
      <c r="C3256" s="72" t="inlineStr">
        <is>
          <t>X</t>
        </is>
      </c>
      <c r="E3256" s="73">
        <f>B3256*D3256/10000</f>
        <v/>
      </c>
      <c r="F3256" s="74">
        <f>B3256/30.48</f>
        <v/>
      </c>
      <c r="G3256" s="74">
        <f>D3256/30.48</f>
        <v/>
      </c>
      <c r="H3256" s="615" t="n"/>
    </row>
    <row r="3257" ht="18" customHeight="1" s="305">
      <c r="A3257" s="8" t="inlineStr">
        <is>
          <t>E-160</t>
        </is>
      </c>
      <c r="C3257" s="72" t="inlineStr">
        <is>
          <t>X</t>
        </is>
      </c>
      <c r="E3257" s="73">
        <f>B3257*D3257/10000</f>
        <v/>
      </c>
      <c r="F3257" s="74">
        <f>B3257/30.48</f>
        <v/>
      </c>
      <c r="G3257" s="74">
        <f>D3257/30.48</f>
        <v/>
      </c>
      <c r="H3257" s="615" t="n"/>
    </row>
    <row r="3258" ht="18" customHeight="1" s="305">
      <c r="A3258" s="8" t="inlineStr">
        <is>
          <t>E-162</t>
        </is>
      </c>
      <c r="C3258" s="72" t="inlineStr">
        <is>
          <t>X</t>
        </is>
      </c>
      <c r="E3258" s="73">
        <f>B3258*D3258/10000</f>
        <v/>
      </c>
      <c r="F3258" s="74">
        <f>B3258/30.48</f>
        <v/>
      </c>
      <c r="G3258" s="74">
        <f>D3258/30.48</f>
        <v/>
      </c>
      <c r="H3258" s="615" t="n"/>
    </row>
    <row r="3259" ht="18" customHeight="1" s="305">
      <c r="A3259" s="8" t="inlineStr">
        <is>
          <t>E-163</t>
        </is>
      </c>
      <c r="C3259" s="72" t="inlineStr">
        <is>
          <t>X</t>
        </is>
      </c>
      <c r="E3259" s="73">
        <f>B3259*D3259/10000</f>
        <v/>
      </c>
      <c r="F3259" s="74">
        <f>B3259/30.48</f>
        <v/>
      </c>
      <c r="G3259" s="74">
        <f>D3259/30.48</f>
        <v/>
      </c>
      <c r="H3259" s="615" t="n"/>
    </row>
    <row r="3260" ht="18" customHeight="1" s="305">
      <c r="A3260" s="8" t="inlineStr">
        <is>
          <t>E-164</t>
        </is>
      </c>
      <c r="C3260" s="72" t="inlineStr">
        <is>
          <t>X</t>
        </is>
      </c>
      <c r="E3260" s="73">
        <f>B3260*D3260/10000</f>
        <v/>
      </c>
      <c r="F3260" s="74">
        <f>B3260/30.48</f>
        <v/>
      </c>
      <c r="G3260" s="74">
        <f>D3260/30.48</f>
        <v/>
      </c>
      <c r="H3260" s="615" t="n"/>
    </row>
    <row r="3261" ht="18" customHeight="1" s="305">
      <c r="A3261" s="8" t="inlineStr">
        <is>
          <t>E-165</t>
        </is>
      </c>
      <c r="C3261" s="72" t="inlineStr">
        <is>
          <t>X</t>
        </is>
      </c>
      <c r="E3261" s="73">
        <f>B3261*D3261/10000</f>
        <v/>
      </c>
      <c r="F3261" s="74">
        <f>B3261/30.48</f>
        <v/>
      </c>
      <c r="G3261" s="74">
        <f>D3261/30.48</f>
        <v/>
      </c>
      <c r="H3261" s="615" t="n"/>
    </row>
    <row r="3262" ht="18" customHeight="1" s="305">
      <c r="A3262" s="8" t="inlineStr">
        <is>
          <t>E-166</t>
        </is>
      </c>
      <c r="C3262" s="72" t="inlineStr">
        <is>
          <t>X</t>
        </is>
      </c>
      <c r="E3262" s="73">
        <f>B3262*D3262/10000</f>
        <v/>
      </c>
      <c r="F3262" s="74">
        <f>B3262/30.48</f>
        <v/>
      </c>
      <c r="G3262" s="74">
        <f>D3262/30.48</f>
        <v/>
      </c>
      <c r="H3262" s="615" t="n"/>
    </row>
    <row r="3263" ht="18" customHeight="1" s="305">
      <c r="A3263" s="8" t="inlineStr">
        <is>
          <t>E-167</t>
        </is>
      </c>
      <c r="C3263" s="72" t="inlineStr">
        <is>
          <t>X</t>
        </is>
      </c>
      <c r="E3263" s="73">
        <f>B3263*D3263/10000</f>
        <v/>
      </c>
      <c r="F3263" s="74">
        <f>B3263/30.48</f>
        <v/>
      </c>
      <c r="G3263" s="74">
        <f>D3263/30.48</f>
        <v/>
      </c>
      <c r="H3263" s="615" t="n"/>
    </row>
    <row r="3264" ht="18" customHeight="1" s="305">
      <c r="A3264" s="8" t="inlineStr">
        <is>
          <t>E-168</t>
        </is>
      </c>
      <c r="C3264" s="72" t="inlineStr">
        <is>
          <t>X</t>
        </is>
      </c>
      <c r="E3264" s="73">
        <f>B3264*D3264/10000</f>
        <v/>
      </c>
      <c r="F3264" s="74">
        <f>B3264/30.48</f>
        <v/>
      </c>
      <c r="G3264" s="74">
        <f>D3264/30.48</f>
        <v/>
      </c>
      <c r="H3264" s="615" t="n"/>
    </row>
    <row r="3265" ht="18" customHeight="1" s="305">
      <c r="A3265" s="8" t="inlineStr">
        <is>
          <t>E-169</t>
        </is>
      </c>
      <c r="C3265" s="72" t="inlineStr">
        <is>
          <t>X</t>
        </is>
      </c>
      <c r="E3265" s="73">
        <f>B3265*D3265/10000</f>
        <v/>
      </c>
      <c r="F3265" s="74">
        <f>B3265/30.48</f>
        <v/>
      </c>
      <c r="G3265" s="74">
        <f>D3265/30.48</f>
        <v/>
      </c>
      <c r="H3265" s="615" t="n"/>
    </row>
    <row r="3266" ht="18" customHeight="1" s="305">
      <c r="A3266" s="8" t="inlineStr">
        <is>
          <t>E-170</t>
        </is>
      </c>
      <c r="C3266" s="72" t="inlineStr">
        <is>
          <t>X</t>
        </is>
      </c>
      <c r="E3266" s="73">
        <f>B3266*D3266/10000</f>
        <v/>
      </c>
      <c r="F3266" s="74">
        <f>B3266/30.48</f>
        <v/>
      </c>
      <c r="G3266" s="74">
        <f>D3266/30.48</f>
        <v/>
      </c>
      <c r="H3266" s="615" t="n"/>
    </row>
    <row r="3267" ht="18" customHeight="1" s="305">
      <c r="A3267" s="8" t="inlineStr">
        <is>
          <t>E-171</t>
        </is>
      </c>
      <c r="C3267" s="72" t="inlineStr">
        <is>
          <t>X</t>
        </is>
      </c>
      <c r="E3267" s="73">
        <f>B3267*D3267/10000</f>
        <v/>
      </c>
      <c r="F3267" s="74">
        <f>B3267/30.48</f>
        <v/>
      </c>
      <c r="G3267" s="74">
        <f>D3267/30.48</f>
        <v/>
      </c>
      <c r="H3267" s="615" t="n"/>
    </row>
    <row r="3268" ht="18" customHeight="1" s="305">
      <c r="A3268" s="8" t="inlineStr">
        <is>
          <t>E-172</t>
        </is>
      </c>
      <c r="C3268" s="72" t="inlineStr">
        <is>
          <t>X</t>
        </is>
      </c>
      <c r="E3268" s="73">
        <f>B3268*D3268/10000</f>
        <v/>
      </c>
      <c r="F3268" s="74">
        <f>B3268/30.48</f>
        <v/>
      </c>
      <c r="G3268" s="74">
        <f>D3268/30.48</f>
        <v/>
      </c>
      <c r="H3268" s="615" t="n"/>
    </row>
    <row r="3269" ht="18" customHeight="1" s="305">
      <c r="A3269" s="8" t="inlineStr">
        <is>
          <t>E-173</t>
        </is>
      </c>
      <c r="C3269" s="72" t="inlineStr">
        <is>
          <t>X</t>
        </is>
      </c>
      <c r="E3269" s="73">
        <f>B3269*D3269/10000</f>
        <v/>
      </c>
      <c r="F3269" s="74">
        <f>B3269/30.48</f>
        <v/>
      </c>
      <c r="G3269" s="74">
        <f>D3269/30.48</f>
        <v/>
      </c>
      <c r="H3269" s="615" t="n"/>
    </row>
    <row r="3270" ht="18" customHeight="1" s="305">
      <c r="A3270" s="8" t="inlineStr">
        <is>
          <t>E-174</t>
        </is>
      </c>
      <c r="C3270" s="72" t="inlineStr">
        <is>
          <t>X</t>
        </is>
      </c>
      <c r="E3270" s="73">
        <f>B3270*D3270/10000</f>
        <v/>
      </c>
      <c r="F3270" s="74">
        <f>B3270/30.48</f>
        <v/>
      </c>
      <c r="G3270" s="74">
        <f>D3270/30.48</f>
        <v/>
      </c>
      <c r="H3270" s="615" t="n"/>
    </row>
    <row r="3271" ht="18" customHeight="1" s="305">
      <c r="A3271" s="8" t="inlineStr">
        <is>
          <t>E-175</t>
        </is>
      </c>
      <c r="C3271" s="72" t="inlineStr">
        <is>
          <t>X</t>
        </is>
      </c>
      <c r="E3271" s="73">
        <f>B3271*D3271/10000</f>
        <v/>
      </c>
      <c r="F3271" s="74">
        <f>B3271/30.48</f>
        <v/>
      </c>
      <c r="G3271" s="74">
        <f>D3271/30.48</f>
        <v/>
      </c>
      <c r="H3271" s="615" t="n"/>
    </row>
    <row r="3272" ht="18" customHeight="1" s="305">
      <c r="A3272" s="8" t="inlineStr">
        <is>
          <t>E-176</t>
        </is>
      </c>
      <c r="C3272" s="72" t="inlineStr">
        <is>
          <t>X</t>
        </is>
      </c>
      <c r="E3272" s="73">
        <f>B3272*D3272/10000</f>
        <v/>
      </c>
      <c r="F3272" s="74">
        <f>B3272/30.48</f>
        <v/>
      </c>
      <c r="G3272" s="74">
        <f>D3272/30.48</f>
        <v/>
      </c>
      <c r="H3272" s="615" t="n"/>
    </row>
    <row r="3273" ht="18" customHeight="1" s="305">
      <c r="A3273" s="8" t="inlineStr">
        <is>
          <t>E-177</t>
        </is>
      </c>
      <c r="C3273" s="72" t="inlineStr">
        <is>
          <t>X</t>
        </is>
      </c>
      <c r="E3273" s="73">
        <f>B3273*D3273/10000</f>
        <v/>
      </c>
      <c r="F3273" s="74">
        <f>B3273/30.48</f>
        <v/>
      </c>
      <c r="G3273" s="74">
        <f>D3273/30.48</f>
        <v/>
      </c>
      <c r="H3273" s="615" t="n"/>
    </row>
    <row r="3274" ht="18" customHeight="1" s="305">
      <c r="A3274" s="8" t="inlineStr">
        <is>
          <t>E-178</t>
        </is>
      </c>
      <c r="C3274" s="72" t="inlineStr">
        <is>
          <t>X</t>
        </is>
      </c>
      <c r="E3274" s="73">
        <f>B3274*D3274/10000</f>
        <v/>
      </c>
      <c r="F3274" s="74">
        <f>B3274/30.48</f>
        <v/>
      </c>
      <c r="G3274" s="74">
        <f>D3274/30.48</f>
        <v/>
      </c>
      <c r="H3274" s="615" t="n"/>
    </row>
    <row r="3275" ht="18" customHeight="1" s="305">
      <c r="A3275" s="8" t="inlineStr">
        <is>
          <t>E-179</t>
        </is>
      </c>
      <c r="C3275" s="72" t="inlineStr">
        <is>
          <t>X</t>
        </is>
      </c>
      <c r="E3275" s="73">
        <f>B3275*D3275/10000</f>
        <v/>
      </c>
      <c r="F3275" s="74">
        <f>B3275/30.48</f>
        <v/>
      </c>
      <c r="G3275" s="74">
        <f>D3275/30.48</f>
        <v/>
      </c>
      <c r="H3275" s="615" t="n"/>
    </row>
    <row r="3276" ht="18" customHeight="1" s="305">
      <c r="A3276" s="8" t="inlineStr">
        <is>
          <t>E-180</t>
        </is>
      </c>
      <c r="C3276" s="72" t="inlineStr">
        <is>
          <t>X</t>
        </is>
      </c>
      <c r="E3276" s="73">
        <f>B3276*D3276/10000</f>
        <v/>
      </c>
      <c r="F3276" s="74">
        <f>B3276/30.48</f>
        <v/>
      </c>
      <c r="G3276" s="74">
        <f>D3276/30.48</f>
        <v/>
      </c>
      <c r="H3276" s="615" t="n"/>
    </row>
    <row r="3277" ht="18" customHeight="1" s="305">
      <c r="A3277" s="8" t="inlineStr">
        <is>
          <t>E-181</t>
        </is>
      </c>
      <c r="C3277" s="72" t="inlineStr">
        <is>
          <t>X</t>
        </is>
      </c>
      <c r="E3277" s="73">
        <f>B3277*D3277/10000</f>
        <v/>
      </c>
      <c r="F3277" s="74">
        <f>B3277/30.48</f>
        <v/>
      </c>
      <c r="G3277" s="74">
        <f>D3277/30.48</f>
        <v/>
      </c>
      <c r="H3277" s="615" t="n"/>
    </row>
    <row r="3278" ht="18" customHeight="1" s="305">
      <c r="A3278" s="8" t="inlineStr">
        <is>
          <t>E-182</t>
        </is>
      </c>
      <c r="C3278" s="72" t="inlineStr">
        <is>
          <t>X</t>
        </is>
      </c>
      <c r="E3278" s="73">
        <f>B3278*D3278/10000</f>
        <v/>
      </c>
      <c r="F3278" s="74">
        <f>B3278/30.48</f>
        <v/>
      </c>
      <c r="G3278" s="74">
        <f>D3278/30.48</f>
        <v/>
      </c>
      <c r="H3278" s="615" t="n"/>
    </row>
    <row r="3279" ht="18" customHeight="1" s="305">
      <c r="A3279" s="8" t="inlineStr">
        <is>
          <t>E-183</t>
        </is>
      </c>
      <c r="C3279" s="72" t="inlineStr">
        <is>
          <t>X</t>
        </is>
      </c>
      <c r="E3279" s="73">
        <f>B3279*D3279/10000</f>
        <v/>
      </c>
      <c r="F3279" s="74">
        <f>B3279/30.48</f>
        <v/>
      </c>
      <c r="G3279" s="74">
        <f>D3279/30.48</f>
        <v/>
      </c>
      <c r="H3279" s="615" t="n"/>
    </row>
    <row r="3280" ht="18" customHeight="1" s="305">
      <c r="A3280" s="8" t="inlineStr">
        <is>
          <t>E-184</t>
        </is>
      </c>
      <c r="C3280" s="72" t="inlineStr">
        <is>
          <t>X</t>
        </is>
      </c>
      <c r="E3280" s="73">
        <f>B3280*D3280/10000</f>
        <v/>
      </c>
      <c r="F3280" s="74">
        <f>B3280/30.48</f>
        <v/>
      </c>
      <c r="G3280" s="74">
        <f>D3280/30.48</f>
        <v/>
      </c>
      <c r="H3280" s="615" t="n"/>
    </row>
    <row r="3281" ht="18" customHeight="1" s="305">
      <c r="A3281" s="8" t="inlineStr">
        <is>
          <t>E-185</t>
        </is>
      </c>
      <c r="C3281" s="72" t="inlineStr">
        <is>
          <t>X</t>
        </is>
      </c>
      <c r="E3281" s="73">
        <f>B3281*D3281/10000</f>
        <v/>
      </c>
      <c r="F3281" s="74">
        <f>B3281/30.48</f>
        <v/>
      </c>
      <c r="G3281" s="74">
        <f>D3281/30.48</f>
        <v/>
      </c>
      <c r="H3281" s="615" t="n"/>
    </row>
    <row r="3282" ht="18" customHeight="1" s="305">
      <c r="A3282" s="8" t="inlineStr">
        <is>
          <t>E-186</t>
        </is>
      </c>
      <c r="C3282" s="72" t="inlineStr">
        <is>
          <t>X</t>
        </is>
      </c>
      <c r="E3282" s="73">
        <f>B3282*D3282/10000</f>
        <v/>
      </c>
      <c r="F3282" s="74">
        <f>B3282/30.48</f>
        <v/>
      </c>
      <c r="G3282" s="74">
        <f>D3282/30.48</f>
        <v/>
      </c>
      <c r="H3282" s="615" t="n"/>
    </row>
    <row r="3283" ht="18" customHeight="1" s="305">
      <c r="A3283" s="8" t="inlineStr">
        <is>
          <t>E-187</t>
        </is>
      </c>
      <c r="C3283" s="72" t="inlineStr">
        <is>
          <t>X</t>
        </is>
      </c>
      <c r="E3283" s="73">
        <f>B3283*D3283/10000</f>
        <v/>
      </c>
      <c r="F3283" s="74">
        <f>B3283/30.48</f>
        <v/>
      </c>
      <c r="G3283" s="74">
        <f>D3283/30.48</f>
        <v/>
      </c>
      <c r="H3283" s="615" t="n"/>
    </row>
    <row r="3284" ht="18" customHeight="1" s="305">
      <c r="A3284" s="8" t="inlineStr">
        <is>
          <t>E-188</t>
        </is>
      </c>
      <c r="C3284" s="72" t="inlineStr">
        <is>
          <t>X</t>
        </is>
      </c>
      <c r="E3284" s="73">
        <f>B3284*D3284/10000</f>
        <v/>
      </c>
      <c r="F3284" s="74">
        <f>B3284/30.48</f>
        <v/>
      </c>
      <c r="G3284" s="74">
        <f>D3284/30.48</f>
        <v/>
      </c>
      <c r="H3284" s="615" t="n"/>
    </row>
    <row r="3285" ht="18" customHeight="1" s="305">
      <c r="A3285" s="8" t="inlineStr">
        <is>
          <t>E-189</t>
        </is>
      </c>
      <c r="C3285" s="72" t="inlineStr">
        <is>
          <t>X</t>
        </is>
      </c>
      <c r="E3285" s="73">
        <f>B3285*D3285/10000</f>
        <v/>
      </c>
      <c r="F3285" s="74">
        <f>B3285/30.48</f>
        <v/>
      </c>
      <c r="G3285" s="74">
        <f>D3285/30.48</f>
        <v/>
      </c>
      <c r="H3285" s="615" t="n"/>
    </row>
    <row r="3286" ht="18" customHeight="1" s="305">
      <c r="A3286" s="8" t="inlineStr">
        <is>
          <t>E-190</t>
        </is>
      </c>
      <c r="C3286" s="72" t="inlineStr">
        <is>
          <t>X</t>
        </is>
      </c>
      <c r="E3286" s="73">
        <f>B3286*D3286/10000</f>
        <v/>
      </c>
      <c r="F3286" s="74">
        <f>B3286/30.48</f>
        <v/>
      </c>
      <c r="G3286" s="74">
        <f>D3286/30.48</f>
        <v/>
      </c>
      <c r="H3286" s="615" t="n"/>
    </row>
    <row r="3287" ht="18" customHeight="1" s="305">
      <c r="A3287" s="8" t="inlineStr">
        <is>
          <t>E-191</t>
        </is>
      </c>
      <c r="C3287" s="72" t="inlineStr">
        <is>
          <t>X</t>
        </is>
      </c>
      <c r="E3287" s="73">
        <f>B3287*D3287/10000</f>
        <v/>
      </c>
      <c r="F3287" s="74">
        <f>B3287/30.48</f>
        <v/>
      </c>
      <c r="G3287" s="74">
        <f>D3287/30.48</f>
        <v/>
      </c>
      <c r="H3287" s="615" t="n"/>
    </row>
    <row r="3288" ht="18" customHeight="1" s="305">
      <c r="A3288" s="8" t="inlineStr">
        <is>
          <t>E-192</t>
        </is>
      </c>
      <c r="C3288" s="72" t="inlineStr">
        <is>
          <t>X</t>
        </is>
      </c>
      <c r="E3288" s="73">
        <f>B3288*D3288/10000</f>
        <v/>
      </c>
      <c r="F3288" s="74">
        <f>B3288/30.48</f>
        <v/>
      </c>
      <c r="G3288" s="74">
        <f>D3288/30.48</f>
        <v/>
      </c>
      <c r="H3288" s="615" t="n"/>
    </row>
    <row r="3289" ht="18" customHeight="1" s="305">
      <c r="A3289" s="8" t="inlineStr">
        <is>
          <t>E-193</t>
        </is>
      </c>
      <c r="C3289" s="72" t="inlineStr">
        <is>
          <t>X</t>
        </is>
      </c>
      <c r="E3289" s="73">
        <f>B3289*D3289/10000</f>
        <v/>
      </c>
      <c r="F3289" s="74">
        <f>B3289/30.48</f>
        <v/>
      </c>
      <c r="G3289" s="74">
        <f>D3289/30.48</f>
        <v/>
      </c>
      <c r="H3289" s="615" t="n"/>
    </row>
    <row r="3290" ht="18" customHeight="1" s="305">
      <c r="A3290" s="8" t="inlineStr">
        <is>
          <t>E-194</t>
        </is>
      </c>
      <c r="C3290" s="72" t="inlineStr">
        <is>
          <t>X</t>
        </is>
      </c>
      <c r="E3290" s="73">
        <f>B3290*D3290/10000</f>
        <v/>
      </c>
      <c r="F3290" s="74">
        <f>B3290/30.48</f>
        <v/>
      </c>
      <c r="G3290" s="74">
        <f>D3290/30.48</f>
        <v/>
      </c>
      <c r="H3290" s="615" t="n"/>
    </row>
    <row r="3291" ht="18" customHeight="1" s="305">
      <c r="A3291" s="8" t="inlineStr">
        <is>
          <t>E-195</t>
        </is>
      </c>
      <c r="C3291" s="72" t="inlineStr">
        <is>
          <t>X</t>
        </is>
      </c>
      <c r="E3291" s="73">
        <f>B3291*D3291/10000</f>
        <v/>
      </c>
      <c r="F3291" s="74">
        <f>B3291/30.48</f>
        <v/>
      </c>
      <c r="G3291" s="74">
        <f>D3291/30.48</f>
        <v/>
      </c>
      <c r="H3291" s="615" t="n"/>
    </row>
    <row r="3292" ht="18" customHeight="1" s="305">
      <c r="A3292" s="8" t="inlineStr">
        <is>
          <t>E-196</t>
        </is>
      </c>
      <c r="C3292" s="72" t="inlineStr">
        <is>
          <t>X</t>
        </is>
      </c>
      <c r="E3292" s="73">
        <f>B3292*D3292/10000</f>
        <v/>
      </c>
      <c r="F3292" s="74">
        <f>B3292/30.48</f>
        <v/>
      </c>
      <c r="G3292" s="74">
        <f>D3292/30.48</f>
        <v/>
      </c>
      <c r="H3292" s="615" t="n"/>
    </row>
    <row r="3293" ht="18" customHeight="1" s="305">
      <c r="A3293" s="8" t="inlineStr">
        <is>
          <t>E-197</t>
        </is>
      </c>
      <c r="C3293" s="72" t="inlineStr">
        <is>
          <t>X</t>
        </is>
      </c>
      <c r="E3293" s="73">
        <f>B3293*D3293/10000</f>
        <v/>
      </c>
      <c r="F3293" s="74">
        <f>B3293/30.48</f>
        <v/>
      </c>
      <c r="G3293" s="74">
        <f>D3293/30.48</f>
        <v/>
      </c>
      <c r="H3293" s="615" t="n"/>
    </row>
    <row r="3294" ht="18" customHeight="1" s="305">
      <c r="A3294" s="8" t="inlineStr">
        <is>
          <t>E-198</t>
        </is>
      </c>
      <c r="C3294" s="72" t="inlineStr">
        <is>
          <t>X</t>
        </is>
      </c>
      <c r="E3294" s="73">
        <f>B3294*D3294/10000</f>
        <v/>
      </c>
      <c r="F3294" s="74">
        <f>B3294/30.48</f>
        <v/>
      </c>
      <c r="G3294" s="74">
        <f>D3294/30.48</f>
        <v/>
      </c>
      <c r="H3294" s="615" t="n"/>
    </row>
    <row r="3295" ht="18" customHeight="1" s="305">
      <c r="A3295" s="8" t="inlineStr">
        <is>
          <t>E-199</t>
        </is>
      </c>
      <c r="C3295" s="72" t="inlineStr">
        <is>
          <t>X</t>
        </is>
      </c>
      <c r="E3295" s="73">
        <f>B3295*D3295/10000</f>
        <v/>
      </c>
      <c r="F3295" s="74">
        <f>B3295/30.48</f>
        <v/>
      </c>
      <c r="G3295" s="74">
        <f>D3295/30.48</f>
        <v/>
      </c>
      <c r="H3295" s="615" t="n"/>
    </row>
    <row r="3296" ht="18" customHeight="1" s="305">
      <c r="A3296" s="8" t="inlineStr">
        <is>
          <t>E-200</t>
        </is>
      </c>
      <c r="C3296" s="72" t="inlineStr">
        <is>
          <t>X</t>
        </is>
      </c>
      <c r="E3296" s="73">
        <f>B3296*D3296/10000</f>
        <v/>
      </c>
      <c r="F3296" s="74">
        <f>B3296/30.48</f>
        <v/>
      </c>
      <c r="G3296" s="74">
        <f>D3296/30.48</f>
        <v/>
      </c>
      <c r="H3296" s="615" t="n"/>
    </row>
    <row r="3297" ht="18" customHeight="1" s="305">
      <c r="A3297" s="8" t="inlineStr">
        <is>
          <t>E-201</t>
        </is>
      </c>
      <c r="C3297" s="72" t="inlineStr">
        <is>
          <t>X</t>
        </is>
      </c>
      <c r="E3297" s="73">
        <f>B3297*D3297/10000</f>
        <v/>
      </c>
      <c r="F3297" s="74">
        <f>B3297/30.48</f>
        <v/>
      </c>
      <c r="G3297" s="74">
        <f>D3297/30.48</f>
        <v/>
      </c>
      <c r="H3297" s="615" t="n"/>
    </row>
    <row r="3298" ht="18" customHeight="1" s="305">
      <c r="A3298" s="8" t="inlineStr">
        <is>
          <t>E-202</t>
        </is>
      </c>
      <c r="C3298" s="72" t="inlineStr">
        <is>
          <t>X</t>
        </is>
      </c>
      <c r="E3298" s="73">
        <f>B3298*D3298/10000</f>
        <v/>
      </c>
      <c r="F3298" s="74">
        <f>B3298/30.48</f>
        <v/>
      </c>
      <c r="G3298" s="74">
        <f>D3298/30.48</f>
        <v/>
      </c>
      <c r="H3298" s="615" t="n"/>
    </row>
    <row r="3299" ht="18" customHeight="1" s="305">
      <c r="A3299" s="8" t="inlineStr">
        <is>
          <t>E-203</t>
        </is>
      </c>
      <c r="C3299" s="72" t="inlineStr">
        <is>
          <t>X</t>
        </is>
      </c>
      <c r="E3299" s="73">
        <f>B3299*D3299/10000</f>
        <v/>
      </c>
      <c r="F3299" s="74">
        <f>B3299/30.48</f>
        <v/>
      </c>
      <c r="G3299" s="74">
        <f>D3299/30.48</f>
        <v/>
      </c>
      <c r="H3299" s="615" t="n"/>
    </row>
    <row r="3300" ht="18" customHeight="1" s="305">
      <c r="A3300" s="8" t="inlineStr">
        <is>
          <t>E-204</t>
        </is>
      </c>
      <c r="C3300" s="72" t="inlineStr">
        <is>
          <t>X</t>
        </is>
      </c>
      <c r="E3300" s="73">
        <f>B3300*D3300/10000</f>
        <v/>
      </c>
      <c r="F3300" s="74">
        <f>B3300/30.48</f>
        <v/>
      </c>
      <c r="G3300" s="74">
        <f>D3300/30.48</f>
        <v/>
      </c>
      <c r="H3300" s="615" t="n"/>
    </row>
    <row r="3301" ht="18" customHeight="1" s="305">
      <c r="A3301" s="8" t="inlineStr">
        <is>
          <t>E-205</t>
        </is>
      </c>
      <c r="C3301" s="72" t="inlineStr">
        <is>
          <t>X</t>
        </is>
      </c>
      <c r="E3301" s="73">
        <f>B3301*D3301/10000</f>
        <v/>
      </c>
      <c r="F3301" s="74">
        <f>B3301/30.48</f>
        <v/>
      </c>
      <c r="G3301" s="74">
        <f>D3301/30.48</f>
        <v/>
      </c>
      <c r="H3301" s="615" t="n"/>
    </row>
    <row r="3302" ht="18" customHeight="1" s="305">
      <c r="A3302" s="8" t="inlineStr">
        <is>
          <t>E-207</t>
        </is>
      </c>
      <c r="C3302" s="72" t="inlineStr">
        <is>
          <t>X</t>
        </is>
      </c>
      <c r="E3302" s="73">
        <f>B3302*D3302/10000</f>
        <v/>
      </c>
      <c r="F3302" s="74">
        <f>B3302/30.48</f>
        <v/>
      </c>
      <c r="G3302" s="74">
        <f>D3302/30.48</f>
        <v/>
      </c>
      <c r="H3302" s="615" t="n"/>
    </row>
    <row r="3303" ht="18" customHeight="1" s="305">
      <c r="A3303" s="8" t="inlineStr">
        <is>
          <t>E-208</t>
        </is>
      </c>
      <c r="C3303" s="72" t="inlineStr">
        <is>
          <t>X</t>
        </is>
      </c>
      <c r="E3303" s="73">
        <f>B3303*D3303/10000</f>
        <v/>
      </c>
      <c r="F3303" s="74">
        <f>B3303/30.48</f>
        <v/>
      </c>
      <c r="G3303" s="74">
        <f>D3303/30.48</f>
        <v/>
      </c>
      <c r="H3303" s="615" t="n"/>
    </row>
    <row r="3304" ht="18" customHeight="1" s="305">
      <c r="A3304" s="8" t="inlineStr">
        <is>
          <t>E-209</t>
        </is>
      </c>
      <c r="C3304" s="72" t="inlineStr">
        <is>
          <t>X</t>
        </is>
      </c>
      <c r="E3304" s="73">
        <f>B3304*D3304/10000</f>
        <v/>
      </c>
      <c r="F3304" s="74">
        <f>B3304/30.48</f>
        <v/>
      </c>
      <c r="G3304" s="74">
        <f>D3304/30.48</f>
        <v/>
      </c>
      <c r="H3304" s="615" t="n"/>
    </row>
    <row r="3305" ht="18" customHeight="1" s="305">
      <c r="A3305" s="8" t="inlineStr">
        <is>
          <t>E-210</t>
        </is>
      </c>
      <c r="C3305" s="72" t="inlineStr">
        <is>
          <t>X</t>
        </is>
      </c>
      <c r="E3305" s="73">
        <f>B3305*D3305/10000</f>
        <v/>
      </c>
      <c r="F3305" s="74">
        <f>B3305/30.48</f>
        <v/>
      </c>
      <c r="G3305" s="74">
        <f>D3305/30.48</f>
        <v/>
      </c>
      <c r="H3305" s="615" t="n"/>
    </row>
    <row r="3306" ht="18" customHeight="1" s="305">
      <c r="A3306" s="8" t="inlineStr">
        <is>
          <t>E-211</t>
        </is>
      </c>
      <c r="C3306" s="72" t="inlineStr">
        <is>
          <t>X</t>
        </is>
      </c>
      <c r="E3306" s="73">
        <f>B3306*D3306/10000</f>
        <v/>
      </c>
      <c r="F3306" s="74">
        <f>B3306/30.48</f>
        <v/>
      </c>
      <c r="G3306" s="74">
        <f>D3306/30.48</f>
        <v/>
      </c>
      <c r="H3306" s="615" t="n"/>
    </row>
    <row r="3307" ht="18" customHeight="1" s="305">
      <c r="A3307" s="8" t="inlineStr">
        <is>
          <t>E-212</t>
        </is>
      </c>
      <c r="C3307" s="72" t="inlineStr">
        <is>
          <t>X</t>
        </is>
      </c>
      <c r="E3307" s="73">
        <f>B3307*D3307/10000</f>
        <v/>
      </c>
      <c r="F3307" s="74">
        <f>B3307/30.48</f>
        <v/>
      </c>
      <c r="G3307" s="74">
        <f>D3307/30.48</f>
        <v/>
      </c>
      <c r="H3307" s="615" t="n"/>
    </row>
    <row r="3308" ht="18" customHeight="1" s="305">
      <c r="A3308" s="8" t="inlineStr">
        <is>
          <t>E-213</t>
        </is>
      </c>
      <c r="C3308" s="72" t="inlineStr">
        <is>
          <t>X</t>
        </is>
      </c>
      <c r="E3308" s="73">
        <f>B3308*D3308/10000</f>
        <v/>
      </c>
      <c r="F3308" s="74">
        <f>B3308/30.48</f>
        <v/>
      </c>
      <c r="G3308" s="74">
        <f>D3308/30.48</f>
        <v/>
      </c>
      <c r="H3308" s="615" t="n"/>
    </row>
    <row r="3309" ht="18" customHeight="1" s="305">
      <c r="A3309" s="8" t="inlineStr">
        <is>
          <t>E-214</t>
        </is>
      </c>
      <c r="C3309" s="72" t="inlineStr">
        <is>
          <t>X</t>
        </is>
      </c>
      <c r="E3309" s="73">
        <f>B3309*D3309/10000</f>
        <v/>
      </c>
      <c r="F3309" s="74">
        <f>B3309/30.48</f>
        <v/>
      </c>
      <c r="G3309" s="74">
        <f>D3309/30.48</f>
        <v/>
      </c>
      <c r="H3309" s="615" t="n"/>
    </row>
    <row r="3310" ht="18" customHeight="1" s="305">
      <c r="A3310" s="8" t="inlineStr">
        <is>
          <t>E-215</t>
        </is>
      </c>
      <c r="C3310" s="72" t="inlineStr">
        <is>
          <t>X</t>
        </is>
      </c>
      <c r="E3310" s="73">
        <f>B3310*D3310/10000</f>
        <v/>
      </c>
      <c r="F3310" s="74">
        <f>B3310/30.48</f>
        <v/>
      </c>
      <c r="G3310" s="74">
        <f>D3310/30.48</f>
        <v/>
      </c>
      <c r="H3310" s="615" t="n"/>
    </row>
    <row r="3311" ht="18" customHeight="1" s="305">
      <c r="A3311" s="8" t="inlineStr">
        <is>
          <t>E-216</t>
        </is>
      </c>
      <c r="C3311" s="72" t="inlineStr">
        <is>
          <t>X</t>
        </is>
      </c>
      <c r="E3311" s="73">
        <f>B3311*D3311/10000</f>
        <v/>
      </c>
      <c r="F3311" s="74">
        <f>B3311/30.48</f>
        <v/>
      </c>
      <c r="G3311" s="74">
        <f>D3311/30.48</f>
        <v/>
      </c>
      <c r="H3311" s="615" t="n"/>
    </row>
    <row r="3312" ht="18" customHeight="1" s="305">
      <c r="A3312" s="8" t="inlineStr">
        <is>
          <t>E-217</t>
        </is>
      </c>
      <c r="C3312" s="72" t="inlineStr">
        <is>
          <t>X</t>
        </is>
      </c>
      <c r="E3312" s="73">
        <f>B3312*D3312/10000</f>
        <v/>
      </c>
      <c r="F3312" s="74">
        <f>B3312/30.48</f>
        <v/>
      </c>
      <c r="G3312" s="74">
        <f>D3312/30.48</f>
        <v/>
      </c>
      <c r="H3312" s="615" t="n"/>
    </row>
    <row r="3313" ht="18" customHeight="1" s="305">
      <c r="A3313" s="8" t="inlineStr">
        <is>
          <t>E-218</t>
        </is>
      </c>
      <c r="C3313" s="72" t="inlineStr">
        <is>
          <t>X</t>
        </is>
      </c>
      <c r="E3313" s="73">
        <f>B3313*D3313/10000</f>
        <v/>
      </c>
      <c r="F3313" s="74">
        <f>B3313/30.48</f>
        <v/>
      </c>
      <c r="G3313" s="74">
        <f>D3313/30.48</f>
        <v/>
      </c>
      <c r="H3313" s="615" t="n"/>
    </row>
    <row r="3314" ht="18" customHeight="1" s="305">
      <c r="A3314" s="8" t="inlineStr">
        <is>
          <t>E-219</t>
        </is>
      </c>
      <c r="B3314" s="5" t="n">
        <v>65</v>
      </c>
      <c r="C3314" s="72" t="inlineStr">
        <is>
          <t>X</t>
        </is>
      </c>
      <c r="D3314" s="5" t="n">
        <v>193</v>
      </c>
      <c r="E3314" s="73">
        <f>B3314*D3314/10000</f>
        <v/>
      </c>
      <c r="F3314" s="74">
        <f>B3314/30.48</f>
        <v/>
      </c>
      <c r="G3314" s="74">
        <f>D3314/30.48</f>
        <v/>
      </c>
      <c r="H3314" s="615" t="n"/>
    </row>
    <row r="3315" ht="18" customHeight="1" s="305">
      <c r="A3315" s="8" t="inlineStr">
        <is>
          <t>E-220</t>
        </is>
      </c>
      <c r="B3315" s="5" t="n">
        <v>58</v>
      </c>
      <c r="C3315" s="72" t="inlineStr">
        <is>
          <t>X</t>
        </is>
      </c>
      <c r="D3315" s="5" t="n">
        <v>185</v>
      </c>
      <c r="E3315" s="73">
        <f>B3315*D3315/10000</f>
        <v/>
      </c>
      <c r="F3315" s="74">
        <f>B3315/30.48</f>
        <v/>
      </c>
      <c r="G3315" s="74">
        <f>D3315/30.48</f>
        <v/>
      </c>
      <c r="H3315" s="615" t="n"/>
    </row>
    <row r="3316" ht="18" customHeight="1" s="305">
      <c r="A3316" s="8" t="inlineStr">
        <is>
          <t>E-221</t>
        </is>
      </c>
      <c r="B3316" s="5" t="n">
        <v>60</v>
      </c>
      <c r="C3316" s="72" t="inlineStr">
        <is>
          <t>X</t>
        </is>
      </c>
      <c r="D3316" s="5" t="n">
        <v>158</v>
      </c>
      <c r="E3316" s="73">
        <f>B3316*D3316/10000</f>
        <v/>
      </c>
      <c r="F3316" s="74">
        <f>B3316/30.48</f>
        <v/>
      </c>
      <c r="G3316" s="74">
        <f>D3316/30.48</f>
        <v/>
      </c>
      <c r="H3316" s="615" t="n"/>
    </row>
    <row r="3317" ht="18" customHeight="1" s="305">
      <c r="A3317" s="8" t="inlineStr">
        <is>
          <t>E-222</t>
        </is>
      </c>
      <c r="B3317" s="5" t="n">
        <v>62</v>
      </c>
      <c r="C3317" s="72" t="inlineStr">
        <is>
          <t>X</t>
        </is>
      </c>
      <c r="D3317" s="5" t="n">
        <v>150</v>
      </c>
      <c r="E3317" s="73">
        <f>B3317*D3317/10000</f>
        <v/>
      </c>
      <c r="F3317" s="74">
        <f>B3317/30.48</f>
        <v/>
      </c>
      <c r="G3317" s="74">
        <f>D3317/30.48</f>
        <v/>
      </c>
      <c r="H3317" s="615" t="n"/>
    </row>
    <row r="3318" ht="18" customHeight="1" s="305">
      <c r="A3318" s="8" t="inlineStr">
        <is>
          <t>E-223</t>
        </is>
      </c>
      <c r="B3318" s="5" t="n">
        <v>57</v>
      </c>
      <c r="C3318" s="72" t="inlineStr">
        <is>
          <t>X</t>
        </is>
      </c>
      <c r="D3318" s="5" t="n">
        <v>145</v>
      </c>
      <c r="E3318" s="73">
        <f>B3318*D3318/10000</f>
        <v/>
      </c>
      <c r="F3318" s="74">
        <f>B3318/30.48</f>
        <v/>
      </c>
      <c r="G3318" s="74">
        <f>D3318/30.48</f>
        <v/>
      </c>
      <c r="H3318" s="615" t="n"/>
    </row>
    <row r="3319" ht="18" customHeight="1" s="305">
      <c r="A3319" s="8" t="inlineStr">
        <is>
          <t>E-224</t>
        </is>
      </c>
      <c r="B3319" s="5" t="n">
        <v>66</v>
      </c>
      <c r="C3319" s="72" t="inlineStr">
        <is>
          <t>X</t>
        </is>
      </c>
      <c r="D3319" s="5" t="n">
        <v>178</v>
      </c>
      <c r="E3319" s="73">
        <f>B3319*D3319/10000</f>
        <v/>
      </c>
      <c r="F3319" s="74">
        <f>B3319/30.48</f>
        <v/>
      </c>
      <c r="G3319" s="74">
        <f>D3319/30.48</f>
        <v/>
      </c>
      <c r="H3319" s="615" t="n"/>
    </row>
    <row r="3320" ht="18" customHeight="1" s="305">
      <c r="A3320" s="8" t="inlineStr">
        <is>
          <t>E-225</t>
        </is>
      </c>
      <c r="B3320" s="5" t="n">
        <v>55</v>
      </c>
      <c r="C3320" s="72" t="inlineStr">
        <is>
          <t>X</t>
        </is>
      </c>
      <c r="D3320" s="5" t="n">
        <v>132</v>
      </c>
      <c r="E3320" s="73">
        <f>B3320*D3320/10000</f>
        <v/>
      </c>
      <c r="F3320" s="74">
        <f>B3320/30.48</f>
        <v/>
      </c>
      <c r="G3320" s="74">
        <f>D3320/30.48</f>
        <v/>
      </c>
      <c r="H3320" s="615" t="n"/>
    </row>
    <row r="3321" ht="18" customHeight="1" s="305">
      <c r="A3321" s="8" t="inlineStr">
        <is>
          <t>E-227</t>
        </is>
      </c>
      <c r="B3321" s="5" t="n">
        <v>64</v>
      </c>
      <c r="C3321" s="72" t="inlineStr">
        <is>
          <t>X</t>
        </is>
      </c>
      <c r="D3321" s="5" t="n">
        <v>166</v>
      </c>
      <c r="E3321" s="73">
        <f>B3321*D3321/10000</f>
        <v/>
      </c>
      <c r="F3321" s="74">
        <f>B3321/30.48</f>
        <v/>
      </c>
      <c r="G3321" s="74">
        <f>D3321/30.48</f>
        <v/>
      </c>
      <c r="H3321" s="615" t="n"/>
    </row>
    <row r="3322" ht="18" customHeight="1" s="305">
      <c r="A3322" s="8" t="inlineStr">
        <is>
          <t>E-228</t>
        </is>
      </c>
      <c r="B3322" s="5" t="n">
        <v>67</v>
      </c>
      <c r="C3322" s="72" t="inlineStr">
        <is>
          <t>X</t>
        </is>
      </c>
      <c r="D3322" s="5" t="n">
        <v>178</v>
      </c>
      <c r="E3322" s="73">
        <f>B3322*D3322/10000</f>
        <v/>
      </c>
      <c r="F3322" s="74">
        <f>B3322/30.48</f>
        <v/>
      </c>
      <c r="G3322" s="74">
        <f>D3322/30.48</f>
        <v/>
      </c>
      <c r="H3322" s="615" t="n"/>
    </row>
    <row r="3323" ht="18" customHeight="1" s="305">
      <c r="A3323" s="8" t="inlineStr">
        <is>
          <t>E-229</t>
        </is>
      </c>
      <c r="B3323" s="5" t="n">
        <v>51</v>
      </c>
      <c r="C3323" s="72" t="inlineStr">
        <is>
          <t>X</t>
        </is>
      </c>
      <c r="D3323" s="5" t="n">
        <v>379</v>
      </c>
      <c r="E3323" s="73">
        <f>B3323*D3323/10000</f>
        <v/>
      </c>
      <c r="F3323" s="74">
        <f>B3323/30.48</f>
        <v/>
      </c>
      <c r="G3323" s="74">
        <f>D3323/30.48</f>
        <v/>
      </c>
      <c r="H3323" s="615" t="n"/>
    </row>
    <row r="3324" ht="18" customHeight="1" s="305">
      <c r="A3324" s="8" t="inlineStr">
        <is>
          <t>E-230</t>
        </is>
      </c>
      <c r="B3324" s="5" t="n">
        <v>53</v>
      </c>
      <c r="C3324" s="72" t="inlineStr">
        <is>
          <t>X</t>
        </is>
      </c>
      <c r="D3324" s="5" t="n">
        <v>361</v>
      </c>
      <c r="E3324" s="73">
        <f>B3324*D3324/10000</f>
        <v/>
      </c>
      <c r="F3324" s="74">
        <f>B3324/30.48</f>
        <v/>
      </c>
      <c r="G3324" s="74">
        <f>D3324/30.48</f>
        <v/>
      </c>
      <c r="H3324" s="615" t="n"/>
    </row>
    <row r="3325" ht="18" customHeight="1" s="305">
      <c r="A3325" s="8" t="inlineStr">
        <is>
          <t>E-231</t>
        </is>
      </c>
      <c r="B3325" s="5" t="n">
        <v>50</v>
      </c>
      <c r="C3325" s="72" t="inlineStr">
        <is>
          <t>X</t>
        </is>
      </c>
      <c r="D3325" s="5" t="n">
        <v>210</v>
      </c>
      <c r="E3325" s="73">
        <f>B3325*D3325/10000</f>
        <v/>
      </c>
      <c r="F3325" s="74">
        <f>B3325/30.48</f>
        <v/>
      </c>
      <c r="G3325" s="74">
        <f>D3325/30.48</f>
        <v/>
      </c>
      <c r="H3325" s="615" t="n"/>
    </row>
    <row r="3326" ht="18" customHeight="1" s="305">
      <c r="A3326" s="8" t="inlineStr">
        <is>
          <t>E-232</t>
        </is>
      </c>
      <c r="B3326" s="5" t="n">
        <v>64</v>
      </c>
      <c r="C3326" s="72" t="inlineStr">
        <is>
          <t>X</t>
        </is>
      </c>
      <c r="D3326" s="5" t="n">
        <v>304</v>
      </c>
      <c r="E3326" s="73">
        <f>B3326*D3326/10000</f>
        <v/>
      </c>
      <c r="F3326" s="74">
        <f>B3326/30.48</f>
        <v/>
      </c>
      <c r="G3326" s="74">
        <f>D3326/30.48</f>
        <v/>
      </c>
      <c r="H3326" s="615" t="n"/>
    </row>
    <row r="3327" ht="18" customHeight="1" s="305">
      <c r="A3327" s="8" t="inlineStr">
        <is>
          <t>E-233</t>
        </is>
      </c>
      <c r="B3327" s="5" t="n">
        <v>60</v>
      </c>
      <c r="C3327" s="72" t="inlineStr">
        <is>
          <t>X</t>
        </is>
      </c>
      <c r="D3327" s="5" t="n">
        <v>193</v>
      </c>
      <c r="E3327" s="73">
        <f>B3327*D3327/10000</f>
        <v/>
      </c>
      <c r="F3327" s="74">
        <f>B3327/30.48</f>
        <v/>
      </c>
      <c r="G3327" s="74">
        <f>D3327/30.48</f>
        <v/>
      </c>
      <c r="H3327" s="615" t="n"/>
    </row>
    <row r="3328" ht="18" customHeight="1" s="305">
      <c r="A3328" s="8" t="inlineStr">
        <is>
          <t>E-234</t>
        </is>
      </c>
      <c r="B3328" s="5" t="n">
        <v>74</v>
      </c>
      <c r="C3328" s="72" t="inlineStr">
        <is>
          <t>X</t>
        </is>
      </c>
      <c r="D3328" s="5" t="n">
        <v>185</v>
      </c>
      <c r="E3328" s="73">
        <f>B3328*D3328/10000</f>
        <v/>
      </c>
      <c r="F3328" s="74">
        <f>B3328/30.48</f>
        <v/>
      </c>
      <c r="G3328" s="74">
        <f>D3328/30.48</f>
        <v/>
      </c>
      <c r="H3328" s="615" t="n"/>
    </row>
    <row r="3329" ht="18" customHeight="1" s="305">
      <c r="A3329" s="8" t="inlineStr">
        <is>
          <t>E-235</t>
        </is>
      </c>
      <c r="B3329" s="5" t="n">
        <v>68</v>
      </c>
      <c r="C3329" s="72" t="inlineStr">
        <is>
          <t>X</t>
        </is>
      </c>
      <c r="D3329" s="5" t="n">
        <v>139</v>
      </c>
      <c r="E3329" s="73">
        <f>B3329*D3329/10000</f>
        <v/>
      </c>
      <c r="F3329" s="74">
        <f>B3329/30.48</f>
        <v/>
      </c>
      <c r="G3329" s="74">
        <f>D3329/30.48</f>
        <v/>
      </c>
      <c r="H3329" s="615" t="n"/>
    </row>
    <row r="3330" ht="18" customHeight="1" s="305">
      <c r="A3330" s="8" t="inlineStr">
        <is>
          <t>E-236</t>
        </is>
      </c>
      <c r="B3330" s="5" t="n">
        <v>67</v>
      </c>
      <c r="C3330" s="72" t="inlineStr">
        <is>
          <t>X</t>
        </is>
      </c>
      <c r="D3330" s="5" t="n">
        <v>120</v>
      </c>
      <c r="E3330" s="73">
        <f>B3330*D3330/10000</f>
        <v/>
      </c>
      <c r="F3330" s="74">
        <f>B3330/30.48</f>
        <v/>
      </c>
      <c r="G3330" s="74">
        <f>D3330/30.48</f>
        <v/>
      </c>
      <c r="H3330" s="615" t="n"/>
    </row>
    <row r="3331" ht="18" customHeight="1" s="305">
      <c r="A3331" s="8" t="inlineStr">
        <is>
          <t>E-237</t>
        </is>
      </c>
      <c r="B3331" s="5" t="n">
        <v>49</v>
      </c>
      <c r="C3331" s="72" t="inlineStr">
        <is>
          <t>X</t>
        </is>
      </c>
      <c r="D3331" s="5" t="n">
        <v>119</v>
      </c>
      <c r="E3331" s="73">
        <f>B3331*D3331/10000</f>
        <v/>
      </c>
      <c r="F3331" s="74">
        <f>B3331/30.48</f>
        <v/>
      </c>
      <c r="G3331" s="74">
        <f>D3331/30.48</f>
        <v/>
      </c>
      <c r="H3331" s="615" t="n"/>
    </row>
    <row r="3332" ht="18" customHeight="1" s="305">
      <c r="A3332" s="8" t="inlineStr">
        <is>
          <t>E-238</t>
        </is>
      </c>
      <c r="B3332" s="5" t="n">
        <v>60</v>
      </c>
      <c r="C3332" s="72" t="inlineStr">
        <is>
          <t>X</t>
        </is>
      </c>
      <c r="D3332" s="5" t="n">
        <v>135</v>
      </c>
      <c r="E3332" s="73">
        <f>B3332*D3332/10000</f>
        <v/>
      </c>
      <c r="F3332" s="74">
        <f>B3332/30.48</f>
        <v/>
      </c>
      <c r="G3332" s="74">
        <f>D3332/30.48</f>
        <v/>
      </c>
      <c r="H3332" s="615" t="n"/>
    </row>
    <row r="3333" ht="18" customHeight="1" s="305">
      <c r="A3333" s="8" t="inlineStr">
        <is>
          <t>E-239</t>
        </is>
      </c>
      <c r="B3333" s="5" t="n">
        <v>56</v>
      </c>
      <c r="C3333" s="72" t="inlineStr">
        <is>
          <t>X</t>
        </is>
      </c>
      <c r="D3333" s="5" t="n">
        <v>132</v>
      </c>
      <c r="E3333" s="73">
        <f>B3333*D3333/10000</f>
        <v/>
      </c>
      <c r="F3333" s="74">
        <f>B3333/30.48</f>
        <v/>
      </c>
      <c r="G3333" s="74">
        <f>D3333/30.48</f>
        <v/>
      </c>
      <c r="H3333" s="615" t="n"/>
    </row>
    <row r="3334" ht="18" customHeight="1" s="305">
      <c r="A3334" s="8" t="inlineStr">
        <is>
          <t>E-240</t>
        </is>
      </c>
      <c r="B3334" s="5" t="n">
        <v>63</v>
      </c>
      <c r="C3334" s="72" t="inlineStr">
        <is>
          <t>X</t>
        </is>
      </c>
      <c r="D3334" s="5" t="n">
        <v>141</v>
      </c>
      <c r="E3334" s="73">
        <f>B3334*D3334/10000</f>
        <v/>
      </c>
      <c r="F3334" s="74">
        <f>B3334/30.48</f>
        <v/>
      </c>
      <c r="G3334" s="74">
        <f>D3334/30.48</f>
        <v/>
      </c>
      <c r="H3334" s="615" t="n"/>
    </row>
    <row r="3335" ht="18" customHeight="1" s="305">
      <c r="A3335" s="8" t="inlineStr">
        <is>
          <t>E-241</t>
        </is>
      </c>
      <c r="B3335" s="5" t="n">
        <v>68</v>
      </c>
      <c r="C3335" s="72" t="inlineStr">
        <is>
          <t>X</t>
        </is>
      </c>
      <c r="D3335" s="5" t="n">
        <v>121</v>
      </c>
      <c r="E3335" s="73">
        <f>B3335*D3335/10000</f>
        <v/>
      </c>
      <c r="F3335" s="74">
        <f>B3335/30.48</f>
        <v/>
      </c>
      <c r="G3335" s="74">
        <f>D3335/30.48</f>
        <v/>
      </c>
      <c r="H3335" s="615" t="n"/>
    </row>
    <row r="3336" ht="18" customHeight="1" s="305">
      <c r="A3336" s="8" t="inlineStr">
        <is>
          <t>E-242</t>
        </is>
      </c>
      <c r="B3336" s="5" t="n">
        <v>63</v>
      </c>
      <c r="C3336" s="72" t="inlineStr">
        <is>
          <t>X</t>
        </is>
      </c>
      <c r="D3336" s="5" t="n">
        <v>121</v>
      </c>
      <c r="E3336" s="73">
        <f>B3336*D3336/10000</f>
        <v/>
      </c>
      <c r="F3336" s="74">
        <f>B3336/30.48</f>
        <v/>
      </c>
      <c r="G3336" s="74">
        <f>D3336/30.48</f>
        <v/>
      </c>
      <c r="H3336" s="615" t="n"/>
    </row>
    <row r="3337" ht="18" customHeight="1" s="305">
      <c r="A3337" s="8" t="inlineStr">
        <is>
          <t>E-243</t>
        </is>
      </c>
      <c r="B3337" s="5" t="n">
        <v>60</v>
      </c>
      <c r="C3337" s="72" t="inlineStr">
        <is>
          <t>X</t>
        </is>
      </c>
      <c r="D3337" s="5" t="n">
        <v>150</v>
      </c>
      <c r="E3337" s="73">
        <f>B3337*D3337/10000</f>
        <v/>
      </c>
      <c r="F3337" s="74">
        <f>B3337/30.48</f>
        <v/>
      </c>
      <c r="G3337" s="74">
        <f>D3337/30.48</f>
        <v/>
      </c>
      <c r="H3337" s="615" t="n"/>
    </row>
    <row r="3338" ht="18" customHeight="1" s="305">
      <c r="A3338" s="8" t="inlineStr">
        <is>
          <t>E-244</t>
        </is>
      </c>
      <c r="B3338" s="5" t="n">
        <v>56</v>
      </c>
      <c r="C3338" s="72" t="inlineStr">
        <is>
          <t>X</t>
        </is>
      </c>
      <c r="D3338" s="5" t="n">
        <v>131</v>
      </c>
      <c r="E3338" s="73">
        <f>B3338*D3338/10000</f>
        <v/>
      </c>
      <c r="F3338" s="74">
        <f>B3338/30.48</f>
        <v/>
      </c>
      <c r="G3338" s="74">
        <f>D3338/30.48</f>
        <v/>
      </c>
      <c r="H3338" s="615" t="n"/>
    </row>
    <row r="3339" ht="18" customHeight="1" s="305">
      <c r="A3339" s="8" t="inlineStr">
        <is>
          <t>E-245</t>
        </is>
      </c>
      <c r="B3339" s="5" t="n">
        <v>55</v>
      </c>
      <c r="C3339" s="72" t="inlineStr">
        <is>
          <t>X</t>
        </is>
      </c>
      <c r="D3339" s="5" t="n">
        <v>132</v>
      </c>
      <c r="E3339" s="73">
        <f>B3339*D3339/10000</f>
        <v/>
      </c>
      <c r="F3339" s="74">
        <f>B3339/30.48</f>
        <v/>
      </c>
      <c r="G3339" s="74">
        <f>D3339/30.48</f>
        <v/>
      </c>
      <c r="H3339" s="615" t="n"/>
    </row>
    <row r="3340" ht="18" customHeight="1" s="305">
      <c r="A3340" s="8" t="inlineStr">
        <is>
          <t>E-246</t>
        </is>
      </c>
      <c r="B3340" s="5" t="n">
        <v>61</v>
      </c>
      <c r="C3340" s="72" t="inlineStr">
        <is>
          <t>X</t>
        </is>
      </c>
      <c r="D3340" s="5" t="n">
        <v>132</v>
      </c>
      <c r="E3340" s="73">
        <f>B3340*D3340/10000</f>
        <v/>
      </c>
      <c r="F3340" s="74">
        <f>B3340/30.48</f>
        <v/>
      </c>
      <c r="G3340" s="74">
        <f>D3340/30.48</f>
        <v/>
      </c>
      <c r="H3340" s="615" t="n"/>
    </row>
    <row r="3341" ht="18" customHeight="1" s="305">
      <c r="A3341" s="8" t="inlineStr">
        <is>
          <t>E-247</t>
        </is>
      </c>
      <c r="B3341" s="5" t="n">
        <v>57</v>
      </c>
      <c r="C3341" s="72" t="inlineStr">
        <is>
          <t>X</t>
        </is>
      </c>
      <c r="D3341" s="5" t="n">
        <v>110</v>
      </c>
      <c r="E3341" s="73">
        <f>B3341*D3341/10000</f>
        <v/>
      </c>
      <c r="F3341" s="74">
        <f>B3341/30.48</f>
        <v/>
      </c>
      <c r="G3341" s="74">
        <f>D3341/30.48</f>
        <v/>
      </c>
      <c r="H3341" s="615" t="n"/>
    </row>
    <row r="3342" ht="18" customHeight="1" s="305">
      <c r="A3342" s="8" t="inlineStr">
        <is>
          <t>E-248</t>
        </is>
      </c>
      <c r="B3342" s="5" t="n">
        <v>56</v>
      </c>
      <c r="C3342" s="72" t="inlineStr">
        <is>
          <t>X</t>
        </is>
      </c>
      <c r="D3342" s="5" t="n">
        <v>135</v>
      </c>
      <c r="E3342" s="73">
        <f>B3342*D3342/10000</f>
        <v/>
      </c>
      <c r="F3342" s="74">
        <f>B3342/30.48</f>
        <v/>
      </c>
      <c r="G3342" s="74">
        <f>D3342/30.48</f>
        <v/>
      </c>
      <c r="H3342" s="615" t="n"/>
    </row>
    <row r="3343" ht="18" customHeight="1" s="305">
      <c r="A3343" s="8" t="inlineStr">
        <is>
          <t>E-249</t>
        </is>
      </c>
      <c r="B3343" s="5" t="n">
        <v>66</v>
      </c>
      <c r="C3343" s="72" t="inlineStr">
        <is>
          <t>X</t>
        </is>
      </c>
      <c r="D3343" s="5" t="n">
        <v>345</v>
      </c>
      <c r="E3343" s="73">
        <f>B3343*D3343/10000</f>
        <v/>
      </c>
      <c r="F3343" s="74">
        <f>B3343/30.48</f>
        <v/>
      </c>
      <c r="G3343" s="74">
        <f>D3343/30.48</f>
        <v/>
      </c>
      <c r="H3343" s="615" t="n"/>
    </row>
    <row r="3344" ht="18" customHeight="1" s="305">
      <c r="A3344" s="8" t="inlineStr">
        <is>
          <t>E-250</t>
        </is>
      </c>
      <c r="B3344" s="5" t="n">
        <v>64</v>
      </c>
      <c r="C3344" s="72" t="inlineStr">
        <is>
          <t>X</t>
        </is>
      </c>
      <c r="D3344" s="5" t="n">
        <v>150</v>
      </c>
      <c r="E3344" s="73">
        <f>B3344*D3344/10000</f>
        <v/>
      </c>
      <c r="F3344" s="74">
        <f>B3344/30.48</f>
        <v/>
      </c>
      <c r="G3344" s="74">
        <f>D3344/30.48</f>
        <v/>
      </c>
      <c r="H3344" s="615" t="n"/>
    </row>
    <row r="3345" ht="18" customHeight="1" s="305">
      <c r="A3345" s="8" t="inlineStr">
        <is>
          <t>E-252</t>
        </is>
      </c>
      <c r="B3345" s="5" t="n">
        <v>62</v>
      </c>
      <c r="C3345" s="72" t="inlineStr">
        <is>
          <t>X</t>
        </is>
      </c>
      <c r="D3345" s="5" t="n">
        <v>130</v>
      </c>
      <c r="E3345" s="73">
        <f>B3345*D3345/10000</f>
        <v/>
      </c>
      <c r="F3345" s="74">
        <f>B3345/30.48</f>
        <v/>
      </c>
      <c r="G3345" s="74">
        <f>D3345/30.48</f>
        <v/>
      </c>
      <c r="H3345" s="615" t="n"/>
    </row>
    <row r="3346" ht="18" customHeight="1" s="305">
      <c r="A3346" s="8" t="inlineStr">
        <is>
          <t>E-253</t>
        </is>
      </c>
      <c r="B3346" s="5" t="n">
        <v>66</v>
      </c>
      <c r="C3346" s="72" t="inlineStr">
        <is>
          <t>X</t>
        </is>
      </c>
      <c r="D3346" s="5" t="n">
        <v>173</v>
      </c>
      <c r="E3346" s="73">
        <f>B3346*D3346/10000</f>
        <v/>
      </c>
      <c r="F3346" s="74">
        <f>B3346/30.48</f>
        <v/>
      </c>
      <c r="G3346" s="74">
        <f>D3346/30.48</f>
        <v/>
      </c>
      <c r="H3346" s="615" t="n"/>
    </row>
    <row r="3347" ht="18" customHeight="1" s="305">
      <c r="A3347" s="8" t="inlineStr">
        <is>
          <t>E-254</t>
        </is>
      </c>
      <c r="B3347" s="5" t="n">
        <v>61</v>
      </c>
      <c r="C3347" s="72" t="inlineStr">
        <is>
          <t>X</t>
        </is>
      </c>
      <c r="D3347" s="5" t="n">
        <v>167</v>
      </c>
      <c r="E3347" s="73">
        <f>B3347*D3347/10000</f>
        <v/>
      </c>
      <c r="F3347" s="74">
        <f>B3347/30.48</f>
        <v/>
      </c>
      <c r="G3347" s="74">
        <f>D3347/30.48</f>
        <v/>
      </c>
      <c r="H3347" s="615" t="n"/>
    </row>
    <row r="3348" ht="18" customHeight="1" s="305">
      <c r="A3348" s="8" t="inlineStr">
        <is>
          <t>E-255</t>
        </is>
      </c>
      <c r="B3348" s="5" t="n">
        <v>57</v>
      </c>
      <c r="C3348" s="72" t="inlineStr">
        <is>
          <t>X</t>
        </is>
      </c>
      <c r="D3348" s="5" t="n">
        <v>175</v>
      </c>
      <c r="E3348" s="73">
        <f>B3348*D3348/10000</f>
        <v/>
      </c>
      <c r="F3348" s="74">
        <f>B3348/30.48</f>
        <v/>
      </c>
      <c r="G3348" s="74">
        <f>D3348/30.48</f>
        <v/>
      </c>
      <c r="H3348" s="615" t="n"/>
    </row>
    <row r="3349" ht="18" customHeight="1" s="305">
      <c r="A3349" s="8" t="inlineStr">
        <is>
          <t>E-256</t>
        </is>
      </c>
      <c r="B3349" s="5" t="n">
        <v>63</v>
      </c>
      <c r="C3349" s="72" t="inlineStr">
        <is>
          <t>X</t>
        </is>
      </c>
      <c r="D3349" s="5" t="n">
        <v>159</v>
      </c>
      <c r="E3349" s="73">
        <f>B3349*D3349/10000</f>
        <v/>
      </c>
      <c r="F3349" s="74">
        <f>B3349/30.48</f>
        <v/>
      </c>
      <c r="G3349" s="74">
        <f>D3349/30.48</f>
        <v/>
      </c>
      <c r="H3349" s="615" t="n"/>
    </row>
    <row r="3350" ht="18" customHeight="1" s="305">
      <c r="A3350" s="8" t="inlineStr">
        <is>
          <t>E-257</t>
        </is>
      </c>
      <c r="B3350" s="5" t="n">
        <v>59</v>
      </c>
      <c r="C3350" s="72" t="inlineStr">
        <is>
          <t>X</t>
        </is>
      </c>
      <c r="D3350" s="5" t="n">
        <v>160</v>
      </c>
      <c r="E3350" s="73">
        <f>B3350*D3350/10000</f>
        <v/>
      </c>
      <c r="F3350" s="74">
        <f>B3350/30.48</f>
        <v/>
      </c>
      <c r="G3350" s="74">
        <f>D3350/30.48</f>
        <v/>
      </c>
      <c r="H3350" s="615" t="n"/>
    </row>
    <row r="3351" ht="18" customHeight="1" s="305">
      <c r="A3351" s="8" t="inlineStr">
        <is>
          <t>E-258</t>
        </is>
      </c>
      <c r="B3351" s="5" t="n">
        <v>54</v>
      </c>
      <c r="C3351" s="72" t="inlineStr">
        <is>
          <t>X</t>
        </is>
      </c>
      <c r="D3351" s="5" t="n">
        <v>146</v>
      </c>
      <c r="E3351" s="73">
        <f>B3351*D3351/10000</f>
        <v/>
      </c>
      <c r="F3351" s="74">
        <f>B3351/30.48</f>
        <v/>
      </c>
      <c r="G3351" s="74">
        <f>D3351/30.48</f>
        <v/>
      </c>
      <c r="H3351" s="615" t="n"/>
    </row>
    <row r="3352" ht="18" customHeight="1" s="305">
      <c r="A3352" s="8" t="inlineStr">
        <is>
          <t>E-259</t>
        </is>
      </c>
      <c r="B3352" s="5" t="n">
        <v>48</v>
      </c>
      <c r="C3352" s="72" t="inlineStr">
        <is>
          <t>X</t>
        </is>
      </c>
      <c r="D3352" s="5" t="n">
        <v>175</v>
      </c>
      <c r="E3352" s="73">
        <f>B3352*D3352/10000</f>
        <v/>
      </c>
      <c r="F3352" s="74">
        <f>B3352/30.48</f>
        <v/>
      </c>
      <c r="G3352" s="74">
        <f>D3352/30.48</f>
        <v/>
      </c>
      <c r="H3352" s="615" t="n"/>
    </row>
    <row r="3353" ht="18" customHeight="1" s="305">
      <c r="A3353" s="8" t="inlineStr">
        <is>
          <t>E-261</t>
        </is>
      </c>
      <c r="B3353" s="5" t="n">
        <v>61</v>
      </c>
      <c r="C3353" s="72" t="inlineStr">
        <is>
          <t>X</t>
        </is>
      </c>
      <c r="D3353" s="5" t="n">
        <v>124</v>
      </c>
      <c r="E3353" s="73">
        <f>B3353*D3353/10000</f>
        <v/>
      </c>
      <c r="F3353" s="74">
        <f>B3353/30.48</f>
        <v/>
      </c>
      <c r="G3353" s="74">
        <f>D3353/30.48</f>
        <v/>
      </c>
      <c r="H3353" s="615" t="n"/>
    </row>
    <row r="3354" ht="18" customHeight="1" s="305">
      <c r="A3354" s="8" t="inlineStr">
        <is>
          <t>E-262</t>
        </is>
      </c>
      <c r="B3354" s="5" t="n">
        <v>55</v>
      </c>
      <c r="C3354" s="72" t="inlineStr">
        <is>
          <t>X</t>
        </is>
      </c>
      <c r="D3354" s="5" t="n">
        <v>140</v>
      </c>
      <c r="E3354" s="73">
        <f>B3354*D3354/10000</f>
        <v/>
      </c>
      <c r="F3354" s="74">
        <f>B3354/30.48</f>
        <v/>
      </c>
      <c r="G3354" s="74">
        <f>D3354/30.48</f>
        <v/>
      </c>
      <c r="H3354" s="615" t="n"/>
    </row>
    <row r="3355" ht="18" customHeight="1" s="305">
      <c r="A3355" s="8" t="inlineStr">
        <is>
          <t>E-263</t>
        </is>
      </c>
      <c r="B3355" s="5" t="n">
        <v>63</v>
      </c>
      <c r="C3355" s="72" t="inlineStr">
        <is>
          <t>X</t>
        </is>
      </c>
      <c r="D3355" s="5" t="n">
        <v>120</v>
      </c>
      <c r="E3355" s="73">
        <f>B3355*D3355/10000</f>
        <v/>
      </c>
      <c r="F3355" s="74">
        <f>B3355/30.48</f>
        <v/>
      </c>
      <c r="G3355" s="74">
        <f>D3355/30.48</f>
        <v/>
      </c>
      <c r="H3355" s="615" t="n"/>
    </row>
    <row r="3356" ht="18" customHeight="1" s="305">
      <c r="A3356" s="8" t="inlineStr">
        <is>
          <t>E-264</t>
        </is>
      </c>
      <c r="B3356" s="5" t="n">
        <v>53</v>
      </c>
      <c r="C3356" s="72" t="inlineStr">
        <is>
          <t>X</t>
        </is>
      </c>
      <c r="D3356" s="5" t="n">
        <v>138</v>
      </c>
      <c r="E3356" s="73">
        <f>B3356*D3356/10000</f>
        <v/>
      </c>
      <c r="F3356" s="74">
        <f>B3356/30.48</f>
        <v/>
      </c>
      <c r="G3356" s="74">
        <f>D3356/30.48</f>
        <v/>
      </c>
      <c r="H3356" s="615" t="n"/>
    </row>
    <row r="3357" ht="18" customHeight="1" s="305">
      <c r="A3357" s="8" t="inlineStr">
        <is>
          <t>E-265</t>
        </is>
      </c>
      <c r="B3357" s="5" t="n">
        <v>58</v>
      </c>
      <c r="C3357" s="72" t="inlineStr">
        <is>
          <t>X</t>
        </is>
      </c>
      <c r="D3357" s="5" t="n">
        <v>145</v>
      </c>
      <c r="E3357" s="73">
        <f>B3357*D3357/10000</f>
        <v/>
      </c>
      <c r="F3357" s="74">
        <f>B3357/30.48</f>
        <v/>
      </c>
      <c r="G3357" s="74">
        <f>D3357/30.48</f>
        <v/>
      </c>
      <c r="H3357" s="615" t="n"/>
    </row>
    <row r="3358" ht="18" customHeight="1" s="305">
      <c r="A3358" s="8" t="inlineStr">
        <is>
          <t>E-266</t>
        </is>
      </c>
      <c r="B3358" s="5" t="n">
        <v>61</v>
      </c>
      <c r="C3358" s="72" t="inlineStr">
        <is>
          <t>X</t>
        </is>
      </c>
      <c r="D3358" s="5" t="n">
        <v>141</v>
      </c>
      <c r="E3358" s="73">
        <f>B3358*D3358/10000</f>
        <v/>
      </c>
      <c r="F3358" s="74">
        <f>B3358/30.48</f>
        <v/>
      </c>
      <c r="G3358" s="74">
        <f>D3358/30.48</f>
        <v/>
      </c>
      <c r="H3358" s="615" t="n"/>
    </row>
    <row r="3359" ht="18" customHeight="1" s="305">
      <c r="A3359" s="8" t="inlineStr">
        <is>
          <t>E-267</t>
        </is>
      </c>
      <c r="B3359" s="5" t="n">
        <v>60</v>
      </c>
      <c r="C3359" s="72" t="inlineStr">
        <is>
          <t>X</t>
        </is>
      </c>
      <c r="D3359" s="5" t="n">
        <v>150</v>
      </c>
      <c r="E3359" s="73">
        <f>B3359*D3359/10000</f>
        <v/>
      </c>
      <c r="F3359" s="74">
        <f>B3359/30.48</f>
        <v/>
      </c>
      <c r="G3359" s="74">
        <f>D3359/30.48</f>
        <v/>
      </c>
      <c r="H3359" s="615" t="n"/>
    </row>
    <row r="3360" ht="18" customHeight="1" s="305">
      <c r="A3360" s="8" t="inlineStr">
        <is>
          <t>E-268</t>
        </is>
      </c>
      <c r="B3360" s="5" t="n">
        <v>55</v>
      </c>
      <c r="C3360" s="72" t="inlineStr">
        <is>
          <t>X</t>
        </is>
      </c>
      <c r="D3360" s="5" t="n">
        <v>122</v>
      </c>
      <c r="E3360" s="73">
        <f>B3360*D3360/10000</f>
        <v/>
      </c>
      <c r="F3360" s="74">
        <f>B3360/30.48</f>
        <v/>
      </c>
      <c r="G3360" s="74">
        <f>D3360/30.48</f>
        <v/>
      </c>
      <c r="H3360" s="615" t="n"/>
    </row>
    <row r="3361" ht="18" customHeight="1" s="305">
      <c r="A3361" s="8" t="inlineStr">
        <is>
          <t>E-269</t>
        </is>
      </c>
      <c r="B3361" s="5" t="n">
        <v>59</v>
      </c>
      <c r="C3361" s="72" t="inlineStr">
        <is>
          <t>X</t>
        </is>
      </c>
      <c r="D3361" s="5" t="n">
        <v>107</v>
      </c>
      <c r="E3361" s="73">
        <f>B3361*D3361/10000</f>
        <v/>
      </c>
      <c r="F3361" s="74">
        <f>B3361/30.48</f>
        <v/>
      </c>
      <c r="G3361" s="74">
        <f>D3361/30.48</f>
        <v/>
      </c>
      <c r="H3361" s="615" t="n"/>
    </row>
    <row r="3362" ht="18" customHeight="1" s="305">
      <c r="A3362" s="8" t="inlineStr">
        <is>
          <t>E-270</t>
        </is>
      </c>
      <c r="B3362" s="5" t="n">
        <v>56</v>
      </c>
      <c r="C3362" s="72" t="inlineStr">
        <is>
          <t>X</t>
        </is>
      </c>
      <c r="D3362" s="5" t="n">
        <v>123</v>
      </c>
      <c r="E3362" s="73">
        <f>B3362*D3362/10000</f>
        <v/>
      </c>
      <c r="F3362" s="74">
        <f>B3362/30.48</f>
        <v/>
      </c>
      <c r="G3362" s="74">
        <f>D3362/30.48</f>
        <v/>
      </c>
      <c r="H3362" s="615" t="n"/>
    </row>
    <row r="3363" ht="18" customHeight="1" s="305">
      <c r="A3363" s="8" t="inlineStr">
        <is>
          <t>E-271</t>
        </is>
      </c>
      <c r="B3363" s="5" t="n">
        <v>60</v>
      </c>
      <c r="C3363" s="72" t="inlineStr">
        <is>
          <t>X</t>
        </is>
      </c>
      <c r="D3363" s="5" t="n">
        <v>179</v>
      </c>
      <c r="E3363" s="73">
        <f>B3363*D3363/10000</f>
        <v/>
      </c>
      <c r="F3363" s="74">
        <f>B3363/30.48</f>
        <v/>
      </c>
      <c r="G3363" s="74">
        <f>D3363/30.48</f>
        <v/>
      </c>
      <c r="H3363" s="615" t="n"/>
    </row>
    <row r="3364" ht="18" customHeight="1" s="305">
      <c r="A3364" s="8" t="inlineStr">
        <is>
          <t>E-272</t>
        </is>
      </c>
      <c r="B3364" s="5" t="n">
        <v>50</v>
      </c>
      <c r="C3364" s="72" t="inlineStr">
        <is>
          <t>X</t>
        </is>
      </c>
      <c r="D3364" s="5" t="n">
        <v>136</v>
      </c>
      <c r="E3364" s="73">
        <f>B3364*D3364/10000</f>
        <v/>
      </c>
      <c r="F3364" s="74">
        <f>B3364/30.48</f>
        <v/>
      </c>
      <c r="G3364" s="74">
        <f>D3364/30.48</f>
        <v/>
      </c>
      <c r="H3364" s="615" t="n"/>
    </row>
    <row r="3365" ht="18" customHeight="1" s="305">
      <c r="A3365" s="8" t="inlineStr">
        <is>
          <t>E-273</t>
        </is>
      </c>
      <c r="B3365" s="5" t="n">
        <v>62</v>
      </c>
      <c r="C3365" s="72" t="inlineStr">
        <is>
          <t>X</t>
        </is>
      </c>
      <c r="D3365" s="5" t="n">
        <v>181</v>
      </c>
      <c r="E3365" s="73">
        <f>B3365*D3365/10000</f>
        <v/>
      </c>
      <c r="F3365" s="74">
        <f>B3365/30.48</f>
        <v/>
      </c>
      <c r="G3365" s="74">
        <f>D3365/30.48</f>
        <v/>
      </c>
      <c r="H3365" s="615" t="n"/>
    </row>
    <row r="3366" ht="18" customHeight="1" s="305">
      <c r="A3366" s="8" t="inlineStr">
        <is>
          <t>E-274</t>
        </is>
      </c>
      <c r="B3366" s="5" t="n">
        <v>80</v>
      </c>
      <c r="C3366" s="72" t="inlineStr">
        <is>
          <t>X</t>
        </is>
      </c>
      <c r="D3366" s="5" t="n">
        <v>201</v>
      </c>
      <c r="E3366" s="73">
        <f>B3366*D3366/10000</f>
        <v/>
      </c>
      <c r="F3366" s="74">
        <f>B3366/30.48</f>
        <v/>
      </c>
      <c r="G3366" s="74">
        <f>D3366/30.48</f>
        <v/>
      </c>
      <c r="H3366" s="615" t="n"/>
    </row>
    <row r="3367" ht="18" customHeight="1" s="305">
      <c r="A3367" s="8" t="inlineStr">
        <is>
          <t>E-275</t>
        </is>
      </c>
      <c r="B3367" s="5" t="n">
        <v>66</v>
      </c>
      <c r="C3367" s="72" t="inlineStr">
        <is>
          <t>X</t>
        </is>
      </c>
      <c r="D3367" s="5" t="n">
        <v>123</v>
      </c>
      <c r="E3367" s="73">
        <f>B3367*D3367/10000</f>
        <v/>
      </c>
      <c r="F3367" s="74">
        <f>B3367/30.48</f>
        <v/>
      </c>
      <c r="G3367" s="74">
        <f>D3367/30.48</f>
        <v/>
      </c>
      <c r="H3367" s="615" t="n"/>
    </row>
    <row r="3368" ht="18" customHeight="1" s="305">
      <c r="A3368" s="8" t="inlineStr">
        <is>
          <t>E-276</t>
        </is>
      </c>
      <c r="B3368" s="5" t="n">
        <v>62</v>
      </c>
      <c r="C3368" s="72" t="inlineStr">
        <is>
          <t>X</t>
        </is>
      </c>
      <c r="D3368" s="5" t="n">
        <v>122</v>
      </c>
      <c r="E3368" s="73">
        <f>B3368*D3368/10000</f>
        <v/>
      </c>
      <c r="F3368" s="74">
        <f>B3368/30.48</f>
        <v/>
      </c>
      <c r="G3368" s="74">
        <f>D3368/30.48</f>
        <v/>
      </c>
      <c r="H3368" s="615" t="n"/>
    </row>
    <row r="3369" ht="18" customHeight="1" s="305">
      <c r="A3369" s="8" t="inlineStr">
        <is>
          <t>E-277</t>
        </is>
      </c>
      <c r="B3369" s="5" t="n">
        <v>65</v>
      </c>
      <c r="C3369" s="72" t="inlineStr">
        <is>
          <t>X</t>
        </is>
      </c>
      <c r="D3369" s="5" t="n">
        <v>134</v>
      </c>
      <c r="E3369" s="73">
        <f>B3369*D3369/10000</f>
        <v/>
      </c>
      <c r="F3369" s="74">
        <f>B3369/30.48</f>
        <v/>
      </c>
      <c r="G3369" s="74">
        <f>D3369/30.48</f>
        <v/>
      </c>
      <c r="H3369" s="615" t="n"/>
    </row>
    <row r="3370" ht="18" customHeight="1" s="305">
      <c r="A3370" s="8" t="inlineStr">
        <is>
          <t>E-278</t>
        </is>
      </c>
      <c r="B3370" s="5" t="n">
        <v>66</v>
      </c>
      <c r="C3370" s="72" t="inlineStr">
        <is>
          <t>X</t>
        </is>
      </c>
      <c r="D3370" s="5" t="n">
        <v>141</v>
      </c>
      <c r="E3370" s="73">
        <f>B3370*D3370/10000</f>
        <v/>
      </c>
      <c r="F3370" s="74">
        <f>B3370/30.48</f>
        <v/>
      </c>
      <c r="G3370" s="74">
        <f>D3370/30.48</f>
        <v/>
      </c>
      <c r="H3370" s="615" t="n"/>
    </row>
    <row r="3371" ht="18" customHeight="1" s="305">
      <c r="A3371" s="8" t="inlineStr">
        <is>
          <t>E-279</t>
        </is>
      </c>
      <c r="B3371" s="5" t="n">
        <v>56</v>
      </c>
      <c r="C3371" s="72" t="inlineStr">
        <is>
          <t>X</t>
        </is>
      </c>
      <c r="D3371" s="5" t="n">
        <v>125</v>
      </c>
      <c r="E3371" s="73">
        <f>B3371*D3371/10000</f>
        <v/>
      </c>
      <c r="F3371" s="74">
        <f>B3371/30.48</f>
        <v/>
      </c>
      <c r="G3371" s="74">
        <f>D3371/30.48</f>
        <v/>
      </c>
      <c r="H3371" s="615" t="n"/>
    </row>
    <row r="3372" ht="18" customHeight="1" s="305">
      <c r="A3372" s="8" t="inlineStr">
        <is>
          <t>E-280</t>
        </is>
      </c>
      <c r="B3372" s="5" t="n">
        <v>61</v>
      </c>
      <c r="C3372" s="72" t="inlineStr">
        <is>
          <t>X</t>
        </is>
      </c>
      <c r="D3372" s="5" t="n">
        <v>170</v>
      </c>
      <c r="E3372" s="73">
        <f>B3372*D3372/10000</f>
        <v/>
      </c>
      <c r="F3372" s="74">
        <f>B3372/30.48</f>
        <v/>
      </c>
      <c r="G3372" s="74">
        <f>D3372/30.48</f>
        <v/>
      </c>
      <c r="H3372" s="615" t="n"/>
    </row>
    <row r="3373" ht="18" customHeight="1" s="305">
      <c r="A3373" s="8" t="inlineStr">
        <is>
          <t>E-281</t>
        </is>
      </c>
      <c r="B3373" s="5" t="n">
        <v>69</v>
      </c>
      <c r="C3373" s="72" t="inlineStr">
        <is>
          <t>X</t>
        </is>
      </c>
      <c r="D3373" s="5" t="n">
        <v>201</v>
      </c>
      <c r="E3373" s="73">
        <f>B3373*D3373/10000</f>
        <v/>
      </c>
      <c r="F3373" s="74">
        <f>B3373/30.48</f>
        <v/>
      </c>
      <c r="G3373" s="74">
        <f>D3373/30.48</f>
        <v/>
      </c>
      <c r="H3373" s="615" t="n"/>
    </row>
    <row r="3374" ht="18" customHeight="1" s="305">
      <c r="A3374" s="8" t="inlineStr">
        <is>
          <t>İ-7</t>
        </is>
      </c>
      <c r="B3374" s="5" t="n">
        <v>279</v>
      </c>
      <c r="C3374" s="72" t="inlineStr">
        <is>
          <t>X</t>
        </is>
      </c>
      <c r="D3374" s="5" t="n">
        <v>368</v>
      </c>
      <c r="E3374" s="73">
        <f>B3374*D3374/10000</f>
        <v/>
      </c>
      <c r="F3374" s="74">
        <f>B3374/30.48</f>
        <v/>
      </c>
      <c r="G3374" s="74">
        <f>D3374/30.48</f>
        <v/>
      </c>
      <c r="H3374" s="615" t="n"/>
    </row>
    <row r="3375">
      <c r="H3375" s="615" t="n"/>
    </row>
    <row r="3376" ht="18" customHeight="1" s="305">
      <c r="A3376" s="8" t="inlineStr">
        <is>
          <t>İ-13</t>
        </is>
      </c>
      <c r="B3376" s="5" t="n">
        <v>240</v>
      </c>
      <c r="C3376" s="72" t="inlineStr">
        <is>
          <t>X</t>
        </is>
      </c>
      <c r="D3376" s="5" t="n">
        <v>311</v>
      </c>
      <c r="E3376" s="73">
        <f>B3376*D3376/10000</f>
        <v/>
      </c>
      <c r="F3376" s="74">
        <f>B3376/30.48</f>
        <v/>
      </c>
      <c r="G3376" s="74">
        <f>D3376/30.48</f>
        <v/>
      </c>
      <c r="H3376" s="615" t="n"/>
    </row>
    <row r="3377" ht="18" customHeight="1" s="305">
      <c r="A3377" s="8" t="inlineStr">
        <is>
          <t>İ-16</t>
        </is>
      </c>
      <c r="B3377" s="5" t="n">
        <v>296</v>
      </c>
      <c r="C3377" s="72" t="inlineStr">
        <is>
          <t>X</t>
        </is>
      </c>
      <c r="D3377" s="5" t="n">
        <v>376</v>
      </c>
      <c r="E3377" s="73">
        <f>B3377*D3377/10000</f>
        <v/>
      </c>
      <c r="F3377" s="74">
        <f>B3377/30.48</f>
        <v/>
      </c>
      <c r="G3377" s="74">
        <f>D3377/30.48</f>
        <v/>
      </c>
      <c r="H3377" s="615" t="n"/>
    </row>
    <row r="3378" ht="18" customHeight="1" s="305">
      <c r="A3378" s="8" t="inlineStr">
        <is>
          <t>İ-21</t>
        </is>
      </c>
      <c r="B3378" s="5" t="n">
        <v>288</v>
      </c>
      <c r="C3378" s="72" t="inlineStr">
        <is>
          <t>X</t>
        </is>
      </c>
      <c r="D3378" s="5" t="n">
        <v>368</v>
      </c>
      <c r="E3378" s="73">
        <f>B3378*D3378/10000</f>
        <v/>
      </c>
      <c r="F3378" s="74">
        <f>B3378/30.48</f>
        <v/>
      </c>
      <c r="G3378" s="74">
        <f>D3378/30.48</f>
        <v/>
      </c>
      <c r="H3378" s="615" t="n"/>
    </row>
    <row r="3379" ht="18" customHeight="1" s="305">
      <c r="A3379" s="8" t="inlineStr">
        <is>
          <t>İ-22</t>
        </is>
      </c>
      <c r="B3379" s="5" t="n">
        <v>297</v>
      </c>
      <c r="C3379" s="72" t="inlineStr">
        <is>
          <t>X</t>
        </is>
      </c>
      <c r="D3379" s="5" t="n">
        <v>372</v>
      </c>
      <c r="E3379" s="73">
        <f>B3379*D3379/10000</f>
        <v/>
      </c>
      <c r="F3379" s="74">
        <f>B3379/30.48</f>
        <v/>
      </c>
      <c r="G3379" s="74">
        <f>D3379/30.48</f>
        <v/>
      </c>
      <c r="H3379" s="615" t="n"/>
    </row>
    <row r="3380" ht="18" customHeight="1" s="305">
      <c r="A3380" s="8" t="inlineStr">
        <is>
          <t>İ-23</t>
        </is>
      </c>
      <c r="B3380" s="5" t="n">
        <v>246</v>
      </c>
      <c r="C3380" s="72" t="inlineStr">
        <is>
          <t>X</t>
        </is>
      </c>
      <c r="D3380" s="5" t="n">
        <v>329</v>
      </c>
      <c r="E3380" s="73">
        <f>B3380*D3380/10000</f>
        <v/>
      </c>
      <c r="F3380" s="74">
        <f>B3380/30.48</f>
        <v/>
      </c>
      <c r="G3380" s="74">
        <f>D3380/30.48</f>
        <v/>
      </c>
      <c r="H3380" s="615" t="n"/>
    </row>
    <row r="3381" ht="18" customHeight="1" s="305">
      <c r="A3381" s="8" t="inlineStr">
        <is>
          <t>İ-24</t>
        </is>
      </c>
      <c r="B3381" s="5" t="n">
        <v>234</v>
      </c>
      <c r="C3381" s="72" t="inlineStr">
        <is>
          <t>X</t>
        </is>
      </c>
      <c r="D3381" s="5" t="n">
        <v>322</v>
      </c>
      <c r="E3381" s="73">
        <f>B3381*D3381/10000</f>
        <v/>
      </c>
      <c r="F3381" s="74">
        <f>B3381/30.48</f>
        <v/>
      </c>
      <c r="G3381" s="74">
        <f>D3381/30.48</f>
        <v/>
      </c>
      <c r="H3381" s="615" t="n"/>
    </row>
    <row r="3382" ht="18" customHeight="1" s="305">
      <c r="A3382" s="8" t="inlineStr">
        <is>
          <t>İ-32</t>
        </is>
      </c>
      <c r="B3382" s="5" t="n">
        <v>292</v>
      </c>
      <c r="C3382" s="72" t="inlineStr">
        <is>
          <t>X</t>
        </is>
      </c>
      <c r="D3382" s="5" t="n">
        <v>377</v>
      </c>
      <c r="E3382" s="73">
        <f>B3382*D3382/10000</f>
        <v/>
      </c>
      <c r="F3382" s="74">
        <f>B3382/30.48</f>
        <v/>
      </c>
      <c r="G3382" s="74">
        <f>D3382/30.48</f>
        <v/>
      </c>
      <c r="H3382" s="615" t="n"/>
    </row>
    <row r="3383" ht="18" customHeight="1" s="305">
      <c r="A3383" s="8" t="inlineStr">
        <is>
          <t>İ-38</t>
        </is>
      </c>
      <c r="B3383" s="5" t="n">
        <v>290</v>
      </c>
      <c r="C3383" s="72" t="inlineStr">
        <is>
          <t>X</t>
        </is>
      </c>
      <c r="D3383" s="5" t="n">
        <v>400</v>
      </c>
      <c r="E3383" s="73">
        <f>B3383*D3383/10000</f>
        <v/>
      </c>
      <c r="F3383" s="74">
        <f>B3383/30.48</f>
        <v/>
      </c>
      <c r="G3383" s="74">
        <f>D3383/30.48</f>
        <v/>
      </c>
      <c r="H3383" s="615" t="n"/>
    </row>
    <row r="3384" ht="18" customHeight="1" s="305">
      <c r="A3384" s="8" t="inlineStr">
        <is>
          <t>İ-42</t>
        </is>
      </c>
      <c r="B3384" s="5" t="n">
        <v>232</v>
      </c>
      <c r="C3384" s="72" t="inlineStr">
        <is>
          <t>X</t>
        </is>
      </c>
      <c r="D3384" s="5" t="n">
        <v>333</v>
      </c>
      <c r="E3384" s="73">
        <f>B3384*D3384/10000</f>
        <v/>
      </c>
      <c r="F3384" s="74">
        <f>B3384/30.48</f>
        <v/>
      </c>
      <c r="G3384" s="74">
        <f>D3384/30.48</f>
        <v/>
      </c>
      <c r="H3384" s="615" t="n"/>
    </row>
    <row r="3385" ht="18" customHeight="1" s="305">
      <c r="A3385" s="8" t="inlineStr">
        <is>
          <t>İ-44</t>
        </is>
      </c>
      <c r="B3385" s="5" t="n">
        <v>285</v>
      </c>
      <c r="C3385" s="72" t="inlineStr">
        <is>
          <t>X</t>
        </is>
      </c>
      <c r="D3385" s="5" t="n">
        <v>370</v>
      </c>
      <c r="E3385" s="73">
        <f>B3385*D3385/10000</f>
        <v/>
      </c>
      <c r="F3385" s="74">
        <f>B3385/30.48</f>
        <v/>
      </c>
      <c r="G3385" s="74">
        <f>D3385/30.48</f>
        <v/>
      </c>
      <c r="H3385" s="615" t="n"/>
    </row>
    <row r="3386" ht="18" customHeight="1" s="305">
      <c r="A3386" s="8" t="inlineStr">
        <is>
          <t>İ-45</t>
        </is>
      </c>
      <c r="B3386" s="5" t="n">
        <v>283</v>
      </c>
      <c r="C3386" s="72" t="inlineStr">
        <is>
          <t>X</t>
        </is>
      </c>
      <c r="D3386" s="5" t="n">
        <v>402</v>
      </c>
      <c r="E3386" s="73">
        <f>B3386*D3386/10000</f>
        <v/>
      </c>
      <c r="F3386" s="74">
        <f>B3386/30.48</f>
        <v/>
      </c>
      <c r="G3386" s="74">
        <f>D3386/30.48</f>
        <v/>
      </c>
      <c r="H3386" s="615" t="n"/>
    </row>
    <row r="3387" ht="18" customHeight="1" s="305">
      <c r="A3387" s="8" t="inlineStr">
        <is>
          <t>İ-47</t>
        </is>
      </c>
      <c r="B3387" s="5" t="n">
        <v>297</v>
      </c>
      <c r="C3387" s="72" t="inlineStr">
        <is>
          <t>X</t>
        </is>
      </c>
      <c r="D3387" s="5" t="n">
        <v>378</v>
      </c>
      <c r="E3387" s="73">
        <f>B3387*D3387/10000</f>
        <v/>
      </c>
      <c r="F3387" s="74">
        <f>B3387/30.48</f>
        <v/>
      </c>
      <c r="G3387" s="74">
        <f>D3387/30.48</f>
        <v/>
      </c>
      <c r="H3387" s="615" t="n"/>
    </row>
    <row r="3388" ht="18" customHeight="1" s="305">
      <c r="A3388" s="8" t="inlineStr">
        <is>
          <t>İ-50</t>
        </is>
      </c>
      <c r="B3388" s="5" t="n">
        <v>287</v>
      </c>
      <c r="C3388" s="72" t="inlineStr">
        <is>
          <t>X</t>
        </is>
      </c>
      <c r="D3388" s="5" t="n">
        <v>372</v>
      </c>
      <c r="E3388" s="73">
        <f>B3388*D3388/10000</f>
        <v/>
      </c>
      <c r="F3388" s="74">
        <f>B3388/30.48</f>
        <v/>
      </c>
      <c r="G3388" s="74">
        <f>D3388/30.48</f>
        <v/>
      </c>
      <c r="H3388" s="615" t="n"/>
    </row>
    <row r="3389" ht="18" customHeight="1" s="305">
      <c r="A3389" s="8" t="inlineStr">
        <is>
          <t>İ-54</t>
        </is>
      </c>
      <c r="B3389" s="5" t="n">
        <v>244</v>
      </c>
      <c r="C3389" s="72" t="inlineStr">
        <is>
          <t>X</t>
        </is>
      </c>
      <c r="D3389" s="5" t="n">
        <v>334</v>
      </c>
      <c r="E3389" s="73">
        <f>B3389*D3389/10000</f>
        <v/>
      </c>
      <c r="F3389" s="74">
        <f>B3389/30.48</f>
        <v/>
      </c>
      <c r="G3389" s="74">
        <f>D3389/30.48</f>
        <v/>
      </c>
      <c r="H3389" s="615" t="n"/>
    </row>
    <row r="3390" ht="18" customHeight="1" s="305">
      <c r="A3390" s="8" t="inlineStr">
        <is>
          <t>İ-60</t>
        </is>
      </c>
      <c r="B3390" s="5" t="n">
        <v>332</v>
      </c>
      <c r="C3390" s="72" t="inlineStr">
        <is>
          <t>X</t>
        </is>
      </c>
      <c r="D3390" s="5" t="n">
        <v>245</v>
      </c>
      <c r="E3390" s="73">
        <f>B3390*D3390/10000</f>
        <v/>
      </c>
      <c r="F3390" s="74">
        <f>B3390/30.48</f>
        <v/>
      </c>
      <c r="G3390" s="74">
        <f>D3390/30.48</f>
        <v/>
      </c>
      <c r="H3390" s="615" t="n"/>
    </row>
    <row r="3391" ht="18" customHeight="1" s="305">
      <c r="A3391" s="8" t="inlineStr">
        <is>
          <t>İ-63</t>
        </is>
      </c>
      <c r="B3391" s="5" t="n">
        <v>291</v>
      </c>
      <c r="C3391" s="72" t="inlineStr">
        <is>
          <t>X</t>
        </is>
      </c>
      <c r="D3391" s="5" t="n">
        <v>374</v>
      </c>
      <c r="E3391" s="73">
        <f>B3391*D3391/10000</f>
        <v/>
      </c>
      <c r="F3391" s="74">
        <f>B3391/30.48</f>
        <v/>
      </c>
      <c r="G3391" s="74">
        <f>D3391/30.48</f>
        <v/>
      </c>
      <c r="H3391" s="615" t="n"/>
    </row>
    <row r="3392" ht="18" customHeight="1" s="305">
      <c r="A3392" s="8" t="inlineStr">
        <is>
          <t>İ-66</t>
        </is>
      </c>
      <c r="B3392" s="5" t="n">
        <v>276</v>
      </c>
      <c r="C3392" s="72" t="inlineStr">
        <is>
          <t>X</t>
        </is>
      </c>
      <c r="D3392" s="5" t="n">
        <v>401</v>
      </c>
      <c r="E3392" s="73">
        <f>B3392*D3392/10000</f>
        <v/>
      </c>
      <c r="F3392" s="74">
        <f>B3392/30.48</f>
        <v/>
      </c>
      <c r="G3392" s="74">
        <f>D3392/30.48</f>
        <v/>
      </c>
      <c r="H3392" s="615" t="n"/>
    </row>
    <row r="3393" ht="18" customHeight="1" s="305">
      <c r="A3393" s="8" t="inlineStr">
        <is>
          <t>İ-71</t>
        </is>
      </c>
      <c r="B3393" s="5" t="n">
        <v>302</v>
      </c>
      <c r="C3393" s="72" t="inlineStr">
        <is>
          <t>X</t>
        </is>
      </c>
      <c r="D3393" s="5" t="n">
        <v>375</v>
      </c>
      <c r="E3393" s="73">
        <f>B3393*D3393/10000</f>
        <v/>
      </c>
      <c r="F3393" s="74">
        <f>B3393/30.48</f>
        <v/>
      </c>
      <c r="G3393" s="74">
        <f>D3393/30.48</f>
        <v/>
      </c>
      <c r="H3393" s="615" t="n"/>
    </row>
    <row r="3394" ht="18" customHeight="1" s="305">
      <c r="A3394" s="8" t="inlineStr">
        <is>
          <t>İ-86</t>
        </is>
      </c>
      <c r="B3394" s="5" t="n">
        <v>254</v>
      </c>
      <c r="C3394" s="72" t="inlineStr">
        <is>
          <t>X</t>
        </is>
      </c>
      <c r="D3394" s="5" t="n">
        <v>348</v>
      </c>
      <c r="E3394" s="73">
        <f>B3394*D3394/10000</f>
        <v/>
      </c>
      <c r="F3394" s="74">
        <f>B3394/30.48</f>
        <v/>
      </c>
      <c r="G3394" s="74">
        <f>D3394/30.48</f>
        <v/>
      </c>
      <c r="H3394" s="615" t="n"/>
    </row>
    <row r="3395" ht="18" customHeight="1" s="305">
      <c r="A3395" s="8" t="inlineStr">
        <is>
          <t>İ-88</t>
        </is>
      </c>
      <c r="B3395" s="5" t="n">
        <v>278</v>
      </c>
      <c r="C3395" s="72" t="inlineStr">
        <is>
          <t>X</t>
        </is>
      </c>
      <c r="D3395" s="5" t="n">
        <v>404</v>
      </c>
      <c r="E3395" s="73">
        <f>B3395*D3395/10000</f>
        <v/>
      </c>
      <c r="F3395" s="74">
        <f>B3395/30.48</f>
        <v/>
      </c>
      <c r="G3395" s="74">
        <f>D3395/30.48</f>
        <v/>
      </c>
      <c r="H3395" s="615" t="n"/>
    </row>
    <row r="3396" ht="18" customHeight="1" s="305">
      <c r="A3396" s="8" t="inlineStr">
        <is>
          <t>İ-91</t>
        </is>
      </c>
      <c r="B3396" s="5" t="n">
        <v>295</v>
      </c>
      <c r="C3396" s="72" t="inlineStr">
        <is>
          <t>X</t>
        </is>
      </c>
      <c r="D3396" s="5" t="n">
        <v>386</v>
      </c>
      <c r="E3396" s="73">
        <f>B3396*D3396/10000</f>
        <v/>
      </c>
      <c r="F3396" s="74">
        <f>B3396/30.48</f>
        <v/>
      </c>
      <c r="G3396" s="74">
        <f>D3396/30.48</f>
        <v/>
      </c>
      <c r="H3396" s="615" t="n"/>
    </row>
    <row r="3397">
      <c r="A3397" s="1" t="n"/>
      <c r="B3397" s="1" t="n"/>
      <c r="D3397" s="1" t="n"/>
      <c r="G3397" s="1" t="n"/>
      <c r="H3397" s="615" t="n"/>
    </row>
    <row r="3398" ht="18" customHeight="1" s="305">
      <c r="A3398" s="8" t="inlineStr">
        <is>
          <t>İ-93</t>
        </is>
      </c>
      <c r="B3398" s="5" t="n">
        <v>297</v>
      </c>
      <c r="C3398" s="72" t="inlineStr">
        <is>
          <t>X</t>
        </is>
      </c>
      <c r="D3398" s="5" t="n">
        <v>380</v>
      </c>
      <c r="E3398" s="73">
        <f>B3398*D3398/10000</f>
        <v/>
      </c>
      <c r="F3398" s="74">
        <f>B3398/30.48</f>
        <v/>
      </c>
      <c r="G3398" s="74">
        <f>D3398/30.48</f>
        <v/>
      </c>
      <c r="H3398" s="615" t="n"/>
    </row>
    <row r="3399" ht="18" customHeight="1" s="305">
      <c r="A3399" s="8" t="inlineStr">
        <is>
          <t>İ-94</t>
        </is>
      </c>
      <c r="C3399" s="72" t="inlineStr">
        <is>
          <t>X</t>
        </is>
      </c>
      <c r="E3399" s="73">
        <f>B3399*D3399/10000</f>
        <v/>
      </c>
      <c r="F3399" s="74">
        <f>B3399/30.48</f>
        <v/>
      </c>
      <c r="G3399" s="74">
        <f>D3399/30.48</f>
        <v/>
      </c>
      <c r="H3399" s="615" t="n"/>
    </row>
    <row r="3400" ht="18" customHeight="1" s="305">
      <c r="A3400" s="8" t="inlineStr">
        <is>
          <t>İ-95</t>
        </is>
      </c>
      <c r="C3400" s="72" t="inlineStr">
        <is>
          <t>X</t>
        </is>
      </c>
      <c r="E3400" s="73">
        <f>B3400*D3400/10000</f>
        <v/>
      </c>
      <c r="F3400" s="74">
        <f>B3400/30.48</f>
        <v/>
      </c>
      <c r="G3400" s="74">
        <f>D3400/30.48</f>
        <v/>
      </c>
      <c r="H3400" s="615" t="n"/>
    </row>
    <row r="3401" ht="18" customHeight="1" s="305">
      <c r="A3401" s="8" t="inlineStr">
        <is>
          <t>İ-96</t>
        </is>
      </c>
      <c r="C3401" s="72" t="inlineStr">
        <is>
          <t>X</t>
        </is>
      </c>
      <c r="E3401" s="73">
        <f>B3401*D3401/10000</f>
        <v/>
      </c>
      <c r="F3401" s="74">
        <f>B3401/30.48</f>
        <v/>
      </c>
      <c r="G3401" s="74">
        <f>D3401/30.48</f>
        <v/>
      </c>
      <c r="H3401" s="615" t="n"/>
    </row>
    <row r="3402" ht="18" customHeight="1" s="305">
      <c r="A3402" s="8" t="inlineStr">
        <is>
          <t>İ-97</t>
        </is>
      </c>
      <c r="C3402" s="72" t="inlineStr">
        <is>
          <t>X</t>
        </is>
      </c>
      <c r="E3402" s="73">
        <f>B3402*D3402/10000</f>
        <v/>
      </c>
      <c r="F3402" s="74">
        <f>B3402/30.48</f>
        <v/>
      </c>
      <c r="G3402" s="74">
        <f>D3402/30.48</f>
        <v/>
      </c>
      <c r="H3402" s="615" t="n"/>
    </row>
    <row r="3403" ht="18" customHeight="1" s="305">
      <c r="A3403" s="8" t="inlineStr">
        <is>
          <t>İ-98</t>
        </is>
      </c>
      <c r="C3403" s="72" t="inlineStr">
        <is>
          <t>X</t>
        </is>
      </c>
      <c r="E3403" s="73">
        <f>B3403*D3403/10000</f>
        <v/>
      </c>
      <c r="F3403" s="74">
        <f>B3403/30.48</f>
        <v/>
      </c>
      <c r="G3403" s="74">
        <f>D3403/30.48</f>
        <v/>
      </c>
      <c r="H3403" s="615" t="n"/>
    </row>
    <row r="3404" ht="18" customHeight="1" s="305">
      <c r="A3404" s="8" t="inlineStr">
        <is>
          <t>İ-99</t>
        </is>
      </c>
      <c r="C3404" s="72" t="inlineStr">
        <is>
          <t>X</t>
        </is>
      </c>
      <c r="E3404" s="73">
        <f>B3404*D3404/10000</f>
        <v/>
      </c>
      <c r="F3404" s="74">
        <f>B3404/30.48</f>
        <v/>
      </c>
      <c r="G3404" s="74">
        <f>D3404/30.48</f>
        <v/>
      </c>
      <c r="H3404" s="615" t="n"/>
    </row>
    <row r="3405" ht="18" customHeight="1" s="305">
      <c r="A3405" s="8" t="inlineStr">
        <is>
          <t>İ-100</t>
        </is>
      </c>
      <c r="C3405" s="72" t="inlineStr">
        <is>
          <t>X</t>
        </is>
      </c>
      <c r="E3405" s="73">
        <f>B3405*D3405/10000</f>
        <v/>
      </c>
      <c r="F3405" s="74">
        <f>B3405/30.48</f>
        <v/>
      </c>
      <c r="G3405" s="74">
        <f>D3405/30.48</f>
        <v/>
      </c>
      <c r="H3405" s="615" t="n"/>
    </row>
    <row r="3406" ht="18" customHeight="1" s="305">
      <c r="A3406" s="8" t="n">
        <v>4516</v>
      </c>
      <c r="B3406" s="5" t="n">
        <v>111</v>
      </c>
      <c r="C3406" s="72" t="inlineStr">
        <is>
          <t>X</t>
        </is>
      </c>
      <c r="D3406" s="5" t="n">
        <v>196</v>
      </c>
      <c r="E3406" s="73">
        <f>B3406*D3406/10000</f>
        <v/>
      </c>
      <c r="F3406" s="74">
        <f>B3406/30.48</f>
        <v/>
      </c>
      <c r="G3406" s="74">
        <f>D3406/30.48</f>
        <v/>
      </c>
      <c r="H3406" s="615" t="n"/>
    </row>
    <row r="3407" ht="18" customHeight="1" s="305">
      <c r="A3407" s="8" t="n">
        <v>4517</v>
      </c>
      <c r="B3407" s="5" t="n">
        <v>172</v>
      </c>
      <c r="C3407" s="72" t="inlineStr">
        <is>
          <t>X</t>
        </is>
      </c>
      <c r="D3407" s="5" t="n">
        <v>223</v>
      </c>
      <c r="E3407" s="73">
        <f>B3407*D3407/10000</f>
        <v/>
      </c>
      <c r="F3407" s="74">
        <f>B3407/30.48</f>
        <v/>
      </c>
      <c r="G3407" s="74">
        <f>D3407/30.48</f>
        <v/>
      </c>
      <c r="H3407" s="615" t="n"/>
    </row>
    <row r="3408" ht="18" customHeight="1" s="305">
      <c r="A3408" s="8" t="n">
        <v>4518</v>
      </c>
      <c r="B3408" s="5" t="n">
        <v>68</v>
      </c>
      <c r="C3408" s="72" t="inlineStr">
        <is>
          <t>X</t>
        </is>
      </c>
      <c r="D3408" s="5" t="n">
        <v>122</v>
      </c>
      <c r="E3408" s="73">
        <f>B3408*D3408/10000</f>
        <v/>
      </c>
      <c r="F3408" s="74">
        <f>B3408/30.48</f>
        <v/>
      </c>
      <c r="G3408" s="74">
        <f>D3408/30.48</f>
        <v/>
      </c>
      <c r="H3408" s="615" t="n"/>
    </row>
    <row r="3409" ht="18" customHeight="1" s="305">
      <c r="A3409" s="8" t="n">
        <v>4519</v>
      </c>
      <c r="B3409" s="5" t="n">
        <v>110</v>
      </c>
      <c r="C3409" s="72" t="inlineStr">
        <is>
          <t>X</t>
        </is>
      </c>
      <c r="D3409" s="5" t="n">
        <v>190</v>
      </c>
      <c r="E3409" s="73">
        <f>B3409*D3409/10000</f>
        <v/>
      </c>
      <c r="F3409" s="74">
        <f>B3409/30.48</f>
        <v/>
      </c>
      <c r="G3409" s="74">
        <f>D3409/30.48</f>
        <v/>
      </c>
      <c r="H3409" s="615" t="n"/>
    </row>
    <row r="3410" ht="18" customHeight="1" s="305">
      <c r="A3410" s="8" t="n">
        <v>4520</v>
      </c>
      <c r="B3410" s="5" t="n">
        <v>191</v>
      </c>
      <c r="C3410" s="72" t="inlineStr">
        <is>
          <t>X</t>
        </is>
      </c>
      <c r="D3410" s="5" t="n">
        <v>259</v>
      </c>
      <c r="E3410" s="73">
        <f>B3410*D3410/10000</f>
        <v/>
      </c>
      <c r="F3410" s="74">
        <f>B3410/30.48</f>
        <v/>
      </c>
      <c r="G3410" s="74">
        <f>D3410/30.48</f>
        <v/>
      </c>
      <c r="H3410" s="615" t="n"/>
    </row>
    <row r="3411" ht="18" customHeight="1" s="305">
      <c r="A3411" s="8" t="n">
        <v>4521</v>
      </c>
      <c r="B3411" s="5" t="n">
        <v>126</v>
      </c>
      <c r="C3411" s="72" t="inlineStr">
        <is>
          <t>X</t>
        </is>
      </c>
      <c r="D3411" s="5" t="n">
        <v>218</v>
      </c>
      <c r="E3411" s="73">
        <f>B3411*D3411/10000</f>
        <v/>
      </c>
      <c r="F3411" s="74">
        <f>B3411/30.48</f>
        <v/>
      </c>
      <c r="G3411" s="74">
        <f>D3411/30.48</f>
        <v/>
      </c>
      <c r="H3411" s="615" t="n"/>
    </row>
    <row r="3412" ht="18" customHeight="1" s="305">
      <c r="A3412" s="8" t="n">
        <v>4522</v>
      </c>
      <c r="B3412" s="5" t="n">
        <v>90</v>
      </c>
      <c r="C3412" s="72" t="inlineStr">
        <is>
          <t>X</t>
        </is>
      </c>
      <c r="D3412" s="5" t="n">
        <v>435</v>
      </c>
      <c r="E3412" s="73">
        <f>B3412*D3412/10000</f>
        <v/>
      </c>
      <c r="F3412" s="74">
        <f>B3412/30.48</f>
        <v/>
      </c>
      <c r="G3412" s="74">
        <f>D3412/30.48</f>
        <v/>
      </c>
      <c r="H3412" s="615" t="n"/>
    </row>
    <row r="3413" ht="18" customHeight="1" s="305">
      <c r="A3413" s="8" t="n">
        <v>4524</v>
      </c>
      <c r="B3413" s="5" t="n">
        <v>111</v>
      </c>
      <c r="C3413" s="72" t="inlineStr">
        <is>
          <t>X</t>
        </is>
      </c>
      <c r="D3413" s="5" t="n">
        <v>202</v>
      </c>
      <c r="E3413" s="73">
        <f>B3413*D3413/10000</f>
        <v/>
      </c>
      <c r="F3413" s="74">
        <f>B3413/30.48</f>
        <v/>
      </c>
      <c r="G3413" s="74">
        <f>D3413/30.48</f>
        <v/>
      </c>
      <c r="H3413" s="615" t="n"/>
    </row>
    <row r="3414" ht="18" customHeight="1" s="305">
      <c r="A3414" s="8" t="n">
        <v>4525</v>
      </c>
      <c r="B3414" s="5" t="n">
        <v>207</v>
      </c>
      <c r="C3414" s="72" t="inlineStr">
        <is>
          <t>X</t>
        </is>
      </c>
      <c r="D3414" s="5" t="n">
        <v>270</v>
      </c>
      <c r="E3414" s="73">
        <f>B3414*D3414/10000</f>
        <v/>
      </c>
      <c r="F3414" s="74">
        <f>B3414/30.48</f>
        <v/>
      </c>
      <c r="G3414" s="74">
        <f>D3414/30.48</f>
        <v/>
      </c>
      <c r="H3414" s="615" t="n"/>
    </row>
    <row r="3415" ht="18" customHeight="1" s="305">
      <c r="A3415" s="8" t="n">
        <v>4526</v>
      </c>
      <c r="B3415" s="5" t="n">
        <v>194</v>
      </c>
      <c r="C3415" s="72" t="inlineStr">
        <is>
          <t>X</t>
        </is>
      </c>
      <c r="D3415" s="5" t="n">
        <v>290</v>
      </c>
      <c r="E3415" s="73">
        <f>B3415*D3415/10000</f>
        <v/>
      </c>
      <c r="F3415" s="74">
        <f>B3415/30.48</f>
        <v/>
      </c>
      <c r="G3415" s="74">
        <f>D3415/30.48</f>
        <v/>
      </c>
      <c r="H3415" s="615" t="n"/>
    </row>
    <row r="3416" ht="18" customHeight="1" s="305">
      <c r="A3416" s="8" t="n">
        <v>4527</v>
      </c>
      <c r="B3416" s="5" t="n">
        <v>190</v>
      </c>
      <c r="C3416" s="72" t="inlineStr">
        <is>
          <t>X</t>
        </is>
      </c>
      <c r="D3416" s="5" t="n">
        <v>250</v>
      </c>
      <c r="E3416" s="73">
        <f>B3416*D3416/10000</f>
        <v/>
      </c>
      <c r="F3416" s="74">
        <f>B3416/30.48</f>
        <v/>
      </c>
      <c r="G3416" s="74">
        <f>D3416/30.48</f>
        <v/>
      </c>
      <c r="H3416" s="615" t="n"/>
    </row>
    <row r="3417" ht="18" customHeight="1" s="305">
      <c r="A3417" s="8" t="n">
        <v>4528</v>
      </c>
      <c r="B3417" s="5" t="n">
        <v>100</v>
      </c>
      <c r="C3417" s="72" t="inlineStr">
        <is>
          <t>X</t>
        </is>
      </c>
      <c r="D3417" s="5" t="n">
        <v>187</v>
      </c>
      <c r="E3417" s="73">
        <f>B3417*D3417/10000</f>
        <v/>
      </c>
      <c r="F3417" s="74">
        <f>B3417/30.48</f>
        <v/>
      </c>
      <c r="G3417" s="74">
        <f>D3417/30.48</f>
        <v/>
      </c>
      <c r="H3417" s="615" t="n"/>
    </row>
    <row r="3418" ht="18" customHeight="1" s="305">
      <c r="A3418" s="8" t="n">
        <v>4529</v>
      </c>
      <c r="B3418" s="5" t="n">
        <v>114</v>
      </c>
      <c r="C3418" s="72" t="inlineStr">
        <is>
          <t>X</t>
        </is>
      </c>
      <c r="D3418" s="5" t="n">
        <v>216</v>
      </c>
      <c r="E3418" s="73">
        <f>B3418*D3418/10000</f>
        <v/>
      </c>
      <c r="F3418" s="74">
        <f>B3418/30.48</f>
        <v/>
      </c>
      <c r="G3418" s="74">
        <f>D3418/30.48</f>
        <v/>
      </c>
      <c r="H3418" s="615" t="n"/>
    </row>
    <row r="3419" ht="18" customHeight="1" s="305">
      <c r="A3419" s="8" t="n">
        <v>4531</v>
      </c>
      <c r="B3419" s="5" t="n">
        <v>197</v>
      </c>
      <c r="C3419" s="72" t="inlineStr">
        <is>
          <t>X</t>
        </is>
      </c>
      <c r="D3419" s="5" t="n">
        <v>205</v>
      </c>
      <c r="E3419" s="73">
        <f>B3419*D3419/10000</f>
        <v/>
      </c>
      <c r="F3419" s="74">
        <f>B3419/30.48</f>
        <v/>
      </c>
      <c r="G3419" s="74">
        <f>D3419/30.48</f>
        <v/>
      </c>
      <c r="H3419" s="615" t="n"/>
    </row>
    <row r="3420" ht="18" customHeight="1" s="305">
      <c r="A3420" s="8" t="n">
        <v>4532</v>
      </c>
      <c r="B3420" s="5" t="n">
        <v>93</v>
      </c>
      <c r="C3420" s="72" t="inlineStr">
        <is>
          <t>X</t>
        </is>
      </c>
      <c r="D3420" s="5" t="n">
        <v>191</v>
      </c>
      <c r="E3420" s="73">
        <f>B3420*D3420/10000</f>
        <v/>
      </c>
      <c r="F3420" s="74">
        <f>B3420/30.48</f>
        <v/>
      </c>
      <c r="G3420" s="74">
        <f>D3420/30.48</f>
        <v/>
      </c>
      <c r="H3420" s="615" t="n"/>
    </row>
    <row r="3421" ht="18" customHeight="1" s="305">
      <c r="A3421" s="8" t="n">
        <v>4533</v>
      </c>
      <c r="B3421" s="5" t="n">
        <v>173</v>
      </c>
      <c r="C3421" s="72" t="inlineStr">
        <is>
          <t>X</t>
        </is>
      </c>
      <c r="D3421" s="5" t="n">
        <v>256</v>
      </c>
      <c r="E3421" s="73">
        <f>B3421*D3421/10000</f>
        <v/>
      </c>
      <c r="F3421" s="74">
        <f>B3421/30.48</f>
        <v/>
      </c>
      <c r="G3421" s="74">
        <f>D3421/30.48</f>
        <v/>
      </c>
      <c r="H3421" s="615" t="n"/>
    </row>
    <row r="3422" ht="18" customHeight="1" s="305">
      <c r="A3422" s="8" t="n">
        <v>4534</v>
      </c>
      <c r="B3422" s="5" t="n">
        <v>106</v>
      </c>
      <c r="C3422" s="72" t="inlineStr">
        <is>
          <t>X</t>
        </is>
      </c>
      <c r="D3422" s="5" t="n">
        <v>203</v>
      </c>
      <c r="E3422" s="73">
        <f>B3422*D3422/10000</f>
        <v/>
      </c>
      <c r="F3422" s="74">
        <f>B3422/30.48</f>
        <v/>
      </c>
      <c r="G3422" s="74">
        <f>D3422/30.48</f>
        <v/>
      </c>
      <c r="H3422" s="615" t="n"/>
    </row>
    <row r="3423" ht="18" customHeight="1" s="305">
      <c r="A3423" s="8" t="n">
        <v>4535</v>
      </c>
      <c r="B3423" s="5" t="n">
        <v>117</v>
      </c>
      <c r="C3423" s="72" t="inlineStr">
        <is>
          <t>X</t>
        </is>
      </c>
      <c r="D3423" s="5" t="n">
        <v>204</v>
      </c>
      <c r="E3423" s="73">
        <f>B3423*D3423/10000</f>
        <v/>
      </c>
      <c r="F3423" s="74">
        <f>B3423/30.48</f>
        <v/>
      </c>
      <c r="G3423" s="74">
        <f>D3423/30.48</f>
        <v/>
      </c>
      <c r="H3423" s="615" t="n"/>
    </row>
    <row r="3424" ht="18" customHeight="1" s="305">
      <c r="A3424" s="8" t="n">
        <v>4536</v>
      </c>
      <c r="B3424" s="5" t="n">
        <v>103</v>
      </c>
      <c r="C3424" s="72" t="inlineStr">
        <is>
          <t>X</t>
        </is>
      </c>
      <c r="D3424" s="5" t="n">
        <v>192</v>
      </c>
      <c r="E3424" s="73">
        <f>B3424*D3424/10000</f>
        <v/>
      </c>
      <c r="F3424" s="74">
        <f>B3424/30.48</f>
        <v/>
      </c>
      <c r="G3424" s="74">
        <f>D3424/30.48</f>
        <v/>
      </c>
      <c r="H3424" s="615" t="n"/>
    </row>
    <row r="3425" ht="18" customHeight="1" s="305">
      <c r="A3425" s="8" t="n">
        <v>4537</v>
      </c>
      <c r="B3425" s="5" t="n">
        <v>114</v>
      </c>
      <c r="C3425" s="72" t="inlineStr">
        <is>
          <t>X</t>
        </is>
      </c>
      <c r="D3425" s="5" t="n">
        <v>200</v>
      </c>
      <c r="E3425" s="73">
        <f>B3425*D3425/10000</f>
        <v/>
      </c>
      <c r="F3425" s="74">
        <f>B3425/30.48</f>
        <v/>
      </c>
      <c r="G3425" s="74">
        <f>D3425/30.48</f>
        <v/>
      </c>
      <c r="H3425" s="615" t="n"/>
    </row>
    <row r="3426" ht="18" customHeight="1" s="305">
      <c r="A3426" s="8" t="n">
        <v>4538</v>
      </c>
      <c r="B3426" s="5" t="n">
        <v>110</v>
      </c>
      <c r="C3426" s="72" t="inlineStr">
        <is>
          <t>X</t>
        </is>
      </c>
      <c r="D3426" s="5" t="n">
        <v>204</v>
      </c>
      <c r="E3426" s="73">
        <f>B3426*D3426/10000</f>
        <v/>
      </c>
      <c r="F3426" s="74">
        <f>B3426/30.48</f>
        <v/>
      </c>
      <c r="G3426" s="74">
        <f>D3426/30.48</f>
        <v/>
      </c>
      <c r="H3426" s="615" t="n"/>
    </row>
    <row r="3427" ht="18" customHeight="1" s="305">
      <c r="A3427" s="8" t="n">
        <v>4539</v>
      </c>
      <c r="B3427" s="5" t="n">
        <v>112</v>
      </c>
      <c r="C3427" s="72" t="inlineStr">
        <is>
          <t>X</t>
        </is>
      </c>
      <c r="D3427" s="5" t="n">
        <v>205</v>
      </c>
      <c r="E3427" s="73">
        <f>B3427*D3427/10000</f>
        <v/>
      </c>
      <c r="F3427" s="74">
        <f>B3427/30.48</f>
        <v/>
      </c>
      <c r="G3427" s="74">
        <f>D3427/30.48</f>
        <v/>
      </c>
      <c r="H3427" s="615" t="n"/>
    </row>
    <row r="3428" ht="18" customHeight="1" s="305">
      <c r="A3428" s="8" t="n">
        <v>4540</v>
      </c>
      <c r="B3428" s="5" t="n">
        <v>110</v>
      </c>
      <c r="C3428" s="72" t="inlineStr">
        <is>
          <t>X</t>
        </is>
      </c>
      <c r="D3428" s="5" t="n">
        <v>197</v>
      </c>
      <c r="E3428" s="73">
        <f>B3428*D3428/10000</f>
        <v/>
      </c>
      <c r="F3428" s="74">
        <f>B3428/30.48</f>
        <v/>
      </c>
      <c r="G3428" s="74">
        <f>D3428/30.48</f>
        <v/>
      </c>
      <c r="H3428" s="615" t="n"/>
    </row>
    <row r="3429" ht="18" customHeight="1" s="305">
      <c r="A3429" s="8" t="n">
        <v>4541</v>
      </c>
      <c r="B3429" s="5" t="n">
        <v>97</v>
      </c>
      <c r="C3429" s="72" t="inlineStr">
        <is>
          <t>X</t>
        </is>
      </c>
      <c r="D3429" s="5" t="n">
        <v>185</v>
      </c>
      <c r="E3429" s="73">
        <f>B3429*D3429/10000</f>
        <v/>
      </c>
      <c r="F3429" s="74">
        <f>B3429/30.48</f>
        <v/>
      </c>
      <c r="G3429" s="74">
        <f>D3429/30.48</f>
        <v/>
      </c>
      <c r="H3429" s="615" t="n"/>
    </row>
    <row r="3430" ht="18" customHeight="1" s="305">
      <c r="A3430" s="8" t="n">
        <v>4542</v>
      </c>
      <c r="B3430" s="5" t="n">
        <v>115</v>
      </c>
      <c r="C3430" s="72" t="inlineStr">
        <is>
          <t>X</t>
        </is>
      </c>
      <c r="D3430" s="5" t="n">
        <v>200</v>
      </c>
      <c r="E3430" s="73">
        <f>B3430*D3430/10000</f>
        <v/>
      </c>
      <c r="F3430" s="74">
        <f>B3430/30.48</f>
        <v/>
      </c>
      <c r="G3430" s="74">
        <f>D3430/30.48</f>
        <v/>
      </c>
      <c r="H3430" s="615" t="n"/>
    </row>
    <row r="3431" ht="18" customHeight="1" s="305">
      <c r="A3431" s="8" t="n">
        <v>4543</v>
      </c>
      <c r="B3431" s="5" t="n">
        <v>94</v>
      </c>
      <c r="C3431" s="72" t="inlineStr">
        <is>
          <t>X</t>
        </is>
      </c>
      <c r="D3431" s="5" t="n">
        <v>188</v>
      </c>
      <c r="E3431" s="73">
        <f>B3431*D3431/10000</f>
        <v/>
      </c>
      <c r="F3431" s="74">
        <f>B3431/30.48</f>
        <v/>
      </c>
      <c r="G3431" s="74">
        <f>D3431/30.48</f>
        <v/>
      </c>
      <c r="H3431" s="615" t="n"/>
    </row>
    <row r="3432" ht="18" customHeight="1" s="305">
      <c r="A3432" s="8" t="n">
        <v>4544</v>
      </c>
      <c r="B3432" s="5" t="n">
        <v>114</v>
      </c>
      <c r="C3432" s="72" t="inlineStr">
        <is>
          <t>X</t>
        </is>
      </c>
      <c r="D3432" s="5" t="n">
        <v>206</v>
      </c>
      <c r="E3432" s="73">
        <f>B3432*D3432/10000</f>
        <v/>
      </c>
      <c r="F3432" s="74">
        <f>B3432/30.48</f>
        <v/>
      </c>
      <c r="G3432" s="74">
        <f>D3432/30.48</f>
        <v/>
      </c>
      <c r="H3432" s="615" t="n"/>
    </row>
    <row r="3433" ht="18" customHeight="1" s="305">
      <c r="A3433" s="8" t="n">
        <v>4545</v>
      </c>
      <c r="B3433" s="5" t="n">
        <v>89</v>
      </c>
      <c r="C3433" s="72" t="inlineStr">
        <is>
          <t>X</t>
        </is>
      </c>
      <c r="D3433" s="5" t="n">
        <v>198</v>
      </c>
      <c r="E3433" s="73">
        <f>B3433*D3433/10000</f>
        <v/>
      </c>
      <c r="F3433" s="74">
        <f>B3433/30.48</f>
        <v/>
      </c>
      <c r="G3433" s="74">
        <f>D3433/30.48</f>
        <v/>
      </c>
      <c r="H3433" s="615" t="n"/>
    </row>
    <row r="3434" ht="18" customHeight="1" s="305">
      <c r="A3434" s="8" t="n">
        <v>4546</v>
      </c>
      <c r="B3434" s="5" t="n">
        <v>104</v>
      </c>
      <c r="C3434" s="72" t="inlineStr">
        <is>
          <t>X</t>
        </is>
      </c>
      <c r="D3434" s="5" t="n">
        <v>203</v>
      </c>
      <c r="E3434" s="73">
        <f>B3434*D3434/10000</f>
        <v/>
      </c>
      <c r="F3434" s="74">
        <f>B3434/30.48</f>
        <v/>
      </c>
      <c r="G3434" s="74">
        <f>D3434/30.48</f>
        <v/>
      </c>
      <c r="H3434" s="615" t="n"/>
    </row>
    <row r="3435" ht="18" customHeight="1" s="305">
      <c r="A3435" s="8" t="n">
        <v>4547</v>
      </c>
      <c r="B3435" s="5" t="n">
        <v>90</v>
      </c>
      <c r="C3435" s="72" t="inlineStr">
        <is>
          <t>X</t>
        </is>
      </c>
      <c r="D3435" s="5" t="n">
        <v>207</v>
      </c>
      <c r="E3435" s="73">
        <f>B3435*D3435/10000</f>
        <v/>
      </c>
      <c r="F3435" s="74">
        <f>B3435/30.48</f>
        <v/>
      </c>
      <c r="G3435" s="74">
        <f>D3435/30.48</f>
        <v/>
      </c>
      <c r="H3435" s="615" t="n"/>
    </row>
    <row r="3436" ht="18" customHeight="1" s="305">
      <c r="A3436" s="8" t="n">
        <v>4548</v>
      </c>
      <c r="B3436" s="5" t="n">
        <v>110</v>
      </c>
      <c r="C3436" s="72" t="inlineStr">
        <is>
          <t>X</t>
        </is>
      </c>
      <c r="D3436" s="5" t="n">
        <v>204</v>
      </c>
      <c r="E3436" s="73">
        <f>B3436*D3436/10000</f>
        <v/>
      </c>
      <c r="F3436" s="74">
        <f>B3436/30.48</f>
        <v/>
      </c>
      <c r="G3436" s="74">
        <f>D3436/30.48</f>
        <v/>
      </c>
      <c r="H3436" s="615" t="n"/>
    </row>
    <row r="3437" ht="18" customHeight="1" s="305">
      <c r="A3437" s="8" t="n">
        <v>4549</v>
      </c>
      <c r="B3437" s="5" t="n">
        <v>114</v>
      </c>
      <c r="C3437" s="72" t="inlineStr">
        <is>
          <t>X</t>
        </is>
      </c>
      <c r="D3437" s="5" t="n">
        <v>204</v>
      </c>
      <c r="E3437" s="73">
        <f>B3437*D3437/10000</f>
        <v/>
      </c>
      <c r="F3437" s="74">
        <f>B3437/30.48</f>
        <v/>
      </c>
      <c r="G3437" s="74">
        <f>D3437/30.48</f>
        <v/>
      </c>
      <c r="H3437" s="615" t="n"/>
    </row>
    <row r="3438" ht="18" customHeight="1" s="305">
      <c r="A3438" s="8" t="n">
        <v>4550</v>
      </c>
      <c r="B3438" s="5" t="n">
        <v>94</v>
      </c>
      <c r="C3438" s="72" t="inlineStr">
        <is>
          <t>X</t>
        </is>
      </c>
      <c r="D3438" s="5" t="n">
        <v>186</v>
      </c>
      <c r="E3438" s="73">
        <f>B3438*D3438/10000</f>
        <v/>
      </c>
      <c r="F3438" s="74">
        <f>B3438/30.48</f>
        <v/>
      </c>
      <c r="G3438" s="74">
        <f>D3438/30.48</f>
        <v/>
      </c>
      <c r="H3438" s="615" t="n"/>
    </row>
    <row r="3439" ht="18" customHeight="1" s="305">
      <c r="A3439" s="8" t="n">
        <v>4551</v>
      </c>
      <c r="B3439" s="5" t="n">
        <v>91</v>
      </c>
      <c r="C3439" s="72" t="inlineStr">
        <is>
          <t>X</t>
        </is>
      </c>
      <c r="D3439" s="5" t="n">
        <v>194</v>
      </c>
      <c r="E3439" s="73">
        <f>B3439*D3439/10000</f>
        <v/>
      </c>
      <c r="F3439" s="74">
        <f>B3439/30.48</f>
        <v/>
      </c>
      <c r="G3439" s="74">
        <f>D3439/30.48</f>
        <v/>
      </c>
      <c r="H3439" s="615" t="n"/>
    </row>
    <row r="3440" ht="18" customHeight="1" s="305">
      <c r="A3440" s="8" t="n">
        <v>4552</v>
      </c>
      <c r="B3440" s="5" t="n">
        <v>84</v>
      </c>
      <c r="C3440" s="72" t="inlineStr">
        <is>
          <t>X</t>
        </is>
      </c>
      <c r="D3440" s="5" t="n">
        <v>191</v>
      </c>
      <c r="E3440" s="73">
        <f>B3440*D3440/10000</f>
        <v/>
      </c>
      <c r="F3440" s="74">
        <f>B3440/30.48</f>
        <v/>
      </c>
      <c r="G3440" s="74">
        <f>D3440/30.48</f>
        <v/>
      </c>
      <c r="H3440" s="615" t="n"/>
    </row>
    <row r="3441" ht="18" customHeight="1" s="305">
      <c r="A3441" s="8" t="n">
        <v>4553</v>
      </c>
      <c r="B3441" s="5" t="n">
        <v>114</v>
      </c>
      <c r="C3441" s="72" t="inlineStr">
        <is>
          <t>X</t>
        </is>
      </c>
      <c r="D3441" s="5" t="n">
        <v>196</v>
      </c>
      <c r="E3441" s="73">
        <f>B3441*D3441/10000</f>
        <v/>
      </c>
      <c r="F3441" s="74">
        <f>B3441/30.48</f>
        <v/>
      </c>
      <c r="G3441" s="74">
        <f>D3441/30.48</f>
        <v/>
      </c>
      <c r="H3441" s="615" t="n"/>
    </row>
    <row r="3442" ht="18" customHeight="1" s="305">
      <c r="A3442" s="8" t="n">
        <v>4554</v>
      </c>
      <c r="B3442" s="5" t="n">
        <v>96</v>
      </c>
      <c r="C3442" s="72" t="inlineStr">
        <is>
          <t>X</t>
        </is>
      </c>
      <c r="D3442" s="5" t="n">
        <v>336</v>
      </c>
      <c r="E3442" s="73">
        <f>B3442*D3442/10000</f>
        <v/>
      </c>
      <c r="F3442" s="74">
        <f>B3442/30.48</f>
        <v/>
      </c>
      <c r="G3442" s="74">
        <f>D3442/30.48</f>
        <v/>
      </c>
      <c r="H3442" s="615" t="n"/>
    </row>
    <row r="3443" ht="18" customHeight="1" s="305">
      <c r="A3443" s="8" t="n">
        <v>4555</v>
      </c>
      <c r="B3443" s="5" t="n">
        <v>83</v>
      </c>
      <c r="C3443" s="72" t="inlineStr">
        <is>
          <t>X</t>
        </is>
      </c>
      <c r="D3443" s="5" t="n">
        <v>186</v>
      </c>
      <c r="E3443" s="73">
        <f>B3443*D3443/10000</f>
        <v/>
      </c>
      <c r="F3443" s="74">
        <f>B3443/30.48</f>
        <v/>
      </c>
      <c r="G3443" s="74">
        <f>D3443/30.48</f>
        <v/>
      </c>
      <c r="H3443" s="615" t="n"/>
    </row>
    <row r="3444" ht="18" customHeight="1" s="305">
      <c r="A3444" s="8" t="n">
        <v>4556</v>
      </c>
      <c r="B3444" s="5" t="n">
        <v>110</v>
      </c>
      <c r="C3444" s="72" t="inlineStr">
        <is>
          <t>X</t>
        </is>
      </c>
      <c r="D3444" s="5" t="n">
        <v>205</v>
      </c>
      <c r="E3444" s="73">
        <f>B3444*D3444/10000</f>
        <v/>
      </c>
      <c r="F3444" s="74">
        <f>B3444/30.48</f>
        <v/>
      </c>
      <c r="G3444" s="74">
        <f>D3444/30.48</f>
        <v/>
      </c>
      <c r="H3444" s="615" t="n"/>
    </row>
    <row r="3445" ht="18" customHeight="1" s="305">
      <c r="A3445" s="8" t="n">
        <v>4557</v>
      </c>
      <c r="B3445" s="5" t="n">
        <v>114</v>
      </c>
      <c r="C3445" s="72" t="inlineStr">
        <is>
          <t>X</t>
        </is>
      </c>
      <c r="D3445" s="5" t="n">
        <v>187</v>
      </c>
      <c r="E3445" s="73">
        <f>B3445*D3445/10000</f>
        <v/>
      </c>
      <c r="F3445" s="74">
        <f>B3445/30.48</f>
        <v/>
      </c>
      <c r="G3445" s="74">
        <f>D3445/30.48</f>
        <v/>
      </c>
      <c r="H3445" s="615" t="n"/>
    </row>
    <row r="3446" ht="18" customHeight="1" s="305">
      <c r="A3446" s="8" t="n">
        <v>4558</v>
      </c>
      <c r="B3446" s="5" t="n">
        <v>150</v>
      </c>
      <c r="C3446" s="72" t="inlineStr">
        <is>
          <t>X</t>
        </is>
      </c>
      <c r="D3446" s="5" t="n">
        <v>251</v>
      </c>
      <c r="E3446" s="73">
        <f>B3446*D3446/10000</f>
        <v/>
      </c>
      <c r="F3446" s="74">
        <f>B3446/30.48</f>
        <v/>
      </c>
      <c r="G3446" s="74">
        <f>D3446/30.48</f>
        <v/>
      </c>
      <c r="H3446" s="615" t="n"/>
    </row>
    <row r="3447" ht="18" customHeight="1" s="305">
      <c r="A3447" s="8" t="n">
        <v>4559</v>
      </c>
      <c r="B3447" s="5" t="n">
        <v>115</v>
      </c>
      <c r="C3447" s="72" t="inlineStr">
        <is>
          <t>X</t>
        </is>
      </c>
      <c r="D3447" s="5" t="n">
        <v>205</v>
      </c>
      <c r="E3447" s="73">
        <f>B3447*D3447/10000</f>
        <v/>
      </c>
      <c r="F3447" s="74">
        <f>B3447/30.48</f>
        <v/>
      </c>
      <c r="G3447" s="74">
        <f>D3447/30.48</f>
        <v/>
      </c>
      <c r="H3447" s="615" t="n"/>
    </row>
    <row r="3448" ht="18" customHeight="1" s="305">
      <c r="A3448" s="8" t="n">
        <v>4560</v>
      </c>
      <c r="B3448" s="5" t="n">
        <v>168</v>
      </c>
      <c r="C3448" s="72" t="inlineStr">
        <is>
          <t>X</t>
        </is>
      </c>
      <c r="D3448" s="5" t="n">
        <v>264</v>
      </c>
      <c r="E3448" s="73">
        <f>B3448*D3448/10000</f>
        <v/>
      </c>
      <c r="F3448" s="74">
        <f>B3448/30.48</f>
        <v/>
      </c>
      <c r="G3448" s="74">
        <f>D3448/30.48</f>
        <v/>
      </c>
      <c r="H3448" s="615" t="n"/>
    </row>
    <row r="3449" ht="18" customHeight="1" s="305">
      <c r="A3449" s="8" t="n">
        <v>4561</v>
      </c>
      <c r="B3449" s="5" t="n">
        <v>200</v>
      </c>
      <c r="C3449" s="72" t="inlineStr">
        <is>
          <t>X</t>
        </is>
      </c>
      <c r="D3449" s="5" t="n">
        <v>293</v>
      </c>
      <c r="E3449" s="73">
        <f>B3449*D3449/10000</f>
        <v/>
      </c>
      <c r="F3449" s="74">
        <f>B3449/30.48</f>
        <v/>
      </c>
      <c r="G3449" s="74">
        <f>D3449/30.48</f>
        <v/>
      </c>
      <c r="H3449" s="615" t="n"/>
    </row>
    <row r="3450" ht="18" customHeight="1" s="305">
      <c r="A3450" s="8" t="n">
        <v>4562</v>
      </c>
      <c r="B3450" s="5" t="n">
        <v>150</v>
      </c>
      <c r="C3450" s="72" t="inlineStr">
        <is>
          <t>X</t>
        </is>
      </c>
      <c r="D3450" s="5" t="n">
        <v>267</v>
      </c>
      <c r="E3450" s="73">
        <f>B3450*D3450/10000</f>
        <v/>
      </c>
      <c r="F3450" s="74">
        <f>B3450/30.48</f>
        <v/>
      </c>
      <c r="G3450" s="74">
        <f>D3450/30.48</f>
        <v/>
      </c>
      <c r="H3450" s="615" t="n"/>
    </row>
    <row r="3451" ht="18" customHeight="1" s="305">
      <c r="A3451" s="8" t="n">
        <v>4563</v>
      </c>
      <c r="B3451" s="5" t="n">
        <v>78</v>
      </c>
      <c r="C3451" s="72" t="inlineStr">
        <is>
          <t>X</t>
        </is>
      </c>
      <c r="D3451" s="5" t="n">
        <v>357</v>
      </c>
      <c r="E3451" s="73">
        <f>B3451*D3451/10000</f>
        <v/>
      </c>
      <c r="F3451" s="74">
        <f>B3451/30.48</f>
        <v/>
      </c>
      <c r="G3451" s="74">
        <f>D3451/30.48</f>
        <v/>
      </c>
      <c r="H3451" s="615" t="n"/>
    </row>
    <row r="3452" ht="18" customHeight="1" s="305">
      <c r="A3452" s="8" t="n">
        <v>4564</v>
      </c>
      <c r="B3452" s="5" t="n">
        <v>117</v>
      </c>
      <c r="C3452" s="72" t="inlineStr">
        <is>
          <t>X</t>
        </is>
      </c>
      <c r="D3452" s="5" t="n">
        <v>196</v>
      </c>
      <c r="E3452" s="73">
        <f>B3452*D3452/10000</f>
        <v/>
      </c>
      <c r="F3452" s="74">
        <f>B3452/30.48</f>
        <v/>
      </c>
      <c r="G3452" s="74">
        <f>D3452/30.48</f>
        <v/>
      </c>
      <c r="H3452" s="615" t="n"/>
    </row>
    <row r="3453" ht="18" customHeight="1" s="305">
      <c r="A3453" s="8" t="n">
        <v>4565</v>
      </c>
      <c r="B3453" s="5" t="n">
        <v>217</v>
      </c>
      <c r="C3453" s="72" t="inlineStr">
        <is>
          <t>X</t>
        </is>
      </c>
      <c r="D3453" s="5" t="n">
        <v>330</v>
      </c>
      <c r="E3453" s="73">
        <f>B3453*D3453/10000</f>
        <v/>
      </c>
      <c r="F3453" s="74">
        <f>B3453/30.48</f>
        <v/>
      </c>
      <c r="G3453" s="74">
        <f>D3453/30.48</f>
        <v/>
      </c>
      <c r="H3453" s="615" t="n"/>
    </row>
    <row r="3454" ht="18" customHeight="1" s="305">
      <c r="A3454" s="8" t="n">
        <v>4566</v>
      </c>
      <c r="B3454" s="5" t="n">
        <v>114</v>
      </c>
      <c r="C3454" s="72" t="inlineStr">
        <is>
          <t>X</t>
        </is>
      </c>
      <c r="D3454" s="5" t="n">
        <v>210</v>
      </c>
      <c r="E3454" s="73">
        <f>B3454*D3454/10000</f>
        <v/>
      </c>
      <c r="F3454" s="74">
        <f>B3454/30.48</f>
        <v/>
      </c>
      <c r="G3454" s="74">
        <f>D3454/30.48</f>
        <v/>
      </c>
      <c r="H3454" s="615" t="n"/>
    </row>
    <row r="3455" ht="18" customHeight="1" s="305">
      <c r="A3455" s="8" t="n">
        <v>4567</v>
      </c>
      <c r="B3455" s="5" t="n">
        <v>200</v>
      </c>
      <c r="C3455" s="72" t="inlineStr">
        <is>
          <t>X</t>
        </is>
      </c>
      <c r="D3455" s="5" t="n">
        <v>285</v>
      </c>
      <c r="E3455" s="73">
        <f>B3455*D3455/10000</f>
        <v/>
      </c>
      <c r="F3455" s="74">
        <f>B3455/30.48</f>
        <v/>
      </c>
      <c r="G3455" s="74">
        <f>D3455/30.48</f>
        <v/>
      </c>
      <c r="H3455" s="615" t="n"/>
    </row>
    <row r="3456" ht="18" customHeight="1" s="305">
      <c r="A3456" s="8" t="n">
        <v>4568</v>
      </c>
      <c r="B3456" s="5" t="n">
        <v>118</v>
      </c>
      <c r="C3456" s="72" t="inlineStr">
        <is>
          <t>X</t>
        </is>
      </c>
      <c r="D3456" s="5" t="n">
        <v>200</v>
      </c>
      <c r="E3456" s="73">
        <f>B3456*D3456/10000</f>
        <v/>
      </c>
      <c r="F3456" s="74">
        <f>B3456/30.48</f>
        <v/>
      </c>
      <c r="G3456" s="74">
        <f>D3456/30.48</f>
        <v/>
      </c>
      <c r="H3456" s="615" t="n"/>
    </row>
    <row r="3457" ht="18" customHeight="1" s="305">
      <c r="A3457" s="8" t="n">
        <v>4569</v>
      </c>
      <c r="B3457" s="5" t="n">
        <v>201</v>
      </c>
      <c r="C3457" s="72" t="inlineStr">
        <is>
          <t>X</t>
        </is>
      </c>
      <c r="D3457" s="5" t="n">
        <v>300</v>
      </c>
      <c r="E3457" s="73">
        <f>B3457*D3457/10000</f>
        <v/>
      </c>
      <c r="F3457" s="74">
        <f>B3457/30.48</f>
        <v/>
      </c>
      <c r="G3457" s="74">
        <f>D3457/30.48</f>
        <v/>
      </c>
      <c r="H3457" s="615" t="n"/>
    </row>
    <row r="3458" ht="18" customHeight="1" s="305">
      <c r="A3458" s="8" t="n">
        <v>4570</v>
      </c>
      <c r="B3458" s="5" t="n">
        <v>171</v>
      </c>
      <c r="C3458" s="72" t="inlineStr">
        <is>
          <t>X</t>
        </is>
      </c>
      <c r="D3458" s="5" t="n">
        <v>231</v>
      </c>
      <c r="E3458" s="73">
        <f>B3458*D3458/10000</f>
        <v/>
      </c>
      <c r="F3458" s="74">
        <f>B3458/30.48</f>
        <v/>
      </c>
      <c r="G3458" s="74">
        <f>D3458/30.48</f>
        <v/>
      </c>
      <c r="H3458" s="615" t="n"/>
    </row>
    <row r="3459" ht="18" customHeight="1" s="305">
      <c r="A3459" s="8" t="n">
        <v>4571</v>
      </c>
      <c r="B3459" s="5" t="n">
        <v>100</v>
      </c>
      <c r="C3459" s="72" t="inlineStr">
        <is>
          <t>X</t>
        </is>
      </c>
      <c r="D3459" s="5" t="n">
        <v>207</v>
      </c>
      <c r="E3459" s="73">
        <f>B3459*D3459/10000</f>
        <v/>
      </c>
      <c r="F3459" s="74">
        <f>B3459/30.48</f>
        <v/>
      </c>
      <c r="G3459" s="74">
        <f>D3459/30.48</f>
        <v/>
      </c>
      <c r="H3459" s="615" t="n"/>
    </row>
    <row r="3460" ht="18" customHeight="1" s="305">
      <c r="A3460" s="8" t="n">
        <v>4572</v>
      </c>
      <c r="B3460" s="5" t="n">
        <v>80</v>
      </c>
      <c r="C3460" s="72" t="inlineStr">
        <is>
          <t>X</t>
        </is>
      </c>
      <c r="D3460" s="5" t="n">
        <v>364</v>
      </c>
      <c r="E3460" s="73">
        <f>B3460*D3460/10000</f>
        <v/>
      </c>
      <c r="F3460" s="74">
        <f>B3460/30.48</f>
        <v/>
      </c>
      <c r="G3460" s="74">
        <f>D3460/30.48</f>
        <v/>
      </c>
      <c r="H3460" s="615" t="n"/>
    </row>
    <row r="3461" ht="18" customHeight="1" s="305">
      <c r="A3461" s="8" t="n">
        <v>4573</v>
      </c>
      <c r="B3461" s="5" t="n">
        <v>81</v>
      </c>
      <c r="C3461" s="72" t="inlineStr">
        <is>
          <t>X</t>
        </is>
      </c>
      <c r="D3461" s="5" t="n">
        <v>334</v>
      </c>
      <c r="E3461" s="73">
        <f>B3461*D3461/10000</f>
        <v/>
      </c>
      <c r="F3461" s="74">
        <f>B3461/30.48</f>
        <v/>
      </c>
      <c r="G3461" s="74">
        <f>D3461/30.48</f>
        <v/>
      </c>
      <c r="H3461" s="615" t="n"/>
    </row>
    <row r="3462" ht="18" customHeight="1" s="305">
      <c r="A3462" s="8" t="n">
        <v>4574</v>
      </c>
      <c r="B3462" s="5" t="n">
        <v>114</v>
      </c>
      <c r="C3462" s="72" t="inlineStr">
        <is>
          <t>X</t>
        </is>
      </c>
      <c r="D3462" s="5" t="n">
        <v>204</v>
      </c>
      <c r="E3462" s="73">
        <f>B3462*D3462/10000</f>
        <v/>
      </c>
      <c r="F3462" s="74">
        <f>B3462/30.48</f>
        <v/>
      </c>
      <c r="G3462" s="74">
        <f>D3462/30.48</f>
        <v/>
      </c>
      <c r="H3462" s="615" t="n"/>
    </row>
    <row r="3463" ht="18" customHeight="1" s="305">
      <c r="A3463" s="8" t="n">
        <v>4575</v>
      </c>
      <c r="B3463" s="5" t="n">
        <v>80</v>
      </c>
      <c r="C3463" s="72" t="inlineStr">
        <is>
          <t>X</t>
        </is>
      </c>
      <c r="D3463" s="5" t="n">
        <v>503</v>
      </c>
      <c r="E3463" s="73">
        <f>B3463*D3463/10000</f>
        <v/>
      </c>
      <c r="F3463" s="74">
        <f>B3463/30.48</f>
        <v/>
      </c>
      <c r="G3463" s="74">
        <f>D3463/30.48</f>
        <v/>
      </c>
      <c r="H3463" s="615" t="n"/>
    </row>
    <row r="3464" ht="18" customHeight="1" s="305">
      <c r="A3464" s="8" t="n">
        <v>4576</v>
      </c>
      <c r="B3464" s="5" t="n">
        <v>170</v>
      </c>
      <c r="C3464" s="72" t="inlineStr">
        <is>
          <t>X</t>
        </is>
      </c>
      <c r="D3464" s="5" t="n">
        <v>214</v>
      </c>
      <c r="E3464" s="73">
        <f>B3464*D3464/10000</f>
        <v/>
      </c>
      <c r="F3464" s="74">
        <f>B3464/30.48</f>
        <v/>
      </c>
      <c r="G3464" s="74">
        <f>D3464/30.48</f>
        <v/>
      </c>
      <c r="H3464" s="615" t="n"/>
    </row>
    <row r="3465" ht="18" customHeight="1" s="305">
      <c r="A3465" s="8" t="n">
        <v>4577</v>
      </c>
      <c r="B3465" s="5" t="n">
        <v>166</v>
      </c>
      <c r="C3465" s="72" t="inlineStr">
        <is>
          <t>X</t>
        </is>
      </c>
      <c r="D3465" s="5" t="n">
        <v>223</v>
      </c>
      <c r="E3465" s="73">
        <f>B3465*D3465/10000</f>
        <v/>
      </c>
      <c r="F3465" s="74">
        <f>B3465/30.48</f>
        <v/>
      </c>
      <c r="G3465" s="74">
        <f>D3465/30.48</f>
        <v/>
      </c>
      <c r="H3465" s="615" t="n"/>
    </row>
    <row r="3466" ht="18" customHeight="1" s="305">
      <c r="A3466" s="8" t="n">
        <v>4578</v>
      </c>
      <c r="B3466" s="5" t="n">
        <v>92</v>
      </c>
      <c r="C3466" s="72" t="inlineStr">
        <is>
          <t>X</t>
        </is>
      </c>
      <c r="D3466" s="5" t="n">
        <v>196</v>
      </c>
      <c r="E3466" s="73">
        <f>B3466*D3466/10000</f>
        <v/>
      </c>
      <c r="F3466" s="74">
        <f>B3466/30.48</f>
        <v/>
      </c>
      <c r="G3466" s="74">
        <f>D3466/30.48</f>
        <v/>
      </c>
      <c r="H3466" s="615" t="n"/>
    </row>
    <row r="3467" ht="18" customHeight="1" s="305">
      <c r="A3467" s="8" t="n">
        <v>4579</v>
      </c>
      <c r="B3467" s="5" t="n">
        <v>180</v>
      </c>
      <c r="C3467" s="72" t="inlineStr">
        <is>
          <t>X</t>
        </is>
      </c>
      <c r="D3467" s="5" t="n">
        <v>285</v>
      </c>
      <c r="E3467" s="73">
        <f>B3467*D3467/10000</f>
        <v/>
      </c>
      <c r="F3467" s="74">
        <f>B3467/30.48</f>
        <v/>
      </c>
      <c r="G3467" s="74">
        <f>D3467/30.48</f>
        <v/>
      </c>
      <c r="H3467" s="615" t="n"/>
    </row>
    <row r="3468" ht="18" customHeight="1" s="305">
      <c r="A3468" s="8" t="n">
        <v>4580</v>
      </c>
      <c r="B3468" s="5" t="n">
        <v>110</v>
      </c>
      <c r="C3468" s="72" t="inlineStr">
        <is>
          <t>X</t>
        </is>
      </c>
      <c r="D3468" s="5" t="n">
        <v>201</v>
      </c>
      <c r="E3468" s="73">
        <f>B3468*D3468/10000</f>
        <v/>
      </c>
      <c r="F3468" s="74">
        <f>B3468/30.48</f>
        <v/>
      </c>
      <c r="G3468" s="74">
        <f>D3468/30.48</f>
        <v/>
      </c>
      <c r="H3468" s="615" t="n"/>
    </row>
    <row r="3469" ht="18" customHeight="1" s="305">
      <c r="A3469" s="8" t="n">
        <v>4581</v>
      </c>
      <c r="B3469" s="5" t="n">
        <v>96</v>
      </c>
      <c r="C3469" s="72" t="inlineStr">
        <is>
          <t>X</t>
        </is>
      </c>
      <c r="D3469" s="5" t="n">
        <v>190</v>
      </c>
      <c r="E3469" s="73">
        <f>B3469*D3469/10000</f>
        <v/>
      </c>
      <c r="F3469" s="74">
        <f>B3469/30.48</f>
        <v/>
      </c>
      <c r="G3469" s="74">
        <f>D3469/30.48</f>
        <v/>
      </c>
      <c r="H3469" s="615" t="n"/>
    </row>
    <row r="3470" ht="18" customHeight="1" s="305">
      <c r="A3470" s="8" t="n">
        <v>4582</v>
      </c>
      <c r="B3470" s="5" t="n">
        <v>112</v>
      </c>
      <c r="C3470" s="72" t="inlineStr">
        <is>
          <t>X</t>
        </is>
      </c>
      <c r="D3470" s="5" t="n">
        <v>184</v>
      </c>
      <c r="E3470" s="73">
        <f>B3470*D3470/10000</f>
        <v/>
      </c>
      <c r="F3470" s="74">
        <f>B3470/30.48</f>
        <v/>
      </c>
      <c r="G3470" s="74">
        <f>D3470/30.48</f>
        <v/>
      </c>
      <c r="H3470" s="615" t="n"/>
    </row>
    <row r="3471" ht="18" customHeight="1" s="305">
      <c r="A3471" s="8" t="n">
        <v>4583</v>
      </c>
      <c r="B3471" s="5" t="n">
        <v>113</v>
      </c>
      <c r="C3471" s="72" t="inlineStr">
        <is>
          <t>X</t>
        </is>
      </c>
      <c r="D3471" s="5" t="n">
        <v>202</v>
      </c>
      <c r="E3471" s="73">
        <f>B3471*D3471/10000</f>
        <v/>
      </c>
      <c r="F3471" s="74">
        <f>B3471/30.48</f>
        <v/>
      </c>
      <c r="G3471" s="74">
        <f>D3471/30.48</f>
        <v/>
      </c>
      <c r="H3471" s="615" t="n"/>
    </row>
    <row r="3472" ht="18" customHeight="1" s="305">
      <c r="A3472" s="8" t="n">
        <v>4584</v>
      </c>
      <c r="B3472" s="5" t="n">
        <v>218</v>
      </c>
      <c r="C3472" s="72" t="inlineStr">
        <is>
          <t>X</t>
        </is>
      </c>
      <c r="D3472" s="5" t="n">
        <v>300</v>
      </c>
      <c r="E3472" s="73">
        <f>B3472*D3472/10000</f>
        <v/>
      </c>
      <c r="F3472" s="74">
        <f>B3472/30.48</f>
        <v/>
      </c>
      <c r="G3472" s="74">
        <f>D3472/30.48</f>
        <v/>
      </c>
      <c r="H3472" s="615" t="n"/>
    </row>
    <row r="3473" ht="18" customHeight="1" s="305">
      <c r="A3473" s="8" t="n">
        <v>4585</v>
      </c>
      <c r="B3473" s="5" t="n">
        <v>102</v>
      </c>
      <c r="C3473" s="72" t="inlineStr">
        <is>
          <t>X</t>
        </is>
      </c>
      <c r="D3473" s="5" t="n">
        <v>357</v>
      </c>
      <c r="E3473" s="73">
        <f>B3473*D3473/10000</f>
        <v/>
      </c>
      <c r="F3473" s="74">
        <f>B3473/30.48</f>
        <v/>
      </c>
      <c r="G3473" s="74">
        <f>D3473/30.48</f>
        <v/>
      </c>
      <c r="H3473" s="615" t="n"/>
    </row>
    <row r="3474" ht="18" customHeight="1" s="305">
      <c r="A3474" s="8" t="n">
        <v>4586</v>
      </c>
      <c r="B3474" s="5" t="n">
        <v>109</v>
      </c>
      <c r="C3474" s="72" t="inlineStr">
        <is>
          <t>X</t>
        </is>
      </c>
      <c r="D3474" s="5" t="n">
        <v>205</v>
      </c>
      <c r="E3474" s="73">
        <f>B3474*D3474/10000</f>
        <v/>
      </c>
      <c r="F3474" s="74">
        <f>B3474/30.48</f>
        <v/>
      </c>
      <c r="G3474" s="74">
        <f>D3474/30.48</f>
        <v/>
      </c>
      <c r="H3474" s="615" t="n"/>
    </row>
    <row r="3475" ht="18" customHeight="1" s="305">
      <c r="A3475" s="8" t="n">
        <v>4587</v>
      </c>
      <c r="B3475" s="5" t="n">
        <v>145</v>
      </c>
      <c r="C3475" s="72" t="inlineStr">
        <is>
          <t>X</t>
        </is>
      </c>
      <c r="D3475" s="5" t="n">
        <v>233</v>
      </c>
      <c r="E3475" s="73">
        <f>B3475*D3475/10000</f>
        <v/>
      </c>
      <c r="F3475" s="74">
        <f>B3475/30.48</f>
        <v/>
      </c>
      <c r="G3475" s="74">
        <f>D3475/30.48</f>
        <v/>
      </c>
      <c r="H3475" s="615" t="n"/>
    </row>
    <row r="3476" ht="18" customHeight="1" s="305">
      <c r="A3476" s="8" t="n">
        <v>4588</v>
      </c>
      <c r="B3476" s="5" t="n">
        <v>108</v>
      </c>
      <c r="C3476" s="72" t="inlineStr">
        <is>
          <t>X</t>
        </is>
      </c>
      <c r="D3476" s="5" t="n">
        <v>175</v>
      </c>
      <c r="E3476" s="73">
        <f>B3476*D3476/10000</f>
        <v/>
      </c>
      <c r="F3476" s="74">
        <f>B3476/30.48</f>
        <v/>
      </c>
      <c r="G3476" s="74">
        <f>D3476/30.48</f>
        <v/>
      </c>
      <c r="H3476" s="615" t="n"/>
    </row>
    <row r="3477" ht="18" customHeight="1" s="305">
      <c r="A3477" s="8" t="n">
        <v>4589</v>
      </c>
      <c r="B3477" s="5" t="n">
        <v>198</v>
      </c>
      <c r="C3477" s="72" t="inlineStr">
        <is>
          <t>X</t>
        </is>
      </c>
      <c r="D3477" s="5" t="n">
        <v>299</v>
      </c>
      <c r="E3477" s="73">
        <f>B3477*D3477/10000</f>
        <v/>
      </c>
      <c r="F3477" s="74">
        <f>B3477/30.48</f>
        <v/>
      </c>
      <c r="G3477" s="74">
        <f>D3477/30.48</f>
        <v/>
      </c>
      <c r="H3477" s="615" t="n"/>
    </row>
    <row r="3478" ht="18" customHeight="1" s="305">
      <c r="A3478" s="8" t="n">
        <v>4590</v>
      </c>
      <c r="B3478" s="5" t="n">
        <v>80</v>
      </c>
      <c r="C3478" s="72" t="inlineStr">
        <is>
          <t>X</t>
        </is>
      </c>
      <c r="D3478" s="5" t="n">
        <v>168</v>
      </c>
      <c r="E3478" s="73">
        <f>B3478*D3478/10000</f>
        <v/>
      </c>
      <c r="F3478" s="74">
        <f>B3478/30.48</f>
        <v/>
      </c>
      <c r="G3478" s="74">
        <f>D3478/30.48</f>
        <v/>
      </c>
      <c r="H3478" s="615" t="n"/>
    </row>
    <row r="3479" ht="18" customHeight="1" s="305">
      <c r="A3479" s="8" t="n">
        <v>4591</v>
      </c>
      <c r="B3479" s="5" t="n">
        <v>105</v>
      </c>
      <c r="C3479" s="72" t="inlineStr">
        <is>
          <t>X</t>
        </is>
      </c>
      <c r="D3479" s="5" t="n">
        <v>188</v>
      </c>
      <c r="E3479" s="73">
        <f>B3479*D3479/10000</f>
        <v/>
      </c>
      <c r="F3479" s="74">
        <f>B3479/30.48</f>
        <v/>
      </c>
      <c r="G3479" s="74">
        <f>D3479/30.48</f>
        <v/>
      </c>
      <c r="H3479" s="615" t="n"/>
    </row>
    <row r="3480" ht="18" customHeight="1" s="305">
      <c r="A3480" s="8" t="n">
        <v>4592</v>
      </c>
      <c r="B3480" s="5" t="n">
        <v>115</v>
      </c>
      <c r="C3480" s="72" t="inlineStr">
        <is>
          <t>X</t>
        </is>
      </c>
      <c r="D3480" s="5" t="n">
        <v>183</v>
      </c>
      <c r="E3480" s="73">
        <f>B3480*D3480/10000</f>
        <v/>
      </c>
      <c r="F3480" s="74">
        <f>B3480/30.48</f>
        <v/>
      </c>
      <c r="G3480" s="74">
        <f>D3480/30.48</f>
        <v/>
      </c>
      <c r="H3480" s="615" t="n"/>
    </row>
    <row r="3481" ht="18" customHeight="1" s="305">
      <c r="A3481" s="8" t="n">
        <v>4593</v>
      </c>
      <c r="B3481" s="5" t="n">
        <v>110</v>
      </c>
      <c r="C3481" s="72" t="inlineStr">
        <is>
          <t>X</t>
        </is>
      </c>
      <c r="D3481" s="5" t="n">
        <v>205</v>
      </c>
      <c r="E3481" s="73">
        <f>B3481*D3481/10000</f>
        <v/>
      </c>
      <c r="F3481" s="74">
        <f>B3481/30.48</f>
        <v/>
      </c>
      <c r="G3481" s="74">
        <f>D3481/30.48</f>
        <v/>
      </c>
      <c r="H3481" s="615" t="n"/>
    </row>
    <row r="3482" ht="18" customHeight="1" s="305">
      <c r="A3482" s="8" t="n">
        <v>4594</v>
      </c>
      <c r="B3482" s="5" t="n">
        <v>120</v>
      </c>
      <c r="C3482" s="72" t="inlineStr">
        <is>
          <t>X</t>
        </is>
      </c>
      <c r="D3482" s="5" t="n">
        <v>200</v>
      </c>
      <c r="E3482" s="73">
        <f>B3482*D3482/10000</f>
        <v/>
      </c>
      <c r="F3482" s="74">
        <f>B3482/30.48</f>
        <v/>
      </c>
      <c r="G3482" s="74">
        <f>D3482/30.48</f>
        <v/>
      </c>
      <c r="H3482" s="615" t="n"/>
    </row>
    <row r="3483" ht="18" customHeight="1" s="305">
      <c r="A3483" s="8" t="n">
        <v>4595</v>
      </c>
      <c r="B3483" s="5" t="n">
        <v>108</v>
      </c>
      <c r="C3483" s="72" t="inlineStr">
        <is>
          <t>X</t>
        </is>
      </c>
      <c r="D3483" s="5" t="n">
        <v>150</v>
      </c>
      <c r="E3483" s="73">
        <f>B3483*D3483/10000</f>
        <v/>
      </c>
      <c r="F3483" s="74">
        <f>B3483/30.48</f>
        <v/>
      </c>
      <c r="G3483" s="74">
        <f>D3483/30.48</f>
        <v/>
      </c>
      <c r="H3483" s="615" t="n"/>
    </row>
    <row r="3484" ht="18" customHeight="1" s="305">
      <c r="A3484" s="8" t="n">
        <v>4596</v>
      </c>
      <c r="B3484" s="5" t="n">
        <v>108</v>
      </c>
      <c r="C3484" s="72" t="inlineStr">
        <is>
          <t>X</t>
        </is>
      </c>
      <c r="D3484" s="5" t="n">
        <v>192</v>
      </c>
      <c r="E3484" s="73">
        <f>B3484*D3484/10000</f>
        <v/>
      </c>
      <c r="F3484" s="74">
        <f>B3484/30.48</f>
        <v/>
      </c>
      <c r="G3484" s="74">
        <f>D3484/30.48</f>
        <v/>
      </c>
      <c r="H3484" s="615" t="n"/>
    </row>
    <row r="3485" ht="18" customHeight="1" s="305">
      <c r="A3485" s="8" t="n">
        <v>4597</v>
      </c>
      <c r="B3485" s="5" t="n">
        <v>80</v>
      </c>
      <c r="C3485" s="72" t="inlineStr">
        <is>
          <t>X</t>
        </is>
      </c>
      <c r="D3485" s="5" t="n">
        <v>180</v>
      </c>
      <c r="E3485" s="73">
        <f>B3485*D3485/10000</f>
        <v/>
      </c>
      <c r="F3485" s="74">
        <f>B3485/30.48</f>
        <v/>
      </c>
      <c r="G3485" s="74">
        <f>D3485/30.48</f>
        <v/>
      </c>
      <c r="H3485" s="615" t="n"/>
    </row>
    <row r="3486" ht="18" customHeight="1" s="305">
      <c r="A3486" s="8" t="n">
        <v>4598</v>
      </c>
      <c r="B3486" s="5" t="n">
        <v>115</v>
      </c>
      <c r="C3486" s="72" t="inlineStr">
        <is>
          <t>X</t>
        </is>
      </c>
      <c r="D3486" s="5" t="n">
        <v>191</v>
      </c>
      <c r="E3486" s="73">
        <f>B3486*D3486/10000</f>
        <v/>
      </c>
      <c r="F3486" s="74">
        <f>B3486/30.48</f>
        <v/>
      </c>
      <c r="G3486" s="74">
        <f>D3486/30.48</f>
        <v/>
      </c>
      <c r="H3486" s="615" t="n"/>
    </row>
    <row r="3487" ht="18" customHeight="1" s="305">
      <c r="A3487" s="8" t="n">
        <v>4599</v>
      </c>
      <c r="B3487" s="5" t="n">
        <v>80</v>
      </c>
      <c r="C3487" s="72" t="inlineStr">
        <is>
          <t>X</t>
        </is>
      </c>
      <c r="D3487" s="5" t="n">
        <v>210</v>
      </c>
      <c r="E3487" s="73">
        <f>B3487*D3487/10000</f>
        <v/>
      </c>
      <c r="F3487" s="74">
        <f>B3487/30.48</f>
        <v/>
      </c>
      <c r="G3487" s="74">
        <f>D3487/30.48</f>
        <v/>
      </c>
      <c r="H3487" s="615" t="n"/>
    </row>
    <row r="3488" ht="18" customHeight="1" s="305">
      <c r="A3488" s="8" t="n">
        <v>4600</v>
      </c>
      <c r="B3488" s="5" t="n">
        <v>107</v>
      </c>
      <c r="C3488" s="72" t="inlineStr">
        <is>
          <t>X</t>
        </is>
      </c>
      <c r="D3488" s="5" t="n">
        <v>197</v>
      </c>
      <c r="E3488" s="73">
        <f>B3488*D3488/10000</f>
        <v/>
      </c>
      <c r="F3488" s="74">
        <f>B3488/30.48</f>
        <v/>
      </c>
      <c r="G3488" s="74">
        <f>D3488/30.48</f>
        <v/>
      </c>
      <c r="H3488" s="615" t="n"/>
    </row>
    <row r="3489" ht="18" customHeight="1" s="305">
      <c r="A3489" s="8" t="n">
        <v>4601</v>
      </c>
      <c r="B3489" s="5" t="n">
        <v>120</v>
      </c>
      <c r="C3489" s="72" t="inlineStr">
        <is>
          <t>X</t>
        </is>
      </c>
      <c r="D3489" s="5" t="n">
        <v>196</v>
      </c>
      <c r="E3489" s="73">
        <f>B3489*D3489/10000</f>
        <v/>
      </c>
      <c r="F3489" s="74">
        <f>B3489/30.48</f>
        <v/>
      </c>
      <c r="G3489" s="74">
        <f>D3489/30.48</f>
        <v/>
      </c>
      <c r="H3489" s="615" t="n"/>
    </row>
    <row r="3490" ht="18" customHeight="1" s="305">
      <c r="A3490" s="8" t="n">
        <v>4602</v>
      </c>
      <c r="B3490" s="5" t="n">
        <v>106</v>
      </c>
      <c r="C3490" s="72" t="inlineStr">
        <is>
          <t>X</t>
        </is>
      </c>
      <c r="D3490" s="5" t="n">
        <v>196</v>
      </c>
      <c r="E3490" s="73">
        <f>B3490*D3490/10000</f>
        <v/>
      </c>
      <c r="F3490" s="74">
        <f>B3490/30.48</f>
        <v/>
      </c>
      <c r="G3490" s="74">
        <f>D3490/30.48</f>
        <v/>
      </c>
      <c r="H3490" s="615" t="n"/>
    </row>
    <row r="3491" ht="18" customHeight="1" s="305">
      <c r="A3491" s="8" t="n">
        <v>4603</v>
      </c>
      <c r="B3491" s="5" t="n">
        <v>114</v>
      </c>
      <c r="C3491" s="72" t="inlineStr">
        <is>
          <t>X</t>
        </is>
      </c>
      <c r="D3491" s="5" t="n">
        <v>201</v>
      </c>
      <c r="E3491" s="73">
        <f>B3491*D3491/10000</f>
        <v/>
      </c>
      <c r="F3491" s="74">
        <f>B3491/30.48</f>
        <v/>
      </c>
      <c r="G3491" s="74">
        <f>D3491/30.48</f>
        <v/>
      </c>
      <c r="H3491" s="615" t="n"/>
    </row>
    <row r="3492" ht="18" customHeight="1" s="305">
      <c r="A3492" s="8" t="n">
        <v>4604</v>
      </c>
      <c r="B3492" s="5" t="n">
        <v>106</v>
      </c>
      <c r="C3492" s="72" t="inlineStr">
        <is>
          <t>X</t>
        </is>
      </c>
      <c r="D3492" s="5" t="n">
        <v>200</v>
      </c>
      <c r="E3492" s="73">
        <f>B3492*D3492/10000</f>
        <v/>
      </c>
      <c r="F3492" s="74">
        <f>B3492/30.48</f>
        <v/>
      </c>
      <c r="G3492" s="74">
        <f>D3492/30.48</f>
        <v/>
      </c>
      <c r="H3492" s="615" t="n"/>
    </row>
    <row r="3493" ht="18" customHeight="1" s="305">
      <c r="A3493" s="8" t="n">
        <v>4605</v>
      </c>
      <c r="B3493" s="5" t="n">
        <v>110</v>
      </c>
      <c r="C3493" s="72" t="inlineStr">
        <is>
          <t>X</t>
        </is>
      </c>
      <c r="D3493" s="5" t="n">
        <v>190</v>
      </c>
      <c r="E3493" s="73">
        <f>B3493*D3493/10000</f>
        <v/>
      </c>
      <c r="F3493" s="74">
        <f>B3493/30.48</f>
        <v/>
      </c>
      <c r="G3493" s="74">
        <f>D3493/30.48</f>
        <v/>
      </c>
      <c r="H3493" s="615" t="n"/>
    </row>
    <row r="3494" ht="18" customHeight="1" s="305">
      <c r="A3494" s="8" t="n">
        <v>4606</v>
      </c>
      <c r="C3494" s="72" t="inlineStr">
        <is>
          <t>X</t>
        </is>
      </c>
      <c r="E3494" s="73">
        <f>B3494*D3494/10000</f>
        <v/>
      </c>
      <c r="F3494" s="74">
        <f>B3494/30.48</f>
        <v/>
      </c>
      <c r="G3494" s="74">
        <f>D3494/30.48</f>
        <v/>
      </c>
      <c r="H3494" s="615" t="n"/>
    </row>
    <row r="3495" ht="18" customHeight="1" s="305">
      <c r="A3495" s="8" t="n">
        <v>4607</v>
      </c>
      <c r="B3495" s="5" t="n">
        <v>120</v>
      </c>
      <c r="C3495" s="72" t="inlineStr">
        <is>
          <t>X</t>
        </is>
      </c>
      <c r="D3495" s="5" t="n">
        <v>217</v>
      </c>
      <c r="E3495" s="73">
        <f>B3495*D3495/10000</f>
        <v/>
      </c>
      <c r="F3495" s="74">
        <f>B3495/30.48</f>
        <v/>
      </c>
      <c r="G3495" s="74">
        <f>D3495/30.48</f>
        <v/>
      </c>
      <c r="H3495" s="615" t="n"/>
    </row>
    <row r="3496" ht="18" customHeight="1" s="305">
      <c r="A3496" s="8" t="n">
        <v>4608</v>
      </c>
      <c r="B3496" s="5" t="n">
        <v>116</v>
      </c>
      <c r="C3496" s="72" t="inlineStr">
        <is>
          <t>X</t>
        </is>
      </c>
      <c r="D3496" s="5" t="n">
        <v>195</v>
      </c>
      <c r="E3496" s="73">
        <f>B3496*D3496/10000</f>
        <v/>
      </c>
      <c r="F3496" s="74">
        <f>B3496/30.48</f>
        <v/>
      </c>
      <c r="G3496" s="74">
        <f>D3496/30.48</f>
        <v/>
      </c>
      <c r="H3496" s="615" t="n"/>
    </row>
    <row r="3497" ht="18" customHeight="1" s="305">
      <c r="A3497" s="8" t="n">
        <v>4609</v>
      </c>
      <c r="B3497" s="5" t="n">
        <v>110</v>
      </c>
      <c r="C3497" s="72" t="inlineStr">
        <is>
          <t>X</t>
        </is>
      </c>
      <c r="D3497" s="5" t="n">
        <v>197</v>
      </c>
      <c r="E3497" s="73">
        <f>B3497*D3497/10000</f>
        <v/>
      </c>
      <c r="F3497" s="74">
        <f>B3497/30.48</f>
        <v/>
      </c>
      <c r="G3497" s="74">
        <f>D3497/30.48</f>
        <v/>
      </c>
      <c r="H3497" s="615" t="n"/>
    </row>
    <row r="3498" ht="18" customHeight="1" s="305">
      <c r="A3498" s="8" t="n">
        <v>4610</v>
      </c>
      <c r="B3498" s="5" t="n">
        <v>110</v>
      </c>
      <c r="C3498" s="72" t="inlineStr">
        <is>
          <t>X</t>
        </is>
      </c>
      <c r="D3498" s="5" t="n">
        <v>203</v>
      </c>
      <c r="E3498" s="73">
        <f>B3498*D3498/10000</f>
        <v/>
      </c>
      <c r="F3498" s="74">
        <f>B3498/30.48</f>
        <v/>
      </c>
      <c r="G3498" s="74">
        <f>D3498/30.48</f>
        <v/>
      </c>
      <c r="H3498" s="615" t="n"/>
    </row>
    <row r="3499" ht="18" customHeight="1" s="305">
      <c r="A3499" s="8" t="n">
        <v>4611</v>
      </c>
      <c r="B3499" s="5" t="n">
        <v>130</v>
      </c>
      <c r="C3499" s="72" t="inlineStr">
        <is>
          <t>X</t>
        </is>
      </c>
      <c r="D3499" s="5" t="n">
        <v>224</v>
      </c>
      <c r="E3499" s="73">
        <f>B3499*D3499/10000</f>
        <v/>
      </c>
      <c r="F3499" s="74">
        <f>B3499/30.48</f>
        <v/>
      </c>
      <c r="G3499" s="74">
        <f>D3499/30.48</f>
        <v/>
      </c>
      <c r="H3499" s="615" t="n"/>
    </row>
    <row r="3500" ht="18" customHeight="1" s="305">
      <c r="A3500" s="8" t="n">
        <v>4612</v>
      </c>
      <c r="B3500" s="5" t="n">
        <v>110</v>
      </c>
      <c r="C3500" s="72" t="inlineStr">
        <is>
          <t>X</t>
        </is>
      </c>
      <c r="D3500" s="5" t="n">
        <v>205</v>
      </c>
      <c r="E3500" s="73">
        <f>B3500*D3500/10000</f>
        <v/>
      </c>
      <c r="F3500" s="74">
        <f>B3500/30.48</f>
        <v/>
      </c>
      <c r="G3500" s="74">
        <f>D3500/30.48</f>
        <v/>
      </c>
      <c r="H3500" s="615" t="n"/>
    </row>
    <row r="3501" ht="18" customHeight="1" s="305">
      <c r="A3501" s="8" t="n">
        <v>4613</v>
      </c>
      <c r="B3501" s="5" t="n">
        <v>84</v>
      </c>
      <c r="C3501" s="72" t="inlineStr">
        <is>
          <t>X</t>
        </is>
      </c>
      <c r="D3501" s="5" t="n">
        <v>167</v>
      </c>
      <c r="E3501" s="73">
        <f>B3501*D3501/10000</f>
        <v/>
      </c>
      <c r="F3501" s="74">
        <f>B3501/30.48</f>
        <v/>
      </c>
      <c r="G3501" s="74">
        <f>D3501/30.48</f>
        <v/>
      </c>
      <c r="H3501" s="615" t="n"/>
    </row>
    <row r="3502" ht="18" customHeight="1" s="305">
      <c r="A3502" s="8" t="n">
        <v>4614</v>
      </c>
      <c r="B3502" s="5" t="n">
        <v>87</v>
      </c>
      <c r="C3502" s="72" t="inlineStr">
        <is>
          <t>X</t>
        </is>
      </c>
      <c r="D3502" s="5" t="n">
        <v>203</v>
      </c>
      <c r="E3502" s="73">
        <f>B3502*D3502/10000</f>
        <v/>
      </c>
      <c r="F3502" s="74">
        <f>B3502/30.48</f>
        <v/>
      </c>
      <c r="G3502" s="74">
        <f>D3502/30.48</f>
        <v/>
      </c>
      <c r="H3502" s="615" t="n"/>
    </row>
    <row r="3503" ht="18" customHeight="1" s="305">
      <c r="A3503" s="8" t="n">
        <v>4615</v>
      </c>
      <c r="B3503" s="5" t="n">
        <v>114</v>
      </c>
      <c r="C3503" s="72" t="inlineStr">
        <is>
          <t>X</t>
        </is>
      </c>
      <c r="D3503" s="5" t="n">
        <v>196</v>
      </c>
      <c r="E3503" s="73">
        <f>B3503*D3503/10000</f>
        <v/>
      </c>
      <c r="F3503" s="74">
        <f>B3503/30.48</f>
        <v/>
      </c>
      <c r="G3503" s="74">
        <f>D3503/30.48</f>
        <v/>
      </c>
      <c r="H3503" s="615" t="n"/>
    </row>
    <row r="3504" ht="18" customHeight="1" s="305">
      <c r="A3504" s="8" t="n">
        <v>4616</v>
      </c>
      <c r="B3504" s="5" t="n">
        <v>123</v>
      </c>
      <c r="C3504" s="72" t="inlineStr">
        <is>
          <t>X</t>
        </is>
      </c>
      <c r="D3504" s="5" t="n">
        <v>207</v>
      </c>
      <c r="E3504" s="73">
        <f>B3504*D3504/10000</f>
        <v/>
      </c>
      <c r="F3504" s="74">
        <f>B3504/30.48</f>
        <v/>
      </c>
      <c r="G3504" s="74">
        <f>D3504/30.48</f>
        <v/>
      </c>
      <c r="H3504" s="615" t="n"/>
    </row>
    <row r="3505" ht="18" customHeight="1" s="305">
      <c r="A3505" s="8" t="n">
        <v>4617</v>
      </c>
      <c r="B3505" s="5" t="n">
        <v>111</v>
      </c>
      <c r="C3505" s="72" t="inlineStr">
        <is>
          <t>X</t>
        </is>
      </c>
      <c r="D3505" s="5" t="n">
        <v>202</v>
      </c>
      <c r="E3505" s="73">
        <f>B3505*D3505/10000</f>
        <v/>
      </c>
      <c r="F3505" s="74">
        <f>B3505/30.48</f>
        <v/>
      </c>
      <c r="G3505" s="74">
        <f>D3505/30.48</f>
        <v/>
      </c>
      <c r="H3505" s="615" t="n"/>
    </row>
    <row r="3506" ht="18" customHeight="1" s="305">
      <c r="A3506" s="8" t="n">
        <v>4618</v>
      </c>
      <c r="B3506" s="5" t="n">
        <v>90</v>
      </c>
      <c r="C3506" s="72" t="inlineStr">
        <is>
          <t>X</t>
        </is>
      </c>
      <c r="D3506" s="5" t="n">
        <v>178</v>
      </c>
      <c r="E3506" s="73">
        <f>B3506*D3506/10000</f>
        <v/>
      </c>
      <c r="F3506" s="74">
        <f>B3506/30.48</f>
        <v/>
      </c>
      <c r="G3506" s="74">
        <f>D3506/30.48</f>
        <v/>
      </c>
      <c r="H3506" s="615" t="n"/>
    </row>
    <row r="3507" ht="18" customHeight="1" s="305">
      <c r="A3507" s="8" t="n">
        <v>4619</v>
      </c>
      <c r="B3507" s="5" t="n">
        <v>93</v>
      </c>
      <c r="C3507" s="72" t="inlineStr">
        <is>
          <t>X</t>
        </is>
      </c>
      <c r="D3507" s="5" t="n">
        <v>184</v>
      </c>
      <c r="E3507" s="73">
        <f>B3507*D3507/10000</f>
        <v/>
      </c>
      <c r="F3507" s="74">
        <f>B3507/30.48</f>
        <v/>
      </c>
      <c r="G3507" s="74">
        <f>D3507/30.48</f>
        <v/>
      </c>
      <c r="H3507" s="615" t="n"/>
    </row>
    <row r="3508" ht="18" customHeight="1" s="305">
      <c r="A3508" s="8" t="n">
        <v>4620</v>
      </c>
      <c r="B3508" s="5" t="n">
        <v>270</v>
      </c>
      <c r="C3508" s="72" t="inlineStr">
        <is>
          <t>X</t>
        </is>
      </c>
      <c r="D3508" s="5" t="n">
        <v>358</v>
      </c>
      <c r="E3508" s="73">
        <f>B3508*D3508/10000</f>
        <v/>
      </c>
      <c r="F3508" s="74">
        <f>B3508/30.48</f>
        <v/>
      </c>
      <c r="G3508" s="74">
        <f>D3508/30.48</f>
        <v/>
      </c>
      <c r="H3508" s="615" t="n"/>
    </row>
    <row r="3509" ht="18" customHeight="1" s="305">
      <c r="A3509" s="8" t="n">
        <v>4621</v>
      </c>
      <c r="B3509" s="5" t="n">
        <v>112</v>
      </c>
      <c r="C3509" s="72" t="inlineStr">
        <is>
          <t>X</t>
        </is>
      </c>
      <c r="D3509" s="5" t="n">
        <v>200</v>
      </c>
      <c r="E3509" s="73">
        <f>B3509*D3509/10000</f>
        <v/>
      </c>
      <c r="F3509" s="74">
        <f>B3509/30.48</f>
        <v/>
      </c>
      <c r="G3509" s="74">
        <f>D3509/30.48</f>
        <v/>
      </c>
      <c r="H3509" s="615" t="n"/>
    </row>
    <row r="3510" ht="18" customHeight="1" s="305">
      <c r="A3510" s="8" t="n">
        <v>4622</v>
      </c>
      <c r="B3510" s="5" t="n">
        <v>118</v>
      </c>
      <c r="C3510" s="72" t="inlineStr">
        <is>
          <t>X</t>
        </is>
      </c>
      <c r="D3510" s="5" t="n">
        <v>190</v>
      </c>
      <c r="E3510" s="73">
        <f>B3510*D3510/10000</f>
        <v/>
      </c>
      <c r="F3510" s="74">
        <f>B3510/30.48</f>
        <v/>
      </c>
      <c r="G3510" s="74">
        <f>D3510/30.48</f>
        <v/>
      </c>
      <c r="H3510" s="615" t="n"/>
    </row>
    <row r="3511" ht="18" customHeight="1" s="305">
      <c r="A3511" s="8" t="n">
        <v>4623</v>
      </c>
      <c r="B3511" s="5" t="n">
        <v>113</v>
      </c>
      <c r="C3511" s="72" t="inlineStr">
        <is>
          <t>X</t>
        </is>
      </c>
      <c r="D3511" s="5" t="n">
        <v>205</v>
      </c>
      <c r="E3511" s="73">
        <f>B3511*D3511/10000</f>
        <v/>
      </c>
      <c r="F3511" s="74">
        <f>B3511/30.48</f>
        <v/>
      </c>
      <c r="G3511" s="74">
        <f>D3511/30.48</f>
        <v/>
      </c>
      <c r="H3511" s="615" t="n"/>
    </row>
    <row r="3512" ht="18" customHeight="1" s="305">
      <c r="A3512" s="8" t="n">
        <v>4624</v>
      </c>
      <c r="B3512" s="5" t="n">
        <v>95</v>
      </c>
      <c r="C3512" s="72" t="inlineStr">
        <is>
          <t>X</t>
        </is>
      </c>
      <c r="D3512" s="5" t="n">
        <v>192</v>
      </c>
      <c r="E3512" s="73">
        <f>B3512*D3512/10000</f>
        <v/>
      </c>
      <c r="F3512" s="74">
        <f>B3512/30.48</f>
        <v/>
      </c>
      <c r="G3512" s="74">
        <f>D3512/30.48</f>
        <v/>
      </c>
      <c r="H3512" s="615" t="n"/>
    </row>
    <row r="3513" ht="18" customHeight="1" s="305">
      <c r="A3513" s="8" t="n">
        <v>4625</v>
      </c>
      <c r="B3513" s="5" t="n">
        <v>113</v>
      </c>
      <c r="C3513" s="72" t="inlineStr">
        <is>
          <t>X</t>
        </is>
      </c>
      <c r="D3513" s="5" t="n">
        <v>205</v>
      </c>
      <c r="E3513" s="73">
        <f>B3513*D3513/10000</f>
        <v/>
      </c>
      <c r="F3513" s="74">
        <f>B3513/30.48</f>
        <v/>
      </c>
      <c r="G3513" s="74">
        <f>D3513/30.48</f>
        <v/>
      </c>
      <c r="H3513" s="615" t="n"/>
    </row>
    <row r="3514" ht="18" customHeight="1" s="305">
      <c r="A3514" s="8" t="n">
        <v>4626</v>
      </c>
      <c r="B3514" s="5" t="n">
        <v>85</v>
      </c>
      <c r="C3514" s="72" t="inlineStr">
        <is>
          <t>X</t>
        </is>
      </c>
      <c r="D3514" s="5" t="n">
        <v>197</v>
      </c>
      <c r="E3514" s="73">
        <f>B3514*D3514/10000</f>
        <v/>
      </c>
      <c r="F3514" s="74">
        <f>B3514/30.48</f>
        <v/>
      </c>
      <c r="G3514" s="74">
        <f>D3514/30.48</f>
        <v/>
      </c>
      <c r="H3514" s="615" t="n"/>
    </row>
    <row r="3515" ht="18" customHeight="1" s="305">
      <c r="A3515" s="8" t="n">
        <v>4627</v>
      </c>
      <c r="B3515" s="5" t="n">
        <v>106</v>
      </c>
      <c r="C3515" s="72" t="inlineStr">
        <is>
          <t>X</t>
        </is>
      </c>
      <c r="D3515" s="5" t="n">
        <v>212</v>
      </c>
      <c r="E3515" s="73">
        <f>B3515*D3515/10000</f>
        <v/>
      </c>
      <c r="F3515" s="74">
        <f>B3515/30.48</f>
        <v/>
      </c>
      <c r="G3515" s="74">
        <f>D3515/30.48</f>
        <v/>
      </c>
      <c r="H3515" s="615" t="n"/>
    </row>
    <row r="3516" ht="18" customHeight="1" s="305">
      <c r="A3516" s="8" t="n">
        <v>4628</v>
      </c>
      <c r="B3516" s="5" t="n">
        <v>113</v>
      </c>
      <c r="C3516" s="72" t="inlineStr">
        <is>
          <t>X</t>
        </is>
      </c>
      <c r="D3516" s="5" t="n">
        <v>202</v>
      </c>
      <c r="E3516" s="73">
        <f>B3516*D3516/10000</f>
        <v/>
      </c>
      <c r="F3516" s="74">
        <f>B3516/30.48</f>
        <v/>
      </c>
      <c r="G3516" s="74">
        <f>D3516/30.48</f>
        <v/>
      </c>
      <c r="H3516" s="615" t="n"/>
    </row>
    <row r="3517" ht="18" customHeight="1" s="305">
      <c r="A3517" s="8" t="n">
        <v>4629</v>
      </c>
      <c r="B3517" s="5" t="n">
        <v>90</v>
      </c>
      <c r="C3517" s="72" t="inlineStr">
        <is>
          <t>X</t>
        </is>
      </c>
      <c r="D3517" s="5" t="n">
        <v>158</v>
      </c>
      <c r="E3517" s="73">
        <f>B3517*D3517/10000</f>
        <v/>
      </c>
      <c r="F3517" s="74">
        <f>B3517/30.48</f>
        <v/>
      </c>
      <c r="G3517" s="74">
        <f>D3517/30.48</f>
        <v/>
      </c>
      <c r="H3517" s="615" t="n"/>
    </row>
    <row r="3518" ht="18" customHeight="1" s="305">
      <c r="A3518" s="8" t="n">
        <v>4630</v>
      </c>
      <c r="B3518" s="5" t="n">
        <v>100</v>
      </c>
      <c r="C3518" s="72" t="inlineStr">
        <is>
          <t>X</t>
        </is>
      </c>
      <c r="D3518" s="5" t="n">
        <v>208</v>
      </c>
      <c r="E3518" s="73">
        <f>B3518*D3518/10000</f>
        <v/>
      </c>
      <c r="F3518" s="74">
        <f>B3518/30.48</f>
        <v/>
      </c>
      <c r="G3518" s="74">
        <f>D3518/30.48</f>
        <v/>
      </c>
      <c r="H3518" s="615" t="n"/>
    </row>
    <row r="3519" ht="18" customHeight="1" s="305">
      <c r="A3519" s="8" t="n">
        <v>4631</v>
      </c>
      <c r="B3519" s="5" t="n">
        <v>112</v>
      </c>
      <c r="C3519" s="72" t="inlineStr">
        <is>
          <t>X</t>
        </is>
      </c>
      <c r="D3519" s="5" t="n">
        <v>201</v>
      </c>
      <c r="E3519" s="73">
        <f>B3519*D3519/10000</f>
        <v/>
      </c>
      <c r="F3519" s="74">
        <f>B3519/30.48</f>
        <v/>
      </c>
      <c r="G3519" s="74">
        <f>D3519/30.48</f>
        <v/>
      </c>
      <c r="H3519" s="615" t="n"/>
    </row>
    <row r="3520" ht="18" customHeight="1" s="305">
      <c r="A3520" s="8" t="n">
        <v>4632</v>
      </c>
      <c r="B3520" s="5" t="n">
        <v>110</v>
      </c>
      <c r="C3520" s="72" t="inlineStr">
        <is>
          <t>X</t>
        </is>
      </c>
      <c r="D3520" s="5" t="n">
        <v>210</v>
      </c>
      <c r="E3520" s="73">
        <f>B3520*D3520/10000</f>
        <v/>
      </c>
      <c r="F3520" s="74">
        <f>B3520/30.48</f>
        <v/>
      </c>
      <c r="G3520" s="74">
        <f>D3520/30.48</f>
        <v/>
      </c>
      <c r="H3520" s="615" t="n"/>
    </row>
    <row r="3521" ht="18" customHeight="1" s="305">
      <c r="A3521" s="8" t="n">
        <v>4633</v>
      </c>
      <c r="B3521" s="5" t="n">
        <v>110</v>
      </c>
      <c r="C3521" s="72" t="inlineStr">
        <is>
          <t>X</t>
        </is>
      </c>
      <c r="D3521" s="5" t="n">
        <v>210</v>
      </c>
      <c r="E3521" s="73">
        <f>B3521*D3521/10000</f>
        <v/>
      </c>
      <c r="F3521" s="74">
        <f>B3521/30.48</f>
        <v/>
      </c>
      <c r="G3521" s="74">
        <f>D3521/30.48</f>
        <v/>
      </c>
      <c r="H3521" s="615" t="n"/>
    </row>
    <row r="3522" ht="18" customHeight="1" s="305">
      <c r="A3522" s="8" t="n">
        <v>4634</v>
      </c>
      <c r="B3522" s="5" t="n">
        <v>105</v>
      </c>
      <c r="C3522" s="72" t="inlineStr">
        <is>
          <t>X</t>
        </is>
      </c>
      <c r="D3522" s="5" t="n">
        <v>201</v>
      </c>
      <c r="E3522" s="73">
        <f>B3522*D3522/10000</f>
        <v/>
      </c>
      <c r="F3522" s="74">
        <f>B3522/30.48</f>
        <v/>
      </c>
      <c r="G3522" s="74">
        <f>D3522/30.48</f>
        <v/>
      </c>
      <c r="H3522" s="615" t="n"/>
    </row>
    <row r="3523" ht="18" customHeight="1" s="305">
      <c r="A3523" s="8" t="n">
        <v>4635</v>
      </c>
      <c r="B3523" s="5" t="n">
        <v>112</v>
      </c>
      <c r="C3523" s="72" t="inlineStr">
        <is>
          <t>X</t>
        </is>
      </c>
      <c r="D3523" s="5" t="n">
        <v>194</v>
      </c>
      <c r="E3523" s="73">
        <f>B3523*D3523/10000</f>
        <v/>
      </c>
      <c r="F3523" s="74">
        <f>B3523/30.48</f>
        <v/>
      </c>
      <c r="G3523" s="74">
        <f>D3523/30.48</f>
        <v/>
      </c>
      <c r="H3523" s="615" t="n"/>
    </row>
    <row r="3524" ht="18" customHeight="1" s="305">
      <c r="A3524" s="8" t="n">
        <v>4636</v>
      </c>
      <c r="B3524" s="5" t="n">
        <v>95</v>
      </c>
      <c r="C3524" s="72" t="inlineStr">
        <is>
          <t>X</t>
        </is>
      </c>
      <c r="D3524" s="5" t="n">
        <v>187</v>
      </c>
      <c r="E3524" s="73">
        <f>B3524*D3524/10000</f>
        <v/>
      </c>
      <c r="F3524" s="74">
        <f>B3524/30.48</f>
        <v/>
      </c>
      <c r="G3524" s="74">
        <f>D3524/30.48</f>
        <v/>
      </c>
      <c r="H3524" s="615" t="n"/>
    </row>
    <row r="3525" ht="18" customHeight="1" s="305">
      <c r="A3525" s="8" t="n">
        <v>4637</v>
      </c>
      <c r="B3525" s="5" t="n">
        <v>112</v>
      </c>
      <c r="C3525" s="72" t="inlineStr">
        <is>
          <t>X</t>
        </is>
      </c>
      <c r="D3525" s="5" t="n">
        <v>192</v>
      </c>
      <c r="E3525" s="73">
        <f>B3525*D3525/10000</f>
        <v/>
      </c>
      <c r="F3525" s="74">
        <f>B3525/30.48</f>
        <v/>
      </c>
      <c r="G3525" s="74">
        <f>D3525/30.48</f>
        <v/>
      </c>
      <c r="H3525" s="615" t="n"/>
    </row>
    <row r="3526" ht="18" customHeight="1" s="305">
      <c r="A3526" s="8" t="n">
        <v>4638</v>
      </c>
      <c r="B3526" s="5" t="n">
        <v>106</v>
      </c>
      <c r="C3526" s="72" t="inlineStr">
        <is>
          <t>X</t>
        </is>
      </c>
      <c r="D3526" s="5" t="n">
        <v>194</v>
      </c>
      <c r="E3526" s="73">
        <f>B3526*D3526/10000</f>
        <v/>
      </c>
      <c r="F3526" s="74">
        <f>B3526/30.48</f>
        <v/>
      </c>
      <c r="G3526" s="74">
        <f>D3526/30.48</f>
        <v/>
      </c>
      <c r="H3526" s="615" t="n"/>
    </row>
    <row r="3527" ht="18" customHeight="1" s="305">
      <c r="A3527" s="8" t="n">
        <v>4639</v>
      </c>
      <c r="B3527" s="5" t="n">
        <v>111</v>
      </c>
      <c r="C3527" s="72" t="inlineStr">
        <is>
          <t>X</t>
        </is>
      </c>
      <c r="D3527" s="5" t="n">
        <v>200</v>
      </c>
      <c r="E3527" s="73">
        <f>B3527*D3527/10000</f>
        <v/>
      </c>
      <c r="F3527" s="74">
        <f>B3527/30.48</f>
        <v/>
      </c>
      <c r="G3527" s="74">
        <f>D3527/30.48</f>
        <v/>
      </c>
      <c r="H3527" s="615" t="n"/>
    </row>
    <row r="3528" ht="18" customHeight="1" s="305">
      <c r="A3528" s="8" t="n">
        <v>4640</v>
      </c>
      <c r="B3528" s="5" t="n">
        <v>70</v>
      </c>
      <c r="C3528" s="72" t="inlineStr">
        <is>
          <t>X</t>
        </is>
      </c>
      <c r="D3528" s="5" t="n">
        <v>292</v>
      </c>
      <c r="E3528" s="73">
        <f>B3528*D3528/10000</f>
        <v/>
      </c>
      <c r="F3528" s="74">
        <f>B3528/30.48</f>
        <v/>
      </c>
      <c r="G3528" s="74">
        <f>D3528/30.48</f>
        <v/>
      </c>
      <c r="H3528" s="615" t="n"/>
    </row>
    <row r="3529" ht="18" customHeight="1" s="305">
      <c r="A3529" s="8" t="n">
        <v>4641</v>
      </c>
      <c r="B3529" s="5" t="n">
        <v>116</v>
      </c>
      <c r="C3529" s="72" t="inlineStr">
        <is>
          <t>X</t>
        </is>
      </c>
      <c r="D3529" s="5" t="n">
        <v>202</v>
      </c>
      <c r="E3529" s="73">
        <f>B3529*D3529/10000</f>
        <v/>
      </c>
      <c r="F3529" s="74">
        <f>B3529/30.48</f>
        <v/>
      </c>
      <c r="G3529" s="74">
        <f>D3529/30.48</f>
        <v/>
      </c>
      <c r="H3529" s="615" t="n"/>
    </row>
    <row r="3530" ht="18" customHeight="1" s="305">
      <c r="A3530" s="8" t="n">
        <v>4642</v>
      </c>
      <c r="B3530" s="5" t="n">
        <v>106</v>
      </c>
      <c r="C3530" s="72" t="inlineStr">
        <is>
          <t>X</t>
        </is>
      </c>
      <c r="D3530" s="5" t="n">
        <v>245</v>
      </c>
      <c r="E3530" s="73">
        <f>B3530*D3530/10000</f>
        <v/>
      </c>
      <c r="F3530" s="74">
        <f>B3530/30.48</f>
        <v/>
      </c>
      <c r="G3530" s="74">
        <f>D3530/30.48</f>
        <v/>
      </c>
      <c r="H3530" s="615" t="n"/>
    </row>
    <row r="3531" ht="18" customHeight="1" s="305">
      <c r="A3531" s="8" t="n">
        <v>4643</v>
      </c>
      <c r="B3531" s="5" t="n">
        <v>79</v>
      </c>
      <c r="C3531" s="72" t="inlineStr">
        <is>
          <t>X</t>
        </is>
      </c>
      <c r="D3531" s="5" t="n">
        <v>290</v>
      </c>
      <c r="E3531" s="73">
        <f>B3531*D3531/10000</f>
        <v/>
      </c>
      <c r="F3531" s="74">
        <f>B3531/30.48</f>
        <v/>
      </c>
      <c r="G3531" s="74">
        <f>D3531/30.48</f>
        <v/>
      </c>
      <c r="H3531" s="615" t="n"/>
    </row>
    <row r="3532" ht="18" customHeight="1" s="305">
      <c r="A3532" s="8" t="n">
        <v>4644</v>
      </c>
      <c r="B3532" s="5" t="n">
        <v>120</v>
      </c>
      <c r="C3532" s="72" t="inlineStr">
        <is>
          <t>X</t>
        </is>
      </c>
      <c r="D3532" s="5" t="n">
        <v>150</v>
      </c>
      <c r="E3532" s="73">
        <f>B3532*D3532/10000</f>
        <v/>
      </c>
      <c r="F3532" s="74">
        <f>B3532/30.48</f>
        <v/>
      </c>
      <c r="G3532" s="74">
        <f>D3532/30.48</f>
        <v/>
      </c>
      <c r="H3532" s="615" t="n"/>
    </row>
    <row r="3533" ht="18" customHeight="1" s="305">
      <c r="A3533" s="8" t="n">
        <v>4645</v>
      </c>
      <c r="B3533" s="5" t="n">
        <v>104</v>
      </c>
      <c r="C3533" s="72" t="inlineStr">
        <is>
          <t>X</t>
        </is>
      </c>
      <c r="D3533" s="5" t="n">
        <v>377</v>
      </c>
      <c r="E3533" s="73">
        <f>B3533*D3533/10000</f>
        <v/>
      </c>
      <c r="F3533" s="74">
        <f>B3533/30.48</f>
        <v/>
      </c>
      <c r="G3533" s="74">
        <f>D3533/30.48</f>
        <v/>
      </c>
      <c r="H3533" s="615" t="n"/>
    </row>
    <row r="3534" ht="18" customHeight="1" s="305">
      <c r="A3534" s="8" t="n">
        <v>4646</v>
      </c>
      <c r="B3534" s="5" t="n">
        <v>199</v>
      </c>
      <c r="C3534" s="72" t="inlineStr">
        <is>
          <t>X</t>
        </is>
      </c>
      <c r="D3534" s="5" t="n">
        <v>292</v>
      </c>
      <c r="E3534" s="73">
        <f>B3534*D3534/10000</f>
        <v/>
      </c>
      <c r="F3534" s="74">
        <f>B3534/30.48</f>
        <v/>
      </c>
      <c r="G3534" s="74">
        <f>D3534/30.48</f>
        <v/>
      </c>
      <c r="H3534" s="615" t="n"/>
    </row>
    <row r="3535" ht="18" customHeight="1" s="305">
      <c r="A3535" s="8" t="n">
        <v>4647</v>
      </c>
      <c r="B3535" s="5" t="n">
        <v>90</v>
      </c>
      <c r="C3535" s="72" t="inlineStr">
        <is>
          <t>X</t>
        </is>
      </c>
      <c r="D3535" s="5" t="n">
        <v>279</v>
      </c>
      <c r="E3535" s="73">
        <f>B3535*D3535/10000</f>
        <v/>
      </c>
      <c r="F3535" s="74">
        <f>B3535/30.48</f>
        <v/>
      </c>
      <c r="G3535" s="74">
        <f>D3535/30.48</f>
        <v/>
      </c>
      <c r="H3535" s="615" t="n"/>
    </row>
    <row r="3536" ht="18" customHeight="1" s="305">
      <c r="A3536" s="8" t="n">
        <v>4648</v>
      </c>
      <c r="B3536" s="5" t="n">
        <v>110</v>
      </c>
      <c r="C3536" s="72" t="inlineStr">
        <is>
          <t>X</t>
        </is>
      </c>
      <c r="D3536" s="5" t="n">
        <v>197</v>
      </c>
      <c r="E3536" s="73">
        <f>B3536*D3536/10000</f>
        <v/>
      </c>
      <c r="F3536" s="74">
        <f>B3536/30.48</f>
        <v/>
      </c>
      <c r="G3536" s="74">
        <f>D3536/30.48</f>
        <v/>
      </c>
      <c r="H3536" s="615" t="n"/>
    </row>
    <row r="3537" ht="18" customHeight="1" s="305">
      <c r="A3537" s="8" t="n">
        <v>4649</v>
      </c>
      <c r="B3537" s="5" t="n">
        <v>218</v>
      </c>
      <c r="C3537" s="72" t="inlineStr">
        <is>
          <t>X</t>
        </is>
      </c>
      <c r="D3537" s="5" t="n">
        <v>316</v>
      </c>
      <c r="E3537" s="73">
        <f>B3537*D3537/10000</f>
        <v/>
      </c>
      <c r="F3537" s="74">
        <f>B3537/30.48</f>
        <v/>
      </c>
      <c r="G3537" s="74">
        <f>D3537/30.48</f>
        <v/>
      </c>
      <c r="H3537" s="615" t="n"/>
    </row>
    <row r="3538" ht="18" customHeight="1" s="305">
      <c r="A3538" s="8" t="n">
        <v>4650</v>
      </c>
      <c r="B3538" s="5" t="n">
        <v>73</v>
      </c>
      <c r="C3538" s="72" t="inlineStr">
        <is>
          <t>X</t>
        </is>
      </c>
      <c r="D3538" s="5" t="n">
        <v>264</v>
      </c>
      <c r="E3538" s="73">
        <f>B3538*D3538/10000</f>
        <v/>
      </c>
      <c r="F3538" s="74">
        <f>B3538/30.48</f>
        <v/>
      </c>
      <c r="G3538" s="74">
        <f>D3538/30.48</f>
        <v/>
      </c>
      <c r="H3538" s="615" t="n"/>
    </row>
    <row r="3539" ht="18" customHeight="1" s="305">
      <c r="A3539" s="8" t="n">
        <v>4651</v>
      </c>
      <c r="B3539" s="5" t="n">
        <v>118</v>
      </c>
      <c r="C3539" s="72" t="inlineStr">
        <is>
          <t>X</t>
        </is>
      </c>
      <c r="D3539" s="5" t="n">
        <v>225</v>
      </c>
      <c r="E3539" s="73">
        <f>B3539*D3539/10000</f>
        <v/>
      </c>
      <c r="F3539" s="74">
        <f>B3539/30.48</f>
        <v/>
      </c>
      <c r="G3539" s="74">
        <f>D3539/30.48</f>
        <v/>
      </c>
      <c r="H3539" s="615" t="n"/>
    </row>
    <row r="3540" ht="18" customHeight="1" s="305">
      <c r="A3540" s="8" t="n">
        <v>4652</v>
      </c>
      <c r="B3540" s="5" t="n">
        <v>116</v>
      </c>
      <c r="C3540" s="72" t="inlineStr">
        <is>
          <t>X</t>
        </is>
      </c>
      <c r="D3540" s="5" t="n">
        <v>200</v>
      </c>
      <c r="E3540" s="73">
        <f>B3540*D3540/10000</f>
        <v/>
      </c>
      <c r="F3540" s="74">
        <f>B3540/30.48</f>
        <v/>
      </c>
      <c r="G3540" s="74">
        <f>D3540/30.48</f>
        <v/>
      </c>
      <c r="H3540" s="615" t="n"/>
    </row>
    <row r="3541" ht="18" customHeight="1" s="305">
      <c r="A3541" s="8" t="n">
        <v>4653</v>
      </c>
      <c r="B3541" s="5" t="n">
        <v>188</v>
      </c>
      <c r="C3541" s="72" t="inlineStr">
        <is>
          <t>X</t>
        </is>
      </c>
      <c r="D3541" s="5" t="n">
        <v>283</v>
      </c>
      <c r="E3541" s="73">
        <f>B3541*D3541/10000</f>
        <v/>
      </c>
      <c r="F3541" s="74">
        <f>B3541/30.48</f>
        <v/>
      </c>
      <c r="G3541" s="74">
        <f>D3541/30.48</f>
        <v/>
      </c>
      <c r="H3541" s="615" t="n"/>
    </row>
    <row r="3542" ht="18" customHeight="1" s="305">
      <c r="A3542" s="8" t="n">
        <v>4654</v>
      </c>
      <c r="B3542" s="5" t="n">
        <v>85</v>
      </c>
      <c r="C3542" s="72" t="inlineStr">
        <is>
          <t>X</t>
        </is>
      </c>
      <c r="D3542" s="5" t="n">
        <v>258</v>
      </c>
      <c r="E3542" s="73">
        <f>B3542*D3542/10000</f>
        <v/>
      </c>
      <c r="F3542" s="74">
        <f>B3542/30.48</f>
        <v/>
      </c>
      <c r="G3542" s="74">
        <f>D3542/30.48</f>
        <v/>
      </c>
      <c r="H3542" s="615" t="n"/>
    </row>
    <row r="3543" ht="18" customHeight="1" s="305">
      <c r="A3543" s="8" t="n">
        <v>4655</v>
      </c>
      <c r="B3543" s="5" t="n">
        <v>165</v>
      </c>
      <c r="C3543" s="72" t="inlineStr">
        <is>
          <t>X</t>
        </is>
      </c>
      <c r="D3543" s="5" t="n">
        <v>251</v>
      </c>
      <c r="E3543" s="73">
        <f>B3543*D3543/10000</f>
        <v/>
      </c>
      <c r="F3543" s="74">
        <f>B3543/30.48</f>
        <v/>
      </c>
      <c r="G3543" s="74">
        <f>D3543/30.48</f>
        <v/>
      </c>
      <c r="H3543" s="615" t="n"/>
    </row>
    <row r="3544" ht="18" customHeight="1" s="305">
      <c r="A3544" s="8" t="n">
        <v>4656</v>
      </c>
      <c r="B3544" s="5" t="n">
        <v>196</v>
      </c>
      <c r="C3544" s="72" t="inlineStr">
        <is>
          <t>X</t>
        </is>
      </c>
      <c r="D3544" s="5" t="n">
        <v>305</v>
      </c>
      <c r="E3544" s="73">
        <f>B3544*D3544/10000</f>
        <v/>
      </c>
      <c r="F3544" s="74">
        <f>B3544/30.48</f>
        <v/>
      </c>
      <c r="G3544" s="74">
        <f>D3544/30.48</f>
        <v/>
      </c>
      <c r="H3544" s="615" t="n"/>
    </row>
    <row r="3545" ht="18" customHeight="1" s="305">
      <c r="A3545" s="8" t="n">
        <v>4657</v>
      </c>
      <c r="B3545" s="5" t="n">
        <v>80</v>
      </c>
      <c r="C3545" s="72" t="inlineStr">
        <is>
          <t>X</t>
        </is>
      </c>
      <c r="D3545" s="5" t="n">
        <v>313</v>
      </c>
      <c r="E3545" s="73">
        <f>B3545*D3545/10000</f>
        <v/>
      </c>
      <c r="F3545" s="74">
        <f>B3545/30.48</f>
        <v/>
      </c>
      <c r="G3545" s="74">
        <f>D3545/30.48</f>
        <v/>
      </c>
      <c r="H3545" s="615" t="n"/>
    </row>
    <row r="3546" ht="18" customHeight="1" s="305">
      <c r="A3546" s="8" t="n">
        <v>4658</v>
      </c>
      <c r="B3546" s="5" t="n">
        <v>151</v>
      </c>
      <c r="C3546" s="72" t="inlineStr">
        <is>
          <t>X</t>
        </is>
      </c>
      <c r="D3546" s="5" t="n">
        <v>247</v>
      </c>
      <c r="E3546" s="73">
        <f>B3546*D3546/10000</f>
        <v/>
      </c>
      <c r="F3546" s="74">
        <f>B3546/30.48</f>
        <v/>
      </c>
      <c r="G3546" s="74">
        <f>D3546/30.48</f>
        <v/>
      </c>
      <c r="H3546" s="615" t="n"/>
    </row>
    <row r="3547" ht="18" customHeight="1" s="305">
      <c r="A3547" s="8" t="n">
        <v>4659</v>
      </c>
      <c r="B3547" s="5" t="n">
        <v>103</v>
      </c>
      <c r="C3547" s="72" t="inlineStr">
        <is>
          <t>X</t>
        </is>
      </c>
      <c r="D3547" s="5" t="n">
        <v>192</v>
      </c>
      <c r="E3547" s="73">
        <f>B3547*D3547/10000</f>
        <v/>
      </c>
      <c r="F3547" s="74">
        <f>B3547/30.48</f>
        <v/>
      </c>
      <c r="G3547" s="74">
        <f>D3547/30.48</f>
        <v/>
      </c>
      <c r="H3547" s="615" t="n"/>
    </row>
    <row r="3548" ht="18" customHeight="1" s="305">
      <c r="A3548" s="8" t="n">
        <v>4660</v>
      </c>
      <c r="B3548" s="5" t="n">
        <v>206</v>
      </c>
      <c r="C3548" s="72" t="inlineStr">
        <is>
          <t>X</t>
        </is>
      </c>
      <c r="D3548" s="5" t="n">
        <v>320</v>
      </c>
      <c r="E3548" s="73">
        <f>B3548*D3548/10000</f>
        <v/>
      </c>
      <c r="F3548" s="74">
        <f>B3548/30.48</f>
        <v/>
      </c>
      <c r="G3548" s="74">
        <f>D3548/30.48</f>
        <v/>
      </c>
      <c r="H3548" s="615" t="n"/>
    </row>
    <row r="3549" ht="18" customHeight="1" s="305">
      <c r="A3549" s="8" t="n">
        <v>4661</v>
      </c>
      <c r="B3549" s="5" t="n">
        <v>207</v>
      </c>
      <c r="C3549" s="72" t="inlineStr">
        <is>
          <t>X</t>
        </is>
      </c>
      <c r="D3549" s="5" t="n">
        <v>294</v>
      </c>
      <c r="E3549" s="73">
        <f>B3549*D3549/10000</f>
        <v/>
      </c>
      <c r="F3549" s="74">
        <f>B3549/30.48</f>
        <v/>
      </c>
      <c r="G3549" s="74">
        <f>D3549/30.48</f>
        <v/>
      </c>
      <c r="H3549" s="615" t="n"/>
    </row>
    <row r="3550" ht="18" customHeight="1" s="305">
      <c r="A3550" s="8" t="n">
        <v>4662</v>
      </c>
      <c r="B3550" s="5" t="n">
        <v>80</v>
      </c>
      <c r="C3550" s="72" t="inlineStr">
        <is>
          <t>X</t>
        </is>
      </c>
      <c r="D3550" s="5" t="n">
        <v>266</v>
      </c>
      <c r="E3550" s="73">
        <f>B3550*D3550/10000</f>
        <v/>
      </c>
      <c r="F3550" s="74">
        <f>B3550/30.48</f>
        <v/>
      </c>
      <c r="G3550" s="74">
        <f>D3550/30.48</f>
        <v/>
      </c>
      <c r="H3550" s="615" t="n"/>
    </row>
    <row r="3551" ht="18" customHeight="1" s="305">
      <c r="A3551" s="8" t="n">
        <v>4663</v>
      </c>
      <c r="B3551" s="5" t="n">
        <v>90</v>
      </c>
      <c r="C3551" s="72" t="inlineStr">
        <is>
          <t>X</t>
        </is>
      </c>
      <c r="D3551" s="5" t="n">
        <v>385</v>
      </c>
      <c r="E3551" s="73">
        <f>B3551*D3551/10000</f>
        <v/>
      </c>
      <c r="F3551" s="74">
        <f>B3551/30.48</f>
        <v/>
      </c>
      <c r="G3551" s="74">
        <f>D3551/30.48</f>
        <v/>
      </c>
      <c r="H3551" s="615" t="n"/>
    </row>
    <row r="3552" ht="18" customHeight="1" s="305">
      <c r="A3552" s="8" t="n">
        <v>4664</v>
      </c>
      <c r="B3552" s="5" t="n">
        <v>198</v>
      </c>
      <c r="C3552" s="72" t="inlineStr">
        <is>
          <t>X</t>
        </is>
      </c>
      <c r="D3552" s="5" t="n">
        <v>308</v>
      </c>
      <c r="E3552" s="73">
        <f>B3552*D3552/10000</f>
        <v/>
      </c>
      <c r="F3552" s="74">
        <f>B3552/30.48</f>
        <v/>
      </c>
      <c r="G3552" s="74">
        <f>D3552/30.48</f>
        <v/>
      </c>
      <c r="H3552" s="615" t="n"/>
    </row>
    <row r="3553" ht="18" customHeight="1" s="305">
      <c r="A3553" s="8" t="n">
        <v>4665</v>
      </c>
      <c r="B3553" s="5" t="n">
        <v>94</v>
      </c>
      <c r="C3553" s="72" t="inlineStr">
        <is>
          <t>X</t>
        </is>
      </c>
      <c r="D3553" s="5" t="n">
        <v>337</v>
      </c>
      <c r="E3553" s="73">
        <f>B3553*D3553/10000</f>
        <v/>
      </c>
      <c r="F3553" s="74">
        <f>B3553/30.48</f>
        <v/>
      </c>
      <c r="G3553" s="74">
        <f>D3553/30.48</f>
        <v/>
      </c>
      <c r="H3553" s="615" t="n"/>
    </row>
    <row r="3554" ht="18" customHeight="1" s="305">
      <c r="A3554" s="8" t="n">
        <v>4666</v>
      </c>
      <c r="B3554" s="5" t="n">
        <v>90</v>
      </c>
      <c r="C3554" s="72" t="inlineStr">
        <is>
          <t>X</t>
        </is>
      </c>
      <c r="D3554" s="5" t="n">
        <v>300</v>
      </c>
      <c r="E3554" s="73">
        <f>B3554*D3554/10000</f>
        <v/>
      </c>
      <c r="F3554" s="74">
        <f>B3554/30.48</f>
        <v/>
      </c>
      <c r="G3554" s="74">
        <f>D3554/30.48</f>
        <v/>
      </c>
      <c r="H3554" s="615" t="n"/>
    </row>
    <row r="3555" ht="18" customHeight="1" s="305">
      <c r="A3555" s="8" t="inlineStr">
        <is>
          <t>E-282</t>
        </is>
      </c>
      <c r="B3555" s="5" t="n">
        <v>48</v>
      </c>
      <c r="C3555" s="72" t="inlineStr">
        <is>
          <t>X</t>
        </is>
      </c>
      <c r="D3555" s="5" t="n">
        <v>206</v>
      </c>
      <c r="E3555" s="73">
        <f>B3555*D3555/10000</f>
        <v/>
      </c>
      <c r="F3555" s="74">
        <f>B3555/30.48</f>
        <v/>
      </c>
      <c r="G3555" s="74">
        <f>D3555/30.48</f>
        <v/>
      </c>
      <c r="H3555" s="615" t="n"/>
    </row>
    <row r="3556" ht="18" customHeight="1" s="305">
      <c r="A3556" s="8" t="inlineStr">
        <is>
          <t>E-283</t>
        </is>
      </c>
      <c r="B3556" s="5" t="n">
        <v>68</v>
      </c>
      <c r="C3556" s="72" t="inlineStr">
        <is>
          <t>X</t>
        </is>
      </c>
      <c r="D3556" s="5" t="n">
        <v>170</v>
      </c>
      <c r="E3556" s="73">
        <f>B3556*D3556/10000</f>
        <v/>
      </c>
      <c r="F3556" s="74">
        <f>B3556/30.48</f>
        <v/>
      </c>
      <c r="G3556" s="74">
        <f>D3556/30.48</f>
        <v/>
      </c>
      <c r="H3556" s="615" t="n"/>
    </row>
    <row r="3557" ht="18" customHeight="1" s="305">
      <c r="A3557" s="8" t="inlineStr">
        <is>
          <t>E-284</t>
        </is>
      </c>
      <c r="B3557" s="5" t="n">
        <v>56</v>
      </c>
      <c r="C3557" s="72" t="inlineStr">
        <is>
          <t>X</t>
        </is>
      </c>
      <c r="D3557" s="5" t="n">
        <v>149</v>
      </c>
      <c r="E3557" s="73">
        <f>B3557*D3557/10000</f>
        <v/>
      </c>
      <c r="F3557" s="74">
        <f>B3557/30.48</f>
        <v/>
      </c>
      <c r="G3557" s="74">
        <f>D3557/30.48</f>
        <v/>
      </c>
      <c r="H3557" s="615" t="n"/>
    </row>
    <row r="3558" ht="18" customHeight="1" s="305">
      <c r="A3558" s="8" t="inlineStr">
        <is>
          <t>E-285</t>
        </is>
      </c>
      <c r="B3558" s="5" t="n">
        <v>62</v>
      </c>
      <c r="C3558" s="72" t="inlineStr">
        <is>
          <t>X</t>
        </is>
      </c>
      <c r="D3558" s="5" t="n">
        <v>138</v>
      </c>
      <c r="E3558" s="73">
        <f>B3558*D3558/10000</f>
        <v/>
      </c>
      <c r="F3558" s="74">
        <f>B3558/30.48</f>
        <v/>
      </c>
      <c r="G3558" s="74">
        <f>D3558/30.48</f>
        <v/>
      </c>
      <c r="H3558" s="615" t="n"/>
    </row>
    <row r="3559" ht="18" customHeight="1" s="305">
      <c r="A3559" s="8" t="inlineStr">
        <is>
          <t>E-286</t>
        </is>
      </c>
      <c r="B3559" s="5" t="n">
        <v>60</v>
      </c>
      <c r="C3559" s="72" t="inlineStr">
        <is>
          <t>X</t>
        </is>
      </c>
      <c r="D3559" s="5" t="n">
        <v>97</v>
      </c>
      <c r="E3559" s="73">
        <f>B3559*D3559/10000</f>
        <v/>
      </c>
      <c r="F3559" s="74">
        <f>B3559/30.48</f>
        <v/>
      </c>
      <c r="G3559" s="74">
        <f>D3559/30.48</f>
        <v/>
      </c>
      <c r="H3559" s="615" t="n"/>
    </row>
    <row r="3560" ht="18" customHeight="1" s="305">
      <c r="A3560" s="8" t="inlineStr">
        <is>
          <t>E-287</t>
        </is>
      </c>
      <c r="B3560" s="5" t="n">
        <v>61</v>
      </c>
      <c r="C3560" s="72" t="inlineStr">
        <is>
          <t>X</t>
        </is>
      </c>
      <c r="D3560" s="5" t="n">
        <v>166</v>
      </c>
      <c r="E3560" s="73">
        <f>B3560*D3560/10000</f>
        <v/>
      </c>
      <c r="F3560" s="74">
        <f>B3560/30.48</f>
        <v/>
      </c>
      <c r="G3560" s="74">
        <f>D3560/30.48</f>
        <v/>
      </c>
      <c r="H3560" s="615" t="n"/>
    </row>
    <row r="3561" ht="18" customHeight="1" s="305">
      <c r="A3561" s="8" t="inlineStr">
        <is>
          <t>E-288</t>
        </is>
      </c>
      <c r="B3561" s="5" t="n">
        <v>58</v>
      </c>
      <c r="C3561" s="72" t="inlineStr">
        <is>
          <t>X</t>
        </is>
      </c>
      <c r="D3561" s="5" t="n">
        <v>143</v>
      </c>
      <c r="E3561" s="73">
        <f>B3561*D3561/10000</f>
        <v/>
      </c>
      <c r="F3561" s="74">
        <f>B3561/30.48</f>
        <v/>
      </c>
      <c r="G3561" s="74">
        <f>D3561/30.48</f>
        <v/>
      </c>
      <c r="H3561" s="615" t="n"/>
    </row>
    <row r="3562" ht="18" customHeight="1" s="305">
      <c r="A3562" s="8" t="inlineStr">
        <is>
          <t>E-289</t>
        </is>
      </c>
      <c r="B3562" s="5" t="n">
        <v>65</v>
      </c>
      <c r="C3562" s="72" t="inlineStr">
        <is>
          <t>X</t>
        </is>
      </c>
      <c r="D3562" s="5" t="n">
        <v>135</v>
      </c>
      <c r="E3562" s="73">
        <f>B3562*D3562/10000</f>
        <v/>
      </c>
      <c r="F3562" s="74">
        <f>B3562/30.48</f>
        <v/>
      </c>
      <c r="G3562" s="74">
        <f>D3562/30.48</f>
        <v/>
      </c>
      <c r="H3562" s="615" t="n"/>
    </row>
    <row r="3563" ht="18" customHeight="1" s="305">
      <c r="A3563" s="8" t="inlineStr">
        <is>
          <t>E-290</t>
        </is>
      </c>
      <c r="B3563" s="5" t="n">
        <v>57</v>
      </c>
      <c r="C3563" s="72" t="inlineStr">
        <is>
          <t>X</t>
        </is>
      </c>
      <c r="D3563" s="5" t="n">
        <v>137</v>
      </c>
      <c r="E3563" s="73">
        <f>B3563*D3563/10000</f>
        <v/>
      </c>
      <c r="F3563" s="74">
        <f>B3563/30.48</f>
        <v/>
      </c>
      <c r="G3563" s="74">
        <f>D3563/30.48</f>
        <v/>
      </c>
      <c r="H3563" s="615" t="n"/>
    </row>
    <row r="3564" ht="18" customHeight="1" s="305">
      <c r="A3564" s="8" t="inlineStr">
        <is>
          <t>E-291</t>
        </is>
      </c>
      <c r="B3564" s="5" t="n">
        <v>62</v>
      </c>
      <c r="C3564" s="72" t="inlineStr">
        <is>
          <t>X</t>
        </is>
      </c>
      <c r="D3564" s="5" t="n">
        <v>128</v>
      </c>
      <c r="E3564" s="73">
        <f>B3564*D3564/10000</f>
        <v/>
      </c>
      <c r="F3564" s="74">
        <f>B3564/30.48</f>
        <v/>
      </c>
      <c r="G3564" s="74">
        <f>D3564/30.48</f>
        <v/>
      </c>
      <c r="H3564" s="615" t="n"/>
    </row>
    <row r="3565" ht="18" customHeight="1" s="305">
      <c r="A3565" s="8" t="inlineStr">
        <is>
          <t>E-292</t>
        </is>
      </c>
      <c r="B3565" s="5" t="n">
        <v>58</v>
      </c>
      <c r="C3565" s="72" t="inlineStr">
        <is>
          <t>X</t>
        </is>
      </c>
      <c r="D3565" s="5" t="n">
        <v>170</v>
      </c>
      <c r="E3565" s="73">
        <f>B3565*D3565/10000</f>
        <v/>
      </c>
      <c r="F3565" s="74">
        <f>B3565/30.48</f>
        <v/>
      </c>
      <c r="G3565" s="74">
        <f>D3565/30.48</f>
        <v/>
      </c>
      <c r="H3565" s="615" t="n"/>
    </row>
    <row r="3566" ht="18" customHeight="1" s="305">
      <c r="A3566" s="8" t="inlineStr">
        <is>
          <t>E-293</t>
        </is>
      </c>
      <c r="B3566" s="5" t="n">
        <v>61</v>
      </c>
      <c r="C3566" s="72" t="inlineStr">
        <is>
          <t>X</t>
        </is>
      </c>
      <c r="D3566" s="5" t="n">
        <v>96</v>
      </c>
      <c r="E3566" s="73">
        <f>B3566*D3566/10000</f>
        <v/>
      </c>
      <c r="F3566" s="74">
        <f>B3566/30.48</f>
        <v/>
      </c>
      <c r="G3566" s="74">
        <f>D3566/30.48</f>
        <v/>
      </c>
      <c r="H3566" s="615" t="n"/>
    </row>
    <row r="3567" ht="18" customHeight="1" s="305">
      <c r="A3567" s="8" t="inlineStr">
        <is>
          <t>E-294</t>
        </is>
      </c>
      <c r="B3567" s="5" t="n">
        <v>64</v>
      </c>
      <c r="C3567" s="72" t="inlineStr">
        <is>
          <t>X</t>
        </is>
      </c>
      <c r="D3567" s="5" t="n">
        <v>161</v>
      </c>
      <c r="E3567" s="73">
        <f>B3567*D3567/10000</f>
        <v/>
      </c>
      <c r="F3567" s="74">
        <f>B3567/30.48</f>
        <v/>
      </c>
      <c r="G3567" s="74">
        <f>D3567/30.48</f>
        <v/>
      </c>
      <c r="H3567" s="615" t="n"/>
    </row>
    <row r="3568" ht="18" customHeight="1" s="305">
      <c r="A3568" s="8" t="inlineStr">
        <is>
          <t>E-295</t>
        </is>
      </c>
      <c r="B3568" s="5" t="n">
        <v>57</v>
      </c>
      <c r="C3568" s="72" t="inlineStr">
        <is>
          <t>X</t>
        </is>
      </c>
      <c r="D3568" s="5" t="n">
        <v>122</v>
      </c>
      <c r="E3568" s="73">
        <f>B3568*D3568/10000</f>
        <v/>
      </c>
      <c r="F3568" s="74">
        <f>B3568/30.48</f>
        <v/>
      </c>
      <c r="G3568" s="74">
        <f>D3568/30.48</f>
        <v/>
      </c>
      <c r="H3568" s="615" t="n"/>
    </row>
    <row r="3569" ht="18" customHeight="1" s="305">
      <c r="A3569" s="8" t="inlineStr">
        <is>
          <t>E-296</t>
        </is>
      </c>
      <c r="B3569" s="5" t="n">
        <v>65</v>
      </c>
      <c r="C3569" s="72" t="inlineStr">
        <is>
          <t>X</t>
        </is>
      </c>
      <c r="D3569" s="5" t="n">
        <v>106</v>
      </c>
      <c r="E3569" s="73">
        <f>B3569*D3569/10000</f>
        <v/>
      </c>
      <c r="F3569" s="74">
        <f>B3569/30.48</f>
        <v/>
      </c>
      <c r="G3569" s="74">
        <f>D3569/30.48</f>
        <v/>
      </c>
      <c r="H3569" s="615" t="n"/>
    </row>
    <row r="3570" ht="18" customHeight="1" s="305">
      <c r="A3570" s="8" t="inlineStr">
        <is>
          <t>E-297</t>
        </is>
      </c>
      <c r="B3570" s="5" t="n">
        <v>64</v>
      </c>
      <c r="C3570" s="72" t="inlineStr">
        <is>
          <t>X</t>
        </is>
      </c>
      <c r="D3570" s="5" t="n">
        <v>188</v>
      </c>
      <c r="E3570" s="73">
        <f>B3570*D3570/10000</f>
        <v/>
      </c>
      <c r="F3570" s="74">
        <f>B3570/30.48</f>
        <v/>
      </c>
      <c r="G3570" s="74">
        <f>D3570/30.48</f>
        <v/>
      </c>
      <c r="H3570" s="615" t="n"/>
    </row>
    <row r="3571" ht="18" customHeight="1" s="305">
      <c r="A3571" s="8" t="inlineStr">
        <is>
          <t>E-298</t>
        </is>
      </c>
      <c r="B3571" s="5" t="n">
        <v>56</v>
      </c>
      <c r="C3571" s="72" t="inlineStr">
        <is>
          <t>X</t>
        </is>
      </c>
      <c r="D3571" s="5" t="n">
        <v>140</v>
      </c>
      <c r="E3571" s="73">
        <f>B3571*D3571/10000</f>
        <v/>
      </c>
      <c r="F3571" s="74">
        <f>B3571/30.48</f>
        <v/>
      </c>
      <c r="G3571" s="74">
        <f>D3571/30.48</f>
        <v/>
      </c>
      <c r="H3571" s="615" t="n"/>
    </row>
    <row r="3572" ht="18" customHeight="1" s="305">
      <c r="A3572" s="8" t="inlineStr">
        <is>
          <t>E-299</t>
        </is>
      </c>
      <c r="B3572" s="5" t="n">
        <v>59</v>
      </c>
      <c r="C3572" s="72" t="inlineStr">
        <is>
          <t>X</t>
        </is>
      </c>
      <c r="D3572" s="5" t="n">
        <v>111</v>
      </c>
      <c r="E3572" s="73">
        <f>B3572*D3572/10000</f>
        <v/>
      </c>
      <c r="F3572" s="74">
        <f>B3572/30.48</f>
        <v/>
      </c>
      <c r="G3572" s="74">
        <f>D3572/30.48</f>
        <v/>
      </c>
      <c r="H3572" s="615" t="n"/>
    </row>
    <row r="3573" ht="18" customHeight="1" s="305">
      <c r="A3573" s="8" t="inlineStr">
        <is>
          <t>E-300</t>
        </is>
      </c>
      <c r="B3573" s="5" t="n">
        <v>60</v>
      </c>
      <c r="C3573" s="72" t="inlineStr">
        <is>
          <t>X</t>
        </is>
      </c>
      <c r="D3573" s="5" t="n">
        <v>145</v>
      </c>
      <c r="E3573" s="73">
        <f>B3573*D3573/10000</f>
        <v/>
      </c>
      <c r="F3573" s="74">
        <f>B3573/30.48</f>
        <v/>
      </c>
      <c r="G3573" s="74">
        <f>D3573/30.48</f>
        <v/>
      </c>
      <c r="H3573" s="615" t="n"/>
    </row>
    <row r="3574" ht="18" customHeight="1" s="305">
      <c r="A3574" s="8" t="inlineStr">
        <is>
          <t>E-301</t>
        </is>
      </c>
      <c r="B3574" s="5" t="n">
        <v>77</v>
      </c>
      <c r="C3574" s="72" t="inlineStr">
        <is>
          <t>X</t>
        </is>
      </c>
      <c r="D3574" s="5" t="n">
        <v>123</v>
      </c>
      <c r="E3574" s="73">
        <f>B3574*D3574/10000</f>
        <v/>
      </c>
      <c r="F3574" s="74">
        <f>B3574/30.48</f>
        <v/>
      </c>
      <c r="G3574" s="74">
        <f>D3574/30.48</f>
        <v/>
      </c>
      <c r="H3574" s="615" t="n"/>
    </row>
    <row r="3575" ht="18" customHeight="1" s="305">
      <c r="A3575" s="8" t="inlineStr">
        <is>
          <t>E-302</t>
        </is>
      </c>
      <c r="B3575" s="5" t="n">
        <v>68</v>
      </c>
      <c r="C3575" s="72" t="inlineStr">
        <is>
          <t>X</t>
        </is>
      </c>
      <c r="D3575" s="5" t="n">
        <v>131</v>
      </c>
      <c r="E3575" s="73">
        <f>B3575*D3575/10000</f>
        <v/>
      </c>
      <c r="F3575" s="74">
        <f>B3575/30.48</f>
        <v/>
      </c>
      <c r="G3575" s="74">
        <f>D3575/30.48</f>
        <v/>
      </c>
      <c r="H3575" s="615" t="n"/>
    </row>
    <row r="3576" ht="18" customHeight="1" s="305">
      <c r="A3576" s="8" t="inlineStr">
        <is>
          <t>E-303</t>
        </is>
      </c>
      <c r="B3576" s="5" t="n">
        <v>75</v>
      </c>
      <c r="C3576" s="72" t="inlineStr">
        <is>
          <t>X</t>
        </is>
      </c>
      <c r="D3576" s="5" t="n">
        <v>150</v>
      </c>
      <c r="E3576" s="73">
        <f>B3576*D3576/10000</f>
        <v/>
      </c>
      <c r="F3576" s="74">
        <f>B3576/30.48</f>
        <v/>
      </c>
      <c r="G3576" s="74">
        <f>D3576/30.48</f>
        <v/>
      </c>
      <c r="H3576" s="615" t="n"/>
    </row>
    <row r="3577" ht="18" customHeight="1" s="305">
      <c r="A3577" s="8" t="inlineStr">
        <is>
          <t>E-304</t>
        </is>
      </c>
      <c r="B3577" s="5" t="n">
        <v>65</v>
      </c>
      <c r="C3577" s="72" t="inlineStr">
        <is>
          <t>X</t>
        </is>
      </c>
      <c r="D3577" s="5" t="n">
        <v>178</v>
      </c>
      <c r="E3577" s="73">
        <f>B3577*D3577/10000</f>
        <v/>
      </c>
      <c r="F3577" s="74">
        <f>B3577/30.48</f>
        <v/>
      </c>
      <c r="G3577" s="74">
        <f>D3577/30.48</f>
        <v/>
      </c>
      <c r="H3577" s="615" t="n"/>
    </row>
    <row r="3578" ht="18" customHeight="1" s="305">
      <c r="A3578" s="8" t="inlineStr">
        <is>
          <t>E-305</t>
        </is>
      </c>
      <c r="B3578" s="5" t="n">
        <v>64</v>
      </c>
      <c r="C3578" s="72" t="inlineStr">
        <is>
          <t>X</t>
        </is>
      </c>
      <c r="D3578" s="5" t="n">
        <v>150</v>
      </c>
      <c r="E3578" s="73">
        <f>B3578*D3578/10000</f>
        <v/>
      </c>
      <c r="F3578" s="74">
        <f>B3578/30.48</f>
        <v/>
      </c>
      <c r="G3578" s="74">
        <f>D3578/30.48</f>
        <v/>
      </c>
      <c r="H3578" s="615" t="n"/>
    </row>
    <row r="3579" ht="18" customHeight="1" s="305">
      <c r="A3579" s="8" t="inlineStr">
        <is>
          <t>E-306</t>
        </is>
      </c>
      <c r="B3579" s="5" t="n">
        <v>88</v>
      </c>
      <c r="C3579" s="72" t="inlineStr">
        <is>
          <t>X</t>
        </is>
      </c>
      <c r="D3579" s="5" t="n">
        <v>304</v>
      </c>
      <c r="E3579" s="73">
        <f>B3579*D3579/10000</f>
        <v/>
      </c>
      <c r="F3579" s="74">
        <f>B3579/30.48</f>
        <v/>
      </c>
      <c r="G3579" s="74">
        <f>D3579/30.48</f>
        <v/>
      </c>
      <c r="H3579" s="615" t="n"/>
    </row>
    <row r="3580" ht="18" customHeight="1" s="305">
      <c r="A3580" s="8" t="inlineStr">
        <is>
          <t>E-307</t>
        </is>
      </c>
      <c r="B3580" s="5" t="n">
        <v>60</v>
      </c>
      <c r="C3580" s="72" t="inlineStr">
        <is>
          <t>X</t>
        </is>
      </c>
      <c r="D3580" s="5" t="n">
        <v>129</v>
      </c>
      <c r="E3580" s="73">
        <f>B3580*D3580/10000</f>
        <v/>
      </c>
      <c r="F3580" s="74">
        <f>B3580/30.48</f>
        <v/>
      </c>
      <c r="G3580" s="74">
        <f>D3580/30.48</f>
        <v/>
      </c>
      <c r="H3580" s="615" t="n"/>
    </row>
    <row r="3581" ht="18" customHeight="1" s="305">
      <c r="A3581" s="8" t="inlineStr">
        <is>
          <t>E-308</t>
        </is>
      </c>
      <c r="B3581" s="5" t="n">
        <v>62</v>
      </c>
      <c r="C3581" s="72" t="inlineStr">
        <is>
          <t>X</t>
        </is>
      </c>
      <c r="D3581" s="5" t="n">
        <v>100</v>
      </c>
      <c r="E3581" s="73">
        <f>B3581*D3581/10000</f>
        <v/>
      </c>
      <c r="F3581" s="74">
        <f>B3581/30.48</f>
        <v/>
      </c>
      <c r="G3581" s="74">
        <f>D3581/30.48</f>
        <v/>
      </c>
      <c r="H3581" s="615" t="n"/>
    </row>
    <row r="3582" ht="18" customHeight="1" s="305">
      <c r="A3582" s="8" t="inlineStr">
        <is>
          <t>E-309</t>
        </is>
      </c>
      <c r="B3582" s="5" t="n">
        <v>60</v>
      </c>
      <c r="C3582" s="72" t="inlineStr">
        <is>
          <t>X</t>
        </is>
      </c>
      <c r="D3582" s="5" t="n">
        <v>167</v>
      </c>
      <c r="E3582" s="73">
        <f>B3582*D3582/10000</f>
        <v/>
      </c>
      <c r="F3582" s="74">
        <f>B3582/30.48</f>
        <v/>
      </c>
      <c r="G3582" s="74">
        <f>D3582/30.48</f>
        <v/>
      </c>
      <c r="H3582" s="615" t="n"/>
    </row>
    <row r="3583" ht="18" customHeight="1" s="305">
      <c r="A3583" s="8" t="inlineStr">
        <is>
          <t>E-310</t>
        </is>
      </c>
      <c r="B3583" s="5" t="n">
        <v>66</v>
      </c>
      <c r="C3583" s="72" t="inlineStr">
        <is>
          <t>X</t>
        </is>
      </c>
      <c r="D3583" s="5" t="n">
        <v>299</v>
      </c>
      <c r="E3583" s="73">
        <f>B3583*D3583/10000</f>
        <v/>
      </c>
      <c r="F3583" s="74">
        <f>B3583/30.48</f>
        <v/>
      </c>
      <c r="G3583" s="74">
        <f>D3583/30.48</f>
        <v/>
      </c>
      <c r="H3583" s="615" t="n"/>
    </row>
    <row r="3584" ht="18" customHeight="1" s="305">
      <c r="A3584" s="8" t="inlineStr">
        <is>
          <t>E-311</t>
        </is>
      </c>
      <c r="B3584" s="5" t="n">
        <v>60</v>
      </c>
      <c r="C3584" s="72" t="inlineStr">
        <is>
          <t>X</t>
        </is>
      </c>
      <c r="D3584" s="5" t="n">
        <v>146</v>
      </c>
      <c r="E3584" s="73">
        <f>B3584*D3584/10000</f>
        <v/>
      </c>
      <c r="F3584" s="74">
        <f>B3584/30.48</f>
        <v/>
      </c>
      <c r="G3584" s="74">
        <f>D3584/30.48</f>
        <v/>
      </c>
      <c r="H3584" s="615" t="n"/>
    </row>
    <row r="3585" ht="18" customHeight="1" s="305">
      <c r="A3585" s="8" t="inlineStr">
        <is>
          <t>E-312</t>
        </is>
      </c>
      <c r="B3585" s="5" t="n">
        <v>63</v>
      </c>
      <c r="C3585" s="72" t="inlineStr">
        <is>
          <t>X</t>
        </is>
      </c>
      <c r="D3585" s="5" t="n">
        <v>163</v>
      </c>
      <c r="E3585" s="73">
        <f>B3585*D3585/10000</f>
        <v/>
      </c>
      <c r="F3585" s="74">
        <f>B3585/30.48</f>
        <v/>
      </c>
      <c r="G3585" s="74">
        <f>D3585/30.48</f>
        <v/>
      </c>
      <c r="H3585" s="615" t="n"/>
    </row>
    <row r="3586" ht="18" customHeight="1" s="305">
      <c r="A3586" s="8" t="inlineStr">
        <is>
          <t>E-313</t>
        </is>
      </c>
      <c r="B3586" s="5" t="n">
        <v>57</v>
      </c>
      <c r="C3586" s="72" t="inlineStr">
        <is>
          <t>X</t>
        </is>
      </c>
      <c r="D3586" s="5" t="n">
        <v>274</v>
      </c>
      <c r="E3586" s="73">
        <f>B3586*D3586/10000</f>
        <v/>
      </c>
      <c r="F3586" s="74">
        <f>B3586/30.48</f>
        <v/>
      </c>
      <c r="G3586" s="74">
        <f>D3586/30.48</f>
        <v/>
      </c>
      <c r="H3586" s="615" t="n"/>
    </row>
    <row r="3587" ht="18" customHeight="1" s="305">
      <c r="A3587" s="8" t="inlineStr">
        <is>
          <t>E-314</t>
        </is>
      </c>
      <c r="B3587" s="5" t="n">
        <v>52</v>
      </c>
      <c r="C3587" s="72" t="inlineStr">
        <is>
          <t>X</t>
        </is>
      </c>
      <c r="D3587" s="5" t="n">
        <v>336</v>
      </c>
      <c r="E3587" s="73">
        <f>B3587*D3587/10000</f>
        <v/>
      </c>
      <c r="F3587" s="74">
        <f>B3587/30.48</f>
        <v/>
      </c>
      <c r="G3587" s="74">
        <f>D3587/30.48</f>
        <v/>
      </c>
      <c r="H3587" s="615" t="n"/>
    </row>
    <row r="3588" ht="18" customHeight="1" s="305">
      <c r="A3588" s="8" t="inlineStr">
        <is>
          <t>E-315</t>
        </is>
      </c>
      <c r="B3588" s="5" t="n">
        <v>58</v>
      </c>
      <c r="C3588" s="72" t="inlineStr">
        <is>
          <t>X</t>
        </is>
      </c>
      <c r="D3588" s="5" t="n">
        <v>361</v>
      </c>
      <c r="E3588" s="73">
        <f>B3588*D3588/10000</f>
        <v/>
      </c>
      <c r="F3588" s="74">
        <f>B3588/30.48</f>
        <v/>
      </c>
      <c r="G3588" s="74">
        <f>D3588/30.48</f>
        <v/>
      </c>
      <c r="H3588" s="615" t="n"/>
    </row>
    <row r="3589" ht="18" customHeight="1" s="305">
      <c r="A3589" s="8" t="inlineStr">
        <is>
          <t>E-316</t>
        </is>
      </c>
      <c r="B3589" s="5" t="n">
        <v>80</v>
      </c>
      <c r="C3589" s="72" t="inlineStr">
        <is>
          <t>X</t>
        </is>
      </c>
      <c r="D3589" s="5" t="n">
        <v>284</v>
      </c>
      <c r="E3589" s="73">
        <f>B3589*D3589/10000</f>
        <v/>
      </c>
      <c r="F3589" s="74">
        <f>B3589/30.48</f>
        <v/>
      </c>
      <c r="G3589" s="74">
        <f>D3589/30.48</f>
        <v/>
      </c>
      <c r="H3589" s="615" t="n"/>
    </row>
    <row r="3590" ht="18" customHeight="1" s="305">
      <c r="A3590" s="8" t="inlineStr">
        <is>
          <t>E-317</t>
        </is>
      </c>
      <c r="B3590" s="5" t="n">
        <v>52</v>
      </c>
      <c r="C3590" s="72" t="inlineStr">
        <is>
          <t>X</t>
        </is>
      </c>
      <c r="D3590" s="5" t="n">
        <v>205</v>
      </c>
      <c r="E3590" s="73">
        <f>B3590*D3590/10000</f>
        <v/>
      </c>
      <c r="F3590" s="74">
        <f>B3590/30.48</f>
        <v/>
      </c>
      <c r="G3590" s="74">
        <f>D3590/30.48</f>
        <v/>
      </c>
      <c r="H3590" s="615" t="n"/>
    </row>
    <row r="3591" ht="18" customHeight="1" s="305">
      <c r="A3591" s="8" t="inlineStr">
        <is>
          <t>E-318</t>
        </is>
      </c>
      <c r="B3591" s="5" t="n">
        <v>54</v>
      </c>
      <c r="C3591" s="72" t="inlineStr">
        <is>
          <t>X</t>
        </is>
      </c>
      <c r="D3591" s="5" t="n">
        <v>163</v>
      </c>
      <c r="E3591" s="73">
        <f>B3591*D3591/10000</f>
        <v/>
      </c>
      <c r="F3591" s="74">
        <f>B3591/30.48</f>
        <v/>
      </c>
      <c r="G3591" s="74">
        <f>D3591/30.48</f>
        <v/>
      </c>
      <c r="H3591" s="615" t="n"/>
    </row>
    <row r="3592" ht="18" customHeight="1" s="305">
      <c r="A3592" s="8" t="inlineStr">
        <is>
          <t>E-319</t>
        </is>
      </c>
      <c r="B3592" s="5" t="n">
        <v>65</v>
      </c>
      <c r="C3592" s="72" t="inlineStr">
        <is>
          <t>X</t>
        </is>
      </c>
      <c r="D3592" s="5" t="n">
        <v>154</v>
      </c>
      <c r="E3592" s="73">
        <f>B3592*D3592/10000</f>
        <v/>
      </c>
      <c r="F3592" s="74">
        <f>B3592/30.48</f>
        <v/>
      </c>
      <c r="G3592" s="74">
        <f>D3592/30.48</f>
        <v/>
      </c>
      <c r="H3592" s="615" t="n"/>
    </row>
    <row r="3593" ht="18" customHeight="1" s="305">
      <c r="A3593" s="8" t="inlineStr">
        <is>
          <t>E-320</t>
        </is>
      </c>
      <c r="B3593" s="5" t="n">
        <v>60</v>
      </c>
      <c r="C3593" s="72" t="inlineStr">
        <is>
          <t>X</t>
        </is>
      </c>
      <c r="D3593" s="5" t="n">
        <v>121</v>
      </c>
      <c r="E3593" s="73">
        <f>B3593*D3593/10000</f>
        <v/>
      </c>
      <c r="F3593" s="74">
        <f>B3593/30.48</f>
        <v/>
      </c>
      <c r="G3593" s="74">
        <f>D3593/30.48</f>
        <v/>
      </c>
      <c r="H3593" s="615" t="n"/>
    </row>
    <row r="3594" ht="18" customHeight="1" s="305">
      <c r="A3594" s="8" t="inlineStr">
        <is>
          <t>E-321</t>
        </is>
      </c>
      <c r="B3594" s="5" t="n">
        <v>66</v>
      </c>
      <c r="C3594" s="72" t="inlineStr">
        <is>
          <t>X</t>
        </is>
      </c>
      <c r="D3594" s="5" t="n">
        <v>153</v>
      </c>
      <c r="E3594" s="73">
        <f>B3594*D3594/10000</f>
        <v/>
      </c>
      <c r="F3594" s="74">
        <f>B3594/30.48</f>
        <v/>
      </c>
      <c r="G3594" s="74">
        <f>D3594/30.48</f>
        <v/>
      </c>
      <c r="H3594" s="615" t="n"/>
    </row>
    <row r="3595" ht="18" customHeight="1" s="305">
      <c r="A3595" s="8" t="inlineStr">
        <is>
          <t>E-322</t>
        </is>
      </c>
      <c r="B3595" s="5" t="n">
        <v>58</v>
      </c>
      <c r="C3595" s="72" t="inlineStr">
        <is>
          <t>X</t>
        </is>
      </c>
      <c r="D3595" s="5" t="n">
        <v>160</v>
      </c>
      <c r="E3595" s="73">
        <f>B3595*D3595/10000</f>
        <v/>
      </c>
      <c r="F3595" s="74">
        <f>B3595/30.48</f>
        <v/>
      </c>
      <c r="G3595" s="74">
        <f>D3595/30.48</f>
        <v/>
      </c>
      <c r="H3595" s="615" t="n"/>
    </row>
    <row r="3596" ht="18" customHeight="1" s="305">
      <c r="A3596" s="8" t="inlineStr">
        <is>
          <t>E-323</t>
        </is>
      </c>
      <c r="B3596" s="5" t="n">
        <v>62</v>
      </c>
      <c r="C3596" s="72" t="inlineStr">
        <is>
          <t>X</t>
        </is>
      </c>
      <c r="D3596" s="5" t="n">
        <v>122</v>
      </c>
      <c r="E3596" s="73">
        <f>B3596*D3596/10000</f>
        <v/>
      </c>
      <c r="F3596" s="74">
        <f>B3596/30.48</f>
        <v/>
      </c>
      <c r="G3596" s="74">
        <f>D3596/30.48</f>
        <v/>
      </c>
      <c r="H3596" s="615" t="n"/>
    </row>
    <row r="3597" ht="18" customHeight="1" s="305">
      <c r="A3597" s="8" t="inlineStr">
        <is>
          <t>E-324</t>
        </is>
      </c>
      <c r="B3597" s="5" t="n">
        <v>55</v>
      </c>
      <c r="C3597" s="72" t="inlineStr">
        <is>
          <t>X</t>
        </is>
      </c>
      <c r="D3597" s="5" t="n">
        <v>133</v>
      </c>
      <c r="E3597" s="73">
        <f>B3597*D3597/10000</f>
        <v/>
      </c>
      <c r="F3597" s="74">
        <f>B3597/30.48</f>
        <v/>
      </c>
      <c r="G3597" s="74">
        <f>D3597/30.48</f>
        <v/>
      </c>
      <c r="H3597" s="615" t="n"/>
    </row>
    <row r="3598" ht="18" customHeight="1" s="305">
      <c r="A3598" s="8" t="inlineStr">
        <is>
          <t>E-325</t>
        </is>
      </c>
      <c r="C3598" s="72" t="inlineStr">
        <is>
          <t>X</t>
        </is>
      </c>
      <c r="E3598" s="73">
        <f>B3598*D3598/10000</f>
        <v/>
      </c>
      <c r="F3598" s="74">
        <f>B3598/30.48</f>
        <v/>
      </c>
      <c r="G3598" s="74">
        <f>D3598/30.48</f>
        <v/>
      </c>
      <c r="H3598" s="615" t="n"/>
    </row>
    <row r="3599" ht="18" customHeight="1" s="305">
      <c r="A3599" s="8" t="inlineStr">
        <is>
          <t>E-326</t>
        </is>
      </c>
      <c r="C3599" s="72" t="inlineStr">
        <is>
          <t>X</t>
        </is>
      </c>
      <c r="E3599" s="73">
        <f>B3599*D3599/10000</f>
        <v/>
      </c>
      <c r="F3599" s="74">
        <f>B3599/30.48</f>
        <v/>
      </c>
      <c r="G3599" s="74">
        <f>D3599/30.48</f>
        <v/>
      </c>
      <c r="H3599" s="615" t="n"/>
    </row>
    <row r="3600" ht="18" customHeight="1" s="305">
      <c r="A3600" s="8" t="inlineStr">
        <is>
          <t>E-327</t>
        </is>
      </c>
      <c r="C3600" s="72" t="inlineStr">
        <is>
          <t>X</t>
        </is>
      </c>
      <c r="E3600" s="73">
        <f>B3600*D3600/10000</f>
        <v/>
      </c>
      <c r="F3600" s="74">
        <f>B3600/30.48</f>
        <v/>
      </c>
      <c r="G3600" s="74">
        <f>D3600/30.48</f>
        <v/>
      </c>
      <c r="H3600" s="615" t="n"/>
    </row>
    <row r="3601" ht="18" customHeight="1" s="305">
      <c r="A3601" s="8" t="inlineStr">
        <is>
          <t>E-328</t>
        </is>
      </c>
      <c r="C3601" s="72" t="inlineStr">
        <is>
          <t>X</t>
        </is>
      </c>
      <c r="E3601" s="73">
        <f>B3601*D3601/10000</f>
        <v/>
      </c>
      <c r="F3601" s="74">
        <f>B3601/30.48</f>
        <v/>
      </c>
      <c r="G3601" s="74">
        <f>D3601/30.48</f>
        <v/>
      </c>
      <c r="H3601" s="615" t="n"/>
    </row>
    <row r="3602" ht="18" customHeight="1" s="305">
      <c r="A3602" s="8" t="inlineStr">
        <is>
          <t>E-329</t>
        </is>
      </c>
      <c r="C3602" s="72" t="inlineStr">
        <is>
          <t>X</t>
        </is>
      </c>
      <c r="E3602" s="73">
        <f>B3602*D3602/10000</f>
        <v/>
      </c>
      <c r="F3602" s="74">
        <f>B3602/30.48</f>
        <v/>
      </c>
      <c r="G3602" s="74">
        <f>D3602/30.48</f>
        <v/>
      </c>
      <c r="H3602" s="615" t="n"/>
    </row>
    <row r="3603" ht="18" customHeight="1" s="305">
      <c r="A3603" s="8" t="inlineStr">
        <is>
          <t>E-330</t>
        </is>
      </c>
      <c r="C3603" s="72" t="inlineStr">
        <is>
          <t>X</t>
        </is>
      </c>
      <c r="E3603" s="73">
        <f>B3603*D3603/10000</f>
        <v/>
      </c>
      <c r="F3603" s="74">
        <f>B3603/30.48</f>
        <v/>
      </c>
      <c r="G3603" s="74">
        <f>D3603/30.48</f>
        <v/>
      </c>
      <c r="H3603" s="615" t="n"/>
    </row>
    <row r="3604" ht="18" customHeight="1" s="305">
      <c r="A3604" s="8" t="inlineStr">
        <is>
          <t>E-331</t>
        </is>
      </c>
      <c r="C3604" s="72" t="inlineStr">
        <is>
          <t>X</t>
        </is>
      </c>
      <c r="E3604" s="73">
        <f>B3604*D3604/10000</f>
        <v/>
      </c>
      <c r="F3604" s="74">
        <f>B3604/30.48</f>
        <v/>
      </c>
      <c r="G3604" s="74">
        <f>D3604/30.48</f>
        <v/>
      </c>
      <c r="H3604" s="615" t="n"/>
    </row>
    <row r="3605" ht="18" customHeight="1" s="305">
      <c r="A3605" s="8" t="inlineStr">
        <is>
          <t>E-332</t>
        </is>
      </c>
      <c r="C3605" s="72" t="inlineStr">
        <is>
          <t>X</t>
        </is>
      </c>
      <c r="E3605" s="73">
        <f>B3605*D3605/10000</f>
        <v/>
      </c>
      <c r="F3605" s="74">
        <f>B3605/30.48</f>
        <v/>
      </c>
      <c r="G3605" s="74">
        <f>D3605/30.48</f>
        <v/>
      </c>
      <c r="H3605" s="615" t="n"/>
    </row>
    <row r="3606" ht="18" customHeight="1" s="305">
      <c r="A3606" s="8" t="inlineStr">
        <is>
          <t>E-333</t>
        </is>
      </c>
      <c r="C3606" s="72" t="inlineStr">
        <is>
          <t>X</t>
        </is>
      </c>
      <c r="E3606" s="73">
        <f>B3606*D3606/10000</f>
        <v/>
      </c>
      <c r="F3606" s="74">
        <f>B3606/30.48</f>
        <v/>
      </c>
      <c r="G3606" s="74">
        <f>D3606/30.48</f>
        <v/>
      </c>
      <c r="H3606" s="615" t="n"/>
    </row>
    <row r="3607" ht="18" customHeight="1" s="305">
      <c r="A3607" s="8" t="inlineStr">
        <is>
          <t>E-334</t>
        </is>
      </c>
      <c r="C3607" s="72" t="inlineStr">
        <is>
          <t>X</t>
        </is>
      </c>
      <c r="E3607" s="73">
        <f>B3607*D3607/10000</f>
        <v/>
      </c>
      <c r="F3607" s="74">
        <f>B3607/30.48</f>
        <v/>
      </c>
      <c r="G3607" s="74">
        <f>D3607/30.48</f>
        <v/>
      </c>
      <c r="H3607" s="615" t="n"/>
    </row>
    <row r="3608" ht="18" customHeight="1" s="305">
      <c r="A3608" s="8" t="inlineStr">
        <is>
          <t>E-335</t>
        </is>
      </c>
      <c r="C3608" s="72" t="inlineStr">
        <is>
          <t>X</t>
        </is>
      </c>
      <c r="E3608" s="73">
        <f>B3608*D3608/10000</f>
        <v/>
      </c>
      <c r="F3608" s="74">
        <f>B3608/30.48</f>
        <v/>
      </c>
      <c r="G3608" s="74">
        <f>D3608/30.48</f>
        <v/>
      </c>
      <c r="H3608" s="615" t="n"/>
    </row>
    <row r="3609" ht="18" customHeight="1" s="305">
      <c r="A3609" s="8" t="inlineStr">
        <is>
          <t>E-336</t>
        </is>
      </c>
      <c r="C3609" s="72" t="inlineStr">
        <is>
          <t>X</t>
        </is>
      </c>
      <c r="E3609" s="73">
        <f>B3609*D3609/10000</f>
        <v/>
      </c>
      <c r="F3609" s="74">
        <f>B3609/30.48</f>
        <v/>
      </c>
      <c r="G3609" s="74">
        <f>D3609/30.48</f>
        <v/>
      </c>
      <c r="H3609" s="615" t="n"/>
    </row>
    <row r="3610" ht="18" customHeight="1" s="305">
      <c r="A3610" s="8" t="inlineStr">
        <is>
          <t>E-337</t>
        </is>
      </c>
      <c r="C3610" s="72" t="inlineStr">
        <is>
          <t>X</t>
        </is>
      </c>
      <c r="E3610" s="73">
        <f>B3610*D3610/10000</f>
        <v/>
      </c>
      <c r="F3610" s="74">
        <f>B3610/30.48</f>
        <v/>
      </c>
      <c r="G3610" s="74">
        <f>D3610/30.48</f>
        <v/>
      </c>
      <c r="H3610" s="615" t="n"/>
    </row>
    <row r="3611" ht="18" customHeight="1" s="305">
      <c r="A3611" s="8" t="inlineStr">
        <is>
          <t>E-338</t>
        </is>
      </c>
      <c r="C3611" s="72" t="inlineStr">
        <is>
          <t>X</t>
        </is>
      </c>
      <c r="E3611" s="73">
        <f>B3611*D3611/10000</f>
        <v/>
      </c>
      <c r="F3611" s="74">
        <f>B3611/30.48</f>
        <v/>
      </c>
      <c r="G3611" s="74">
        <f>D3611/30.48</f>
        <v/>
      </c>
      <c r="H3611" s="615" t="n"/>
    </row>
    <row r="3612" ht="18" customHeight="1" s="305">
      <c r="A3612" s="8" t="inlineStr">
        <is>
          <t>E-339</t>
        </is>
      </c>
      <c r="C3612" s="72" t="inlineStr">
        <is>
          <t>X</t>
        </is>
      </c>
      <c r="E3612" s="73">
        <f>B3612*D3612/10000</f>
        <v/>
      </c>
      <c r="F3612" s="74">
        <f>B3612/30.48</f>
        <v/>
      </c>
      <c r="G3612" s="74">
        <f>D3612/30.48</f>
        <v/>
      </c>
      <c r="H3612" s="615" t="n"/>
    </row>
    <row r="3613" ht="18" customHeight="1" s="305">
      <c r="A3613" s="8" t="inlineStr">
        <is>
          <t>E-340</t>
        </is>
      </c>
      <c r="C3613" s="72" t="inlineStr">
        <is>
          <t>X</t>
        </is>
      </c>
      <c r="E3613" s="73">
        <f>B3613*D3613/10000</f>
        <v/>
      </c>
      <c r="F3613" s="74">
        <f>B3613/30.48</f>
        <v/>
      </c>
      <c r="G3613" s="74">
        <f>D3613/30.48</f>
        <v/>
      </c>
      <c r="H3613" s="615" t="n"/>
    </row>
    <row r="3614" ht="18" customHeight="1" s="305">
      <c r="A3614" s="8" t="inlineStr">
        <is>
          <t>E-341</t>
        </is>
      </c>
      <c r="C3614" s="72" t="inlineStr">
        <is>
          <t>X</t>
        </is>
      </c>
      <c r="E3614" s="73">
        <f>B3614*D3614/10000</f>
        <v/>
      </c>
      <c r="F3614" s="74">
        <f>B3614/30.48</f>
        <v/>
      </c>
      <c r="G3614" s="74">
        <f>D3614/30.48</f>
        <v/>
      </c>
      <c r="H3614" s="615" t="n"/>
    </row>
    <row r="3615" ht="18" customHeight="1" s="305">
      <c r="A3615" s="8" t="inlineStr">
        <is>
          <t>E-342</t>
        </is>
      </c>
      <c r="C3615" s="72" t="inlineStr">
        <is>
          <t>X</t>
        </is>
      </c>
      <c r="E3615" s="73">
        <f>B3615*D3615/10000</f>
        <v/>
      </c>
      <c r="F3615" s="74">
        <f>B3615/30.48</f>
        <v/>
      </c>
      <c r="G3615" s="74">
        <f>D3615/30.48</f>
        <v/>
      </c>
      <c r="H3615" s="615" t="n"/>
    </row>
    <row r="3616" ht="18" customHeight="1" s="305">
      <c r="A3616" s="8" t="inlineStr">
        <is>
          <t>E-343</t>
        </is>
      </c>
      <c r="C3616" s="72" t="inlineStr">
        <is>
          <t>X</t>
        </is>
      </c>
      <c r="E3616" s="73">
        <f>B3616*D3616/10000</f>
        <v/>
      </c>
      <c r="F3616" s="74">
        <f>B3616/30.48</f>
        <v/>
      </c>
      <c r="G3616" s="74">
        <f>D3616/30.48</f>
        <v/>
      </c>
      <c r="H3616" s="615" t="n"/>
    </row>
    <row r="3617" ht="18" customHeight="1" s="305">
      <c r="A3617" s="8" t="inlineStr">
        <is>
          <t>E-344</t>
        </is>
      </c>
      <c r="C3617" s="72" t="inlineStr">
        <is>
          <t>X</t>
        </is>
      </c>
      <c r="E3617" s="73">
        <f>B3617*D3617/10000</f>
        <v/>
      </c>
      <c r="F3617" s="74">
        <f>B3617/30.48</f>
        <v/>
      </c>
      <c r="G3617" s="74">
        <f>D3617/30.48</f>
        <v/>
      </c>
      <c r="H3617" s="615" t="n"/>
    </row>
    <row r="3618" ht="18" customHeight="1" s="305">
      <c r="A3618" s="8" t="inlineStr">
        <is>
          <t>E-345</t>
        </is>
      </c>
      <c r="C3618" s="72" t="inlineStr">
        <is>
          <t>X</t>
        </is>
      </c>
      <c r="E3618" s="73">
        <f>B3618*D3618/10000</f>
        <v/>
      </c>
      <c r="F3618" s="74">
        <f>B3618/30.48</f>
        <v/>
      </c>
      <c r="G3618" s="74">
        <f>D3618/30.48</f>
        <v/>
      </c>
      <c r="H3618" s="615" t="n"/>
    </row>
    <row r="3619" ht="18" customHeight="1" s="305">
      <c r="A3619" s="8" t="inlineStr">
        <is>
          <t>E-346</t>
        </is>
      </c>
      <c r="C3619" s="72" t="inlineStr">
        <is>
          <t>X</t>
        </is>
      </c>
      <c r="E3619" s="73">
        <f>B3619*D3619/10000</f>
        <v/>
      </c>
      <c r="F3619" s="74">
        <f>B3619/30.48</f>
        <v/>
      </c>
      <c r="G3619" s="74">
        <f>D3619/30.48</f>
        <v/>
      </c>
      <c r="H3619" s="615" t="n"/>
    </row>
    <row r="3620" ht="18" customHeight="1" s="305">
      <c r="A3620" s="8" t="inlineStr">
        <is>
          <t>E-347</t>
        </is>
      </c>
      <c r="C3620" s="72" t="inlineStr">
        <is>
          <t>X</t>
        </is>
      </c>
      <c r="E3620" s="73">
        <f>B3620*D3620/10000</f>
        <v/>
      </c>
      <c r="F3620" s="74">
        <f>B3620/30.48</f>
        <v/>
      </c>
      <c r="G3620" s="74">
        <f>D3620/30.48</f>
        <v/>
      </c>
      <c r="H3620" s="615" t="n"/>
    </row>
    <row r="3621" ht="18" customHeight="1" s="305">
      <c r="A3621" s="8" t="inlineStr">
        <is>
          <t>E-348</t>
        </is>
      </c>
      <c r="C3621" s="72" t="inlineStr">
        <is>
          <t>X</t>
        </is>
      </c>
      <c r="E3621" s="73">
        <f>B3621*D3621/10000</f>
        <v/>
      </c>
      <c r="F3621" s="74">
        <f>B3621/30.48</f>
        <v/>
      </c>
      <c r="G3621" s="74">
        <f>D3621/30.48</f>
        <v/>
      </c>
      <c r="H3621" s="615" t="n"/>
    </row>
    <row r="3622" ht="18" customHeight="1" s="305">
      <c r="A3622" s="8" t="inlineStr">
        <is>
          <t>E-349</t>
        </is>
      </c>
      <c r="C3622" s="72" t="inlineStr">
        <is>
          <t>X</t>
        </is>
      </c>
      <c r="E3622" s="73">
        <f>B3622*D3622/10000</f>
        <v/>
      </c>
      <c r="F3622" s="74">
        <f>B3622/30.48</f>
        <v/>
      </c>
      <c r="G3622" s="74">
        <f>D3622/30.48</f>
        <v/>
      </c>
      <c r="H3622" s="615" t="n"/>
    </row>
    <row r="3623" ht="18" customHeight="1" s="305">
      <c r="A3623" s="8" t="inlineStr">
        <is>
          <t>E-350</t>
        </is>
      </c>
      <c r="C3623" s="72" t="inlineStr">
        <is>
          <t>X</t>
        </is>
      </c>
      <c r="E3623" s="73">
        <f>B3623*D3623/10000</f>
        <v/>
      </c>
      <c r="F3623" s="74">
        <f>B3623/30.48</f>
        <v/>
      </c>
      <c r="G3623" s="74">
        <f>D3623/30.48</f>
        <v/>
      </c>
      <c r="H3623" s="615" t="n"/>
    </row>
    <row r="3624" ht="18" customHeight="1" s="305">
      <c r="A3624" s="8" t="inlineStr">
        <is>
          <t>E-351</t>
        </is>
      </c>
      <c r="C3624" s="72" t="inlineStr">
        <is>
          <t>X</t>
        </is>
      </c>
      <c r="E3624" s="73">
        <f>B3624*D3624/10000</f>
        <v/>
      </c>
      <c r="F3624" s="74">
        <f>B3624/30.48</f>
        <v/>
      </c>
      <c r="G3624" s="74">
        <f>D3624/30.48</f>
        <v/>
      </c>
      <c r="H3624" s="615" t="n"/>
    </row>
    <row r="3625" ht="18" customHeight="1" s="305">
      <c r="A3625" s="8" t="inlineStr">
        <is>
          <t>E-352</t>
        </is>
      </c>
      <c r="C3625" s="72" t="inlineStr">
        <is>
          <t>X</t>
        </is>
      </c>
      <c r="E3625" s="73">
        <f>B3625*D3625/10000</f>
        <v/>
      </c>
      <c r="F3625" s="74">
        <f>B3625/30.48</f>
        <v/>
      </c>
      <c r="G3625" s="74">
        <f>D3625/30.48</f>
        <v/>
      </c>
      <c r="H3625" s="615" t="n"/>
    </row>
    <row r="3626" ht="18" customHeight="1" s="305">
      <c r="A3626" s="8" t="inlineStr">
        <is>
          <t>E-353</t>
        </is>
      </c>
      <c r="C3626" s="72" t="inlineStr">
        <is>
          <t>X</t>
        </is>
      </c>
      <c r="E3626" s="73">
        <f>B3626*D3626/10000</f>
        <v/>
      </c>
      <c r="F3626" s="74">
        <f>B3626/30.48</f>
        <v/>
      </c>
      <c r="G3626" s="74">
        <f>D3626/30.48</f>
        <v/>
      </c>
      <c r="H3626" s="615" t="n"/>
    </row>
    <row r="3627" ht="18" customHeight="1" s="305">
      <c r="A3627" s="8" t="inlineStr">
        <is>
          <t>E-354</t>
        </is>
      </c>
      <c r="C3627" s="72" t="inlineStr">
        <is>
          <t>X</t>
        </is>
      </c>
      <c r="E3627" s="73">
        <f>B3627*D3627/10000</f>
        <v/>
      </c>
      <c r="F3627" s="74">
        <f>B3627/30.48</f>
        <v/>
      </c>
      <c r="G3627" s="74">
        <f>D3627/30.48</f>
        <v/>
      </c>
      <c r="H3627" s="615" t="n"/>
    </row>
    <row r="3628" ht="18" customHeight="1" s="305">
      <c r="A3628" s="8" t="inlineStr">
        <is>
          <t>E-355</t>
        </is>
      </c>
      <c r="C3628" s="72" t="inlineStr">
        <is>
          <t>X</t>
        </is>
      </c>
      <c r="E3628" s="73">
        <f>B3628*D3628/10000</f>
        <v/>
      </c>
      <c r="F3628" s="74">
        <f>B3628/30.48</f>
        <v/>
      </c>
      <c r="G3628" s="74">
        <f>D3628/30.48</f>
        <v/>
      </c>
      <c r="H3628" s="615" t="n"/>
    </row>
    <row r="3629" ht="18" customHeight="1" s="305">
      <c r="A3629" s="8" t="inlineStr">
        <is>
          <t>E-356</t>
        </is>
      </c>
      <c r="C3629" s="72" t="inlineStr">
        <is>
          <t>X</t>
        </is>
      </c>
      <c r="E3629" s="73">
        <f>B3629*D3629/10000</f>
        <v/>
      </c>
      <c r="F3629" s="74">
        <f>B3629/30.48</f>
        <v/>
      </c>
      <c r="G3629" s="74">
        <f>D3629/30.48</f>
        <v/>
      </c>
      <c r="H3629" s="615" t="n"/>
    </row>
    <row r="3630" ht="18" customHeight="1" s="305">
      <c r="A3630" s="8" t="inlineStr">
        <is>
          <t>E-357</t>
        </is>
      </c>
      <c r="C3630" s="72" t="inlineStr">
        <is>
          <t>X</t>
        </is>
      </c>
      <c r="E3630" s="73">
        <f>B3630*D3630/10000</f>
        <v/>
      </c>
      <c r="F3630" s="74">
        <f>B3630/30.48</f>
        <v/>
      </c>
      <c r="G3630" s="74">
        <f>D3630/30.48</f>
        <v/>
      </c>
      <c r="H3630" s="615" t="n"/>
    </row>
    <row r="3631" ht="18" customHeight="1" s="305">
      <c r="A3631" s="8" t="inlineStr">
        <is>
          <t>E-358</t>
        </is>
      </c>
      <c r="C3631" s="72" t="inlineStr">
        <is>
          <t>X</t>
        </is>
      </c>
      <c r="E3631" s="73">
        <f>B3631*D3631/10000</f>
        <v/>
      </c>
      <c r="F3631" s="74">
        <f>B3631/30.48</f>
        <v/>
      </c>
      <c r="G3631" s="74">
        <f>D3631/30.48</f>
        <v/>
      </c>
      <c r="H3631" s="615" t="n"/>
    </row>
    <row r="3632" ht="18" customHeight="1" s="305">
      <c r="A3632" s="8" t="inlineStr">
        <is>
          <t>E-359</t>
        </is>
      </c>
      <c r="C3632" s="72" t="inlineStr">
        <is>
          <t>X</t>
        </is>
      </c>
      <c r="E3632" s="73">
        <f>B3632*D3632/10000</f>
        <v/>
      </c>
      <c r="F3632" s="74">
        <f>B3632/30.48</f>
        <v/>
      </c>
      <c r="G3632" s="74">
        <f>D3632/30.48</f>
        <v/>
      </c>
      <c r="H3632" s="615" t="n"/>
    </row>
    <row r="3633" ht="18" customHeight="1" s="305">
      <c r="A3633" s="8" t="inlineStr">
        <is>
          <t>E-360</t>
        </is>
      </c>
      <c r="C3633" s="72" t="inlineStr">
        <is>
          <t>X</t>
        </is>
      </c>
      <c r="E3633" s="73">
        <f>B3633*D3633/10000</f>
        <v/>
      </c>
      <c r="F3633" s="74">
        <f>B3633/30.48</f>
        <v/>
      </c>
      <c r="G3633" s="74">
        <f>D3633/30.48</f>
        <v/>
      </c>
      <c r="H3633" s="615" t="n"/>
    </row>
    <row r="3634" ht="18" customHeight="1" s="305">
      <c r="A3634" s="8" t="inlineStr">
        <is>
          <t>E-361</t>
        </is>
      </c>
      <c r="C3634" s="72" t="inlineStr">
        <is>
          <t>X</t>
        </is>
      </c>
      <c r="E3634" s="73">
        <f>B3634*D3634/10000</f>
        <v/>
      </c>
      <c r="F3634" s="74">
        <f>B3634/30.48</f>
        <v/>
      </c>
      <c r="G3634" s="74">
        <f>D3634/30.48</f>
        <v/>
      </c>
      <c r="H3634" s="615" t="n"/>
    </row>
    <row r="3635" ht="18" customHeight="1" s="305">
      <c r="A3635" s="8" t="inlineStr">
        <is>
          <t>E-362</t>
        </is>
      </c>
      <c r="C3635" s="72" t="inlineStr">
        <is>
          <t>X</t>
        </is>
      </c>
      <c r="E3635" s="73">
        <f>B3635*D3635/10000</f>
        <v/>
      </c>
      <c r="F3635" s="74">
        <f>B3635/30.48</f>
        <v/>
      </c>
      <c r="G3635" s="74">
        <f>D3635/30.48</f>
        <v/>
      </c>
      <c r="H3635" s="615" t="n"/>
    </row>
    <row r="3636" ht="18" customHeight="1" s="305">
      <c r="A3636" s="8" t="inlineStr">
        <is>
          <t>E-363</t>
        </is>
      </c>
      <c r="C3636" s="72" t="inlineStr">
        <is>
          <t>X</t>
        </is>
      </c>
      <c r="E3636" s="73">
        <f>B3636*D3636/10000</f>
        <v/>
      </c>
      <c r="F3636" s="74">
        <f>B3636/30.48</f>
        <v/>
      </c>
      <c r="G3636" s="74">
        <f>D3636/30.48</f>
        <v/>
      </c>
      <c r="H3636" s="615" t="n"/>
    </row>
    <row r="3637" ht="18" customHeight="1" s="305">
      <c r="A3637" s="8" t="inlineStr">
        <is>
          <t>E-364</t>
        </is>
      </c>
      <c r="C3637" s="72" t="inlineStr">
        <is>
          <t>X</t>
        </is>
      </c>
      <c r="E3637" s="73">
        <f>B3637*D3637/10000</f>
        <v/>
      </c>
      <c r="F3637" s="74">
        <f>B3637/30.48</f>
        <v/>
      </c>
      <c r="G3637" s="74">
        <f>D3637/30.48</f>
        <v/>
      </c>
      <c r="H3637" s="615" t="n"/>
    </row>
    <row r="3638" ht="18" customHeight="1" s="305">
      <c r="A3638" s="8" t="inlineStr">
        <is>
          <t>E-365</t>
        </is>
      </c>
      <c r="C3638" s="72" t="inlineStr">
        <is>
          <t>X</t>
        </is>
      </c>
      <c r="E3638" s="73">
        <f>B3638*D3638/10000</f>
        <v/>
      </c>
      <c r="F3638" s="74">
        <f>B3638/30.48</f>
        <v/>
      </c>
      <c r="G3638" s="74">
        <f>D3638/30.48</f>
        <v/>
      </c>
      <c r="H3638" s="615" t="n"/>
    </row>
    <row r="3639" ht="18" customHeight="1" s="305">
      <c r="A3639" s="8" t="inlineStr">
        <is>
          <t>E-366</t>
        </is>
      </c>
      <c r="C3639" s="72" t="inlineStr">
        <is>
          <t>X</t>
        </is>
      </c>
      <c r="E3639" s="73">
        <f>B3639*D3639/10000</f>
        <v/>
      </c>
      <c r="F3639" s="74">
        <f>B3639/30.48</f>
        <v/>
      </c>
      <c r="G3639" s="74">
        <f>D3639/30.48</f>
        <v/>
      </c>
      <c r="H3639" s="615" t="n"/>
    </row>
    <row r="3640" ht="18" customHeight="1" s="305">
      <c r="A3640" s="8" t="inlineStr">
        <is>
          <t>E-367</t>
        </is>
      </c>
      <c r="C3640" s="72" t="inlineStr">
        <is>
          <t>X</t>
        </is>
      </c>
      <c r="E3640" s="73">
        <f>B3640*D3640/10000</f>
        <v/>
      </c>
      <c r="F3640" s="74">
        <f>B3640/30.48</f>
        <v/>
      </c>
      <c r="G3640" s="74">
        <f>D3640/30.48</f>
        <v/>
      </c>
      <c r="H3640" s="615" t="n"/>
    </row>
    <row r="3641" ht="18" customHeight="1" s="305">
      <c r="A3641" s="8" t="inlineStr">
        <is>
          <t>E-368</t>
        </is>
      </c>
      <c r="C3641" s="72" t="inlineStr">
        <is>
          <t>X</t>
        </is>
      </c>
      <c r="E3641" s="73">
        <f>B3641*D3641/10000</f>
        <v/>
      </c>
      <c r="F3641" s="74">
        <f>B3641/30.48</f>
        <v/>
      </c>
      <c r="G3641" s="74">
        <f>D3641/30.48</f>
        <v/>
      </c>
      <c r="H3641" s="615" t="n"/>
    </row>
    <row r="3642" ht="18" customHeight="1" s="305">
      <c r="A3642" s="8" t="inlineStr">
        <is>
          <t>E-369</t>
        </is>
      </c>
      <c r="C3642" s="72" t="inlineStr">
        <is>
          <t>X</t>
        </is>
      </c>
      <c r="E3642" s="73">
        <f>B3642*D3642/10000</f>
        <v/>
      </c>
      <c r="F3642" s="74">
        <f>B3642/30.48</f>
        <v/>
      </c>
      <c r="G3642" s="74">
        <f>D3642/30.48</f>
        <v/>
      </c>
      <c r="H3642" s="615" t="n"/>
    </row>
    <row r="3643" ht="18" customHeight="1" s="305">
      <c r="A3643" s="8" t="inlineStr">
        <is>
          <t>E-370</t>
        </is>
      </c>
      <c r="C3643" s="72" t="inlineStr">
        <is>
          <t>X</t>
        </is>
      </c>
      <c r="E3643" s="73">
        <f>B3643*D3643/10000</f>
        <v/>
      </c>
      <c r="F3643" s="74">
        <f>B3643/30.48</f>
        <v/>
      </c>
      <c r="G3643" s="74">
        <f>D3643/30.48</f>
        <v/>
      </c>
      <c r="H3643" s="615" t="n"/>
    </row>
    <row r="3644" ht="18" customHeight="1" s="305">
      <c r="A3644" s="8" t="inlineStr">
        <is>
          <t>E-371</t>
        </is>
      </c>
      <c r="C3644" s="72" t="inlineStr">
        <is>
          <t>X</t>
        </is>
      </c>
      <c r="E3644" s="73">
        <f>B3644*D3644/10000</f>
        <v/>
      </c>
      <c r="F3644" s="74">
        <f>B3644/30.48</f>
        <v/>
      </c>
      <c r="G3644" s="74">
        <f>D3644/30.48</f>
        <v/>
      </c>
      <c r="H3644" s="615" t="n"/>
    </row>
    <row r="3645" ht="18" customHeight="1" s="305">
      <c r="A3645" s="8" t="inlineStr">
        <is>
          <t>E-372</t>
        </is>
      </c>
      <c r="C3645" s="72" t="inlineStr">
        <is>
          <t>X</t>
        </is>
      </c>
      <c r="E3645" s="73">
        <f>B3645*D3645/10000</f>
        <v/>
      </c>
      <c r="F3645" s="74">
        <f>B3645/30.48</f>
        <v/>
      </c>
      <c r="G3645" s="74">
        <f>D3645/30.48</f>
        <v/>
      </c>
      <c r="H3645" s="615" t="n"/>
    </row>
    <row r="3646" ht="18" customHeight="1" s="305">
      <c r="A3646" s="8" t="inlineStr">
        <is>
          <t>E-373</t>
        </is>
      </c>
      <c r="C3646" s="72" t="inlineStr">
        <is>
          <t>X</t>
        </is>
      </c>
      <c r="E3646" s="73">
        <f>B3646*D3646/10000</f>
        <v/>
      </c>
      <c r="F3646" s="74">
        <f>B3646/30.48</f>
        <v/>
      </c>
      <c r="G3646" s="74">
        <f>D3646/30.48</f>
        <v/>
      </c>
      <c r="H3646" s="615" t="n"/>
    </row>
    <row r="3647" ht="18" customHeight="1" s="305">
      <c r="A3647" s="8" t="inlineStr">
        <is>
          <t>E-374</t>
        </is>
      </c>
      <c r="C3647" s="72" t="inlineStr">
        <is>
          <t>X</t>
        </is>
      </c>
      <c r="E3647" s="73">
        <f>B3647*D3647/10000</f>
        <v/>
      </c>
      <c r="F3647" s="74">
        <f>B3647/30.48</f>
        <v/>
      </c>
      <c r="G3647" s="74">
        <f>D3647/30.48</f>
        <v/>
      </c>
      <c r="H3647" s="615" t="n"/>
    </row>
    <row r="3648" ht="18" customHeight="1" s="305">
      <c r="A3648" s="8" t="inlineStr">
        <is>
          <t>E-375</t>
        </is>
      </c>
      <c r="C3648" s="72" t="inlineStr">
        <is>
          <t>X</t>
        </is>
      </c>
      <c r="E3648" s="73">
        <f>B3648*D3648/10000</f>
        <v/>
      </c>
      <c r="F3648" s="74">
        <f>B3648/30.48</f>
        <v/>
      </c>
      <c r="G3648" s="74">
        <f>D3648/30.48</f>
        <v/>
      </c>
      <c r="H3648" s="615" t="n"/>
    </row>
    <row r="3649" ht="18" customHeight="1" s="305">
      <c r="A3649" s="8" t="inlineStr">
        <is>
          <t>E-376</t>
        </is>
      </c>
      <c r="C3649" s="72" t="inlineStr">
        <is>
          <t>X</t>
        </is>
      </c>
      <c r="E3649" s="73">
        <f>B3649*D3649/10000</f>
        <v/>
      </c>
      <c r="F3649" s="74">
        <f>B3649/30.48</f>
        <v/>
      </c>
      <c r="G3649" s="74">
        <f>D3649/30.48</f>
        <v/>
      </c>
      <c r="H3649" s="615" t="n"/>
    </row>
    <row r="3650" ht="18" customHeight="1" s="305">
      <c r="A3650" s="8" t="inlineStr">
        <is>
          <t>E-377</t>
        </is>
      </c>
      <c r="C3650" s="72" t="inlineStr">
        <is>
          <t>X</t>
        </is>
      </c>
      <c r="E3650" s="73">
        <f>B3650*D3650/10000</f>
        <v/>
      </c>
      <c r="F3650" s="74">
        <f>B3650/30.48</f>
        <v/>
      </c>
      <c r="G3650" s="74">
        <f>D3650/30.48</f>
        <v/>
      </c>
      <c r="H3650" s="615" t="n"/>
    </row>
    <row r="3651" ht="18" customHeight="1" s="305">
      <c r="A3651" s="8" t="inlineStr">
        <is>
          <t>E-378</t>
        </is>
      </c>
      <c r="C3651" s="72" t="inlineStr">
        <is>
          <t>X</t>
        </is>
      </c>
      <c r="E3651" s="73">
        <f>B3651*D3651/10000</f>
        <v/>
      </c>
      <c r="F3651" s="74">
        <f>B3651/30.48</f>
        <v/>
      </c>
      <c r="G3651" s="74">
        <f>D3651/30.48</f>
        <v/>
      </c>
      <c r="H3651" s="615" t="n"/>
    </row>
    <row r="3652" ht="18" customHeight="1" s="305">
      <c r="A3652" s="8" t="inlineStr">
        <is>
          <t>E-379</t>
        </is>
      </c>
      <c r="C3652" s="72" t="inlineStr">
        <is>
          <t>X</t>
        </is>
      </c>
      <c r="E3652" s="73">
        <f>B3652*D3652/10000</f>
        <v/>
      </c>
      <c r="F3652" s="74">
        <f>B3652/30.48</f>
        <v/>
      </c>
      <c r="G3652" s="74">
        <f>D3652/30.48</f>
        <v/>
      </c>
      <c r="H3652" s="615" t="n"/>
    </row>
    <row r="3653" ht="18" customHeight="1" s="305">
      <c r="A3653" s="8" t="inlineStr">
        <is>
          <t>E-380</t>
        </is>
      </c>
      <c r="C3653" s="72" t="inlineStr">
        <is>
          <t>X</t>
        </is>
      </c>
      <c r="E3653" s="73">
        <f>B3653*D3653/10000</f>
        <v/>
      </c>
      <c r="F3653" s="74">
        <f>B3653/30.48</f>
        <v/>
      </c>
      <c r="G3653" s="74">
        <f>D3653/30.48</f>
        <v/>
      </c>
      <c r="H3653" s="615" t="n"/>
    </row>
    <row r="3654" ht="18" customHeight="1" s="305">
      <c r="A3654" s="8" t="inlineStr">
        <is>
          <t>E-381</t>
        </is>
      </c>
      <c r="C3654" s="72" t="inlineStr">
        <is>
          <t>X</t>
        </is>
      </c>
      <c r="E3654" s="73">
        <f>B3654*D3654/10000</f>
        <v/>
      </c>
      <c r="F3654" s="74">
        <f>B3654/30.48</f>
        <v/>
      </c>
      <c r="G3654" s="74">
        <f>D3654/30.48</f>
        <v/>
      </c>
      <c r="H3654" s="615" t="n"/>
    </row>
    <row r="3655" ht="18" customHeight="1" s="305">
      <c r="A3655" s="8" t="inlineStr">
        <is>
          <t>E-382</t>
        </is>
      </c>
      <c r="C3655" s="72" t="inlineStr">
        <is>
          <t>X</t>
        </is>
      </c>
      <c r="E3655" s="73">
        <f>B3655*D3655/10000</f>
        <v/>
      </c>
      <c r="F3655" s="74">
        <f>B3655/30.48</f>
        <v/>
      </c>
      <c r="G3655" s="74">
        <f>D3655/30.48</f>
        <v/>
      </c>
      <c r="H3655" s="615" t="n"/>
    </row>
    <row r="3656" ht="18" customHeight="1" s="305">
      <c r="A3656" s="8" t="inlineStr">
        <is>
          <t>E-383</t>
        </is>
      </c>
      <c r="C3656" s="72" t="inlineStr">
        <is>
          <t>X</t>
        </is>
      </c>
      <c r="E3656" s="73">
        <f>B3656*D3656/10000</f>
        <v/>
      </c>
      <c r="F3656" s="74">
        <f>B3656/30.48</f>
        <v/>
      </c>
      <c r="G3656" s="74">
        <f>D3656/30.48</f>
        <v/>
      </c>
      <c r="H3656" s="615" t="n"/>
    </row>
    <row r="3657" ht="18" customHeight="1" s="305">
      <c r="A3657" s="8" t="inlineStr">
        <is>
          <t>E-384</t>
        </is>
      </c>
      <c r="C3657" s="72" t="inlineStr">
        <is>
          <t>X</t>
        </is>
      </c>
      <c r="E3657" s="73">
        <f>B3657*D3657/10000</f>
        <v/>
      </c>
      <c r="F3657" s="74">
        <f>B3657/30.48</f>
        <v/>
      </c>
      <c r="G3657" s="74">
        <f>D3657/30.48</f>
        <v/>
      </c>
      <c r="H3657" s="615" t="n"/>
    </row>
    <row r="3658" ht="18" customHeight="1" s="305">
      <c r="A3658" s="8" t="inlineStr">
        <is>
          <t>E-385</t>
        </is>
      </c>
      <c r="C3658" s="72" t="inlineStr">
        <is>
          <t>X</t>
        </is>
      </c>
      <c r="E3658" s="73">
        <f>B3658*D3658/10000</f>
        <v/>
      </c>
      <c r="F3658" s="74">
        <f>B3658/30.48</f>
        <v/>
      </c>
      <c r="G3658" s="74">
        <f>D3658/30.48</f>
        <v/>
      </c>
      <c r="H3658" s="615" t="n"/>
    </row>
    <row r="3659" ht="18" customHeight="1" s="305">
      <c r="A3659" s="8" t="inlineStr">
        <is>
          <t>E-386</t>
        </is>
      </c>
      <c r="C3659" s="72" t="inlineStr">
        <is>
          <t>X</t>
        </is>
      </c>
      <c r="E3659" s="73">
        <f>B3659*D3659/10000</f>
        <v/>
      </c>
      <c r="F3659" s="74">
        <f>B3659/30.48</f>
        <v/>
      </c>
      <c r="G3659" s="74">
        <f>D3659/30.48</f>
        <v/>
      </c>
      <c r="H3659" s="615" t="n"/>
    </row>
    <row r="3660" ht="18" customHeight="1" s="305">
      <c r="A3660" s="8" t="inlineStr">
        <is>
          <t>E-387</t>
        </is>
      </c>
      <c r="C3660" s="72" t="inlineStr">
        <is>
          <t>X</t>
        </is>
      </c>
      <c r="E3660" s="73">
        <f>B3660*D3660/10000</f>
        <v/>
      </c>
      <c r="F3660" s="74">
        <f>B3660/30.48</f>
        <v/>
      </c>
      <c r="G3660" s="74">
        <f>D3660/30.48</f>
        <v/>
      </c>
      <c r="H3660" s="615" t="n"/>
    </row>
    <row r="3661" ht="18" customHeight="1" s="305">
      <c r="A3661" s="8" t="inlineStr">
        <is>
          <t>E-388</t>
        </is>
      </c>
      <c r="C3661" s="72" t="inlineStr">
        <is>
          <t>X</t>
        </is>
      </c>
      <c r="E3661" s="73">
        <f>B3661*D3661/10000</f>
        <v/>
      </c>
      <c r="F3661" s="74">
        <f>B3661/30.48</f>
        <v/>
      </c>
      <c r="G3661" s="74">
        <f>D3661/30.48</f>
        <v/>
      </c>
      <c r="H3661" s="615" t="n"/>
    </row>
    <row r="3662" ht="18" customHeight="1" s="305">
      <c r="A3662" s="8" t="inlineStr">
        <is>
          <t>E-389</t>
        </is>
      </c>
      <c r="C3662" s="72" t="inlineStr">
        <is>
          <t>X</t>
        </is>
      </c>
      <c r="E3662" s="73">
        <f>B3662*D3662/10000</f>
        <v/>
      </c>
      <c r="F3662" s="74">
        <f>B3662/30.48</f>
        <v/>
      </c>
      <c r="G3662" s="74">
        <f>D3662/30.48</f>
        <v/>
      </c>
      <c r="H3662" s="615" t="n"/>
    </row>
    <row r="3663" ht="18" customHeight="1" s="305">
      <c r="A3663" s="8" t="inlineStr">
        <is>
          <t>E-390</t>
        </is>
      </c>
      <c r="C3663" s="72" t="inlineStr">
        <is>
          <t>X</t>
        </is>
      </c>
      <c r="E3663" s="73">
        <f>B3663*D3663/10000</f>
        <v/>
      </c>
      <c r="F3663" s="74">
        <f>B3663/30.48</f>
        <v/>
      </c>
      <c r="G3663" s="74">
        <f>D3663/30.48</f>
        <v/>
      </c>
      <c r="H3663" s="615" t="n"/>
    </row>
    <row r="3664" ht="18" customHeight="1" s="305">
      <c r="A3664" s="8" t="inlineStr">
        <is>
          <t>E-391</t>
        </is>
      </c>
      <c r="C3664" s="72" t="inlineStr">
        <is>
          <t>X</t>
        </is>
      </c>
      <c r="E3664" s="73">
        <f>B3664*D3664/10000</f>
        <v/>
      </c>
      <c r="F3664" s="74">
        <f>B3664/30.48</f>
        <v/>
      </c>
      <c r="G3664" s="74">
        <f>D3664/30.48</f>
        <v/>
      </c>
      <c r="H3664" s="615" t="n"/>
    </row>
    <row r="3665" ht="18" customHeight="1" s="305">
      <c r="A3665" s="8" t="inlineStr">
        <is>
          <t>E-392</t>
        </is>
      </c>
      <c r="C3665" s="72" t="inlineStr">
        <is>
          <t>X</t>
        </is>
      </c>
      <c r="E3665" s="73">
        <f>B3665*D3665/10000</f>
        <v/>
      </c>
      <c r="F3665" s="74">
        <f>B3665/30.48</f>
        <v/>
      </c>
      <c r="G3665" s="74">
        <f>D3665/30.48</f>
        <v/>
      </c>
      <c r="H3665" s="615" t="n"/>
    </row>
    <row r="3666" ht="18" customHeight="1" s="305">
      <c r="A3666" s="8" t="inlineStr">
        <is>
          <t>E-393</t>
        </is>
      </c>
      <c r="C3666" s="72" t="inlineStr">
        <is>
          <t>X</t>
        </is>
      </c>
      <c r="E3666" s="73">
        <f>B3666*D3666/10000</f>
        <v/>
      </c>
      <c r="F3666" s="74">
        <f>B3666/30.48</f>
        <v/>
      </c>
      <c r="G3666" s="74">
        <f>D3666/30.48</f>
        <v/>
      </c>
      <c r="H3666" s="615" t="n"/>
    </row>
    <row r="3667" ht="18" customHeight="1" s="305">
      <c r="A3667" s="8" t="inlineStr">
        <is>
          <t>E-394</t>
        </is>
      </c>
      <c r="C3667" s="72" t="inlineStr">
        <is>
          <t>X</t>
        </is>
      </c>
      <c r="E3667" s="73">
        <f>B3667*D3667/10000</f>
        <v/>
      </c>
      <c r="F3667" s="74">
        <f>B3667/30.48</f>
        <v/>
      </c>
      <c r="G3667" s="74">
        <f>D3667/30.48</f>
        <v/>
      </c>
      <c r="H3667" s="615" t="n"/>
    </row>
    <row r="3668" ht="18" customHeight="1" s="305">
      <c r="A3668" s="8" t="inlineStr">
        <is>
          <t>E-395</t>
        </is>
      </c>
      <c r="C3668" s="72" t="inlineStr">
        <is>
          <t>X</t>
        </is>
      </c>
      <c r="E3668" s="73">
        <f>B3668*D3668/10000</f>
        <v/>
      </c>
      <c r="F3668" s="74">
        <f>B3668/30.48</f>
        <v/>
      </c>
      <c r="G3668" s="74">
        <f>D3668/30.48</f>
        <v/>
      </c>
      <c r="H3668" s="615" t="n"/>
    </row>
    <row r="3669" ht="18" customHeight="1" s="305">
      <c r="A3669" s="8" t="inlineStr">
        <is>
          <t>E-396</t>
        </is>
      </c>
      <c r="C3669" s="72" t="inlineStr">
        <is>
          <t>X</t>
        </is>
      </c>
      <c r="E3669" s="73">
        <f>B3669*D3669/10000</f>
        <v/>
      </c>
      <c r="F3669" s="74">
        <f>B3669/30.48</f>
        <v/>
      </c>
      <c r="G3669" s="74">
        <f>D3669/30.48</f>
        <v/>
      </c>
      <c r="H3669" s="615" t="n"/>
    </row>
    <row r="3670" ht="18" customHeight="1" s="305">
      <c r="A3670" s="8" t="inlineStr">
        <is>
          <t>E-397</t>
        </is>
      </c>
      <c r="C3670" s="72" t="inlineStr">
        <is>
          <t>X</t>
        </is>
      </c>
      <c r="E3670" s="73">
        <f>B3670*D3670/10000</f>
        <v/>
      </c>
      <c r="F3670" s="74">
        <f>B3670/30.48</f>
        <v/>
      </c>
      <c r="G3670" s="74">
        <f>D3670/30.48</f>
        <v/>
      </c>
      <c r="H3670" s="615" t="n"/>
    </row>
    <row r="3671" ht="18" customHeight="1" s="305">
      <c r="A3671" s="8" t="inlineStr">
        <is>
          <t>E-398</t>
        </is>
      </c>
      <c r="C3671" s="72" t="inlineStr">
        <is>
          <t>X</t>
        </is>
      </c>
      <c r="E3671" s="73">
        <f>B3671*D3671/10000</f>
        <v/>
      </c>
      <c r="F3671" s="74">
        <f>B3671/30.48</f>
        <v/>
      </c>
      <c r="G3671" s="74">
        <f>D3671/30.48</f>
        <v/>
      </c>
      <c r="H3671" s="615" t="n"/>
    </row>
    <row r="3672" ht="18" customHeight="1" s="305">
      <c r="A3672" s="8" t="inlineStr">
        <is>
          <t>E-399</t>
        </is>
      </c>
      <c r="C3672" s="72" t="inlineStr">
        <is>
          <t>X</t>
        </is>
      </c>
      <c r="E3672" s="73">
        <f>B3672*D3672/10000</f>
        <v/>
      </c>
      <c r="F3672" s="74">
        <f>B3672/30.48</f>
        <v/>
      </c>
      <c r="G3672" s="74">
        <f>D3672/30.48</f>
        <v/>
      </c>
      <c r="H3672" s="615" t="n"/>
    </row>
    <row r="3673" ht="18" customHeight="1" s="305">
      <c r="A3673" s="8" t="inlineStr">
        <is>
          <t>E-400</t>
        </is>
      </c>
      <c r="C3673" s="72" t="inlineStr">
        <is>
          <t>X</t>
        </is>
      </c>
      <c r="E3673" s="73">
        <f>B3673*D3673/10000</f>
        <v/>
      </c>
      <c r="F3673" s="74">
        <f>B3673/30.48</f>
        <v/>
      </c>
      <c r="G3673" s="74">
        <f>D3673/30.48</f>
        <v/>
      </c>
      <c r="H3673" s="615" t="n"/>
    </row>
    <row r="3674" ht="18" customHeight="1" s="305">
      <c r="A3674" s="8" t="n">
        <v>4666</v>
      </c>
      <c r="C3674" s="72" t="inlineStr">
        <is>
          <t>X</t>
        </is>
      </c>
      <c r="E3674" s="73">
        <f>B3674*D3674/10000</f>
        <v/>
      </c>
      <c r="F3674" s="74">
        <f>B3674/30.48</f>
        <v/>
      </c>
      <c r="G3674" s="74">
        <f>D3674/30.48</f>
        <v/>
      </c>
      <c r="H3674" s="615" t="n"/>
    </row>
    <row r="3675" ht="18" customHeight="1" s="305">
      <c r="A3675" s="8" t="n">
        <v>4667</v>
      </c>
      <c r="B3675" s="5" t="n">
        <v>111</v>
      </c>
      <c r="C3675" s="72" t="inlineStr">
        <is>
          <t>X</t>
        </is>
      </c>
      <c r="D3675" s="5" t="n">
        <v>207</v>
      </c>
      <c r="E3675" s="73">
        <f>B3675*D3675/10000</f>
        <v/>
      </c>
      <c r="F3675" s="74">
        <f>B3675/30.48</f>
        <v/>
      </c>
      <c r="G3675" s="74">
        <f>D3675/30.48</f>
        <v/>
      </c>
      <c r="H3675" s="615" t="n"/>
    </row>
    <row r="3676" ht="18" customHeight="1" s="305">
      <c r="A3676" s="8" t="n">
        <v>4668</v>
      </c>
      <c r="B3676" s="5" t="n">
        <v>83</v>
      </c>
      <c r="C3676" s="72" t="inlineStr">
        <is>
          <t>X</t>
        </is>
      </c>
      <c r="D3676" s="5" t="n">
        <v>345</v>
      </c>
      <c r="E3676" s="73">
        <f>B3676*D3676/10000</f>
        <v/>
      </c>
      <c r="F3676" s="74">
        <f>B3676/30.48</f>
        <v/>
      </c>
      <c r="G3676" s="74">
        <f>D3676/30.48</f>
        <v/>
      </c>
      <c r="H3676" s="615" t="n"/>
    </row>
    <row r="3677" ht="18" customHeight="1" s="305">
      <c r="A3677" s="8" t="n">
        <v>4669</v>
      </c>
      <c r="B3677" s="5" t="n">
        <v>158</v>
      </c>
      <c r="C3677" s="72" t="inlineStr">
        <is>
          <t>X</t>
        </is>
      </c>
      <c r="D3677" s="5" t="n">
        <v>267</v>
      </c>
      <c r="E3677" s="73">
        <f>B3677*D3677/10000</f>
        <v/>
      </c>
      <c r="F3677" s="74">
        <f>B3677/30.48</f>
        <v/>
      </c>
      <c r="G3677" s="74">
        <f>D3677/30.48</f>
        <v/>
      </c>
      <c r="H3677" s="615" t="n"/>
    </row>
    <row r="3678" ht="18" customHeight="1" s="305">
      <c r="A3678" s="8" t="n">
        <v>4670</v>
      </c>
      <c r="B3678" s="5" t="n">
        <v>100</v>
      </c>
      <c r="C3678" s="72" t="inlineStr">
        <is>
          <t>X</t>
        </is>
      </c>
      <c r="D3678" s="5" t="n">
        <v>176</v>
      </c>
      <c r="E3678" s="73">
        <f>B3678*D3678/10000</f>
        <v/>
      </c>
      <c r="F3678" s="74">
        <f>B3678/30.48</f>
        <v/>
      </c>
      <c r="G3678" s="74">
        <f>D3678/30.48</f>
        <v/>
      </c>
      <c r="H3678" s="615" t="n"/>
    </row>
    <row r="3679" ht="18" customHeight="1" s="305">
      <c r="A3679" s="8" t="n">
        <v>4671</v>
      </c>
      <c r="B3679" s="5" t="n">
        <v>170</v>
      </c>
      <c r="C3679" s="72" t="inlineStr">
        <is>
          <t>X</t>
        </is>
      </c>
      <c r="D3679" s="5" t="n">
        <v>261</v>
      </c>
      <c r="E3679" s="73">
        <f>B3679*D3679/10000</f>
        <v/>
      </c>
      <c r="F3679" s="74">
        <f>B3679/30.48</f>
        <v/>
      </c>
      <c r="G3679" s="74">
        <f>D3679/30.48</f>
        <v/>
      </c>
      <c r="H3679" s="615" t="n"/>
    </row>
    <row r="3680" ht="18" customHeight="1" s="305">
      <c r="A3680" s="8" t="n">
        <v>4672</v>
      </c>
      <c r="B3680" s="5" t="n">
        <v>111</v>
      </c>
      <c r="C3680" s="72" t="inlineStr">
        <is>
          <t>X</t>
        </is>
      </c>
      <c r="D3680" s="5" t="n">
        <v>202</v>
      </c>
      <c r="E3680" s="73">
        <f>B3680*D3680/10000</f>
        <v/>
      </c>
      <c r="F3680" s="74">
        <f>B3680/30.48</f>
        <v/>
      </c>
      <c r="G3680" s="74">
        <f>D3680/30.48</f>
        <v/>
      </c>
      <c r="H3680" s="615" t="n"/>
    </row>
    <row r="3681" ht="18" customHeight="1" s="305">
      <c r="A3681" s="8" t="n">
        <v>4673</v>
      </c>
      <c r="B3681" s="5" t="n">
        <v>208</v>
      </c>
      <c r="C3681" s="72" t="inlineStr">
        <is>
          <t>X</t>
        </is>
      </c>
      <c r="D3681" s="5" t="n">
        <v>300</v>
      </c>
      <c r="E3681" s="73">
        <f>B3681*D3681/10000</f>
        <v/>
      </c>
      <c r="F3681" s="74">
        <f>B3681/30.48</f>
        <v/>
      </c>
      <c r="G3681" s="74">
        <f>D3681/30.48</f>
        <v/>
      </c>
      <c r="H3681" s="615" t="n"/>
    </row>
    <row r="3682" ht="18" customHeight="1" s="305">
      <c r="A3682" s="8" t="n">
        <v>4674</v>
      </c>
      <c r="B3682" s="5" t="n">
        <v>115</v>
      </c>
      <c r="C3682" s="72" t="inlineStr">
        <is>
          <t>X</t>
        </is>
      </c>
      <c r="D3682" s="5" t="n">
        <v>195</v>
      </c>
      <c r="E3682" s="73">
        <f>B3682*D3682/10000</f>
        <v/>
      </c>
      <c r="F3682" s="74">
        <f>B3682/30.48</f>
        <v/>
      </c>
      <c r="G3682" s="74">
        <f>D3682/30.48</f>
        <v/>
      </c>
      <c r="H3682" s="615" t="n"/>
    </row>
    <row r="3683" ht="18" customHeight="1" s="305">
      <c r="A3683" s="8" t="n">
        <v>4675</v>
      </c>
      <c r="B3683" s="5" t="n">
        <v>268</v>
      </c>
      <c r="C3683" s="72" t="inlineStr">
        <is>
          <t>X</t>
        </is>
      </c>
      <c r="D3683" s="5" t="n">
        <v>176</v>
      </c>
      <c r="E3683" s="73">
        <f>B3683*D3683/10000</f>
        <v/>
      </c>
      <c r="F3683" s="74">
        <f>B3683/30.48</f>
        <v/>
      </c>
      <c r="G3683" s="74">
        <f>D3683/30.48</f>
        <v/>
      </c>
      <c r="H3683" s="615" t="n"/>
    </row>
    <row r="3684" ht="18" customHeight="1" s="305">
      <c r="A3684" s="8" t="n">
        <v>4676</v>
      </c>
      <c r="B3684" s="5" t="n">
        <v>153</v>
      </c>
      <c r="C3684" s="72" t="inlineStr">
        <is>
          <t>X</t>
        </is>
      </c>
      <c r="D3684" s="5" t="n">
        <v>273</v>
      </c>
      <c r="E3684" s="73">
        <f>B3684*D3684/10000</f>
        <v/>
      </c>
      <c r="F3684" s="74">
        <f>B3684/30.48</f>
        <v/>
      </c>
      <c r="G3684" s="74">
        <f>D3684/30.48</f>
        <v/>
      </c>
      <c r="H3684" s="615" t="n"/>
    </row>
    <row r="3685" ht="18" customHeight="1" s="305">
      <c r="A3685" s="8" t="n">
        <v>4677</v>
      </c>
      <c r="B3685" s="5" t="n">
        <v>140</v>
      </c>
      <c r="C3685" s="72" t="inlineStr">
        <is>
          <t>X</t>
        </is>
      </c>
      <c r="D3685" s="5" t="n">
        <v>255</v>
      </c>
      <c r="E3685" s="73">
        <f>B3685*D3685/10000</f>
        <v/>
      </c>
      <c r="F3685" s="74">
        <f>B3685/30.48</f>
        <v/>
      </c>
      <c r="G3685" s="74">
        <f>D3685/30.48</f>
        <v/>
      </c>
      <c r="H3685" s="615" t="n"/>
    </row>
    <row r="3686" ht="18" customHeight="1" s="305">
      <c r="A3686" s="8" t="n">
        <v>4678</v>
      </c>
      <c r="B3686" s="5" t="n">
        <v>160</v>
      </c>
      <c r="C3686" s="72" t="inlineStr">
        <is>
          <t>X</t>
        </is>
      </c>
      <c r="D3686" s="5" t="n">
        <v>260</v>
      </c>
      <c r="E3686" s="73">
        <f>B3686*D3686/10000</f>
        <v/>
      </c>
      <c r="F3686" s="74">
        <f>B3686/30.48</f>
        <v/>
      </c>
      <c r="G3686" s="74">
        <f>D3686/30.48</f>
        <v/>
      </c>
      <c r="H3686" s="615" t="n"/>
    </row>
    <row r="3687" ht="18" customHeight="1" s="305">
      <c r="A3687" s="8" t="n">
        <v>4679</v>
      </c>
      <c r="B3687" s="5" t="n">
        <v>206</v>
      </c>
      <c r="C3687" s="72" t="inlineStr">
        <is>
          <t>X</t>
        </is>
      </c>
      <c r="D3687" s="5" t="n">
        <v>331</v>
      </c>
      <c r="E3687" s="73">
        <f>B3687*D3687/10000</f>
        <v/>
      </c>
      <c r="F3687" s="74">
        <f>B3687/30.48</f>
        <v/>
      </c>
      <c r="G3687" s="74">
        <f>D3687/30.48</f>
        <v/>
      </c>
      <c r="H3687" s="615" t="n"/>
    </row>
    <row r="3688" ht="18" customHeight="1" s="305">
      <c r="A3688" s="8" t="n">
        <v>4680</v>
      </c>
      <c r="B3688" s="5" t="n">
        <v>101</v>
      </c>
      <c r="C3688" s="72" t="inlineStr">
        <is>
          <t>X</t>
        </is>
      </c>
      <c r="D3688" s="5" t="n">
        <v>204</v>
      </c>
      <c r="E3688" s="73">
        <f>B3688*D3688/10000</f>
        <v/>
      </c>
      <c r="F3688" s="74">
        <f>B3688/30.48</f>
        <v/>
      </c>
      <c r="G3688" s="74">
        <f>D3688/30.48</f>
        <v/>
      </c>
      <c r="H3688" s="615" t="n"/>
    </row>
    <row r="3689" ht="18" customHeight="1" s="305">
      <c r="A3689" s="8" t="n">
        <v>4681</v>
      </c>
      <c r="B3689" s="5" t="n">
        <v>222</v>
      </c>
      <c r="C3689" s="72" t="inlineStr">
        <is>
          <t>X</t>
        </is>
      </c>
      <c r="D3689" s="5" t="n">
        <v>305</v>
      </c>
      <c r="E3689" s="73">
        <f>B3689*D3689/10000</f>
        <v/>
      </c>
      <c r="F3689" s="74">
        <f>B3689/30.48</f>
        <v/>
      </c>
      <c r="G3689" s="74">
        <f>D3689/30.48</f>
        <v/>
      </c>
      <c r="H3689" s="615" t="n"/>
    </row>
    <row r="3690" ht="18" customHeight="1" s="305">
      <c r="A3690" s="8" t="n">
        <v>4682</v>
      </c>
      <c r="B3690" s="5" t="n">
        <v>155</v>
      </c>
      <c r="C3690" s="72" t="inlineStr">
        <is>
          <t>X</t>
        </is>
      </c>
      <c r="D3690" s="5" t="n">
        <v>268</v>
      </c>
      <c r="E3690" s="73">
        <f>B3690*D3690/10000</f>
        <v/>
      </c>
      <c r="F3690" s="74">
        <f>B3690/30.48</f>
        <v/>
      </c>
      <c r="G3690" s="74">
        <f>D3690/30.48</f>
        <v/>
      </c>
      <c r="H3690" s="615" t="n"/>
    </row>
    <row r="3691" ht="18" customHeight="1" s="305">
      <c r="A3691" s="8" t="n">
        <v>4683</v>
      </c>
      <c r="B3691" s="5" t="n">
        <v>241</v>
      </c>
      <c r="C3691" s="72" t="inlineStr">
        <is>
          <t>X</t>
        </is>
      </c>
      <c r="D3691" s="5" t="n">
        <v>330</v>
      </c>
      <c r="E3691" s="73">
        <f>B3691*D3691/10000</f>
        <v/>
      </c>
      <c r="F3691" s="74">
        <f>B3691/30.48</f>
        <v/>
      </c>
      <c r="G3691" s="74">
        <f>D3691/30.48</f>
        <v/>
      </c>
      <c r="H3691" s="615" t="n"/>
    </row>
    <row r="3692" ht="18" customHeight="1" s="305">
      <c r="A3692" s="8" t="n">
        <v>4684</v>
      </c>
      <c r="B3692" s="5" t="n">
        <v>133</v>
      </c>
      <c r="C3692" s="72" t="inlineStr">
        <is>
          <t>X</t>
        </is>
      </c>
      <c r="D3692" s="5" t="n">
        <v>226</v>
      </c>
      <c r="E3692" s="73">
        <f>B3692*D3692/10000</f>
        <v/>
      </c>
      <c r="F3692" s="74">
        <f>B3692/30.48</f>
        <v/>
      </c>
      <c r="G3692" s="74">
        <f>D3692/30.48</f>
        <v/>
      </c>
      <c r="H3692" s="615" t="n"/>
    </row>
    <row r="3693" ht="18" customHeight="1" s="305">
      <c r="A3693" s="8" t="n">
        <v>4685</v>
      </c>
      <c r="B3693" s="5" t="n">
        <v>101</v>
      </c>
      <c r="C3693" s="72" t="inlineStr">
        <is>
          <t>X</t>
        </is>
      </c>
      <c r="D3693" s="5" t="n">
        <v>190</v>
      </c>
      <c r="E3693" s="73">
        <f>B3693*D3693/10000</f>
        <v/>
      </c>
      <c r="F3693" s="74">
        <f>B3693/30.48</f>
        <v/>
      </c>
      <c r="G3693" s="74">
        <f>D3693/30.48</f>
        <v/>
      </c>
      <c r="H3693" s="615" t="n"/>
    </row>
    <row r="3694" ht="18" customHeight="1" s="305">
      <c r="A3694" s="8" t="n">
        <v>4686</v>
      </c>
      <c r="B3694" s="5" t="n">
        <v>114</v>
      </c>
      <c r="C3694" s="72" t="inlineStr">
        <is>
          <t>X</t>
        </is>
      </c>
      <c r="D3694" s="5" t="n">
        <v>186</v>
      </c>
      <c r="E3694" s="73">
        <f>B3694*D3694/10000</f>
        <v/>
      </c>
      <c r="F3694" s="74">
        <f>B3694/30.48</f>
        <v/>
      </c>
      <c r="G3694" s="74">
        <f>D3694/30.48</f>
        <v/>
      </c>
      <c r="H3694" s="615" t="n"/>
    </row>
    <row r="3695" ht="18" customHeight="1" s="305">
      <c r="A3695" s="8" t="n">
        <v>4687</v>
      </c>
      <c r="B3695" s="5" t="n">
        <v>120</v>
      </c>
      <c r="C3695" s="72" t="inlineStr">
        <is>
          <t>X</t>
        </is>
      </c>
      <c r="D3695" s="5" t="n">
        <v>204</v>
      </c>
      <c r="E3695" s="73">
        <f>B3695*D3695/10000</f>
        <v/>
      </c>
      <c r="F3695" s="74">
        <f>B3695/30.48</f>
        <v/>
      </c>
      <c r="G3695" s="74">
        <f>D3695/30.48</f>
        <v/>
      </c>
      <c r="H3695" s="615" t="n"/>
    </row>
    <row r="3696" ht="18" customHeight="1" s="305">
      <c r="A3696" s="8" t="n">
        <v>4688</v>
      </c>
      <c r="B3696" s="5" t="n">
        <v>161</v>
      </c>
      <c r="C3696" s="72" t="inlineStr">
        <is>
          <t>X</t>
        </is>
      </c>
      <c r="D3696" s="5" t="n">
        <v>256</v>
      </c>
      <c r="E3696" s="73">
        <f>B3696*D3696/10000</f>
        <v/>
      </c>
      <c r="F3696" s="74">
        <f>B3696/30.48</f>
        <v/>
      </c>
      <c r="G3696" s="74">
        <f>D3696/30.48</f>
        <v/>
      </c>
      <c r="H3696" s="615" t="n"/>
    </row>
    <row r="3697" ht="18" customHeight="1" s="305">
      <c r="A3697" s="8" t="n">
        <v>4689</v>
      </c>
      <c r="B3697" s="5" t="n">
        <v>224</v>
      </c>
      <c r="C3697" s="72" t="inlineStr">
        <is>
          <t>X</t>
        </is>
      </c>
      <c r="D3697" s="5" t="n">
        <v>315</v>
      </c>
      <c r="E3697" s="73">
        <f>B3697*D3697/10000</f>
        <v/>
      </c>
      <c r="F3697" s="74">
        <f>B3697/30.48</f>
        <v/>
      </c>
      <c r="G3697" s="74">
        <f>D3697/30.48</f>
        <v/>
      </c>
      <c r="H3697" s="615" t="n"/>
    </row>
    <row r="3698" ht="18" customHeight="1" s="305">
      <c r="A3698" s="8" t="n">
        <v>4690</v>
      </c>
      <c r="B3698" s="5" t="n">
        <v>196</v>
      </c>
      <c r="C3698" s="72" t="inlineStr">
        <is>
          <t>X</t>
        </is>
      </c>
      <c r="D3698" s="5" t="n">
        <v>318</v>
      </c>
      <c r="E3698" s="73">
        <f>B3698*D3698/10000</f>
        <v/>
      </c>
      <c r="F3698" s="74">
        <f>B3698/30.48</f>
        <v/>
      </c>
      <c r="G3698" s="74">
        <f>D3698/30.48</f>
        <v/>
      </c>
      <c r="H3698" s="615" t="n"/>
    </row>
    <row r="3699" ht="18" customHeight="1" s="305">
      <c r="A3699" s="8" t="n">
        <v>4691</v>
      </c>
      <c r="C3699" s="72" t="inlineStr">
        <is>
          <t>X</t>
        </is>
      </c>
      <c r="E3699" s="73">
        <f>B3699*D3699/10000</f>
        <v/>
      </c>
      <c r="F3699" s="74">
        <f>B3699/30.48</f>
        <v/>
      </c>
      <c r="G3699" s="74">
        <f>D3699/30.48</f>
        <v/>
      </c>
      <c r="H3699" s="615" t="n"/>
    </row>
    <row r="3700" ht="18" customHeight="1" s="305">
      <c r="A3700" s="8" t="n">
        <v>4692</v>
      </c>
      <c r="B3700" s="5" t="n">
        <v>177</v>
      </c>
      <c r="C3700" s="72" t="inlineStr">
        <is>
          <t>X</t>
        </is>
      </c>
      <c r="D3700" s="5" t="n">
        <v>276</v>
      </c>
      <c r="E3700" s="73">
        <f>B3700*D3700/10000</f>
        <v/>
      </c>
      <c r="F3700" s="74">
        <f>B3700/30.48</f>
        <v/>
      </c>
      <c r="G3700" s="74">
        <f>D3700/30.48</f>
        <v/>
      </c>
      <c r="H3700" s="615" t="n"/>
    </row>
    <row r="3701" ht="18" customHeight="1" s="305">
      <c r="A3701" s="8" t="n">
        <v>4693</v>
      </c>
      <c r="B3701" s="5" t="n">
        <v>115</v>
      </c>
      <c r="C3701" s="72" t="inlineStr">
        <is>
          <t>X</t>
        </is>
      </c>
      <c r="D3701" s="5" t="n">
        <v>214</v>
      </c>
      <c r="E3701" s="73">
        <f>B3701*D3701/10000</f>
        <v/>
      </c>
      <c r="F3701" s="74">
        <f>B3701/30.48</f>
        <v/>
      </c>
      <c r="G3701" s="74">
        <f>D3701/30.48</f>
        <v/>
      </c>
      <c r="H3701" s="615" t="n"/>
    </row>
    <row r="3702" ht="18" customHeight="1" s="305">
      <c r="A3702" s="8" t="n">
        <v>4694</v>
      </c>
      <c r="B3702" s="5" t="n">
        <v>167</v>
      </c>
      <c r="C3702" s="72" t="inlineStr">
        <is>
          <t>X</t>
        </is>
      </c>
      <c r="D3702" s="5" t="n">
        <v>265</v>
      </c>
      <c r="E3702" s="73">
        <f>B3702*D3702/10000</f>
        <v/>
      </c>
      <c r="F3702" s="74">
        <f>B3702/30.48</f>
        <v/>
      </c>
      <c r="G3702" s="74">
        <f>D3702/30.48</f>
        <v/>
      </c>
      <c r="H3702" s="615" t="n"/>
    </row>
    <row r="3703" ht="18" customHeight="1" s="305">
      <c r="A3703" s="8" t="n">
        <v>4695</v>
      </c>
      <c r="B3703" s="5" t="n">
        <v>197</v>
      </c>
      <c r="C3703" s="72" t="inlineStr">
        <is>
          <t>X</t>
        </is>
      </c>
      <c r="D3703" s="5" t="n">
        <v>297</v>
      </c>
      <c r="E3703" s="73">
        <f>B3703*D3703/10000</f>
        <v/>
      </c>
      <c r="F3703" s="74">
        <f>B3703/30.48</f>
        <v/>
      </c>
      <c r="G3703" s="74">
        <f>D3703/30.48</f>
        <v/>
      </c>
      <c r="H3703" s="615" t="n"/>
    </row>
    <row r="3704" ht="18" customHeight="1" s="305">
      <c r="A3704" s="8" t="n">
        <v>4696</v>
      </c>
      <c r="B3704" s="5" t="n">
        <v>208</v>
      </c>
      <c r="C3704" s="72" t="inlineStr">
        <is>
          <t>X</t>
        </is>
      </c>
      <c r="D3704" s="5" t="n">
        <v>301</v>
      </c>
      <c r="E3704" s="73">
        <f>B3704*D3704/10000</f>
        <v/>
      </c>
      <c r="F3704" s="74">
        <f>B3704/30.48</f>
        <v/>
      </c>
      <c r="G3704" s="74">
        <f>D3704/30.48</f>
        <v/>
      </c>
      <c r="H3704" s="615" t="n"/>
    </row>
    <row r="3705" ht="18" customHeight="1" s="305">
      <c r="A3705" s="8" t="n">
        <v>4697</v>
      </c>
      <c r="B3705" s="5" t="n">
        <v>82</v>
      </c>
      <c r="C3705" s="72" t="inlineStr">
        <is>
          <t>X</t>
        </is>
      </c>
      <c r="D3705" s="5" t="n">
        <v>364</v>
      </c>
      <c r="E3705" s="73">
        <f>B3705*D3705/10000</f>
        <v/>
      </c>
      <c r="F3705" s="74">
        <f>B3705/30.48</f>
        <v/>
      </c>
      <c r="G3705" s="74">
        <f>D3705/30.48</f>
        <v/>
      </c>
      <c r="H3705" s="615" t="n"/>
    </row>
    <row r="3706" ht="18" customHeight="1" s="305">
      <c r="A3706" s="8" t="n">
        <v>4698</v>
      </c>
      <c r="B3706" s="5" t="n">
        <v>82</v>
      </c>
      <c r="C3706" s="72" t="inlineStr">
        <is>
          <t>X</t>
        </is>
      </c>
      <c r="D3706" s="5" t="n">
        <v>313</v>
      </c>
      <c r="E3706" s="73">
        <f>B3706*D3706/10000</f>
        <v/>
      </c>
      <c r="F3706" s="74">
        <f>B3706/30.48</f>
        <v/>
      </c>
      <c r="G3706" s="74">
        <f>D3706/30.48</f>
        <v/>
      </c>
      <c r="H3706" s="615" t="n"/>
    </row>
    <row r="3707" ht="18" customHeight="1" s="305">
      <c r="A3707" s="8" t="n">
        <v>4699</v>
      </c>
      <c r="B3707" s="5" t="n">
        <v>207</v>
      </c>
      <c r="C3707" s="72" t="inlineStr">
        <is>
          <t>X</t>
        </is>
      </c>
      <c r="D3707" s="5" t="n">
        <v>324</v>
      </c>
      <c r="E3707" s="73">
        <f>B3707*D3707/10000</f>
        <v/>
      </c>
      <c r="F3707" s="74">
        <f>B3707/30.48</f>
        <v/>
      </c>
      <c r="G3707" s="74">
        <f>D3707/30.48</f>
        <v/>
      </c>
      <c r="H3707" s="615" t="n"/>
    </row>
    <row r="3708" ht="18" customHeight="1" s="305">
      <c r="A3708" s="8" t="n">
        <v>4700</v>
      </c>
      <c r="B3708" s="5" t="n">
        <v>201</v>
      </c>
      <c r="C3708" s="72" t="inlineStr">
        <is>
          <t>X</t>
        </is>
      </c>
      <c r="D3708" s="5" t="n">
        <v>301</v>
      </c>
      <c r="E3708" s="73">
        <f>B3708*D3708/10000</f>
        <v/>
      </c>
      <c r="F3708" s="74">
        <f>B3708/30.48</f>
        <v/>
      </c>
      <c r="G3708" s="74">
        <f>D3708/30.48</f>
        <v/>
      </c>
      <c r="H3708" s="615" t="n"/>
    </row>
    <row r="3709" ht="18" customHeight="1" s="305">
      <c r="A3709" s="8" t="inlineStr">
        <is>
          <t>4700 (2)</t>
        </is>
      </c>
      <c r="B3709" s="5" t="n">
        <v>120</v>
      </c>
      <c r="C3709" s="72" t="inlineStr">
        <is>
          <t>X</t>
        </is>
      </c>
      <c r="D3709" s="5" t="n">
        <v>205</v>
      </c>
      <c r="E3709" s="73">
        <f>B3709*D3709/10000</f>
        <v/>
      </c>
      <c r="F3709" s="74">
        <f>B3709/30.48</f>
        <v/>
      </c>
      <c r="G3709" s="74">
        <f>D3709/30.48</f>
        <v/>
      </c>
      <c r="H3709" s="615" t="n"/>
    </row>
    <row r="3710" ht="18" customHeight="1" s="305">
      <c r="A3710" s="8" t="n">
        <v>4701</v>
      </c>
      <c r="B3710" s="5" t="n">
        <v>163</v>
      </c>
      <c r="C3710" s="72" t="inlineStr">
        <is>
          <t>X</t>
        </is>
      </c>
      <c r="D3710" s="5" t="n">
        <v>293</v>
      </c>
      <c r="E3710" s="73">
        <f>B3710*D3710/10000</f>
        <v/>
      </c>
      <c r="F3710" s="74">
        <f>B3710/30.48</f>
        <v/>
      </c>
      <c r="G3710" s="74">
        <f>D3710/30.48</f>
        <v/>
      </c>
      <c r="H3710" s="615" t="n"/>
    </row>
    <row r="3711" ht="18" customHeight="1" s="305">
      <c r="A3711" s="8" t="n">
        <v>4702</v>
      </c>
      <c r="B3711" s="5" t="n">
        <v>204</v>
      </c>
      <c r="C3711" s="72" t="inlineStr">
        <is>
          <t>X</t>
        </is>
      </c>
      <c r="D3711" s="5" t="n">
        <v>320</v>
      </c>
      <c r="E3711" s="73">
        <f>B3711*D3711/10000</f>
        <v/>
      </c>
      <c r="F3711" s="74">
        <f>B3711/30.48</f>
        <v/>
      </c>
      <c r="G3711" s="74">
        <f>D3711/30.48</f>
        <v/>
      </c>
      <c r="H3711" s="615" t="n"/>
    </row>
    <row r="3712" ht="18" customHeight="1" s="305">
      <c r="A3712" s="8" t="n">
        <v>4703</v>
      </c>
      <c r="B3712" s="5" t="n">
        <v>162</v>
      </c>
      <c r="C3712" s="72" t="inlineStr">
        <is>
          <t>X</t>
        </is>
      </c>
      <c r="D3712" s="5" t="n">
        <v>260</v>
      </c>
      <c r="E3712" s="73">
        <f>B3712*D3712/10000</f>
        <v/>
      </c>
      <c r="F3712" s="74">
        <f>B3712/30.48</f>
        <v/>
      </c>
      <c r="G3712" s="74">
        <f>D3712/30.48</f>
        <v/>
      </c>
      <c r="H3712" s="615" t="n"/>
    </row>
    <row r="3713" ht="18" customHeight="1" s="305">
      <c r="A3713" s="8" t="n">
        <v>4704</v>
      </c>
      <c r="B3713" s="5" t="n">
        <v>82</v>
      </c>
      <c r="C3713" s="72" t="inlineStr">
        <is>
          <t>X</t>
        </is>
      </c>
      <c r="D3713" s="5" t="n">
        <v>320</v>
      </c>
      <c r="E3713" s="73">
        <f>B3713*D3713/10000</f>
        <v/>
      </c>
      <c r="F3713" s="74">
        <f>B3713/30.48</f>
        <v/>
      </c>
      <c r="G3713" s="74">
        <f>D3713/30.48</f>
        <v/>
      </c>
      <c r="H3713" s="615" t="n"/>
    </row>
    <row r="3714" ht="18" customHeight="1" s="305">
      <c r="A3714" s="8" t="n">
        <v>4705</v>
      </c>
      <c r="B3714" s="5" t="n">
        <v>173</v>
      </c>
      <c r="C3714" s="72" t="inlineStr">
        <is>
          <t>X</t>
        </is>
      </c>
      <c r="D3714" s="5" t="n">
        <v>278</v>
      </c>
      <c r="E3714" s="73">
        <f>B3714*D3714/10000</f>
        <v/>
      </c>
      <c r="F3714" s="74">
        <f>B3714/30.48</f>
        <v/>
      </c>
      <c r="G3714" s="74">
        <f>D3714/30.48</f>
        <v/>
      </c>
      <c r="H3714" s="615" t="n"/>
    </row>
    <row r="3715" ht="18" customHeight="1" s="305">
      <c r="A3715" s="8" t="n">
        <v>4706</v>
      </c>
      <c r="B3715" s="5" t="n">
        <v>113</v>
      </c>
      <c r="C3715" s="72" t="inlineStr">
        <is>
          <t>X</t>
        </is>
      </c>
      <c r="D3715" s="5" t="n">
        <v>208</v>
      </c>
      <c r="E3715" s="73">
        <f>B3715*D3715/10000</f>
        <v/>
      </c>
      <c r="F3715" s="74">
        <f>B3715/30.48</f>
        <v/>
      </c>
      <c r="G3715" s="74">
        <f>D3715/30.48</f>
        <v/>
      </c>
      <c r="H3715" s="615" t="n"/>
    </row>
    <row r="3716" ht="18" customHeight="1" s="305">
      <c r="A3716" s="8" t="n">
        <v>4707</v>
      </c>
      <c r="B3716" s="5" t="n">
        <v>196</v>
      </c>
      <c r="C3716" s="72" t="inlineStr">
        <is>
          <t>X</t>
        </is>
      </c>
      <c r="D3716" s="5" t="n">
        <v>304</v>
      </c>
      <c r="E3716" s="73">
        <f>B3716*D3716/10000</f>
        <v/>
      </c>
      <c r="F3716" s="74">
        <f>B3716/30.48</f>
        <v/>
      </c>
      <c r="G3716" s="74">
        <f>D3716/30.48</f>
        <v/>
      </c>
      <c r="H3716" s="615" t="n"/>
    </row>
    <row r="3717" ht="18" customHeight="1" s="305">
      <c r="A3717" s="8" t="n">
        <v>4708</v>
      </c>
      <c r="B3717" s="5" t="n">
        <v>82</v>
      </c>
      <c r="C3717" s="72" t="inlineStr">
        <is>
          <t>X</t>
        </is>
      </c>
      <c r="D3717" s="5" t="n">
        <v>183</v>
      </c>
      <c r="E3717" s="73">
        <f>B3717*D3717/10000</f>
        <v/>
      </c>
      <c r="F3717" s="74">
        <f>B3717/30.48</f>
        <v/>
      </c>
      <c r="G3717" s="74">
        <f>D3717/30.48</f>
        <v/>
      </c>
      <c r="H3717" s="615" t="n"/>
    </row>
    <row r="3718" ht="18" customHeight="1" s="305">
      <c r="A3718" s="8" t="n">
        <v>4709</v>
      </c>
      <c r="B3718" s="5" t="n">
        <v>120</v>
      </c>
      <c r="C3718" s="72" t="inlineStr">
        <is>
          <t>X</t>
        </is>
      </c>
      <c r="D3718" s="5" t="n">
        <v>205</v>
      </c>
      <c r="E3718" s="73">
        <f>B3718*D3718/10000</f>
        <v/>
      </c>
      <c r="F3718" s="74">
        <f>B3718/30.48</f>
        <v/>
      </c>
      <c r="G3718" s="74">
        <f>D3718/30.48</f>
        <v/>
      </c>
      <c r="H3718" s="615" t="n"/>
    </row>
    <row r="3719" ht="18" customHeight="1" s="305">
      <c r="A3719" s="8" t="n">
        <v>4710</v>
      </c>
      <c r="B3719" s="5" t="n">
        <v>77</v>
      </c>
      <c r="C3719" s="72" t="inlineStr">
        <is>
          <t>X</t>
        </is>
      </c>
      <c r="D3719" s="5" t="n">
        <v>195</v>
      </c>
      <c r="E3719" s="73">
        <f>B3719*D3719/10000</f>
        <v/>
      </c>
      <c r="F3719" s="74">
        <f>B3719/30.48</f>
        <v/>
      </c>
      <c r="G3719" s="74">
        <f>D3719/30.48</f>
        <v/>
      </c>
      <c r="H3719" s="615" t="n"/>
    </row>
    <row r="3720" ht="18" customHeight="1" s="305">
      <c r="A3720" s="8" t="n">
        <v>4711</v>
      </c>
      <c r="B3720" s="5" t="n">
        <v>115</v>
      </c>
      <c r="C3720" s="72" t="inlineStr">
        <is>
          <t>X</t>
        </is>
      </c>
      <c r="D3720" s="5" t="n">
        <v>220</v>
      </c>
      <c r="E3720" s="73">
        <f>B3720*D3720/10000</f>
        <v/>
      </c>
      <c r="F3720" s="74">
        <f>B3720/30.48</f>
        <v/>
      </c>
      <c r="G3720" s="74">
        <f>D3720/30.48</f>
        <v/>
      </c>
      <c r="H3720" s="615" t="n"/>
    </row>
    <row r="3721" ht="18" customHeight="1" s="305">
      <c r="A3721" s="8" t="n">
        <v>4712</v>
      </c>
      <c r="B3721" s="5" t="n">
        <v>180</v>
      </c>
      <c r="C3721" s="72" t="inlineStr">
        <is>
          <t>X</t>
        </is>
      </c>
      <c r="D3721" s="5" t="n">
        <v>296</v>
      </c>
      <c r="E3721" s="73">
        <f>B3721*D3721/10000</f>
        <v/>
      </c>
      <c r="F3721" s="74">
        <f>B3721/30.48</f>
        <v/>
      </c>
      <c r="G3721" s="74">
        <f>D3721/30.48</f>
        <v/>
      </c>
      <c r="H3721" s="615" t="n"/>
    </row>
    <row r="3722" ht="18" customHeight="1" s="305">
      <c r="A3722" s="8" t="n">
        <v>4713</v>
      </c>
      <c r="B3722" s="5" t="n">
        <v>159</v>
      </c>
      <c r="C3722" s="72" t="inlineStr">
        <is>
          <t>X</t>
        </is>
      </c>
      <c r="D3722" s="5" t="n">
        <v>256</v>
      </c>
      <c r="E3722" s="73">
        <f>B3722*D3722/10000</f>
        <v/>
      </c>
      <c r="F3722" s="74">
        <f>B3722/30.48</f>
        <v/>
      </c>
      <c r="G3722" s="74">
        <f>D3722/30.48</f>
        <v/>
      </c>
      <c r="H3722" s="615" t="n"/>
    </row>
    <row r="3723" ht="18" customHeight="1" s="305">
      <c r="A3723" s="8" t="n">
        <v>4714</v>
      </c>
      <c r="B3723" s="5" t="n">
        <v>207</v>
      </c>
      <c r="C3723" s="72" t="inlineStr">
        <is>
          <t>X</t>
        </is>
      </c>
      <c r="D3723" s="5" t="n">
        <v>289</v>
      </c>
      <c r="E3723" s="73">
        <f>B3723*D3723/10000</f>
        <v/>
      </c>
      <c r="F3723" s="74">
        <f>B3723/30.48</f>
        <v/>
      </c>
      <c r="G3723" s="74">
        <f>D3723/30.48</f>
        <v/>
      </c>
      <c r="H3723" s="615" t="n"/>
    </row>
    <row r="3724" ht="18" customHeight="1" s="305">
      <c r="A3724" s="8" t="n">
        <v>4715</v>
      </c>
      <c r="B3724" s="5" t="n">
        <v>245</v>
      </c>
      <c r="C3724" s="72" t="inlineStr">
        <is>
          <t>X</t>
        </is>
      </c>
      <c r="D3724" s="5" t="n">
        <v>347</v>
      </c>
      <c r="E3724" s="73">
        <f>B3724*D3724/10000</f>
        <v/>
      </c>
      <c r="F3724" s="74">
        <f>B3724/30.48</f>
        <v/>
      </c>
      <c r="G3724" s="74">
        <f>D3724/30.48</f>
        <v/>
      </c>
      <c r="H3724" s="615" t="n"/>
    </row>
    <row r="3725" ht="18" customHeight="1" s="305">
      <c r="A3725" s="8" t="n">
        <v>4716</v>
      </c>
      <c r="B3725" s="5" t="n">
        <v>157</v>
      </c>
      <c r="C3725" s="72" t="inlineStr">
        <is>
          <t>X</t>
        </is>
      </c>
      <c r="D3725" s="5" t="n">
        <v>267</v>
      </c>
      <c r="E3725" s="73">
        <f>B3725*D3725/10000</f>
        <v/>
      </c>
      <c r="F3725" s="74">
        <f>B3725/30.48</f>
        <v/>
      </c>
      <c r="G3725" s="74">
        <f>D3725/30.48</f>
        <v/>
      </c>
      <c r="H3725" s="615" t="n"/>
    </row>
    <row r="3726" ht="18" customHeight="1" s="305">
      <c r="A3726" s="8" t="n">
        <v>4717</v>
      </c>
      <c r="B3726" s="5" t="n">
        <v>200</v>
      </c>
      <c r="C3726" s="72" t="inlineStr">
        <is>
          <t>X</t>
        </is>
      </c>
      <c r="D3726" s="5" t="n">
        <v>294</v>
      </c>
      <c r="E3726" s="73">
        <f>B3726*D3726/10000</f>
        <v/>
      </c>
      <c r="F3726" s="74">
        <f>B3726/30.48</f>
        <v/>
      </c>
      <c r="G3726" s="74">
        <f>D3726/30.48</f>
        <v/>
      </c>
      <c r="H3726" s="615" t="n"/>
    </row>
    <row r="3727" ht="18" customHeight="1" s="305">
      <c r="A3727" s="8" t="n">
        <v>4718</v>
      </c>
      <c r="B3727" s="5" t="n">
        <v>194</v>
      </c>
      <c r="C3727" s="72" t="inlineStr">
        <is>
          <t>X</t>
        </is>
      </c>
      <c r="D3727" s="5" t="n">
        <v>287</v>
      </c>
      <c r="E3727" s="73">
        <f>B3727*D3727/10000</f>
        <v/>
      </c>
      <c r="F3727" s="74">
        <f>B3727/30.48</f>
        <v/>
      </c>
      <c r="G3727" s="74">
        <f>D3727/30.48</f>
        <v/>
      </c>
      <c r="H3727" s="615" t="n"/>
    </row>
    <row r="3728" ht="18" customHeight="1" s="305">
      <c r="A3728" s="8" t="n">
        <v>4719</v>
      </c>
      <c r="B3728" s="5" t="n">
        <v>215</v>
      </c>
      <c r="C3728" s="72" t="inlineStr">
        <is>
          <t>X</t>
        </is>
      </c>
      <c r="D3728" s="5" t="n">
        <v>353</v>
      </c>
      <c r="E3728" s="73">
        <f>B3728*D3728/10000</f>
        <v/>
      </c>
      <c r="F3728" s="74">
        <f>B3728/30.48</f>
        <v/>
      </c>
      <c r="G3728" s="74">
        <f>D3728/30.48</f>
        <v/>
      </c>
      <c r="H3728" s="615" t="n"/>
    </row>
    <row r="3729" ht="18" customHeight="1" s="305">
      <c r="A3729" s="8" t="n">
        <v>4720</v>
      </c>
      <c r="B3729" s="5" t="n">
        <v>178</v>
      </c>
      <c r="C3729" s="72" t="inlineStr">
        <is>
          <t>X</t>
        </is>
      </c>
      <c r="D3729" s="5" t="n">
        <v>274</v>
      </c>
      <c r="E3729" s="73">
        <f>B3729*D3729/10000</f>
        <v/>
      </c>
      <c r="F3729" s="74">
        <f>B3729/30.48</f>
        <v/>
      </c>
      <c r="G3729" s="74">
        <f>D3729/30.48</f>
        <v/>
      </c>
      <c r="H3729" s="615" t="n"/>
    </row>
    <row r="3730" ht="18" customHeight="1" s="305">
      <c r="A3730" s="8" t="n">
        <v>4721</v>
      </c>
      <c r="B3730" s="5" t="n">
        <v>176</v>
      </c>
      <c r="C3730" s="72" t="inlineStr">
        <is>
          <t>X</t>
        </is>
      </c>
      <c r="D3730" s="5" t="n">
        <v>326</v>
      </c>
      <c r="E3730" s="73">
        <f>B3730*D3730/10000</f>
        <v/>
      </c>
      <c r="F3730" s="74">
        <f>B3730/30.48</f>
        <v/>
      </c>
      <c r="G3730" s="74">
        <f>D3730/30.48</f>
        <v/>
      </c>
      <c r="H3730" s="615" t="n"/>
    </row>
    <row r="3731" ht="18" customHeight="1" s="305">
      <c r="A3731" s="8" t="n">
        <v>4722</v>
      </c>
      <c r="B3731" s="5" t="n">
        <v>124</v>
      </c>
      <c r="C3731" s="72" t="inlineStr">
        <is>
          <t>X</t>
        </is>
      </c>
      <c r="D3731" s="5" t="n">
        <v>335</v>
      </c>
      <c r="E3731" s="73">
        <f>B3731*D3731/10000</f>
        <v/>
      </c>
      <c r="F3731" s="74">
        <f>B3731/30.48</f>
        <v/>
      </c>
      <c r="G3731" s="74">
        <f>D3731/30.48</f>
        <v/>
      </c>
      <c r="H3731" s="615" t="n"/>
    </row>
    <row r="3732" ht="18" customHeight="1" s="305">
      <c r="A3732" s="8" t="n">
        <v>4723</v>
      </c>
      <c r="B3732" s="5" t="n">
        <v>90</v>
      </c>
      <c r="C3732" s="72" t="inlineStr">
        <is>
          <t>X</t>
        </is>
      </c>
      <c r="D3732" s="5" t="n">
        <v>335</v>
      </c>
      <c r="E3732" s="73">
        <f>B3732*D3732/10000</f>
        <v/>
      </c>
      <c r="F3732" s="74">
        <f>B3732/30.48</f>
        <v/>
      </c>
      <c r="G3732" s="74">
        <f>D3732/30.48</f>
        <v/>
      </c>
      <c r="H3732" s="615" t="n"/>
    </row>
    <row r="3733" ht="18" customHeight="1" s="305">
      <c r="A3733" s="8" t="n">
        <v>4725</v>
      </c>
      <c r="B3733" s="5" t="n">
        <v>111</v>
      </c>
      <c r="C3733" s="72" t="inlineStr">
        <is>
          <t>X</t>
        </is>
      </c>
      <c r="D3733" s="5" t="n">
        <v>310</v>
      </c>
      <c r="E3733" s="73">
        <f>B3733*D3733/10000</f>
        <v/>
      </c>
      <c r="F3733" s="74">
        <f>B3733/30.48</f>
        <v/>
      </c>
      <c r="G3733" s="74">
        <f>D3733/30.48</f>
        <v/>
      </c>
      <c r="H3733" s="615" t="n"/>
    </row>
    <row r="3734" ht="18" customHeight="1" s="305">
      <c r="A3734" s="8" t="n">
        <v>4726</v>
      </c>
      <c r="B3734" s="5" t="n">
        <v>91</v>
      </c>
      <c r="C3734" s="72" t="inlineStr">
        <is>
          <t>X</t>
        </is>
      </c>
      <c r="D3734" s="5" t="n">
        <v>400</v>
      </c>
      <c r="E3734" s="73">
        <f>B3734*D3734/10000</f>
        <v/>
      </c>
      <c r="F3734" s="74">
        <f>B3734/30.48</f>
        <v/>
      </c>
      <c r="G3734" s="74">
        <f>D3734/30.48</f>
        <v/>
      </c>
      <c r="H3734" s="615" t="n"/>
    </row>
    <row r="3735" ht="18" customHeight="1" s="305">
      <c r="A3735" s="8" t="n">
        <v>4727</v>
      </c>
      <c r="B3735" s="5" t="n">
        <v>103</v>
      </c>
      <c r="C3735" s="72" t="inlineStr">
        <is>
          <t>X</t>
        </is>
      </c>
      <c r="D3735" s="5" t="n">
        <v>295</v>
      </c>
      <c r="E3735" s="73">
        <f>B3735*D3735/10000</f>
        <v/>
      </c>
      <c r="F3735" s="74">
        <f>B3735/30.48</f>
        <v/>
      </c>
      <c r="G3735" s="74">
        <f>D3735/30.48</f>
        <v/>
      </c>
      <c r="H3735" s="615" t="n"/>
    </row>
    <row r="3736" ht="18" customHeight="1" s="305">
      <c r="A3736" s="8" t="n">
        <v>4729</v>
      </c>
      <c r="B3736" s="5" t="n">
        <v>94</v>
      </c>
      <c r="C3736" s="72" t="inlineStr">
        <is>
          <t>X</t>
        </is>
      </c>
      <c r="D3736" s="5" t="n">
        <v>286</v>
      </c>
      <c r="E3736" s="73">
        <f>B3736*D3736/10000</f>
        <v/>
      </c>
      <c r="F3736" s="74">
        <f>B3736/30.48</f>
        <v/>
      </c>
      <c r="G3736" s="74">
        <f>D3736/30.48</f>
        <v/>
      </c>
      <c r="H3736" s="615" t="n"/>
    </row>
    <row r="3737" ht="18" customHeight="1" s="305">
      <c r="A3737" s="8" t="n">
        <v>4731</v>
      </c>
      <c r="B3737" s="5" t="n">
        <v>115</v>
      </c>
      <c r="C3737" s="72" t="inlineStr">
        <is>
          <t>X</t>
        </is>
      </c>
      <c r="D3737" s="5" t="n">
        <v>131</v>
      </c>
      <c r="E3737" s="73">
        <f>B3737*D3737/10000</f>
        <v/>
      </c>
      <c r="F3737" s="74">
        <f>B3737/30.48</f>
        <v/>
      </c>
      <c r="G3737" s="74">
        <f>D3737/30.48</f>
        <v/>
      </c>
      <c r="H3737" s="615" t="n"/>
    </row>
    <row r="3738" ht="18" customHeight="1" s="305">
      <c r="A3738" s="8" t="n">
        <v>4733</v>
      </c>
      <c r="B3738" s="5" t="n">
        <v>107</v>
      </c>
      <c r="C3738" s="72" t="inlineStr">
        <is>
          <t>X</t>
        </is>
      </c>
      <c r="D3738" s="5" t="n">
        <v>256</v>
      </c>
      <c r="E3738" s="73">
        <f>B3738*D3738/10000</f>
        <v/>
      </c>
      <c r="F3738" s="74">
        <f>B3738/30.48</f>
        <v/>
      </c>
      <c r="G3738" s="74">
        <f>D3738/30.48</f>
        <v/>
      </c>
      <c r="H3738" s="615" t="n"/>
    </row>
    <row r="3739" ht="18" customHeight="1" s="305">
      <c r="A3739" s="8" t="n">
        <v>4734</v>
      </c>
      <c r="B3739" s="5" t="n">
        <v>89</v>
      </c>
      <c r="C3739" s="72" t="inlineStr">
        <is>
          <t>X</t>
        </is>
      </c>
      <c r="D3739" s="5" t="n">
        <v>390</v>
      </c>
      <c r="E3739" s="73">
        <f>B3739*D3739/10000</f>
        <v/>
      </c>
      <c r="F3739" s="74">
        <f>B3739/30.48</f>
        <v/>
      </c>
      <c r="G3739" s="74">
        <f>D3739/30.48</f>
        <v/>
      </c>
      <c r="H3739" s="615" t="n"/>
    </row>
    <row r="3740" ht="18" customHeight="1" s="305">
      <c r="A3740" s="8" t="n">
        <v>4735</v>
      </c>
      <c r="B3740" s="5" t="n">
        <v>173</v>
      </c>
      <c r="C3740" s="72" t="inlineStr">
        <is>
          <t>X</t>
        </is>
      </c>
      <c r="D3740" s="5" t="n">
        <v>250</v>
      </c>
      <c r="E3740" s="73">
        <f>B3740*D3740/10000</f>
        <v/>
      </c>
      <c r="F3740" s="74">
        <f>B3740/30.48</f>
        <v/>
      </c>
      <c r="G3740" s="74">
        <f>D3740/30.48</f>
        <v/>
      </c>
      <c r="H3740" s="615" t="n"/>
    </row>
    <row r="3741" ht="18" customHeight="1" s="305">
      <c r="A3741" s="8" t="n">
        <v>4737</v>
      </c>
      <c r="B3741" s="5" t="n">
        <v>75</v>
      </c>
      <c r="C3741" s="72" t="inlineStr">
        <is>
          <t>X</t>
        </is>
      </c>
      <c r="D3741" s="5" t="n">
        <v>192</v>
      </c>
      <c r="E3741" s="73">
        <f>B3741*D3741/10000</f>
        <v/>
      </c>
      <c r="F3741" s="74">
        <f>B3741/30.48</f>
        <v/>
      </c>
      <c r="G3741" s="74">
        <f>D3741/30.48</f>
        <v/>
      </c>
      <c r="H3741" s="615" t="n"/>
    </row>
    <row r="3742" ht="18" customHeight="1" s="305">
      <c r="A3742" s="8" t="n">
        <v>4738</v>
      </c>
      <c r="B3742" s="5" t="n">
        <v>170</v>
      </c>
      <c r="C3742" s="72" t="inlineStr">
        <is>
          <t>X</t>
        </is>
      </c>
      <c r="D3742" s="5" t="n">
        <v>297</v>
      </c>
      <c r="E3742" s="73">
        <f>B3742*D3742/10000</f>
        <v/>
      </c>
      <c r="F3742" s="74">
        <f>B3742/30.48</f>
        <v/>
      </c>
      <c r="G3742" s="74">
        <f>D3742/30.48</f>
        <v/>
      </c>
      <c r="H3742" s="615" t="n"/>
    </row>
    <row r="3743" ht="18" customHeight="1" s="305">
      <c r="A3743" s="8" t="n">
        <v>4740</v>
      </c>
      <c r="B3743" s="5" t="n">
        <v>160</v>
      </c>
      <c r="C3743" s="72" t="inlineStr">
        <is>
          <t>X</t>
        </is>
      </c>
      <c r="D3743" s="5" t="n">
        <v>354</v>
      </c>
      <c r="E3743" s="73">
        <f>B3743*D3743/10000</f>
        <v/>
      </c>
      <c r="F3743" s="74">
        <f>B3743/30.48</f>
        <v/>
      </c>
      <c r="G3743" s="74">
        <f>D3743/30.48</f>
        <v/>
      </c>
      <c r="H3743" s="615" t="n"/>
    </row>
    <row r="3744" ht="18" customHeight="1" s="305">
      <c r="A3744" s="8" t="n">
        <v>4741</v>
      </c>
      <c r="B3744" s="5" t="n">
        <v>120</v>
      </c>
      <c r="C3744" s="72" t="inlineStr">
        <is>
          <t>X</t>
        </is>
      </c>
      <c r="D3744" s="5" t="n">
        <v>285</v>
      </c>
      <c r="E3744" s="73">
        <f>B3744*D3744/10000</f>
        <v/>
      </c>
      <c r="F3744" s="74">
        <f>B3744/30.48</f>
        <v/>
      </c>
      <c r="G3744" s="74">
        <f>D3744/30.48</f>
        <v/>
      </c>
      <c r="H3744" s="615" t="n"/>
    </row>
    <row r="3745" ht="18" customHeight="1" s="305">
      <c r="A3745" s="8" t="n">
        <v>4742</v>
      </c>
      <c r="B3745" s="5" t="n">
        <v>100</v>
      </c>
      <c r="C3745" s="72" t="inlineStr">
        <is>
          <t>X</t>
        </is>
      </c>
      <c r="D3745" s="5" t="n">
        <v>268</v>
      </c>
      <c r="E3745" s="73">
        <f>B3745*D3745/10000</f>
        <v/>
      </c>
      <c r="F3745" s="74">
        <f>B3745/30.48</f>
        <v/>
      </c>
      <c r="G3745" s="74">
        <f>D3745/30.48</f>
        <v/>
      </c>
      <c r="H3745" s="615" t="n"/>
    </row>
    <row r="3746" ht="18" customHeight="1" s="305">
      <c r="A3746" s="8" t="n">
        <v>4743</v>
      </c>
      <c r="B3746" s="5" t="n">
        <v>96</v>
      </c>
      <c r="C3746" s="72" t="inlineStr">
        <is>
          <t>X</t>
        </is>
      </c>
      <c r="D3746" s="5" t="n">
        <v>355</v>
      </c>
      <c r="E3746" s="73">
        <f>B3746*D3746/10000</f>
        <v/>
      </c>
      <c r="F3746" s="74">
        <f>B3746/30.48</f>
        <v/>
      </c>
      <c r="G3746" s="74">
        <f>D3746/30.48</f>
        <v/>
      </c>
      <c r="H3746" s="615" t="n"/>
    </row>
    <row r="3747" ht="18" customHeight="1" s="305">
      <c r="A3747" s="8" t="n">
        <v>4744</v>
      </c>
      <c r="B3747" s="5" t="n">
        <v>88</v>
      </c>
      <c r="C3747" s="72" t="inlineStr">
        <is>
          <t>X</t>
        </is>
      </c>
      <c r="D3747" s="5" t="n">
        <v>307</v>
      </c>
      <c r="E3747" s="73">
        <f>B3747*D3747/10000</f>
        <v/>
      </c>
      <c r="F3747" s="74">
        <f>B3747/30.48</f>
        <v/>
      </c>
      <c r="G3747" s="74">
        <f>D3747/30.48</f>
        <v/>
      </c>
      <c r="H3747" s="615" t="n"/>
    </row>
    <row r="3748" ht="18" customHeight="1" s="305">
      <c r="A3748" s="8" t="n">
        <v>4746</v>
      </c>
      <c r="B3748" s="5" t="n">
        <v>100</v>
      </c>
      <c r="C3748" s="72" t="inlineStr">
        <is>
          <t>X</t>
        </is>
      </c>
      <c r="D3748" s="5" t="n">
        <v>280</v>
      </c>
      <c r="E3748" s="73">
        <f>B3748*D3748/10000</f>
        <v/>
      </c>
      <c r="F3748" s="74">
        <f>B3748/30.48</f>
        <v/>
      </c>
      <c r="G3748" s="74">
        <f>D3748/30.48</f>
        <v/>
      </c>
      <c r="H3748" s="615" t="n"/>
    </row>
    <row r="3749" ht="18" customHeight="1" s="305">
      <c r="A3749" s="8" t="n">
        <v>4748</v>
      </c>
      <c r="B3749" s="5" t="n">
        <v>73</v>
      </c>
      <c r="C3749" s="72" t="inlineStr">
        <is>
          <t>X</t>
        </is>
      </c>
      <c r="D3749" s="5" t="n">
        <v>319</v>
      </c>
      <c r="E3749" s="73">
        <f>B3749*D3749/10000</f>
        <v/>
      </c>
      <c r="F3749" s="74">
        <f>B3749/30.48</f>
        <v/>
      </c>
      <c r="G3749" s="74">
        <f>D3749/30.48</f>
        <v/>
      </c>
      <c r="H3749" s="615" t="n"/>
    </row>
    <row r="3750" ht="18" customHeight="1" s="305">
      <c r="A3750" s="8" t="n">
        <v>4749</v>
      </c>
      <c r="B3750" s="5" t="n">
        <v>90</v>
      </c>
      <c r="C3750" s="72" t="inlineStr">
        <is>
          <t>X</t>
        </is>
      </c>
      <c r="D3750" s="5" t="n">
        <v>263</v>
      </c>
      <c r="E3750" s="73">
        <f>B3750*D3750/10000</f>
        <v/>
      </c>
      <c r="F3750" s="74">
        <f>B3750/30.48</f>
        <v/>
      </c>
      <c r="G3750" s="74">
        <f>D3750/30.48</f>
        <v/>
      </c>
      <c r="H3750" s="615" t="n"/>
    </row>
    <row r="3751" ht="18" customHeight="1" s="305">
      <c r="A3751" s="8" t="n">
        <v>4750</v>
      </c>
      <c r="B3751" s="5" t="n">
        <v>105</v>
      </c>
      <c r="C3751" s="72" t="inlineStr">
        <is>
          <t>X</t>
        </is>
      </c>
      <c r="D3751" s="5" t="n">
        <v>301</v>
      </c>
      <c r="E3751" s="73">
        <f>B3751*D3751/10000</f>
        <v/>
      </c>
      <c r="F3751" s="74">
        <f>B3751/30.48</f>
        <v/>
      </c>
      <c r="G3751" s="74">
        <f>D3751/30.48</f>
        <v/>
      </c>
      <c r="H3751" s="615" t="n"/>
    </row>
    <row r="3752" ht="18" customHeight="1" s="305">
      <c r="A3752" s="8" t="n">
        <v>4751</v>
      </c>
      <c r="B3752" s="5" t="n">
        <v>111</v>
      </c>
      <c r="C3752" s="72" t="inlineStr">
        <is>
          <t>X</t>
        </is>
      </c>
      <c r="D3752" s="5" t="n">
        <v>293</v>
      </c>
      <c r="E3752" s="73">
        <f>B3752*D3752/10000</f>
        <v/>
      </c>
      <c r="F3752" s="74">
        <f>B3752/30.48</f>
        <v/>
      </c>
      <c r="G3752" s="74">
        <f>D3752/30.48</f>
        <v/>
      </c>
      <c r="H3752" s="615" t="n"/>
    </row>
    <row r="3753" ht="18" customHeight="1" s="305">
      <c r="A3753" s="8" t="n">
        <v>4752</v>
      </c>
      <c r="B3753" s="5" t="n">
        <v>108</v>
      </c>
      <c r="C3753" s="72" t="inlineStr">
        <is>
          <t>X</t>
        </is>
      </c>
      <c r="D3753" s="5" t="n">
        <v>311</v>
      </c>
      <c r="E3753" s="73">
        <f>B3753*D3753/10000</f>
        <v/>
      </c>
      <c r="F3753" s="74">
        <f>B3753/30.48</f>
        <v/>
      </c>
      <c r="G3753" s="74">
        <f>D3753/30.48</f>
        <v/>
      </c>
      <c r="H3753" s="615" t="n"/>
    </row>
    <row r="3754" ht="18" customHeight="1" s="305">
      <c r="A3754" s="8" t="n">
        <v>4753</v>
      </c>
      <c r="B3754" s="5" t="n">
        <v>93</v>
      </c>
      <c r="C3754" s="72" t="inlineStr">
        <is>
          <t>X</t>
        </is>
      </c>
      <c r="D3754" s="5" t="n">
        <v>262</v>
      </c>
      <c r="E3754" s="73">
        <f>B3754*D3754/10000</f>
        <v/>
      </c>
      <c r="F3754" s="74">
        <f>B3754/30.48</f>
        <v/>
      </c>
      <c r="G3754" s="74">
        <f>D3754/30.48</f>
        <v/>
      </c>
      <c r="H3754" s="615" t="n"/>
    </row>
    <row r="3755" ht="18" customHeight="1" s="305">
      <c r="A3755" s="8" t="n">
        <v>4754</v>
      </c>
      <c r="B3755" s="5" t="n">
        <v>83</v>
      </c>
      <c r="C3755" s="72" t="inlineStr">
        <is>
          <t>X</t>
        </is>
      </c>
      <c r="D3755" s="5" t="n">
        <v>350</v>
      </c>
      <c r="E3755" s="73">
        <f>B3755*D3755/10000</f>
        <v/>
      </c>
      <c r="F3755" s="74">
        <f>B3755/30.48</f>
        <v/>
      </c>
      <c r="G3755" s="74">
        <f>D3755/30.48</f>
        <v/>
      </c>
      <c r="H3755" s="615" t="n"/>
    </row>
    <row r="3756" ht="18" customHeight="1" s="305">
      <c r="A3756" s="8" t="n">
        <v>4755</v>
      </c>
      <c r="B3756" s="5" t="n">
        <v>124</v>
      </c>
      <c r="C3756" s="72" t="inlineStr">
        <is>
          <t>X</t>
        </is>
      </c>
      <c r="D3756" s="5" t="n">
        <v>254</v>
      </c>
      <c r="E3756" s="73">
        <f>B3756*D3756/10000</f>
        <v/>
      </c>
      <c r="F3756" s="74">
        <f>B3756/30.48</f>
        <v/>
      </c>
      <c r="G3756" s="74">
        <f>D3756/30.48</f>
        <v/>
      </c>
      <c r="H3756" s="615" t="n"/>
    </row>
    <row r="3757" ht="18" customHeight="1" s="305">
      <c r="A3757" s="8" t="n">
        <v>4756</v>
      </c>
      <c r="B3757" s="5" t="n">
        <v>123</v>
      </c>
      <c r="C3757" s="72" t="inlineStr">
        <is>
          <t>X</t>
        </is>
      </c>
      <c r="D3757" s="5" t="n">
        <v>312</v>
      </c>
      <c r="E3757" s="73">
        <f>B3757*D3757/10000</f>
        <v/>
      </c>
      <c r="F3757" s="74">
        <f>B3757/30.48</f>
        <v/>
      </c>
      <c r="G3757" s="74">
        <f>D3757/30.48</f>
        <v/>
      </c>
      <c r="H3757" s="615" t="n"/>
    </row>
    <row r="3758" ht="18" customHeight="1" s="305">
      <c r="A3758" s="8" t="n">
        <v>4757</v>
      </c>
      <c r="B3758" s="5" t="n">
        <v>106</v>
      </c>
      <c r="C3758" s="72" t="inlineStr">
        <is>
          <t>X</t>
        </is>
      </c>
      <c r="D3758" s="5" t="n">
        <v>296</v>
      </c>
      <c r="E3758" s="73">
        <f>B3758*D3758/10000</f>
        <v/>
      </c>
      <c r="F3758" s="74">
        <f>B3758/30.48</f>
        <v/>
      </c>
      <c r="G3758" s="74">
        <f>D3758/30.48</f>
        <v/>
      </c>
      <c r="H3758" s="615" t="n"/>
    </row>
    <row r="3759" ht="18" customHeight="1" s="305">
      <c r="A3759" s="8" t="n">
        <v>4758</v>
      </c>
      <c r="B3759" s="5" t="n">
        <v>125</v>
      </c>
      <c r="C3759" s="72" t="inlineStr">
        <is>
          <t>X</t>
        </is>
      </c>
      <c r="D3759" s="5" t="n">
        <v>318</v>
      </c>
      <c r="E3759" s="73">
        <f>B3759*D3759/10000</f>
        <v/>
      </c>
      <c r="F3759" s="74">
        <f>B3759/30.48</f>
        <v/>
      </c>
      <c r="G3759" s="74">
        <f>D3759/30.48</f>
        <v/>
      </c>
      <c r="H3759" s="615" t="n"/>
    </row>
    <row r="3760" ht="18" customHeight="1" s="305">
      <c r="A3760" s="8" t="n">
        <v>4759</v>
      </c>
      <c r="B3760" s="5" t="n">
        <v>100</v>
      </c>
      <c r="C3760" s="72" t="inlineStr">
        <is>
          <t>X</t>
        </is>
      </c>
      <c r="D3760" s="5" t="n">
        <v>274</v>
      </c>
      <c r="E3760" s="73">
        <f>B3760*D3760/10000</f>
        <v/>
      </c>
      <c r="F3760" s="74">
        <f>B3760/30.48</f>
        <v/>
      </c>
      <c r="G3760" s="74">
        <f>D3760/30.48</f>
        <v/>
      </c>
      <c r="H3760" s="615" t="n"/>
    </row>
    <row r="3761" ht="18" customHeight="1" s="305">
      <c r="A3761" s="8" t="n">
        <v>4760</v>
      </c>
      <c r="B3761" s="5" t="n">
        <v>98</v>
      </c>
      <c r="C3761" s="72" t="inlineStr">
        <is>
          <t>X</t>
        </is>
      </c>
      <c r="D3761" s="5" t="n">
        <v>295</v>
      </c>
      <c r="E3761" s="73">
        <f>B3761*D3761/10000</f>
        <v/>
      </c>
      <c r="F3761" s="74">
        <f>B3761/30.48</f>
        <v/>
      </c>
      <c r="G3761" s="74">
        <f>D3761/30.48</f>
        <v/>
      </c>
      <c r="H3761" s="615" t="n"/>
    </row>
    <row r="3762" ht="18" customHeight="1" s="305">
      <c r="A3762" s="8" t="n">
        <v>4761</v>
      </c>
      <c r="B3762" s="5" t="n">
        <v>112</v>
      </c>
      <c r="C3762" s="72" t="inlineStr">
        <is>
          <t>X</t>
        </is>
      </c>
      <c r="D3762" s="5" t="n">
        <v>272</v>
      </c>
      <c r="E3762" s="73">
        <f>B3762*D3762/10000</f>
        <v/>
      </c>
      <c r="F3762" s="74">
        <f>B3762/30.48</f>
        <v/>
      </c>
      <c r="G3762" s="74">
        <f>D3762/30.48</f>
        <v/>
      </c>
      <c r="H3762" s="615" t="n"/>
    </row>
    <row r="3763" ht="18" customHeight="1" s="305">
      <c r="A3763" s="8" t="n">
        <v>4762</v>
      </c>
      <c r="B3763" s="5" t="n">
        <v>108</v>
      </c>
      <c r="C3763" s="72" t="inlineStr">
        <is>
          <t>X</t>
        </is>
      </c>
      <c r="D3763" s="5" t="n">
        <v>288</v>
      </c>
      <c r="E3763" s="73">
        <f>B3763*D3763/10000</f>
        <v/>
      </c>
      <c r="F3763" s="74">
        <f>B3763/30.48</f>
        <v/>
      </c>
      <c r="G3763" s="74">
        <f>D3763/30.48</f>
        <v/>
      </c>
      <c r="H3763" s="615" t="n"/>
    </row>
    <row r="3764" ht="18" customHeight="1" s="305">
      <c r="A3764" s="8" t="n">
        <v>4763</v>
      </c>
      <c r="B3764" s="5" t="n">
        <v>100</v>
      </c>
      <c r="C3764" s="72" t="inlineStr">
        <is>
          <t>X</t>
        </is>
      </c>
      <c r="D3764" s="5" t="n">
        <v>290</v>
      </c>
      <c r="E3764" s="73">
        <f>B3764*D3764/10000</f>
        <v/>
      </c>
      <c r="F3764" s="74">
        <f>B3764/30.48</f>
        <v/>
      </c>
      <c r="G3764" s="74">
        <f>D3764/30.48</f>
        <v/>
      </c>
      <c r="H3764" s="615" t="n"/>
    </row>
    <row r="3765" ht="18" customHeight="1" s="305">
      <c r="A3765" s="8" t="n">
        <v>4764</v>
      </c>
      <c r="B3765" s="5" t="n">
        <v>99</v>
      </c>
      <c r="C3765" s="72" t="inlineStr">
        <is>
          <t>X</t>
        </is>
      </c>
      <c r="D3765" s="5" t="n">
        <v>285</v>
      </c>
      <c r="E3765" s="73">
        <f>B3765*D3765/10000</f>
        <v/>
      </c>
      <c r="F3765" s="74">
        <f>B3765/30.48</f>
        <v/>
      </c>
      <c r="G3765" s="74">
        <f>D3765/30.48</f>
        <v/>
      </c>
      <c r="H3765" s="615" t="n"/>
    </row>
    <row r="3766" ht="18" customHeight="1" s="305">
      <c r="A3766" s="8" t="n">
        <v>4765</v>
      </c>
      <c r="B3766" s="5" t="n">
        <v>114</v>
      </c>
      <c r="C3766" s="72" t="inlineStr">
        <is>
          <t>X</t>
        </is>
      </c>
      <c r="D3766" s="5" t="n">
        <v>210</v>
      </c>
      <c r="E3766" s="73">
        <f>B3766*D3766/10000</f>
        <v/>
      </c>
      <c r="F3766" s="74">
        <f>B3766/30.48</f>
        <v/>
      </c>
      <c r="G3766" s="74">
        <f>D3766/30.48</f>
        <v/>
      </c>
      <c r="H3766" s="615" t="n"/>
    </row>
    <row r="3767" ht="18" customHeight="1" s="305">
      <c r="A3767" s="8" t="n">
        <v>4767</v>
      </c>
      <c r="B3767" s="5" t="n">
        <v>115</v>
      </c>
      <c r="C3767" s="72" t="inlineStr">
        <is>
          <t>X</t>
        </is>
      </c>
      <c r="D3767" s="5" t="n">
        <v>386</v>
      </c>
      <c r="E3767" s="73">
        <f>B3767*D3767/10000</f>
        <v/>
      </c>
      <c r="F3767" s="74">
        <f>B3767/30.48</f>
        <v/>
      </c>
      <c r="G3767" s="74">
        <f>D3767/30.48</f>
        <v/>
      </c>
      <c r="H3767" s="615" t="n"/>
    </row>
    <row r="3768" ht="18" customHeight="1" s="305">
      <c r="A3768" s="8" t="n">
        <v>4768</v>
      </c>
      <c r="B3768" s="5" t="n">
        <v>97</v>
      </c>
      <c r="C3768" s="72" t="inlineStr">
        <is>
          <t>X</t>
        </is>
      </c>
      <c r="D3768" s="5" t="n">
        <v>289</v>
      </c>
      <c r="E3768" s="73">
        <f>B3768*D3768/10000</f>
        <v/>
      </c>
      <c r="F3768" s="74">
        <f>B3768/30.48</f>
        <v/>
      </c>
      <c r="G3768" s="74">
        <f>D3768/30.48</f>
        <v/>
      </c>
      <c r="H3768" s="615" t="n"/>
    </row>
    <row r="3769" ht="18" customHeight="1" s="305">
      <c r="A3769" s="8" t="n">
        <v>4769</v>
      </c>
      <c r="B3769" s="5" t="n">
        <v>197</v>
      </c>
      <c r="C3769" s="72" t="inlineStr">
        <is>
          <t>X</t>
        </is>
      </c>
      <c r="D3769" s="5" t="n">
        <v>280</v>
      </c>
      <c r="E3769" s="73">
        <f>B3769*D3769/10000</f>
        <v/>
      </c>
      <c r="F3769" s="74">
        <f>B3769/30.48</f>
        <v/>
      </c>
      <c r="G3769" s="74">
        <f>D3769/30.48</f>
        <v/>
      </c>
      <c r="H3769" s="615" t="n"/>
    </row>
    <row r="3770" ht="18" customHeight="1" s="305">
      <c r="A3770" s="8" t="n">
        <v>4770</v>
      </c>
      <c r="B3770" s="5" t="n">
        <v>119</v>
      </c>
      <c r="C3770" s="72" t="inlineStr">
        <is>
          <t>X</t>
        </is>
      </c>
      <c r="D3770" s="5" t="n">
        <v>316</v>
      </c>
      <c r="E3770" s="73">
        <f>B3770*D3770/10000</f>
        <v/>
      </c>
      <c r="F3770" s="74">
        <f>B3770/30.48</f>
        <v/>
      </c>
      <c r="G3770" s="74">
        <f>D3770/30.48</f>
        <v/>
      </c>
      <c r="H3770" s="615" t="n"/>
    </row>
    <row r="3771" ht="18" customHeight="1" s="305">
      <c r="A3771" s="8" t="n">
        <v>4771</v>
      </c>
      <c r="B3771" s="5" t="n">
        <v>103</v>
      </c>
      <c r="C3771" s="72" t="inlineStr">
        <is>
          <t>X</t>
        </is>
      </c>
      <c r="D3771" s="5" t="n">
        <v>180</v>
      </c>
      <c r="E3771" s="73">
        <f>B3771*D3771/10000</f>
        <v/>
      </c>
      <c r="F3771" s="74">
        <f>B3771/30.48</f>
        <v/>
      </c>
      <c r="G3771" s="74">
        <f>D3771/30.48</f>
        <v/>
      </c>
      <c r="H3771" s="615" t="n"/>
    </row>
    <row r="3772" ht="18" customHeight="1" s="305">
      <c r="A3772" s="8" t="n">
        <v>4772</v>
      </c>
      <c r="B3772" s="5" t="n">
        <v>124</v>
      </c>
      <c r="C3772" s="72" t="inlineStr">
        <is>
          <t>X</t>
        </is>
      </c>
      <c r="D3772" s="5" t="n">
        <v>187</v>
      </c>
      <c r="E3772" s="73">
        <f>B3772*D3772/10000</f>
        <v/>
      </c>
      <c r="F3772" s="74">
        <f>B3772/30.48</f>
        <v/>
      </c>
      <c r="G3772" s="74">
        <f>D3772/30.48</f>
        <v/>
      </c>
      <c r="H3772" s="615" t="n"/>
    </row>
    <row r="3773" ht="18" customHeight="1" s="305">
      <c r="A3773" s="8" t="n">
        <v>4773</v>
      </c>
      <c r="B3773" s="5" t="n">
        <v>103</v>
      </c>
      <c r="C3773" s="72" t="inlineStr">
        <is>
          <t>X</t>
        </is>
      </c>
      <c r="D3773" s="5" t="n">
        <v>317</v>
      </c>
      <c r="E3773" s="73">
        <f>B3773*D3773/10000</f>
        <v/>
      </c>
      <c r="F3773" s="74">
        <f>B3773/30.48</f>
        <v/>
      </c>
      <c r="G3773" s="74">
        <f>D3773/30.48</f>
        <v/>
      </c>
      <c r="H3773" s="615" t="n"/>
    </row>
    <row r="3774" ht="18" customHeight="1" s="305">
      <c r="A3774" s="8" t="n">
        <v>4775</v>
      </c>
      <c r="B3774" s="5" t="n">
        <v>121</v>
      </c>
      <c r="C3774" s="72" t="inlineStr">
        <is>
          <t>X</t>
        </is>
      </c>
      <c r="D3774" s="5" t="n">
        <v>340</v>
      </c>
      <c r="E3774" s="73">
        <f>B3774*D3774/10000</f>
        <v/>
      </c>
      <c r="F3774" s="74">
        <f>B3774/30.48</f>
        <v/>
      </c>
      <c r="G3774" s="74">
        <f>D3774/30.48</f>
        <v/>
      </c>
      <c r="H3774" s="615" t="n"/>
    </row>
    <row r="3775" ht="18" customHeight="1" s="305">
      <c r="A3775" s="8" t="n">
        <v>4776</v>
      </c>
      <c r="B3775" s="5" t="n">
        <v>100</v>
      </c>
      <c r="C3775" s="72" t="inlineStr">
        <is>
          <t>X</t>
        </is>
      </c>
      <c r="D3775" s="5" t="n">
        <v>316</v>
      </c>
      <c r="E3775" s="73">
        <f>B3775*D3775/10000</f>
        <v/>
      </c>
      <c r="F3775" s="74">
        <f>B3775/30.48</f>
        <v/>
      </c>
      <c r="G3775" s="74">
        <f>D3775/30.48</f>
        <v/>
      </c>
      <c r="H3775" s="615" t="n"/>
    </row>
    <row r="3776" ht="18" customHeight="1" s="305">
      <c r="A3776" s="8" t="n">
        <v>4777</v>
      </c>
      <c r="B3776" s="5" t="n">
        <v>135</v>
      </c>
      <c r="C3776" s="72" t="inlineStr">
        <is>
          <t>X</t>
        </is>
      </c>
      <c r="D3776" s="5" t="n">
        <v>221</v>
      </c>
      <c r="E3776" s="73">
        <f>B3776*D3776/10000</f>
        <v/>
      </c>
      <c r="F3776" s="74">
        <f>B3776/30.48</f>
        <v/>
      </c>
      <c r="G3776" s="74">
        <f>D3776/30.48</f>
        <v/>
      </c>
      <c r="H3776" s="615" t="n"/>
    </row>
    <row r="3777" ht="18" customHeight="1" s="305">
      <c r="A3777" s="8" t="n">
        <v>4778</v>
      </c>
      <c r="B3777" s="5" t="n">
        <v>117</v>
      </c>
      <c r="C3777" s="72" t="inlineStr">
        <is>
          <t>X</t>
        </is>
      </c>
      <c r="D3777" s="5" t="n">
        <v>167</v>
      </c>
      <c r="E3777" s="73">
        <f>B3777*D3777/10000</f>
        <v/>
      </c>
      <c r="F3777" s="74">
        <f>B3777/30.48</f>
        <v/>
      </c>
      <c r="G3777" s="74">
        <f>D3777/30.48</f>
        <v/>
      </c>
      <c r="H3777" s="615" t="n"/>
    </row>
    <row r="3778" ht="18" customHeight="1" s="305">
      <c r="A3778" s="8" t="n">
        <v>4779</v>
      </c>
      <c r="B3778" s="5" t="n">
        <v>81</v>
      </c>
      <c r="C3778" s="72" t="inlineStr">
        <is>
          <t>X</t>
        </is>
      </c>
      <c r="D3778" s="5" t="n">
        <v>121</v>
      </c>
      <c r="E3778" s="73">
        <f>B3778*D3778/10000</f>
        <v/>
      </c>
      <c r="F3778" s="74">
        <f>B3778/30.48</f>
        <v/>
      </c>
      <c r="G3778" s="74">
        <f>D3778/30.48</f>
        <v/>
      </c>
      <c r="H3778" s="615" t="n"/>
    </row>
    <row r="3779" ht="18" customHeight="1" s="305">
      <c r="A3779" s="8" t="n">
        <v>4780</v>
      </c>
      <c r="B3779" s="5" t="n">
        <v>196</v>
      </c>
      <c r="C3779" s="72" t="inlineStr">
        <is>
          <t>X</t>
        </is>
      </c>
      <c r="D3779" s="5" t="n">
        <v>295</v>
      </c>
      <c r="E3779" s="73">
        <f>B3779*D3779/10000</f>
        <v/>
      </c>
      <c r="F3779" s="74">
        <f>B3779/30.48</f>
        <v/>
      </c>
      <c r="G3779" s="74">
        <f>D3779/30.48</f>
        <v/>
      </c>
      <c r="H3779" s="615" t="n"/>
    </row>
    <row r="3780" ht="18" customHeight="1" s="305">
      <c r="A3780" s="8" t="n">
        <v>4781</v>
      </c>
      <c r="B3780" s="5" t="n">
        <v>132</v>
      </c>
      <c r="C3780" s="72" t="inlineStr">
        <is>
          <t>X</t>
        </is>
      </c>
      <c r="D3780" s="5" t="n">
        <v>340</v>
      </c>
      <c r="E3780" s="73">
        <f>B3780*D3780/10000</f>
        <v/>
      </c>
      <c r="F3780" s="74">
        <f>B3780/30.48</f>
        <v/>
      </c>
      <c r="G3780" s="74">
        <f>D3780/30.48</f>
        <v/>
      </c>
      <c r="H3780" s="615" t="n"/>
    </row>
    <row r="3781" ht="18" customHeight="1" s="305">
      <c r="A3781" s="8" t="n">
        <v>4782</v>
      </c>
      <c r="B3781" s="5" t="n">
        <v>293</v>
      </c>
      <c r="C3781" s="72" t="inlineStr">
        <is>
          <t>X</t>
        </is>
      </c>
      <c r="D3781" s="5" t="n">
        <v>384</v>
      </c>
      <c r="E3781" s="73">
        <f>B3781*D3781/10000</f>
        <v/>
      </c>
      <c r="F3781" s="74">
        <f>B3781/30.48</f>
        <v/>
      </c>
      <c r="G3781" s="74">
        <f>D3781/30.48</f>
        <v/>
      </c>
      <c r="H3781" s="615" t="n"/>
    </row>
    <row r="3782" ht="18" customHeight="1" s="305">
      <c r="A3782" s="8" t="inlineStr">
        <is>
          <t>4782 (2)</t>
        </is>
      </c>
      <c r="B3782" s="5" t="n">
        <v>118</v>
      </c>
      <c r="C3782" s="72" t="inlineStr">
        <is>
          <t>X</t>
        </is>
      </c>
      <c r="D3782" s="5" t="n">
        <v>162</v>
      </c>
      <c r="E3782" s="73">
        <f>B3782*D3782/10000</f>
        <v/>
      </c>
      <c r="F3782" s="74">
        <f>B3782/30.48</f>
        <v/>
      </c>
      <c r="G3782" s="74">
        <f>D3782/30.48</f>
        <v/>
      </c>
      <c r="H3782" s="615" t="n"/>
    </row>
    <row r="3783" ht="18" customHeight="1" s="305">
      <c r="A3783" s="8" t="n">
        <v>4783</v>
      </c>
      <c r="B3783" s="5" t="n">
        <v>200</v>
      </c>
      <c r="C3783" s="72" t="inlineStr">
        <is>
          <t>X</t>
        </is>
      </c>
      <c r="D3783" s="5" t="n">
        <v>300</v>
      </c>
      <c r="E3783" s="73">
        <f>B3783*D3783/10000</f>
        <v/>
      </c>
      <c r="F3783" s="74">
        <f>B3783/30.48</f>
        <v/>
      </c>
      <c r="G3783" s="74">
        <f>D3783/30.48</f>
        <v/>
      </c>
      <c r="H3783" s="615" t="n"/>
    </row>
    <row r="3784" ht="18" customHeight="1" s="305">
      <c r="A3784" s="8" t="n">
        <v>4784</v>
      </c>
      <c r="B3784" s="5" t="n">
        <v>102</v>
      </c>
      <c r="C3784" s="72" t="inlineStr">
        <is>
          <t>X</t>
        </is>
      </c>
      <c r="D3784" s="5" t="n">
        <v>300</v>
      </c>
      <c r="E3784" s="73">
        <f>B3784*D3784/10000</f>
        <v/>
      </c>
      <c r="F3784" s="74">
        <f>B3784/30.48</f>
        <v/>
      </c>
      <c r="G3784" s="74">
        <f>D3784/30.48</f>
        <v/>
      </c>
      <c r="H3784" s="615" t="n"/>
    </row>
    <row r="3785" ht="18" customHeight="1" s="305">
      <c r="A3785" s="8" t="n">
        <v>4785</v>
      </c>
      <c r="B3785" s="5" t="n">
        <v>132</v>
      </c>
      <c r="C3785" s="72" t="inlineStr">
        <is>
          <t>X</t>
        </is>
      </c>
      <c r="D3785" s="5" t="n">
        <v>193</v>
      </c>
      <c r="E3785" s="73">
        <f>B3785*D3785/10000</f>
        <v/>
      </c>
      <c r="F3785" s="74">
        <f>B3785/30.48</f>
        <v/>
      </c>
      <c r="G3785" s="74">
        <f>D3785/30.48</f>
        <v/>
      </c>
      <c r="H3785" s="615" t="n"/>
    </row>
    <row r="3786" ht="18" customHeight="1" s="305">
      <c r="A3786" s="8" t="n">
        <v>4786</v>
      </c>
      <c r="B3786" s="5" t="n">
        <v>94</v>
      </c>
      <c r="C3786" s="72" t="inlineStr">
        <is>
          <t>X</t>
        </is>
      </c>
      <c r="D3786" s="5" t="n">
        <v>192</v>
      </c>
      <c r="E3786" s="73">
        <f>B3786*D3786/10000</f>
        <v/>
      </c>
      <c r="F3786" s="74">
        <f>B3786/30.48</f>
        <v/>
      </c>
      <c r="G3786" s="74">
        <f>D3786/30.48</f>
        <v/>
      </c>
      <c r="H3786" s="615" t="n"/>
    </row>
    <row r="3787" ht="18" customHeight="1" s="305">
      <c r="A3787" s="8" t="n">
        <v>3743</v>
      </c>
      <c r="B3787" s="5" t="n">
        <v>70</v>
      </c>
      <c r="C3787" s="72" t="inlineStr">
        <is>
          <t>X</t>
        </is>
      </c>
      <c r="D3787" s="5" t="n">
        <v>266</v>
      </c>
      <c r="E3787" s="73">
        <f>B3787*D3787/10000</f>
        <v/>
      </c>
      <c r="F3787" s="74">
        <f>B3787/30.48</f>
        <v/>
      </c>
      <c r="G3787" s="74">
        <f>D3787/30.48</f>
        <v/>
      </c>
      <c r="H3787" s="615" t="n"/>
    </row>
    <row r="3788" ht="18" customHeight="1" s="305">
      <c r="A3788" s="8" t="n">
        <v>4791</v>
      </c>
      <c r="B3788" s="5" t="n">
        <v>114</v>
      </c>
      <c r="C3788" s="72" t="inlineStr">
        <is>
          <t>X</t>
        </is>
      </c>
      <c r="D3788" s="5" t="n">
        <v>150</v>
      </c>
      <c r="E3788" s="73">
        <f>B3788*D3788/10000</f>
        <v/>
      </c>
      <c r="F3788" s="74">
        <f>B3788/30.48</f>
        <v/>
      </c>
      <c r="G3788" s="74">
        <f>D3788/30.48</f>
        <v/>
      </c>
      <c r="H3788" s="615" t="n"/>
    </row>
    <row r="3789" ht="18" customHeight="1" s="305">
      <c r="A3789" s="8" t="n">
        <v>4793</v>
      </c>
      <c r="B3789" s="5" t="n">
        <v>87</v>
      </c>
      <c r="C3789" s="72" t="inlineStr">
        <is>
          <t>X</t>
        </is>
      </c>
      <c r="D3789" s="5" t="n">
        <v>290</v>
      </c>
      <c r="E3789" s="73">
        <f>B3789*D3789/10000</f>
        <v/>
      </c>
      <c r="F3789" s="74">
        <f>B3789/30.48</f>
        <v/>
      </c>
      <c r="G3789" s="74">
        <f>D3789/30.48</f>
        <v/>
      </c>
      <c r="H3789" s="615" t="n"/>
    </row>
    <row r="3790" ht="18" customHeight="1" s="305">
      <c r="A3790" s="8" t="n">
        <v>4794</v>
      </c>
      <c r="B3790" s="5" t="n">
        <v>116</v>
      </c>
      <c r="C3790" s="72" t="inlineStr">
        <is>
          <t>X</t>
        </is>
      </c>
      <c r="D3790" s="5" t="n">
        <v>207</v>
      </c>
      <c r="E3790" s="73">
        <f>B3790*D3790/10000</f>
        <v/>
      </c>
      <c r="F3790" s="74">
        <f>B3790/30.48</f>
        <v/>
      </c>
      <c r="G3790" s="74">
        <f>D3790/30.48</f>
        <v/>
      </c>
      <c r="H3790" s="615" t="n"/>
    </row>
    <row r="3791" ht="18" customHeight="1" s="305">
      <c r="A3791" s="8" t="n">
        <v>4795</v>
      </c>
      <c r="B3791" s="5" t="n">
        <v>108</v>
      </c>
      <c r="C3791" s="72" t="inlineStr">
        <is>
          <t>X</t>
        </is>
      </c>
      <c r="D3791" s="5" t="n">
        <v>210</v>
      </c>
      <c r="E3791" s="73">
        <f>B3791*D3791/10000</f>
        <v/>
      </c>
      <c r="F3791" s="74">
        <f>B3791/30.48</f>
        <v/>
      </c>
      <c r="G3791" s="74">
        <f>D3791/30.48</f>
        <v/>
      </c>
      <c r="H3791" s="615" t="n"/>
    </row>
    <row r="3792" ht="18" customHeight="1" s="305">
      <c r="A3792" s="8" t="n">
        <v>4796</v>
      </c>
      <c r="B3792" s="5" t="n">
        <v>70</v>
      </c>
      <c r="C3792" s="72" t="inlineStr">
        <is>
          <t>X</t>
        </is>
      </c>
      <c r="D3792" s="5" t="n">
        <v>278</v>
      </c>
      <c r="E3792" s="73">
        <f>B3792*D3792/10000</f>
        <v/>
      </c>
      <c r="F3792" s="74">
        <f>B3792/30.48</f>
        <v/>
      </c>
      <c r="G3792" s="74">
        <f>D3792/30.48</f>
        <v/>
      </c>
      <c r="H3792" s="615" t="n"/>
    </row>
    <row r="3793" ht="18" customHeight="1" s="305">
      <c r="A3793" s="8" t="n">
        <v>4797</v>
      </c>
      <c r="B3793" s="5" t="n">
        <v>172</v>
      </c>
      <c r="C3793" s="72" t="inlineStr">
        <is>
          <t>X</t>
        </is>
      </c>
      <c r="D3793" s="5" t="n">
        <v>231</v>
      </c>
      <c r="E3793" s="73">
        <f>B3793*D3793/10000</f>
        <v/>
      </c>
      <c r="F3793" s="74">
        <f>B3793/30.48</f>
        <v/>
      </c>
      <c r="G3793" s="74">
        <f>D3793/30.48</f>
        <v/>
      </c>
      <c r="H3793" s="615" t="n"/>
    </row>
    <row r="3794" ht="18" customHeight="1" s="305">
      <c r="A3794" s="8" t="n">
        <v>4798</v>
      </c>
      <c r="B3794" s="5" t="n">
        <v>103</v>
      </c>
      <c r="C3794" s="72" t="inlineStr">
        <is>
          <t>X</t>
        </is>
      </c>
      <c r="D3794" s="5" t="n">
        <v>193</v>
      </c>
      <c r="E3794" s="73">
        <f>B3794*D3794/10000</f>
        <v/>
      </c>
      <c r="F3794" s="74">
        <f>B3794/30.48</f>
        <v/>
      </c>
      <c r="G3794" s="74">
        <f>D3794/30.48</f>
        <v/>
      </c>
      <c r="H3794" s="615" t="n"/>
    </row>
    <row r="3795" ht="18" customHeight="1" s="305">
      <c r="A3795" s="8" t="n">
        <v>4799</v>
      </c>
      <c r="B3795" s="5" t="n">
        <v>111</v>
      </c>
      <c r="C3795" s="72" t="inlineStr">
        <is>
          <t>X</t>
        </is>
      </c>
      <c r="D3795" s="5" t="n">
        <v>198</v>
      </c>
      <c r="E3795" s="73">
        <f>B3795*D3795/10000</f>
        <v/>
      </c>
      <c r="F3795" s="74">
        <f>B3795/30.48</f>
        <v/>
      </c>
      <c r="G3795" s="74">
        <f>D3795/30.48</f>
        <v/>
      </c>
      <c r="H3795" s="615" t="n"/>
    </row>
    <row r="3796" ht="18" customHeight="1" s="305">
      <c r="A3796" s="8" t="n">
        <v>4800</v>
      </c>
      <c r="B3796" s="5" t="n">
        <v>114</v>
      </c>
      <c r="C3796" s="72" t="inlineStr">
        <is>
          <t>X</t>
        </is>
      </c>
      <c r="D3796" s="5" t="n">
        <v>220</v>
      </c>
      <c r="E3796" s="73">
        <f>B3796*D3796/10000</f>
        <v/>
      </c>
      <c r="F3796" s="74">
        <f>B3796/30.48</f>
        <v/>
      </c>
      <c r="G3796" s="74">
        <f>D3796/30.48</f>
        <v/>
      </c>
      <c r="H3796" s="615" t="n"/>
    </row>
    <row r="3797" ht="18" customHeight="1" s="305">
      <c r="A3797" s="8" t="n">
        <v>4801</v>
      </c>
      <c r="B3797" s="5" t="n">
        <v>81</v>
      </c>
      <c r="C3797" s="72" t="inlineStr">
        <is>
          <t>X</t>
        </is>
      </c>
      <c r="D3797" s="5" t="n">
        <v>270</v>
      </c>
      <c r="E3797" s="73">
        <f>B3797*D3797/10000</f>
        <v/>
      </c>
      <c r="F3797" s="74">
        <f>B3797/30.48</f>
        <v/>
      </c>
      <c r="G3797" s="74">
        <f>D3797/30.48</f>
        <v/>
      </c>
      <c r="H3797" s="615" t="n"/>
    </row>
    <row r="3798" ht="18" customHeight="1" s="305">
      <c r="A3798" s="8" t="n">
        <v>4802</v>
      </c>
      <c r="B3798" s="5" t="n">
        <v>172</v>
      </c>
      <c r="C3798" s="72" t="inlineStr">
        <is>
          <t>X</t>
        </is>
      </c>
      <c r="D3798" s="5" t="n">
        <v>235</v>
      </c>
      <c r="E3798" s="73">
        <f>B3798*D3798/10000</f>
        <v/>
      </c>
      <c r="F3798" s="74">
        <f>B3798/30.48</f>
        <v/>
      </c>
      <c r="G3798" s="74">
        <f>D3798/30.48</f>
        <v/>
      </c>
      <c r="H3798" s="615" t="n"/>
    </row>
    <row r="3799" ht="18" customHeight="1" s="305">
      <c r="A3799" s="8" t="n">
        <v>4804</v>
      </c>
      <c r="B3799" s="5" t="n">
        <v>75</v>
      </c>
      <c r="C3799" s="72" t="inlineStr">
        <is>
          <t>X</t>
        </is>
      </c>
      <c r="D3799" s="5" t="n">
        <v>220</v>
      </c>
      <c r="E3799" s="73">
        <f>B3799*D3799/10000</f>
        <v/>
      </c>
      <c r="F3799" s="74">
        <f>B3799/30.48</f>
        <v/>
      </c>
      <c r="G3799" s="74">
        <f>D3799/30.48</f>
        <v/>
      </c>
      <c r="H3799" s="615" t="n"/>
    </row>
    <row r="3800" ht="18" customHeight="1" s="305">
      <c r="A3800" s="8" t="n">
        <v>4806</v>
      </c>
      <c r="B3800" s="5" t="n">
        <v>118</v>
      </c>
      <c r="C3800" s="72" t="inlineStr">
        <is>
          <t>X</t>
        </is>
      </c>
      <c r="D3800" s="5" t="n">
        <v>488</v>
      </c>
      <c r="E3800" s="73">
        <f>B3800*D3800/10000</f>
        <v/>
      </c>
      <c r="F3800" s="74">
        <f>B3800/30.48</f>
        <v/>
      </c>
      <c r="G3800" s="74">
        <f>D3800/30.48</f>
        <v/>
      </c>
      <c r="H3800" s="615" t="n"/>
    </row>
    <row r="3801" ht="18" customHeight="1" s="305">
      <c r="A3801" s="8" t="n">
        <v>4808</v>
      </c>
      <c r="B3801" s="5" t="n">
        <v>190</v>
      </c>
      <c r="C3801" s="72" t="inlineStr">
        <is>
          <t>X</t>
        </is>
      </c>
      <c r="D3801" s="5" t="n">
        <v>322</v>
      </c>
      <c r="E3801" s="73">
        <f>B3801*D3801/10000</f>
        <v/>
      </c>
      <c r="F3801" s="74">
        <f>B3801/30.48</f>
        <v/>
      </c>
      <c r="G3801" s="74">
        <f>D3801/30.48</f>
        <v/>
      </c>
      <c r="H3801" s="615" t="n"/>
    </row>
    <row r="3802" ht="18" customHeight="1" s="305">
      <c r="A3802" s="8" t="n">
        <v>4809</v>
      </c>
      <c r="B3802" s="5" t="n">
        <v>90</v>
      </c>
      <c r="C3802" s="72" t="inlineStr">
        <is>
          <t>X</t>
        </is>
      </c>
      <c r="D3802" s="5" t="n">
        <v>371</v>
      </c>
      <c r="E3802" s="73">
        <f>B3802*D3802/10000</f>
        <v/>
      </c>
      <c r="F3802" s="74">
        <f>B3802/30.48</f>
        <v/>
      </c>
      <c r="G3802" s="74">
        <f>D3802/30.48</f>
        <v/>
      </c>
      <c r="H3802" s="615" t="n"/>
    </row>
    <row r="3803" ht="18" customHeight="1" s="305">
      <c r="A3803" s="8" t="n">
        <v>4810</v>
      </c>
      <c r="B3803" s="5" t="n">
        <v>60</v>
      </c>
      <c r="C3803" s="72" t="inlineStr">
        <is>
          <t>X</t>
        </is>
      </c>
      <c r="D3803" s="5" t="n">
        <v>232</v>
      </c>
      <c r="E3803" s="73">
        <f>B3803*D3803/10000</f>
        <v/>
      </c>
      <c r="F3803" s="74">
        <f>B3803/30.48</f>
        <v/>
      </c>
      <c r="G3803" s="74">
        <f>D3803/30.48</f>
        <v/>
      </c>
      <c r="H3803" s="615" t="n"/>
    </row>
    <row r="3804" ht="18" customHeight="1" s="305">
      <c r="A3804" s="8" t="n">
        <v>4812</v>
      </c>
      <c r="B3804" s="5" t="n">
        <v>75</v>
      </c>
      <c r="C3804" s="72" t="inlineStr">
        <is>
          <t>X</t>
        </is>
      </c>
      <c r="D3804" s="5" t="n">
        <v>193</v>
      </c>
      <c r="E3804" s="73">
        <f>B3804*D3804/10000</f>
        <v/>
      </c>
      <c r="F3804" s="74">
        <f>B3804/30.48</f>
        <v/>
      </c>
      <c r="G3804" s="74">
        <f>D3804/30.48</f>
        <v/>
      </c>
      <c r="H3804" s="615" t="n"/>
    </row>
    <row r="3805" ht="18" customHeight="1" s="305">
      <c r="A3805" s="8" t="n">
        <v>4815</v>
      </c>
      <c r="B3805" s="5" t="n">
        <v>125</v>
      </c>
      <c r="C3805" s="72" t="inlineStr">
        <is>
          <t>X</t>
        </is>
      </c>
      <c r="D3805" s="5" t="n">
        <v>315</v>
      </c>
      <c r="E3805" s="73">
        <f>B3805*D3805/10000</f>
        <v/>
      </c>
      <c r="F3805" s="74">
        <f>B3805/30.48</f>
        <v/>
      </c>
      <c r="G3805" s="74">
        <f>D3805/30.48</f>
        <v/>
      </c>
      <c r="H3805" s="615" t="n"/>
    </row>
    <row r="3806" ht="18" customHeight="1" s="305">
      <c r="A3806" s="8" t="n">
        <v>4816</v>
      </c>
      <c r="B3806" s="5" t="n">
        <v>103</v>
      </c>
      <c r="C3806" s="72" t="inlineStr">
        <is>
          <t>X</t>
        </is>
      </c>
      <c r="D3806" s="5" t="n">
        <v>280</v>
      </c>
      <c r="E3806" s="73">
        <f>B3806*D3806/10000</f>
        <v/>
      </c>
      <c r="F3806" s="74">
        <f>B3806/30.48</f>
        <v/>
      </c>
      <c r="G3806" s="74">
        <f>D3806/30.48</f>
        <v/>
      </c>
      <c r="H3806" s="615" t="n"/>
    </row>
    <row r="3807" ht="18" customHeight="1" s="305">
      <c r="A3807" s="8" t="n">
        <v>4817</v>
      </c>
      <c r="B3807" s="5" t="n">
        <v>113</v>
      </c>
      <c r="C3807" s="72" t="inlineStr">
        <is>
          <t>X</t>
        </is>
      </c>
      <c r="D3807" s="5" t="n">
        <v>195</v>
      </c>
      <c r="E3807" s="73">
        <f>B3807*D3807/10000</f>
        <v/>
      </c>
      <c r="F3807" s="74">
        <f>B3807/30.48</f>
        <v/>
      </c>
      <c r="G3807" s="74">
        <f>D3807/30.48</f>
        <v/>
      </c>
      <c r="H3807" s="615" t="n"/>
    </row>
    <row r="3808" ht="18" customHeight="1" s="305">
      <c r="A3808" s="8" t="n">
        <v>4821</v>
      </c>
      <c r="B3808" s="5" t="n">
        <v>84</v>
      </c>
      <c r="C3808" s="72" t="inlineStr">
        <is>
          <t>X</t>
        </is>
      </c>
      <c r="D3808" s="5" t="n">
        <v>310</v>
      </c>
      <c r="E3808" s="73">
        <f>B3808*D3808/10000</f>
        <v/>
      </c>
      <c r="F3808" s="74">
        <f>B3808/30.48</f>
        <v/>
      </c>
      <c r="G3808" s="74">
        <f>D3808/30.48</f>
        <v/>
      </c>
      <c r="H3808" s="615" t="n"/>
    </row>
    <row r="3809" ht="18" customHeight="1" s="305">
      <c r="A3809" s="8" t="n">
        <v>4822</v>
      </c>
      <c r="B3809" s="5" t="n">
        <v>198</v>
      </c>
      <c r="C3809" s="72" t="inlineStr">
        <is>
          <t>X</t>
        </is>
      </c>
      <c r="D3809" s="5" t="n">
        <v>321</v>
      </c>
      <c r="E3809" s="73">
        <f>B3809*D3809/10000</f>
        <v/>
      </c>
      <c r="F3809" s="74">
        <f>B3809/30.48</f>
        <v/>
      </c>
      <c r="G3809" s="74">
        <f>D3809/30.48</f>
        <v/>
      </c>
      <c r="H3809" s="615" t="n"/>
    </row>
    <row r="3810" ht="18" customHeight="1" s="305">
      <c r="A3810" s="8" t="n">
        <v>4823</v>
      </c>
      <c r="B3810" s="5" t="n">
        <v>114</v>
      </c>
      <c r="C3810" s="72" t="inlineStr">
        <is>
          <t>X</t>
        </is>
      </c>
      <c r="D3810" s="5" t="n">
        <v>206</v>
      </c>
      <c r="E3810" s="73">
        <f>B3810*D3810/10000</f>
        <v/>
      </c>
      <c r="F3810" s="74">
        <f>B3810/30.48</f>
        <v/>
      </c>
      <c r="G3810" s="74">
        <f>D3810/30.48</f>
        <v/>
      </c>
      <c r="H3810" s="615" t="n"/>
    </row>
    <row r="3811" ht="18" customHeight="1" s="305">
      <c r="A3811" s="8" t="n">
        <v>4824</v>
      </c>
      <c r="B3811" s="5" t="n">
        <v>77</v>
      </c>
      <c r="C3811" s="72" t="inlineStr">
        <is>
          <t>X</t>
        </is>
      </c>
      <c r="D3811" s="5" t="n">
        <v>330</v>
      </c>
      <c r="E3811" s="73">
        <f>B3811*D3811/10000</f>
        <v/>
      </c>
      <c r="F3811" s="74">
        <f>B3811/30.48</f>
        <v/>
      </c>
      <c r="G3811" s="74">
        <f>D3811/30.48</f>
        <v/>
      </c>
      <c r="H3811" s="615" t="n"/>
    </row>
    <row r="3812" ht="18" customHeight="1" s="305">
      <c r="A3812" s="8" t="n">
        <v>4825</v>
      </c>
      <c r="B3812" s="5" t="n">
        <v>180</v>
      </c>
      <c r="C3812" s="72" t="inlineStr">
        <is>
          <t>X</t>
        </is>
      </c>
      <c r="D3812" s="5" t="n">
        <v>230</v>
      </c>
      <c r="E3812" s="73">
        <f>B3812*D3812/10000</f>
        <v/>
      </c>
      <c r="F3812" s="74">
        <f>B3812/30.48</f>
        <v/>
      </c>
      <c r="G3812" s="74">
        <f>D3812/30.48</f>
        <v/>
      </c>
      <c r="H3812" s="615" t="n"/>
    </row>
    <row r="3813" ht="18" customHeight="1" s="305">
      <c r="A3813" s="8" t="n">
        <v>4826</v>
      </c>
      <c r="B3813" s="5" t="n">
        <v>100</v>
      </c>
      <c r="C3813" s="72" t="inlineStr">
        <is>
          <t>X</t>
        </is>
      </c>
      <c r="D3813" s="5" t="n">
        <v>180</v>
      </c>
      <c r="E3813" s="73">
        <f>B3813*D3813/10000</f>
        <v/>
      </c>
      <c r="F3813" s="74">
        <f>B3813/30.48</f>
        <v/>
      </c>
      <c r="G3813" s="74">
        <f>D3813/30.48</f>
        <v/>
      </c>
      <c r="H3813" s="615" t="n"/>
    </row>
    <row r="3814" ht="18" customHeight="1" s="305">
      <c r="A3814" s="8" t="n">
        <v>4827</v>
      </c>
      <c r="B3814" s="5" t="n">
        <v>142</v>
      </c>
      <c r="C3814" s="72" t="inlineStr">
        <is>
          <t>X</t>
        </is>
      </c>
      <c r="D3814" s="5" t="n">
        <v>301</v>
      </c>
      <c r="E3814" s="73">
        <f>B3814*D3814/10000</f>
        <v/>
      </c>
      <c r="F3814" s="74">
        <f>B3814/30.48</f>
        <v/>
      </c>
      <c r="G3814" s="74">
        <f>D3814/30.48</f>
        <v/>
      </c>
      <c r="H3814" s="615" t="n"/>
    </row>
    <row r="3815" ht="18" customHeight="1" s="305">
      <c r="A3815" s="8" t="n">
        <v>4828</v>
      </c>
      <c r="B3815" s="5" t="n">
        <v>140</v>
      </c>
      <c r="C3815" s="72" t="inlineStr">
        <is>
          <t>X</t>
        </is>
      </c>
      <c r="D3815" s="5" t="n">
        <v>186</v>
      </c>
      <c r="E3815" s="73">
        <f>B3815*D3815/10000</f>
        <v/>
      </c>
      <c r="F3815" s="74">
        <f>B3815/30.48</f>
        <v/>
      </c>
      <c r="G3815" s="74">
        <f>D3815/30.48</f>
        <v/>
      </c>
      <c r="H3815" s="615" t="n"/>
    </row>
    <row r="3816" ht="18" customHeight="1" s="305">
      <c r="A3816" s="8" t="n">
        <v>4829</v>
      </c>
      <c r="B3816" s="5" t="n">
        <v>182</v>
      </c>
      <c r="C3816" s="72" t="inlineStr">
        <is>
          <t>X</t>
        </is>
      </c>
      <c r="D3816" s="5" t="n">
        <v>249</v>
      </c>
      <c r="E3816" s="73">
        <f>B3816*D3816/10000</f>
        <v/>
      </c>
      <c r="F3816" s="74">
        <f>B3816/30.48</f>
        <v/>
      </c>
      <c r="G3816" s="74">
        <f>D3816/30.48</f>
        <v/>
      </c>
      <c r="H3816" s="615" t="n"/>
    </row>
    <row r="3817" ht="18" customHeight="1" s="305">
      <c r="A3817" s="8" t="n">
        <v>4830</v>
      </c>
      <c r="B3817" s="5" t="n">
        <v>164</v>
      </c>
      <c r="C3817" s="72" t="inlineStr">
        <is>
          <t>X</t>
        </is>
      </c>
      <c r="D3817" s="5" t="n">
        <v>248</v>
      </c>
      <c r="E3817" s="73">
        <f>B3817*D3817/10000</f>
        <v/>
      </c>
      <c r="F3817" s="74">
        <f>B3817/30.48</f>
        <v/>
      </c>
      <c r="G3817" s="74">
        <f>D3817/30.48</f>
        <v/>
      </c>
      <c r="H3817" s="615" t="n"/>
    </row>
    <row r="3818" ht="18" customHeight="1" s="305">
      <c r="A3818" s="8" t="n">
        <v>4831</v>
      </c>
      <c r="B3818" s="5" t="n">
        <v>56</v>
      </c>
      <c r="C3818" s="72" t="inlineStr">
        <is>
          <t>X</t>
        </is>
      </c>
      <c r="D3818" s="5" t="n">
        <v>200</v>
      </c>
      <c r="E3818" s="73">
        <f>B3818*D3818/10000</f>
        <v/>
      </c>
      <c r="F3818" s="74">
        <f>B3818/30.48</f>
        <v/>
      </c>
      <c r="G3818" s="74">
        <f>D3818/30.48</f>
        <v/>
      </c>
      <c r="H3818" s="615" t="n"/>
    </row>
    <row r="3819" ht="18" customHeight="1" s="305">
      <c r="A3819" s="8" t="n">
        <v>4832</v>
      </c>
      <c r="B3819" s="5" t="n">
        <v>189</v>
      </c>
      <c r="C3819" s="72" t="inlineStr">
        <is>
          <t>X</t>
        </is>
      </c>
      <c r="D3819" s="5" t="n">
        <v>274</v>
      </c>
      <c r="E3819" s="73">
        <f>B3819*D3819/10000</f>
        <v/>
      </c>
      <c r="F3819" s="74">
        <f>B3819/30.48</f>
        <v/>
      </c>
      <c r="G3819" s="74">
        <f>D3819/30.48</f>
        <v/>
      </c>
      <c r="H3819" s="615" t="n"/>
    </row>
    <row r="3820">
      <c r="A3820" s="1" t="n"/>
      <c r="B3820" s="1" t="n"/>
      <c r="D3820" s="1" t="n"/>
      <c r="G3820" s="1" t="n"/>
      <c r="H3820" s="615" t="n"/>
    </row>
    <row r="3821" ht="18" customHeight="1" s="305">
      <c r="A3821" s="8" t="n">
        <v>4834</v>
      </c>
      <c r="B3821" s="5" t="n">
        <v>110</v>
      </c>
      <c r="C3821" s="72" t="inlineStr">
        <is>
          <t>X</t>
        </is>
      </c>
      <c r="D3821" s="5" t="n">
        <v>213</v>
      </c>
      <c r="E3821" s="73">
        <f>B3821*D3821/10000</f>
        <v/>
      </c>
      <c r="F3821" s="74">
        <f>B3821/30.48</f>
        <v/>
      </c>
      <c r="G3821" s="74">
        <f>D3821/30.48</f>
        <v/>
      </c>
      <c r="H3821" s="615" t="n"/>
    </row>
    <row r="3822" ht="18" customHeight="1" s="305">
      <c r="A3822" s="8" t="n">
        <v>4835</v>
      </c>
      <c r="B3822" s="5" t="n">
        <v>171</v>
      </c>
      <c r="C3822" s="72" t="inlineStr">
        <is>
          <t>X</t>
        </is>
      </c>
      <c r="D3822" s="5" t="n">
        <v>267</v>
      </c>
      <c r="E3822" s="73">
        <f>B3822*D3822/10000</f>
        <v/>
      </c>
      <c r="F3822" s="74">
        <f>B3822/30.48</f>
        <v/>
      </c>
      <c r="G3822" s="74">
        <f>D3822/30.48</f>
        <v/>
      </c>
      <c r="H3822" s="615" t="n"/>
    </row>
    <row r="3823" ht="18" customHeight="1" s="305">
      <c r="A3823" s="8" t="n">
        <v>4836</v>
      </c>
      <c r="B3823" s="5" t="n">
        <v>120</v>
      </c>
      <c r="C3823" s="72" t="inlineStr">
        <is>
          <t>X</t>
        </is>
      </c>
      <c r="D3823" s="5" t="n">
        <v>167</v>
      </c>
      <c r="E3823" s="73">
        <f>B3823*D3823/10000</f>
        <v/>
      </c>
      <c r="F3823" s="74">
        <f>B3823/30.48</f>
        <v/>
      </c>
      <c r="G3823" s="74">
        <f>D3823/30.48</f>
        <v/>
      </c>
      <c r="H3823" s="615" t="n"/>
    </row>
    <row r="3824" ht="18" customHeight="1" s="305">
      <c r="A3824" s="8" t="n">
        <v>4837</v>
      </c>
      <c r="B3824" s="5" t="n">
        <v>165</v>
      </c>
      <c r="C3824" s="72" t="inlineStr">
        <is>
          <t>X</t>
        </is>
      </c>
      <c r="D3824" s="5" t="n">
        <v>228</v>
      </c>
      <c r="E3824" s="73">
        <f>B3824*D3824/10000</f>
        <v/>
      </c>
      <c r="F3824" s="74">
        <f>B3824/30.48</f>
        <v/>
      </c>
      <c r="G3824" s="74">
        <f>D3824/30.48</f>
        <v/>
      </c>
      <c r="H3824" s="615" t="n"/>
    </row>
    <row r="3825" ht="18" customHeight="1" s="305">
      <c r="A3825" s="8" t="n">
        <v>4839</v>
      </c>
      <c r="B3825" s="5" t="n">
        <v>151</v>
      </c>
      <c r="C3825" s="72" t="inlineStr">
        <is>
          <t>X</t>
        </is>
      </c>
      <c r="D3825" s="5" t="n">
        <v>222</v>
      </c>
      <c r="E3825" s="73">
        <f>B3825*D3825/10000</f>
        <v/>
      </c>
      <c r="F3825" s="74">
        <f>B3825/30.48</f>
        <v/>
      </c>
      <c r="G3825" s="74">
        <f>D3825/30.48</f>
        <v/>
      </c>
      <c r="H3825" s="615" t="n"/>
    </row>
    <row r="3826" ht="18" customHeight="1" s="305">
      <c r="A3826" s="8" t="n">
        <v>4840</v>
      </c>
      <c r="B3826" s="5" t="n">
        <v>54</v>
      </c>
      <c r="C3826" s="72" t="inlineStr">
        <is>
          <t>X</t>
        </is>
      </c>
      <c r="D3826" s="5" t="n">
        <v>196</v>
      </c>
      <c r="E3826" s="73">
        <f>B3826*D3826/10000</f>
        <v/>
      </c>
      <c r="F3826" s="74">
        <f>B3826/30.48</f>
        <v/>
      </c>
      <c r="G3826" s="74">
        <f>D3826/30.48</f>
        <v/>
      </c>
      <c r="H3826" s="615" t="n"/>
    </row>
    <row r="3827" ht="18" customHeight="1" s="305">
      <c r="A3827" s="8" t="n">
        <v>4841</v>
      </c>
      <c r="B3827" s="5" t="n">
        <v>202</v>
      </c>
      <c r="C3827" s="72" t="inlineStr">
        <is>
          <t>X</t>
        </is>
      </c>
      <c r="D3827" s="5" t="n">
        <v>291</v>
      </c>
      <c r="E3827" s="73">
        <f>B3827*D3827/10000</f>
        <v/>
      </c>
      <c r="F3827" s="74">
        <f>B3827/30.48</f>
        <v/>
      </c>
      <c r="G3827" s="74">
        <f>D3827/30.48</f>
        <v/>
      </c>
      <c r="H3827" s="615" t="n"/>
    </row>
    <row r="3828" ht="18" customHeight="1" s="305">
      <c r="A3828" s="8" t="n">
        <v>4842</v>
      </c>
      <c r="B3828" s="5" t="n">
        <v>171</v>
      </c>
      <c r="C3828" s="72" t="inlineStr">
        <is>
          <t>X</t>
        </is>
      </c>
      <c r="D3828" s="5" t="n">
        <v>222</v>
      </c>
      <c r="E3828" s="73">
        <f>B3828*D3828/10000</f>
        <v/>
      </c>
      <c r="F3828" s="74">
        <f>B3828/30.48</f>
        <v/>
      </c>
      <c r="G3828" s="74">
        <f>D3828/30.48</f>
        <v/>
      </c>
      <c r="H3828" s="615" t="n"/>
    </row>
    <row r="3829" ht="18" customHeight="1" s="305">
      <c r="A3829" s="8" t="n">
        <v>4843</v>
      </c>
      <c r="B3829" s="5" t="n">
        <v>112</v>
      </c>
      <c r="C3829" s="72" t="inlineStr">
        <is>
          <t>X</t>
        </is>
      </c>
      <c r="D3829" s="5" t="n">
        <v>206</v>
      </c>
      <c r="E3829" s="73">
        <f>B3829*D3829/10000</f>
        <v/>
      </c>
      <c r="F3829" s="74">
        <f>B3829/30.48</f>
        <v/>
      </c>
      <c r="G3829" s="74">
        <f>D3829/30.48</f>
        <v/>
      </c>
      <c r="H3829" s="615" t="n"/>
    </row>
    <row r="3830" ht="18" customHeight="1" s="305">
      <c r="A3830" s="8" t="n">
        <v>4844</v>
      </c>
      <c r="B3830" s="5" t="n">
        <v>178</v>
      </c>
      <c r="C3830" s="72" t="inlineStr">
        <is>
          <t>X</t>
        </is>
      </c>
      <c r="D3830" s="5" t="n">
        <v>287</v>
      </c>
      <c r="E3830" s="73">
        <f>B3830*D3830/10000</f>
        <v/>
      </c>
      <c r="F3830" s="74">
        <f>B3830/30.48</f>
        <v/>
      </c>
      <c r="G3830" s="74">
        <f>D3830/30.48</f>
        <v/>
      </c>
      <c r="H3830" s="615" t="n"/>
    </row>
    <row r="3831" ht="18" customHeight="1" s="305">
      <c r="A3831" s="8" t="n">
        <v>4845</v>
      </c>
      <c r="C3831" s="72" t="inlineStr">
        <is>
          <t>X</t>
        </is>
      </c>
      <c r="E3831" s="73">
        <f>B3831*D3831/10000</f>
        <v/>
      </c>
      <c r="F3831" s="74">
        <f>B3831/30.48</f>
        <v/>
      </c>
      <c r="G3831" s="74">
        <f>D3831/30.48</f>
        <v/>
      </c>
      <c r="H3831" s="615" t="n"/>
    </row>
    <row r="3832" ht="18" customHeight="1" s="305">
      <c r="A3832" s="8" t="n">
        <v>4847</v>
      </c>
      <c r="C3832" s="72" t="inlineStr">
        <is>
          <t>X</t>
        </is>
      </c>
      <c r="E3832" s="73">
        <f>B3832*D3832/10000</f>
        <v/>
      </c>
      <c r="F3832" s="74">
        <f>B3832/30.48</f>
        <v/>
      </c>
      <c r="G3832" s="74">
        <f>D3832/30.48</f>
        <v/>
      </c>
      <c r="H3832" s="615" t="n"/>
    </row>
    <row r="3833" ht="18" customHeight="1" s="305">
      <c r="A3833" s="8" t="n">
        <v>4848</v>
      </c>
      <c r="C3833" s="72" t="inlineStr">
        <is>
          <t>X</t>
        </is>
      </c>
      <c r="E3833" s="73">
        <f>B3833*D3833/10000</f>
        <v/>
      </c>
      <c r="F3833" s="74">
        <f>B3833/30.48</f>
        <v/>
      </c>
      <c r="G3833" s="74">
        <f>D3833/30.48</f>
        <v/>
      </c>
      <c r="H3833" s="615" t="n"/>
    </row>
    <row r="3834" ht="18" customHeight="1" s="305">
      <c r="A3834" s="8" t="n">
        <v>4849</v>
      </c>
      <c r="B3834" s="5" t="n">
        <v>200</v>
      </c>
      <c r="C3834" s="72" t="inlineStr">
        <is>
          <t>X</t>
        </is>
      </c>
      <c r="D3834" s="5" t="n">
        <v>311</v>
      </c>
      <c r="E3834" s="73">
        <f>B3834*D3834/10000</f>
        <v/>
      </c>
      <c r="F3834" s="74">
        <f>B3834/30.48</f>
        <v/>
      </c>
      <c r="G3834" s="74">
        <f>D3834/30.48</f>
        <v/>
      </c>
      <c r="H3834" s="615" t="n"/>
    </row>
    <row r="3835" ht="18" customHeight="1" s="305">
      <c r="A3835" s="8" t="n">
        <v>4850</v>
      </c>
      <c r="C3835" s="72" t="inlineStr">
        <is>
          <t>X</t>
        </is>
      </c>
      <c r="E3835" s="73">
        <f>B3835*D3835/10000</f>
        <v/>
      </c>
      <c r="F3835" s="74">
        <f>B3835/30.48</f>
        <v/>
      </c>
      <c r="G3835" s="74">
        <f>D3835/30.48</f>
        <v/>
      </c>
      <c r="H3835" s="615" t="n"/>
    </row>
    <row r="3836" ht="18" customHeight="1" s="305">
      <c r="A3836" s="8" t="n">
        <v>4851</v>
      </c>
      <c r="C3836" s="72" t="inlineStr">
        <is>
          <t>X</t>
        </is>
      </c>
      <c r="E3836" s="73">
        <f>B3836*D3836/10000</f>
        <v/>
      </c>
      <c r="F3836" s="74">
        <f>B3836/30.48</f>
        <v/>
      </c>
      <c r="G3836" s="74">
        <f>D3836/30.48</f>
        <v/>
      </c>
      <c r="H3836" s="615" t="n"/>
    </row>
    <row r="3837" ht="18" customHeight="1" s="305">
      <c r="A3837" s="8" t="n">
        <v>4852</v>
      </c>
      <c r="C3837" s="72" t="inlineStr">
        <is>
          <t>X</t>
        </is>
      </c>
      <c r="E3837" s="73">
        <f>B3837*D3837/10000</f>
        <v/>
      </c>
      <c r="F3837" s="74">
        <f>B3837/30.48</f>
        <v/>
      </c>
      <c r="G3837" s="74">
        <f>D3837/30.48</f>
        <v/>
      </c>
      <c r="H3837" s="615" t="n"/>
    </row>
    <row r="3838" ht="18" customHeight="1" s="305">
      <c r="A3838" s="8" t="n">
        <v>4853</v>
      </c>
      <c r="C3838" s="72" t="inlineStr">
        <is>
          <t>X</t>
        </is>
      </c>
      <c r="E3838" s="73">
        <f>B3838*D3838/10000</f>
        <v/>
      </c>
      <c r="F3838" s="74">
        <f>B3838/30.48</f>
        <v/>
      </c>
      <c r="G3838" s="74">
        <f>D3838/30.48</f>
        <v/>
      </c>
      <c r="H3838" s="615" t="n"/>
    </row>
    <row r="3839" ht="18" customHeight="1" s="305">
      <c r="A3839" s="8" t="n">
        <v>4854</v>
      </c>
      <c r="C3839" s="72" t="inlineStr">
        <is>
          <t>X</t>
        </is>
      </c>
      <c r="E3839" s="73">
        <f>B3839*D3839/10000</f>
        <v/>
      </c>
      <c r="F3839" s="74">
        <f>B3839/30.48</f>
        <v/>
      </c>
      <c r="G3839" s="74">
        <f>D3839/30.48</f>
        <v/>
      </c>
      <c r="H3839" s="615" t="n"/>
    </row>
    <row r="3840" ht="18" customHeight="1" s="305">
      <c r="A3840" s="8" t="n">
        <v>4855</v>
      </c>
      <c r="C3840" s="72" t="inlineStr">
        <is>
          <t>X</t>
        </is>
      </c>
      <c r="E3840" s="73">
        <f>B3840*D3840/10000</f>
        <v/>
      </c>
      <c r="F3840" s="74">
        <f>B3840/30.48</f>
        <v/>
      </c>
      <c r="G3840" s="74">
        <f>D3840/30.48</f>
        <v/>
      </c>
      <c r="H3840" s="615" t="n"/>
    </row>
    <row r="3841" ht="18" customHeight="1" s="305">
      <c r="A3841" s="8" t="n">
        <v>4856</v>
      </c>
      <c r="C3841" s="72" t="inlineStr">
        <is>
          <t>X</t>
        </is>
      </c>
      <c r="E3841" s="73">
        <f>B3841*D3841/10000</f>
        <v/>
      </c>
      <c r="F3841" s="74">
        <f>B3841/30.48</f>
        <v/>
      </c>
      <c r="G3841" s="74">
        <f>D3841/30.48</f>
        <v/>
      </c>
      <c r="H3841" s="615" t="n"/>
    </row>
    <row r="3842" ht="18" customHeight="1" s="305">
      <c r="A3842" s="8" t="n">
        <v>4857</v>
      </c>
      <c r="C3842" s="72" t="inlineStr">
        <is>
          <t>X</t>
        </is>
      </c>
      <c r="E3842" s="73">
        <f>B3842*D3842/10000</f>
        <v/>
      </c>
      <c r="F3842" s="74">
        <f>B3842/30.48</f>
        <v/>
      </c>
      <c r="G3842" s="74">
        <f>D3842/30.48</f>
        <v/>
      </c>
      <c r="H3842" s="615" t="n"/>
    </row>
    <row r="3843" ht="18" customHeight="1" s="305">
      <c r="A3843" s="8" t="n">
        <v>4858</v>
      </c>
      <c r="C3843" s="72" t="inlineStr">
        <is>
          <t>X</t>
        </is>
      </c>
      <c r="E3843" s="73">
        <f>B3843*D3843/10000</f>
        <v/>
      </c>
      <c r="F3843" s="74">
        <f>B3843/30.48</f>
        <v/>
      </c>
      <c r="G3843" s="74">
        <f>D3843/30.48</f>
        <v/>
      </c>
      <c r="H3843" s="615" t="n"/>
    </row>
    <row r="3844" ht="18" customHeight="1" s="305">
      <c r="A3844" s="8" t="n">
        <v>4859</v>
      </c>
      <c r="C3844" s="72" t="inlineStr">
        <is>
          <t>X</t>
        </is>
      </c>
      <c r="E3844" s="73">
        <f>B3844*D3844/10000</f>
        <v/>
      </c>
      <c r="F3844" s="74">
        <f>B3844/30.48</f>
        <v/>
      </c>
      <c r="G3844" s="74">
        <f>D3844/30.48</f>
        <v/>
      </c>
      <c r="H3844" s="615" t="n"/>
    </row>
    <row r="3845" ht="18" customHeight="1" s="305">
      <c r="A3845" s="8" t="n">
        <v>4860</v>
      </c>
      <c r="C3845" s="72" t="inlineStr">
        <is>
          <t>X</t>
        </is>
      </c>
      <c r="E3845" s="73">
        <f>B3845*D3845/10000</f>
        <v/>
      </c>
      <c r="F3845" s="74">
        <f>B3845/30.48</f>
        <v/>
      </c>
      <c r="G3845" s="74">
        <f>D3845/30.48</f>
        <v/>
      </c>
      <c r="H3845" s="615" t="n"/>
    </row>
    <row r="3846" ht="18" customHeight="1" s="305">
      <c r="A3846" s="8" t="n">
        <v>4861</v>
      </c>
      <c r="C3846" s="72" t="inlineStr">
        <is>
          <t>X</t>
        </is>
      </c>
      <c r="E3846" s="73">
        <f>B3846*D3846/10000</f>
        <v/>
      </c>
      <c r="F3846" s="74">
        <f>B3846/30.48</f>
        <v/>
      </c>
      <c r="G3846" s="74">
        <f>D3846/30.48</f>
        <v/>
      </c>
      <c r="H3846" s="615" t="n"/>
    </row>
    <row r="3847" ht="18" customHeight="1" s="305">
      <c r="A3847" s="8" t="n">
        <v>4862</v>
      </c>
      <c r="C3847" s="72" t="inlineStr">
        <is>
          <t>X</t>
        </is>
      </c>
      <c r="E3847" s="73">
        <f>B3847*D3847/10000</f>
        <v/>
      </c>
      <c r="F3847" s="74">
        <f>B3847/30.48</f>
        <v/>
      </c>
      <c r="G3847" s="74">
        <f>D3847/30.48</f>
        <v/>
      </c>
      <c r="H3847" s="615" t="n"/>
    </row>
    <row r="3848" ht="18" customHeight="1" s="305">
      <c r="A3848" s="8" t="n">
        <v>4863</v>
      </c>
      <c r="C3848" s="72" t="inlineStr">
        <is>
          <t>X</t>
        </is>
      </c>
      <c r="E3848" s="73">
        <f>B3848*D3848/10000</f>
        <v/>
      </c>
      <c r="F3848" s="74">
        <f>B3848/30.48</f>
        <v/>
      </c>
      <c r="G3848" s="74">
        <f>D3848/30.48</f>
        <v/>
      </c>
      <c r="H3848" s="615" t="n"/>
    </row>
    <row r="3849" ht="18" customHeight="1" s="305">
      <c r="A3849" s="8" t="n">
        <v>4864</v>
      </c>
      <c r="C3849" s="72" t="inlineStr">
        <is>
          <t>X</t>
        </is>
      </c>
      <c r="E3849" s="73">
        <f>B3849*D3849/10000</f>
        <v/>
      </c>
      <c r="F3849" s="74">
        <f>B3849/30.48</f>
        <v/>
      </c>
      <c r="G3849" s="74">
        <f>D3849/30.48</f>
        <v/>
      </c>
      <c r="H3849" s="615" t="n"/>
    </row>
    <row r="3850" ht="18" customHeight="1" s="305">
      <c r="A3850" s="8" t="n">
        <v>4865</v>
      </c>
      <c r="C3850" s="72" t="inlineStr">
        <is>
          <t>X</t>
        </is>
      </c>
      <c r="E3850" s="73">
        <f>B3850*D3850/10000</f>
        <v/>
      </c>
      <c r="F3850" s="74">
        <f>B3850/30.48</f>
        <v/>
      </c>
      <c r="G3850" s="74">
        <f>D3850/30.48</f>
        <v/>
      </c>
      <c r="H3850" s="615" t="n"/>
    </row>
    <row r="3851" ht="18" customHeight="1" s="305">
      <c r="A3851" s="8" t="n">
        <v>4866</v>
      </c>
      <c r="C3851" s="72" t="inlineStr">
        <is>
          <t>X</t>
        </is>
      </c>
      <c r="E3851" s="73">
        <f>B3851*D3851/10000</f>
        <v/>
      </c>
      <c r="F3851" s="74">
        <f>B3851/30.48</f>
        <v/>
      </c>
      <c r="G3851" s="74">
        <f>D3851/30.48</f>
        <v/>
      </c>
      <c r="H3851" s="615" t="n"/>
    </row>
    <row r="3852" ht="18" customHeight="1" s="305">
      <c r="A3852" s="8" t="n">
        <v>4867</v>
      </c>
      <c r="C3852" s="72" t="inlineStr">
        <is>
          <t>X</t>
        </is>
      </c>
      <c r="E3852" s="73">
        <f>B3852*D3852/10000</f>
        <v/>
      </c>
      <c r="F3852" s="74">
        <f>B3852/30.48</f>
        <v/>
      </c>
      <c r="G3852" s="74">
        <f>D3852/30.48</f>
        <v/>
      </c>
      <c r="H3852" s="615" t="n"/>
    </row>
    <row r="3853" ht="18" customHeight="1" s="305">
      <c r="A3853" s="8" t="n">
        <v>4868</v>
      </c>
      <c r="C3853" s="72" t="inlineStr">
        <is>
          <t>X</t>
        </is>
      </c>
      <c r="E3853" s="73">
        <f>B3853*D3853/10000</f>
        <v/>
      </c>
      <c r="F3853" s="74">
        <f>B3853/30.48</f>
        <v/>
      </c>
      <c r="G3853" s="74">
        <f>D3853/30.48</f>
        <v/>
      </c>
      <c r="H3853" s="615" t="n"/>
    </row>
    <row r="3854" ht="18" customHeight="1" s="305">
      <c r="A3854" s="8" t="n">
        <v>4869</v>
      </c>
      <c r="C3854" s="72" t="inlineStr">
        <is>
          <t>X</t>
        </is>
      </c>
      <c r="E3854" s="73">
        <f>B3854*D3854/10000</f>
        <v/>
      </c>
      <c r="F3854" s="74">
        <f>B3854/30.48</f>
        <v/>
      </c>
      <c r="G3854" s="74">
        <f>D3854/30.48</f>
        <v/>
      </c>
      <c r="H3854" s="615" t="n"/>
    </row>
    <row r="3855" ht="18" customHeight="1" s="305">
      <c r="A3855" s="8" t="n">
        <v>4870</v>
      </c>
      <c r="C3855" s="72" t="inlineStr">
        <is>
          <t>X</t>
        </is>
      </c>
      <c r="E3855" s="73">
        <f>B3855*D3855/10000</f>
        <v/>
      </c>
      <c r="F3855" s="74">
        <f>B3855/30.48</f>
        <v/>
      </c>
      <c r="G3855" s="74">
        <f>D3855/30.48</f>
        <v/>
      </c>
      <c r="H3855" s="615" t="n"/>
    </row>
    <row r="3856" ht="18" customHeight="1" s="305">
      <c r="A3856" s="8" t="n">
        <v>4871</v>
      </c>
      <c r="C3856" s="72" t="inlineStr">
        <is>
          <t>X</t>
        </is>
      </c>
      <c r="E3856" s="73">
        <f>B3856*D3856/10000</f>
        <v/>
      </c>
      <c r="F3856" s="74">
        <f>B3856/30.48</f>
        <v/>
      </c>
      <c r="G3856" s="74">
        <f>D3856/30.48</f>
        <v/>
      </c>
      <c r="H3856" s="615" t="n"/>
    </row>
    <row r="3857" ht="18" customHeight="1" s="305">
      <c r="A3857" s="8" t="n">
        <v>4872</v>
      </c>
      <c r="C3857" s="72" t="inlineStr">
        <is>
          <t>X</t>
        </is>
      </c>
      <c r="E3857" s="73">
        <f>B3857*D3857/10000</f>
        <v/>
      </c>
      <c r="F3857" s="74">
        <f>B3857/30.48</f>
        <v/>
      </c>
      <c r="G3857" s="74">
        <f>D3857/30.48</f>
        <v/>
      </c>
      <c r="H3857" s="615" t="n"/>
    </row>
    <row r="3858" ht="18" customHeight="1" s="305">
      <c r="A3858" s="8" t="n">
        <v>4873</v>
      </c>
      <c r="C3858" s="72" t="inlineStr">
        <is>
          <t>X</t>
        </is>
      </c>
      <c r="E3858" s="73">
        <f>B3858*D3858/10000</f>
        <v/>
      </c>
      <c r="F3858" s="74">
        <f>B3858/30.48</f>
        <v/>
      </c>
      <c r="G3858" s="74">
        <f>D3858/30.48</f>
        <v/>
      </c>
      <c r="H3858" s="615" t="n"/>
    </row>
    <row r="3859" ht="18" customHeight="1" s="305">
      <c r="A3859" s="8" t="n">
        <v>4874</v>
      </c>
      <c r="C3859" s="72" t="inlineStr">
        <is>
          <t>X</t>
        </is>
      </c>
      <c r="E3859" s="73">
        <f>B3859*D3859/10000</f>
        <v/>
      </c>
      <c r="F3859" s="74">
        <f>B3859/30.48</f>
        <v/>
      </c>
      <c r="G3859" s="74">
        <f>D3859/30.48</f>
        <v/>
      </c>
      <c r="H3859" s="615" t="n"/>
    </row>
    <row r="3860" ht="18" customHeight="1" s="305">
      <c r="A3860" s="8" t="n">
        <v>4875</v>
      </c>
      <c r="C3860" s="72" t="inlineStr">
        <is>
          <t>X</t>
        </is>
      </c>
      <c r="E3860" s="73">
        <f>B3860*D3860/10000</f>
        <v/>
      </c>
      <c r="F3860" s="74">
        <f>B3860/30.48</f>
        <v/>
      </c>
      <c r="G3860" s="74">
        <f>D3860/30.48</f>
        <v/>
      </c>
      <c r="H3860" s="615" t="n"/>
    </row>
    <row r="3861" ht="18" customHeight="1" s="305">
      <c r="A3861" s="8" t="n">
        <v>4876</v>
      </c>
      <c r="C3861" s="72" t="inlineStr">
        <is>
          <t>X</t>
        </is>
      </c>
      <c r="E3861" s="73">
        <f>B3861*D3861/10000</f>
        <v/>
      </c>
      <c r="F3861" s="74">
        <f>B3861/30.48</f>
        <v/>
      </c>
      <c r="G3861" s="74">
        <f>D3861/30.48</f>
        <v/>
      </c>
      <c r="H3861" s="615" t="n"/>
    </row>
    <row r="3862" ht="18" customHeight="1" s="305">
      <c r="A3862" s="8" t="n">
        <v>4877</v>
      </c>
      <c r="C3862" s="72" t="inlineStr">
        <is>
          <t>X</t>
        </is>
      </c>
      <c r="E3862" s="73">
        <f>B3862*D3862/10000</f>
        <v/>
      </c>
      <c r="F3862" s="74">
        <f>B3862/30.48</f>
        <v/>
      </c>
      <c r="G3862" s="74">
        <f>D3862/30.48</f>
        <v/>
      </c>
      <c r="H3862" s="615" t="n"/>
    </row>
    <row r="3863" ht="18" customHeight="1" s="305">
      <c r="A3863" s="8" t="n">
        <v>4878</v>
      </c>
      <c r="C3863" s="72" t="inlineStr">
        <is>
          <t>X</t>
        </is>
      </c>
      <c r="E3863" s="73">
        <f>B3863*D3863/10000</f>
        <v/>
      </c>
      <c r="F3863" s="74">
        <f>B3863/30.48</f>
        <v/>
      </c>
      <c r="G3863" s="74">
        <f>D3863/30.48</f>
        <v/>
      </c>
      <c r="H3863" s="615" t="n"/>
    </row>
    <row r="3864" ht="18" customHeight="1" s="305">
      <c r="A3864" s="8" t="n">
        <v>4879</v>
      </c>
      <c r="C3864" s="72" t="inlineStr">
        <is>
          <t>X</t>
        </is>
      </c>
      <c r="E3864" s="73">
        <f>B3864*D3864/10000</f>
        <v/>
      </c>
      <c r="F3864" s="74">
        <f>B3864/30.48</f>
        <v/>
      </c>
      <c r="G3864" s="74">
        <f>D3864/30.48</f>
        <v/>
      </c>
      <c r="H3864" s="615" t="n"/>
    </row>
    <row r="3865" ht="18" customHeight="1" s="305">
      <c r="A3865" s="8" t="n">
        <v>4880</v>
      </c>
      <c r="C3865" s="72" t="inlineStr">
        <is>
          <t>X</t>
        </is>
      </c>
      <c r="E3865" s="73">
        <f>B3865*D3865/10000</f>
        <v/>
      </c>
      <c r="F3865" s="74">
        <f>B3865/30.48</f>
        <v/>
      </c>
      <c r="G3865" s="74">
        <f>D3865/30.48</f>
        <v/>
      </c>
      <c r="H3865" s="615" t="n"/>
    </row>
    <row r="3866" ht="18" customHeight="1" s="305">
      <c r="A3866" s="8" t="n">
        <v>4881</v>
      </c>
      <c r="C3866" s="72" t="inlineStr">
        <is>
          <t>X</t>
        </is>
      </c>
      <c r="E3866" s="73">
        <f>B3866*D3866/10000</f>
        <v/>
      </c>
      <c r="F3866" s="74">
        <f>B3866/30.48</f>
        <v/>
      </c>
      <c r="G3866" s="74">
        <f>D3866/30.48</f>
        <v/>
      </c>
      <c r="H3866" s="615" t="n"/>
    </row>
    <row r="3867" ht="18" customHeight="1" s="305">
      <c r="A3867" s="8" t="n">
        <v>4882</v>
      </c>
      <c r="C3867" s="72" t="inlineStr">
        <is>
          <t>X</t>
        </is>
      </c>
      <c r="E3867" s="73">
        <f>B3867*D3867/10000</f>
        <v/>
      </c>
      <c r="F3867" s="74">
        <f>B3867/30.48</f>
        <v/>
      </c>
      <c r="G3867" s="74">
        <f>D3867/30.48</f>
        <v/>
      </c>
      <c r="H3867" s="615" t="n"/>
    </row>
    <row r="3868" ht="18" customHeight="1" s="305">
      <c r="A3868" s="8" t="n">
        <v>4883</v>
      </c>
      <c r="C3868" s="72" t="inlineStr">
        <is>
          <t>X</t>
        </is>
      </c>
      <c r="E3868" s="73">
        <f>B3868*D3868/10000</f>
        <v/>
      </c>
      <c r="F3868" s="74">
        <f>B3868/30.48</f>
        <v/>
      </c>
      <c r="G3868" s="74">
        <f>D3868/30.48</f>
        <v/>
      </c>
      <c r="H3868" s="615" t="n"/>
    </row>
    <row r="3869" ht="18" customHeight="1" s="305">
      <c r="A3869" s="8" t="n">
        <v>4884</v>
      </c>
      <c r="C3869" s="72" t="inlineStr">
        <is>
          <t>X</t>
        </is>
      </c>
      <c r="E3869" s="73">
        <f>B3869*D3869/10000</f>
        <v/>
      </c>
      <c r="F3869" s="74">
        <f>B3869/30.48</f>
        <v/>
      </c>
      <c r="G3869" s="74">
        <f>D3869/30.48</f>
        <v/>
      </c>
      <c r="H3869" s="615" t="n"/>
    </row>
    <row r="3870" ht="18" customHeight="1" s="305">
      <c r="A3870" s="8" t="n">
        <v>4885</v>
      </c>
      <c r="C3870" s="72" t="inlineStr">
        <is>
          <t>X</t>
        </is>
      </c>
      <c r="E3870" s="73">
        <f>B3870*D3870/10000</f>
        <v/>
      </c>
      <c r="F3870" s="74">
        <f>B3870/30.48</f>
        <v/>
      </c>
      <c r="G3870" s="74">
        <f>D3870/30.48</f>
        <v/>
      </c>
      <c r="H3870" s="615" t="n"/>
    </row>
    <row r="3871" ht="18" customHeight="1" s="305">
      <c r="A3871" s="8" t="n">
        <v>4886</v>
      </c>
      <c r="C3871" s="72" t="inlineStr">
        <is>
          <t>X</t>
        </is>
      </c>
      <c r="E3871" s="73">
        <f>B3871*D3871/10000</f>
        <v/>
      </c>
      <c r="F3871" s="74">
        <f>B3871/30.48</f>
        <v/>
      </c>
      <c r="G3871" s="74">
        <f>D3871/30.48</f>
        <v/>
      </c>
      <c r="H3871" s="615" t="n"/>
    </row>
    <row r="3872" ht="18" customHeight="1" s="305">
      <c r="A3872" s="8" t="n">
        <v>4887</v>
      </c>
      <c r="C3872" s="72" t="inlineStr">
        <is>
          <t>X</t>
        </is>
      </c>
      <c r="E3872" s="73">
        <f>B3872*D3872/10000</f>
        <v/>
      </c>
      <c r="F3872" s="74">
        <f>B3872/30.48</f>
        <v/>
      </c>
      <c r="G3872" s="74">
        <f>D3872/30.48</f>
        <v/>
      </c>
      <c r="H3872" s="615" t="n"/>
    </row>
    <row r="3873" ht="18" customHeight="1" s="305">
      <c r="A3873" s="8" t="n">
        <v>4888</v>
      </c>
      <c r="C3873" s="72" t="inlineStr">
        <is>
          <t>X</t>
        </is>
      </c>
      <c r="E3873" s="73">
        <f>B3873*D3873/10000</f>
        <v/>
      </c>
      <c r="F3873" s="74">
        <f>B3873/30.48</f>
        <v/>
      </c>
      <c r="G3873" s="74">
        <f>D3873/30.48</f>
        <v/>
      </c>
      <c r="H3873" s="615" t="n"/>
    </row>
    <row r="3874" ht="18" customHeight="1" s="305">
      <c r="A3874" s="8" t="n">
        <v>4889</v>
      </c>
      <c r="C3874" s="72" t="inlineStr">
        <is>
          <t>X</t>
        </is>
      </c>
      <c r="E3874" s="73">
        <f>B3874*D3874/10000</f>
        <v/>
      </c>
      <c r="F3874" s="74">
        <f>B3874/30.48</f>
        <v/>
      </c>
      <c r="G3874" s="74">
        <f>D3874/30.48</f>
        <v/>
      </c>
      <c r="H3874" s="615" t="n"/>
    </row>
    <row r="3875" ht="18" customHeight="1" s="305">
      <c r="A3875" s="8" t="n">
        <v>4890</v>
      </c>
      <c r="C3875" s="72" t="inlineStr">
        <is>
          <t>X</t>
        </is>
      </c>
      <c r="E3875" s="73">
        <f>B3875*D3875/10000</f>
        <v/>
      </c>
      <c r="F3875" s="74">
        <f>B3875/30.48</f>
        <v/>
      </c>
      <c r="G3875" s="74">
        <f>D3875/30.48</f>
        <v/>
      </c>
      <c r="H3875" s="615" t="n"/>
    </row>
    <row r="3876" ht="18" customHeight="1" s="305">
      <c r="A3876" s="8" t="n">
        <v>4891</v>
      </c>
      <c r="C3876" s="72" t="inlineStr">
        <is>
          <t>X</t>
        </is>
      </c>
      <c r="E3876" s="73">
        <f>B3876*D3876/10000</f>
        <v/>
      </c>
      <c r="F3876" s="74">
        <f>B3876/30.48</f>
        <v/>
      </c>
      <c r="G3876" s="74">
        <f>D3876/30.48</f>
        <v/>
      </c>
      <c r="H3876" s="615" t="n"/>
    </row>
    <row r="3877" ht="18" customHeight="1" s="305">
      <c r="A3877" s="8" t="n">
        <v>4892</v>
      </c>
      <c r="C3877" s="72" t="inlineStr">
        <is>
          <t>X</t>
        </is>
      </c>
      <c r="E3877" s="73">
        <f>B3877*D3877/10000</f>
        <v/>
      </c>
      <c r="F3877" s="74">
        <f>B3877/30.48</f>
        <v/>
      </c>
      <c r="G3877" s="74">
        <f>D3877/30.48</f>
        <v/>
      </c>
      <c r="H3877" s="615" t="n"/>
    </row>
    <row r="3878" ht="18" customHeight="1" s="305">
      <c r="A3878" s="8" t="n">
        <v>4893</v>
      </c>
      <c r="C3878" s="72" t="inlineStr">
        <is>
          <t>X</t>
        </is>
      </c>
      <c r="E3878" s="73">
        <f>B3878*D3878/10000</f>
        <v/>
      </c>
      <c r="F3878" s="74">
        <f>B3878/30.48</f>
        <v/>
      </c>
      <c r="G3878" s="74">
        <f>D3878/30.48</f>
        <v/>
      </c>
      <c r="H3878" s="615" t="n"/>
    </row>
    <row r="3879" ht="18" customHeight="1" s="305">
      <c r="A3879" s="8" t="n">
        <v>4894</v>
      </c>
      <c r="C3879" s="72" t="inlineStr">
        <is>
          <t>X</t>
        </is>
      </c>
      <c r="E3879" s="73">
        <f>B3879*D3879/10000</f>
        <v/>
      </c>
      <c r="F3879" s="74">
        <f>B3879/30.48</f>
        <v/>
      </c>
      <c r="G3879" s="74">
        <f>D3879/30.48</f>
        <v/>
      </c>
      <c r="H3879" s="615" t="n"/>
    </row>
    <row r="3880" ht="18" customHeight="1" s="305">
      <c r="A3880" s="8" t="n">
        <v>4895</v>
      </c>
      <c r="C3880" s="72" t="inlineStr">
        <is>
          <t>X</t>
        </is>
      </c>
      <c r="E3880" s="73">
        <f>B3880*D3880/10000</f>
        <v/>
      </c>
      <c r="F3880" s="74">
        <f>B3880/30.48</f>
        <v/>
      </c>
      <c r="G3880" s="74">
        <f>D3880/30.48</f>
        <v/>
      </c>
      <c r="H3880" s="615" t="n"/>
    </row>
    <row r="3881" ht="18" customHeight="1" s="305">
      <c r="A3881" s="8" t="n">
        <v>4896</v>
      </c>
      <c r="C3881" s="72" t="inlineStr">
        <is>
          <t>X</t>
        </is>
      </c>
      <c r="E3881" s="73">
        <f>B3881*D3881/10000</f>
        <v/>
      </c>
      <c r="F3881" s="74">
        <f>B3881/30.48</f>
        <v/>
      </c>
      <c r="G3881" s="74">
        <f>D3881/30.48</f>
        <v/>
      </c>
      <c r="H3881" s="615" t="n"/>
    </row>
    <row r="3882" ht="18" customHeight="1" s="305">
      <c r="A3882" s="8" t="n">
        <v>4897</v>
      </c>
      <c r="C3882" s="72" t="inlineStr">
        <is>
          <t>X</t>
        </is>
      </c>
      <c r="E3882" s="73">
        <f>B3882*D3882/10000</f>
        <v/>
      </c>
      <c r="F3882" s="74">
        <f>B3882/30.48</f>
        <v/>
      </c>
      <c r="G3882" s="74">
        <f>D3882/30.48</f>
        <v/>
      </c>
      <c r="H3882" s="615" t="n"/>
    </row>
    <row r="3883" ht="18" customHeight="1" s="305">
      <c r="A3883" s="8" t="n">
        <v>4898</v>
      </c>
      <c r="C3883" s="72" t="inlineStr">
        <is>
          <t>X</t>
        </is>
      </c>
      <c r="E3883" s="73">
        <f>B3883*D3883/10000</f>
        <v/>
      </c>
      <c r="F3883" s="74">
        <f>B3883/30.48</f>
        <v/>
      </c>
      <c r="G3883" s="74">
        <f>D3883/30.48</f>
        <v/>
      </c>
      <c r="H3883" s="615" t="n"/>
    </row>
    <row r="3884" ht="18" customHeight="1" s="305">
      <c r="A3884" s="8" t="n">
        <v>4899</v>
      </c>
      <c r="C3884" s="72" t="inlineStr">
        <is>
          <t>X</t>
        </is>
      </c>
      <c r="E3884" s="73">
        <f>B3884*D3884/10000</f>
        <v/>
      </c>
      <c r="F3884" s="74">
        <f>B3884/30.48</f>
        <v/>
      </c>
      <c r="G3884" s="74">
        <f>D3884/30.48</f>
        <v/>
      </c>
      <c r="H3884" s="615" t="n"/>
    </row>
    <row r="3885" ht="18" customHeight="1" s="305">
      <c r="A3885" s="8" t="n">
        <v>4900</v>
      </c>
      <c r="C3885" s="72" t="inlineStr">
        <is>
          <t>X</t>
        </is>
      </c>
      <c r="E3885" s="73">
        <f>B3885*D3885/10000</f>
        <v/>
      </c>
      <c r="F3885" s="74">
        <f>B3885/30.48</f>
        <v/>
      </c>
      <c r="G3885" s="74">
        <f>D3885/30.48</f>
        <v/>
      </c>
      <c r="H3885" s="615" t="n"/>
    </row>
    <row r="3886" ht="18" customHeight="1" s="305">
      <c r="A3886" s="8" t="n">
        <v>4901</v>
      </c>
      <c r="C3886" s="72" t="inlineStr">
        <is>
          <t>X</t>
        </is>
      </c>
      <c r="E3886" s="73">
        <f>B3886*D3886/10000</f>
        <v/>
      </c>
      <c r="F3886" s="74">
        <f>B3886/30.48</f>
        <v/>
      </c>
      <c r="G3886" s="74">
        <f>D3886/30.48</f>
        <v/>
      </c>
      <c r="H3886" s="615" t="n"/>
    </row>
    <row r="3887" ht="18" customHeight="1" s="305">
      <c r="A3887" s="8" t="n">
        <v>4902</v>
      </c>
      <c r="C3887" s="72" t="inlineStr">
        <is>
          <t>X</t>
        </is>
      </c>
      <c r="E3887" s="73">
        <f>B3887*D3887/10000</f>
        <v/>
      </c>
      <c r="F3887" s="74">
        <f>B3887/30.48</f>
        <v/>
      </c>
      <c r="G3887" s="74">
        <f>D3887/30.48</f>
        <v/>
      </c>
      <c r="H3887" s="615" t="n"/>
    </row>
    <row r="3888" ht="18" customHeight="1" s="305">
      <c r="A3888" s="8" t="n">
        <v>4903</v>
      </c>
      <c r="C3888" s="72" t="inlineStr">
        <is>
          <t>X</t>
        </is>
      </c>
      <c r="E3888" s="73">
        <f>B3888*D3888/10000</f>
        <v/>
      </c>
      <c r="F3888" s="74">
        <f>B3888/30.48</f>
        <v/>
      </c>
      <c r="G3888" s="74">
        <f>D3888/30.48</f>
        <v/>
      </c>
      <c r="H3888" s="615" t="n"/>
    </row>
    <row r="3889" ht="18" customHeight="1" s="305">
      <c r="A3889" s="8" t="n">
        <v>4904</v>
      </c>
      <c r="C3889" s="72" t="inlineStr">
        <is>
          <t>X</t>
        </is>
      </c>
      <c r="E3889" s="73">
        <f>B3889*D3889/10000</f>
        <v/>
      </c>
      <c r="F3889" s="74">
        <f>B3889/30.48</f>
        <v/>
      </c>
      <c r="G3889" s="74">
        <f>D3889/30.48</f>
        <v/>
      </c>
      <c r="H3889" s="615" t="n"/>
    </row>
    <row r="3890" ht="18" customHeight="1" s="305">
      <c r="A3890" s="8" t="n">
        <v>4905</v>
      </c>
      <c r="C3890" s="72" t="inlineStr">
        <is>
          <t>X</t>
        </is>
      </c>
      <c r="E3890" s="73">
        <f>B3890*D3890/10000</f>
        <v/>
      </c>
      <c r="F3890" s="74">
        <f>B3890/30.48</f>
        <v/>
      </c>
      <c r="G3890" s="74">
        <f>D3890/30.48</f>
        <v/>
      </c>
      <c r="H3890" s="615" t="n"/>
    </row>
    <row r="3891" ht="18" customHeight="1" s="305">
      <c r="A3891" s="8" t="n">
        <v>4906</v>
      </c>
      <c r="C3891" s="72" t="inlineStr">
        <is>
          <t>X</t>
        </is>
      </c>
      <c r="E3891" s="73">
        <f>B3891*D3891/10000</f>
        <v/>
      </c>
      <c r="F3891" s="74">
        <f>B3891/30.48</f>
        <v/>
      </c>
      <c r="G3891" s="74">
        <f>D3891/30.48</f>
        <v/>
      </c>
      <c r="H3891" s="615" t="n"/>
    </row>
    <row r="3892" ht="18" customHeight="1" s="305">
      <c r="A3892" s="8" t="n">
        <v>4907</v>
      </c>
      <c r="C3892" s="72" t="inlineStr">
        <is>
          <t>X</t>
        </is>
      </c>
      <c r="E3892" s="73">
        <f>B3892*D3892/10000</f>
        <v/>
      </c>
      <c r="F3892" s="74">
        <f>B3892/30.48</f>
        <v/>
      </c>
      <c r="G3892" s="74">
        <f>D3892/30.48</f>
        <v/>
      </c>
      <c r="H3892" s="615" t="n"/>
    </row>
    <row r="3893" ht="18" customHeight="1" s="305">
      <c r="A3893" s="8" t="n">
        <v>4908</v>
      </c>
      <c r="C3893" s="72" t="inlineStr">
        <is>
          <t>X</t>
        </is>
      </c>
      <c r="E3893" s="73">
        <f>B3893*D3893/10000</f>
        <v/>
      </c>
      <c r="F3893" s="74">
        <f>B3893/30.48</f>
        <v/>
      </c>
      <c r="G3893" s="74">
        <f>D3893/30.48</f>
        <v/>
      </c>
      <c r="H3893" s="615" t="n"/>
    </row>
    <row r="3894" ht="18" customHeight="1" s="305">
      <c r="A3894" s="8" t="n">
        <v>4909</v>
      </c>
      <c r="C3894" s="72" t="inlineStr">
        <is>
          <t>X</t>
        </is>
      </c>
      <c r="E3894" s="73">
        <f>B3894*D3894/10000</f>
        <v/>
      </c>
      <c r="F3894" s="74">
        <f>B3894/30.48</f>
        <v/>
      </c>
      <c r="G3894" s="74">
        <f>D3894/30.48</f>
        <v/>
      </c>
      <c r="H3894" s="615" t="n"/>
    </row>
    <row r="3895" ht="18" customHeight="1" s="305">
      <c r="A3895" s="8" t="n">
        <v>4910</v>
      </c>
      <c r="C3895" s="72" t="inlineStr">
        <is>
          <t>X</t>
        </is>
      </c>
      <c r="E3895" s="73">
        <f>B3895*D3895/10000</f>
        <v/>
      </c>
      <c r="F3895" s="74">
        <f>B3895/30.48</f>
        <v/>
      </c>
      <c r="G3895" s="74">
        <f>D3895/30.48</f>
        <v/>
      </c>
      <c r="H3895" s="615" t="n"/>
    </row>
    <row r="3896" ht="18" customHeight="1" s="305">
      <c r="A3896" s="8" t="n">
        <v>4911</v>
      </c>
      <c r="C3896" s="72" t="inlineStr">
        <is>
          <t>X</t>
        </is>
      </c>
      <c r="E3896" s="73">
        <f>B3896*D3896/10000</f>
        <v/>
      </c>
      <c r="F3896" s="74">
        <f>B3896/30.48</f>
        <v/>
      </c>
      <c r="G3896" s="74">
        <f>D3896/30.48</f>
        <v/>
      </c>
      <c r="H3896" s="615" t="n"/>
    </row>
    <row r="3897" ht="18" customHeight="1" s="305">
      <c r="A3897" s="8" t="n">
        <v>4912</v>
      </c>
      <c r="C3897" s="72" t="inlineStr">
        <is>
          <t>X</t>
        </is>
      </c>
      <c r="E3897" s="73">
        <f>B3897*D3897/10000</f>
        <v/>
      </c>
      <c r="F3897" s="74">
        <f>B3897/30.48</f>
        <v/>
      </c>
      <c r="G3897" s="74">
        <f>D3897/30.48</f>
        <v/>
      </c>
      <c r="H3897" s="615" t="n"/>
    </row>
    <row r="3898" ht="18" customHeight="1" s="305">
      <c r="A3898" s="8" t="n">
        <v>4913</v>
      </c>
      <c r="C3898" s="72" t="inlineStr">
        <is>
          <t>X</t>
        </is>
      </c>
      <c r="E3898" s="73">
        <f>B3898*D3898/10000</f>
        <v/>
      </c>
      <c r="F3898" s="74">
        <f>B3898/30.48</f>
        <v/>
      </c>
      <c r="G3898" s="74">
        <f>D3898/30.48</f>
        <v/>
      </c>
      <c r="H3898" s="615" t="n"/>
    </row>
    <row r="3899" ht="18" customHeight="1" s="305">
      <c r="A3899" s="8" t="n">
        <v>4914</v>
      </c>
      <c r="C3899" s="72" t="inlineStr">
        <is>
          <t>X</t>
        </is>
      </c>
      <c r="E3899" s="73">
        <f>B3899*D3899/10000</f>
        <v/>
      </c>
      <c r="F3899" s="74">
        <f>B3899/30.48</f>
        <v/>
      </c>
      <c r="G3899" s="74">
        <f>D3899/30.48</f>
        <v/>
      </c>
      <c r="H3899" s="615" t="n"/>
    </row>
    <row r="3900" ht="18" customHeight="1" s="305">
      <c r="A3900" s="8" t="n">
        <v>4915</v>
      </c>
      <c r="C3900" s="72" t="inlineStr">
        <is>
          <t>X</t>
        </is>
      </c>
      <c r="E3900" s="73">
        <f>B3900*D3900/10000</f>
        <v/>
      </c>
      <c r="F3900" s="74">
        <f>B3900/30.48</f>
        <v/>
      </c>
      <c r="G3900" s="74">
        <f>D3900/30.48</f>
        <v/>
      </c>
      <c r="H3900" s="615" t="n"/>
    </row>
    <row r="3901" ht="18" customHeight="1" s="305">
      <c r="A3901" s="8" t="n">
        <v>4916</v>
      </c>
      <c r="C3901" s="72" t="inlineStr">
        <is>
          <t>X</t>
        </is>
      </c>
      <c r="E3901" s="73">
        <f>B3901*D3901/10000</f>
        <v/>
      </c>
      <c r="F3901" s="74">
        <f>B3901/30.48</f>
        <v/>
      </c>
      <c r="G3901" s="74">
        <f>D3901/30.48</f>
        <v/>
      </c>
      <c r="H3901" s="615" t="n"/>
    </row>
    <row r="3902" ht="18" customHeight="1" s="305">
      <c r="A3902" s="8" t="n">
        <v>4917</v>
      </c>
      <c r="C3902" s="72" t="inlineStr">
        <is>
          <t>X</t>
        </is>
      </c>
      <c r="E3902" s="73">
        <f>B3902*D3902/10000</f>
        <v/>
      </c>
      <c r="F3902" s="74">
        <f>B3902/30.48</f>
        <v/>
      </c>
      <c r="G3902" s="74">
        <f>D3902/30.48</f>
        <v/>
      </c>
      <c r="H3902" s="615" t="n"/>
    </row>
    <row r="3903" ht="18" customHeight="1" s="305">
      <c r="A3903" s="8" t="n">
        <v>4918</v>
      </c>
      <c r="C3903" s="72" t="inlineStr">
        <is>
          <t>X</t>
        </is>
      </c>
      <c r="E3903" s="73">
        <f>B3903*D3903/10000</f>
        <v/>
      </c>
      <c r="F3903" s="74">
        <f>B3903/30.48</f>
        <v/>
      </c>
      <c r="G3903" s="74">
        <f>D3903/30.48</f>
        <v/>
      </c>
      <c r="H3903" s="615" t="n"/>
    </row>
    <row r="3904" ht="18" customHeight="1" s="305">
      <c r="A3904" s="8" t="n">
        <v>4919</v>
      </c>
      <c r="C3904" s="72" t="inlineStr">
        <is>
          <t>X</t>
        </is>
      </c>
      <c r="E3904" s="73">
        <f>B3904*D3904/10000</f>
        <v/>
      </c>
      <c r="F3904" s="74">
        <f>B3904/30.48</f>
        <v/>
      </c>
      <c r="G3904" s="74">
        <f>D3904/30.48</f>
        <v/>
      </c>
      <c r="H3904" s="615" t="n"/>
    </row>
    <row r="3905" ht="18" customHeight="1" s="305">
      <c r="A3905" s="8" t="n">
        <v>4920</v>
      </c>
      <c r="C3905" s="72" t="inlineStr">
        <is>
          <t>X</t>
        </is>
      </c>
      <c r="E3905" s="73">
        <f>B3905*D3905/10000</f>
        <v/>
      </c>
      <c r="F3905" s="74">
        <f>B3905/30.48</f>
        <v/>
      </c>
      <c r="G3905" s="74">
        <f>D3905/30.48</f>
        <v/>
      </c>
      <c r="H3905" s="615" t="n"/>
    </row>
    <row r="3906" ht="18" customHeight="1" s="305">
      <c r="A3906" s="8" t="n">
        <v>4921</v>
      </c>
      <c r="C3906" s="72" t="inlineStr">
        <is>
          <t>X</t>
        </is>
      </c>
      <c r="E3906" s="73">
        <f>B3906*D3906/10000</f>
        <v/>
      </c>
      <c r="F3906" s="74">
        <f>B3906/30.48</f>
        <v/>
      </c>
      <c r="G3906" s="74">
        <f>D3906/30.48</f>
        <v/>
      </c>
      <c r="H3906" s="615" t="n"/>
    </row>
    <row r="3907" ht="18" customHeight="1" s="305">
      <c r="A3907" s="8" t="n">
        <v>4922</v>
      </c>
      <c r="C3907" s="72" t="inlineStr">
        <is>
          <t>X</t>
        </is>
      </c>
      <c r="E3907" s="73">
        <f>B3907*D3907/10000</f>
        <v/>
      </c>
      <c r="F3907" s="74">
        <f>B3907/30.48</f>
        <v/>
      </c>
      <c r="G3907" s="74">
        <f>D3907/30.48</f>
        <v/>
      </c>
      <c r="H3907" s="615" t="n"/>
    </row>
    <row r="3908" ht="18" customHeight="1" s="305">
      <c r="A3908" s="8" t="n">
        <v>4923</v>
      </c>
      <c r="C3908" s="72" t="inlineStr">
        <is>
          <t>X</t>
        </is>
      </c>
      <c r="E3908" s="73">
        <f>B3908*D3908/10000</f>
        <v/>
      </c>
      <c r="F3908" s="74">
        <f>B3908/30.48</f>
        <v/>
      </c>
      <c r="G3908" s="74">
        <f>D3908/30.48</f>
        <v/>
      </c>
      <c r="H3908" s="615" t="n"/>
    </row>
    <row r="3909" ht="18" customHeight="1" s="305">
      <c r="A3909" s="8" t="n">
        <v>4924</v>
      </c>
      <c r="C3909" s="72" t="inlineStr">
        <is>
          <t>X</t>
        </is>
      </c>
      <c r="E3909" s="73">
        <f>B3909*D3909/10000</f>
        <v/>
      </c>
      <c r="F3909" s="74">
        <f>B3909/30.48</f>
        <v/>
      </c>
      <c r="G3909" s="74">
        <f>D3909/30.48</f>
        <v/>
      </c>
      <c r="H3909" s="615" t="n"/>
    </row>
    <row r="3910" ht="18" customHeight="1" s="305">
      <c r="A3910" s="8" t="n">
        <v>4925</v>
      </c>
      <c r="C3910" s="72" t="inlineStr">
        <is>
          <t>X</t>
        </is>
      </c>
      <c r="E3910" s="73">
        <f>B3910*D3910/10000</f>
        <v/>
      </c>
      <c r="F3910" s="74">
        <f>B3910/30.48</f>
        <v/>
      </c>
      <c r="G3910" s="74">
        <f>D3910/30.48</f>
        <v/>
      </c>
      <c r="H3910" s="615" t="n"/>
    </row>
    <row r="3911" ht="18" customHeight="1" s="305">
      <c r="A3911" s="8" t="n">
        <v>4926</v>
      </c>
      <c r="C3911" s="72" t="inlineStr">
        <is>
          <t>X</t>
        </is>
      </c>
      <c r="E3911" s="73">
        <f>B3911*D3911/10000</f>
        <v/>
      </c>
      <c r="F3911" s="74">
        <f>B3911/30.48</f>
        <v/>
      </c>
      <c r="G3911" s="74">
        <f>D3911/30.48</f>
        <v/>
      </c>
      <c r="H3911" s="615" t="n"/>
    </row>
    <row r="3912" ht="18" customHeight="1" s="305">
      <c r="A3912" s="8" t="n">
        <v>4927</v>
      </c>
      <c r="C3912" s="72" t="inlineStr">
        <is>
          <t>X</t>
        </is>
      </c>
      <c r="E3912" s="73">
        <f>B3912*D3912/10000</f>
        <v/>
      </c>
      <c r="F3912" s="74">
        <f>B3912/30.48</f>
        <v/>
      </c>
      <c r="G3912" s="74">
        <f>D3912/30.48</f>
        <v/>
      </c>
      <c r="H3912" s="615" t="n"/>
    </row>
    <row r="3913" ht="18" customHeight="1" s="305">
      <c r="A3913" s="8" t="n">
        <v>4928</v>
      </c>
      <c r="C3913" s="72" t="inlineStr">
        <is>
          <t>X</t>
        </is>
      </c>
      <c r="E3913" s="73">
        <f>B3913*D3913/10000</f>
        <v/>
      </c>
      <c r="F3913" s="74">
        <f>B3913/30.48</f>
        <v/>
      </c>
      <c r="G3913" s="74">
        <f>D3913/30.48</f>
        <v/>
      </c>
      <c r="H3913" s="615" t="n"/>
    </row>
    <row r="3914" ht="18" customHeight="1" s="305">
      <c r="A3914" s="8" t="n">
        <v>4929</v>
      </c>
      <c r="C3914" s="72" t="inlineStr">
        <is>
          <t>X</t>
        </is>
      </c>
      <c r="E3914" s="73">
        <f>B3914*D3914/10000</f>
        <v/>
      </c>
      <c r="F3914" s="74">
        <f>B3914/30.48</f>
        <v/>
      </c>
      <c r="G3914" s="74">
        <f>D3914/30.48</f>
        <v/>
      </c>
      <c r="H3914" s="615" t="n"/>
    </row>
    <row r="3915" ht="18" customHeight="1" s="305">
      <c r="A3915" s="8" t="n">
        <v>4930</v>
      </c>
      <c r="C3915" s="72" t="inlineStr">
        <is>
          <t>X</t>
        </is>
      </c>
      <c r="E3915" s="73">
        <f>B3915*D3915/10000</f>
        <v/>
      </c>
      <c r="F3915" s="74">
        <f>B3915/30.48</f>
        <v/>
      </c>
      <c r="G3915" s="74">
        <f>D3915/30.48</f>
        <v/>
      </c>
      <c r="H3915" s="615" t="n"/>
    </row>
    <row r="3916" ht="18" customHeight="1" s="305">
      <c r="A3916" s="8" t="n">
        <v>4931</v>
      </c>
      <c r="C3916" s="72" t="inlineStr">
        <is>
          <t>X</t>
        </is>
      </c>
      <c r="E3916" s="73">
        <f>B3916*D3916/10000</f>
        <v/>
      </c>
      <c r="F3916" s="74">
        <f>B3916/30.48</f>
        <v/>
      </c>
      <c r="G3916" s="74">
        <f>D3916/30.48</f>
        <v/>
      </c>
      <c r="H3916" s="615" t="n"/>
    </row>
    <row r="3917" ht="18" customHeight="1" s="305">
      <c r="A3917" s="8" t="n">
        <v>4932</v>
      </c>
      <c r="C3917" s="72" t="inlineStr">
        <is>
          <t>X</t>
        </is>
      </c>
      <c r="E3917" s="73">
        <f>B3917*D3917/10000</f>
        <v/>
      </c>
      <c r="F3917" s="74">
        <f>B3917/30.48</f>
        <v/>
      </c>
      <c r="G3917" s="74">
        <f>D3917/30.48</f>
        <v/>
      </c>
      <c r="H3917" s="615" t="n"/>
    </row>
    <row r="3918" ht="18" customHeight="1" s="305">
      <c r="A3918" s="8" t="n">
        <v>4933</v>
      </c>
      <c r="C3918" s="72" t="inlineStr">
        <is>
          <t>X</t>
        </is>
      </c>
      <c r="E3918" s="73">
        <f>B3918*D3918/10000</f>
        <v/>
      </c>
      <c r="F3918" s="74">
        <f>B3918/30.48</f>
        <v/>
      </c>
      <c r="G3918" s="74">
        <f>D3918/30.48</f>
        <v/>
      </c>
      <c r="H3918" s="615" t="n"/>
    </row>
    <row r="3919" ht="18" customHeight="1" s="305">
      <c r="A3919" s="8" t="n">
        <v>4934</v>
      </c>
      <c r="C3919" s="72" t="inlineStr">
        <is>
          <t>X</t>
        </is>
      </c>
      <c r="E3919" s="73">
        <f>B3919*D3919/10000</f>
        <v/>
      </c>
      <c r="F3919" s="74">
        <f>B3919/30.48</f>
        <v/>
      </c>
      <c r="G3919" s="74">
        <f>D3919/30.48</f>
        <v/>
      </c>
      <c r="H3919" s="615" t="n"/>
    </row>
    <row r="3920" ht="18" customHeight="1" s="305">
      <c r="A3920" s="8" t="n">
        <v>4935</v>
      </c>
      <c r="C3920" s="72" t="inlineStr">
        <is>
          <t>X</t>
        </is>
      </c>
      <c r="E3920" s="73">
        <f>B3920*D3920/10000</f>
        <v/>
      </c>
      <c r="F3920" s="74">
        <f>B3920/30.48</f>
        <v/>
      </c>
      <c r="G3920" s="74">
        <f>D3920/30.48</f>
        <v/>
      </c>
      <c r="H3920" s="615" t="n"/>
    </row>
    <row r="3921" ht="18" customHeight="1" s="305">
      <c r="A3921" s="8" t="n">
        <v>4936</v>
      </c>
      <c r="C3921" s="72" t="inlineStr">
        <is>
          <t>X</t>
        </is>
      </c>
      <c r="E3921" s="73">
        <f>B3921*D3921/10000</f>
        <v/>
      </c>
      <c r="F3921" s="74">
        <f>B3921/30.48</f>
        <v/>
      </c>
      <c r="G3921" s="74">
        <f>D3921/30.48</f>
        <v/>
      </c>
      <c r="H3921" s="615" t="n"/>
    </row>
    <row r="3922" ht="18" customHeight="1" s="305">
      <c r="A3922" s="8" t="n">
        <v>4937</v>
      </c>
      <c r="C3922" s="72" t="inlineStr">
        <is>
          <t>X</t>
        </is>
      </c>
      <c r="E3922" s="73">
        <f>B3922*D3922/10000</f>
        <v/>
      </c>
      <c r="F3922" s="74">
        <f>B3922/30.48</f>
        <v/>
      </c>
      <c r="G3922" s="74">
        <f>D3922/30.48</f>
        <v/>
      </c>
      <c r="H3922" s="615" t="n"/>
    </row>
    <row r="3923" ht="18" customHeight="1" s="305">
      <c r="A3923" s="8" t="n">
        <v>4938</v>
      </c>
      <c r="C3923" s="72" t="inlineStr">
        <is>
          <t>X</t>
        </is>
      </c>
      <c r="E3923" s="73">
        <f>B3923*D3923/10000</f>
        <v/>
      </c>
      <c r="F3923" s="74">
        <f>B3923/30.48</f>
        <v/>
      </c>
      <c r="G3923" s="74">
        <f>D3923/30.48</f>
        <v/>
      </c>
      <c r="H3923" s="615" t="n"/>
    </row>
    <row r="3924" ht="18" customHeight="1" s="305">
      <c r="A3924" s="8" t="n">
        <v>4939</v>
      </c>
      <c r="C3924" s="72" t="inlineStr">
        <is>
          <t>X</t>
        </is>
      </c>
      <c r="E3924" s="73">
        <f>B3924*D3924/10000</f>
        <v/>
      </c>
      <c r="F3924" s="74">
        <f>B3924/30.48</f>
        <v/>
      </c>
      <c r="G3924" s="74">
        <f>D3924/30.48</f>
        <v/>
      </c>
      <c r="H3924" s="615" t="n"/>
    </row>
    <row r="3925" ht="18" customHeight="1" s="305">
      <c r="A3925" s="8" t="n">
        <v>4940</v>
      </c>
      <c r="C3925" s="72" t="inlineStr">
        <is>
          <t>X</t>
        </is>
      </c>
      <c r="E3925" s="73">
        <f>B3925*D3925/10000</f>
        <v/>
      </c>
      <c r="F3925" s="74">
        <f>B3925/30.48</f>
        <v/>
      </c>
      <c r="G3925" s="74">
        <f>D3925/30.48</f>
        <v/>
      </c>
      <c r="H3925" s="615" t="n"/>
    </row>
    <row r="3926" ht="18" customHeight="1" s="305">
      <c r="A3926" s="8" t="n">
        <v>4941</v>
      </c>
      <c r="C3926" s="72" t="inlineStr">
        <is>
          <t>X</t>
        </is>
      </c>
      <c r="E3926" s="73">
        <f>B3926*D3926/10000</f>
        <v/>
      </c>
      <c r="F3926" s="74">
        <f>B3926/30.48</f>
        <v/>
      </c>
      <c r="G3926" s="74">
        <f>D3926/30.48</f>
        <v/>
      </c>
      <c r="H3926" s="615" t="n"/>
    </row>
    <row r="3927" ht="18" customHeight="1" s="305">
      <c r="A3927" s="8" t="n">
        <v>4942</v>
      </c>
      <c r="C3927" s="72" t="inlineStr">
        <is>
          <t>X</t>
        </is>
      </c>
      <c r="E3927" s="73">
        <f>B3927*D3927/10000</f>
        <v/>
      </c>
      <c r="F3927" s="74">
        <f>B3927/30.48</f>
        <v/>
      </c>
      <c r="G3927" s="74">
        <f>D3927/30.48</f>
        <v/>
      </c>
      <c r="H3927" s="615" t="n"/>
    </row>
    <row r="3928" ht="18" customHeight="1" s="305">
      <c r="A3928" s="8" t="n">
        <v>4943</v>
      </c>
      <c r="C3928" s="72" t="inlineStr">
        <is>
          <t>X</t>
        </is>
      </c>
      <c r="E3928" s="73">
        <f>B3928*D3928/10000</f>
        <v/>
      </c>
      <c r="F3928" s="74">
        <f>B3928/30.48</f>
        <v/>
      </c>
      <c r="G3928" s="74">
        <f>D3928/30.48</f>
        <v/>
      </c>
      <c r="H3928" s="615" t="n"/>
    </row>
    <row r="3929" ht="18" customHeight="1" s="305">
      <c r="A3929" s="8" t="n">
        <v>4944</v>
      </c>
      <c r="C3929" s="72" t="inlineStr">
        <is>
          <t>X</t>
        </is>
      </c>
      <c r="E3929" s="73">
        <f>B3929*D3929/10000</f>
        <v/>
      </c>
      <c r="F3929" s="74">
        <f>B3929/30.48</f>
        <v/>
      </c>
      <c r="G3929" s="74">
        <f>D3929/30.48</f>
        <v/>
      </c>
      <c r="H3929" s="615" t="n"/>
    </row>
    <row r="3930" ht="18" customHeight="1" s="305">
      <c r="A3930" s="8" t="n">
        <v>4945</v>
      </c>
      <c r="C3930" s="72" t="inlineStr">
        <is>
          <t>X</t>
        </is>
      </c>
      <c r="E3930" s="73">
        <f>B3930*D3930/10000</f>
        <v/>
      </c>
      <c r="F3930" s="74">
        <f>B3930/30.48</f>
        <v/>
      </c>
      <c r="G3930" s="74">
        <f>D3930/30.48</f>
        <v/>
      </c>
      <c r="H3930" s="615" t="n"/>
    </row>
    <row r="3931" ht="18" customHeight="1" s="305">
      <c r="A3931" s="8" t="n">
        <v>4946</v>
      </c>
      <c r="C3931" s="72" t="inlineStr">
        <is>
          <t>X</t>
        </is>
      </c>
      <c r="E3931" s="73">
        <f>B3931*D3931/10000</f>
        <v/>
      </c>
      <c r="F3931" s="74">
        <f>B3931/30.48</f>
        <v/>
      </c>
      <c r="G3931" s="74">
        <f>D3931/30.48</f>
        <v/>
      </c>
      <c r="H3931" s="615" t="n"/>
    </row>
    <row r="3932" ht="18" customHeight="1" s="305">
      <c r="A3932" s="8" t="n">
        <v>4947</v>
      </c>
      <c r="C3932" s="72" t="inlineStr">
        <is>
          <t>X</t>
        </is>
      </c>
      <c r="E3932" s="73">
        <f>B3932*D3932/10000</f>
        <v/>
      </c>
      <c r="F3932" s="74">
        <f>B3932/30.48</f>
        <v/>
      </c>
      <c r="G3932" s="74">
        <f>D3932/30.48</f>
        <v/>
      </c>
      <c r="H3932" s="615" t="n"/>
    </row>
    <row r="3933" ht="18" customHeight="1" s="305">
      <c r="A3933" s="8" t="n">
        <v>4948</v>
      </c>
      <c r="C3933" s="72" t="inlineStr">
        <is>
          <t>X</t>
        </is>
      </c>
      <c r="E3933" s="73">
        <f>B3933*D3933/10000</f>
        <v/>
      </c>
      <c r="F3933" s="74">
        <f>B3933/30.48</f>
        <v/>
      </c>
      <c r="G3933" s="74">
        <f>D3933/30.48</f>
        <v/>
      </c>
      <c r="H3933" s="615" t="n"/>
    </row>
    <row r="3934" ht="18" customHeight="1" s="305">
      <c r="A3934" s="8" t="n">
        <v>4949</v>
      </c>
      <c r="C3934" s="72" t="inlineStr">
        <is>
          <t>X</t>
        </is>
      </c>
      <c r="E3934" s="73">
        <f>B3934*D3934/10000</f>
        <v/>
      </c>
      <c r="F3934" s="74">
        <f>B3934/30.48</f>
        <v/>
      </c>
      <c r="G3934" s="74">
        <f>D3934/30.48</f>
        <v/>
      </c>
      <c r="H3934" s="615" t="n"/>
    </row>
    <row r="3935" ht="18" customHeight="1" s="305">
      <c r="A3935" s="8" t="n">
        <v>4950</v>
      </c>
      <c r="C3935" s="72" t="inlineStr">
        <is>
          <t>X</t>
        </is>
      </c>
      <c r="E3935" s="73">
        <f>B3935*D3935/10000</f>
        <v/>
      </c>
      <c r="F3935" s="74">
        <f>B3935/30.48</f>
        <v/>
      </c>
      <c r="G3935" s="74">
        <f>D3935/30.48</f>
        <v/>
      </c>
      <c r="H3935" s="615" t="n"/>
    </row>
    <row r="3936" ht="18" customHeight="1" s="305">
      <c r="A3936" s="8" t="n">
        <v>4951</v>
      </c>
      <c r="C3936" s="72" t="inlineStr">
        <is>
          <t>X</t>
        </is>
      </c>
      <c r="E3936" s="73">
        <f>B3936*D3936/10000</f>
        <v/>
      </c>
      <c r="F3936" s="74">
        <f>B3936/30.48</f>
        <v/>
      </c>
      <c r="G3936" s="74">
        <f>D3936/30.48</f>
        <v/>
      </c>
      <c r="H3936" s="615" t="n"/>
    </row>
    <row r="3937" ht="18" customHeight="1" s="305">
      <c r="A3937" s="8" t="n">
        <v>4952</v>
      </c>
      <c r="C3937" s="72" t="inlineStr">
        <is>
          <t>X</t>
        </is>
      </c>
      <c r="E3937" s="73">
        <f>B3937*D3937/10000</f>
        <v/>
      </c>
      <c r="F3937" s="74">
        <f>B3937/30.48</f>
        <v/>
      </c>
      <c r="G3937" s="74">
        <f>D3937/30.48</f>
        <v/>
      </c>
      <c r="H3937" s="615" t="n"/>
    </row>
    <row r="3938" ht="18" customHeight="1" s="305">
      <c r="A3938" s="8" t="n">
        <v>4953</v>
      </c>
      <c r="C3938" s="72" t="inlineStr">
        <is>
          <t>X</t>
        </is>
      </c>
      <c r="E3938" s="73">
        <f>B3938*D3938/10000</f>
        <v/>
      </c>
      <c r="F3938" s="74">
        <f>B3938/30.48</f>
        <v/>
      </c>
      <c r="G3938" s="74">
        <f>D3938/30.48</f>
        <v/>
      </c>
      <c r="H3938" s="615" t="n"/>
    </row>
    <row r="3939" ht="18" customHeight="1" s="305">
      <c r="A3939" s="8" t="n">
        <v>4954</v>
      </c>
      <c r="C3939" s="72" t="inlineStr">
        <is>
          <t>X</t>
        </is>
      </c>
      <c r="E3939" s="73">
        <f>B3939*D3939/10000</f>
        <v/>
      </c>
      <c r="F3939" s="74">
        <f>B3939/30.48</f>
        <v/>
      </c>
      <c r="G3939" s="74">
        <f>D3939/30.48</f>
        <v/>
      </c>
      <c r="H3939" s="615" t="n"/>
    </row>
    <row r="3940" ht="18" customHeight="1" s="305">
      <c r="A3940" s="8" t="n">
        <v>4955</v>
      </c>
      <c r="C3940" s="72" t="inlineStr">
        <is>
          <t>X</t>
        </is>
      </c>
      <c r="E3940" s="73">
        <f>B3940*D3940/10000</f>
        <v/>
      </c>
      <c r="F3940" s="74">
        <f>B3940/30.48</f>
        <v/>
      </c>
      <c r="G3940" s="74">
        <f>D3940/30.48</f>
        <v/>
      </c>
      <c r="H3940" s="615" t="n"/>
    </row>
    <row r="3941" ht="18" customHeight="1" s="305">
      <c r="A3941" s="8" t="n">
        <v>4956</v>
      </c>
      <c r="C3941" s="72" t="inlineStr">
        <is>
          <t>X</t>
        </is>
      </c>
      <c r="E3941" s="73">
        <f>B3941*D3941/10000</f>
        <v/>
      </c>
      <c r="F3941" s="74">
        <f>B3941/30.48</f>
        <v/>
      </c>
      <c r="G3941" s="74">
        <f>D3941/30.48</f>
        <v/>
      </c>
      <c r="H3941" s="615" t="n"/>
    </row>
    <row r="3942" ht="18" customHeight="1" s="305">
      <c r="A3942" s="8" t="n">
        <v>4957</v>
      </c>
      <c r="C3942" s="72" t="inlineStr">
        <is>
          <t>X</t>
        </is>
      </c>
      <c r="E3942" s="73">
        <f>B3942*D3942/10000</f>
        <v/>
      </c>
      <c r="F3942" s="74">
        <f>B3942/30.48</f>
        <v/>
      </c>
      <c r="G3942" s="74">
        <f>D3942/30.48</f>
        <v/>
      </c>
      <c r="H3942" s="615" t="n"/>
    </row>
    <row r="3943" ht="18" customHeight="1" s="305">
      <c r="A3943" s="8" t="n">
        <v>4958</v>
      </c>
      <c r="C3943" s="72" t="inlineStr">
        <is>
          <t>X</t>
        </is>
      </c>
      <c r="E3943" s="73">
        <f>B3943*D3943/10000</f>
        <v/>
      </c>
      <c r="F3943" s="74">
        <f>B3943/30.48</f>
        <v/>
      </c>
      <c r="G3943" s="74">
        <f>D3943/30.48</f>
        <v/>
      </c>
      <c r="H3943" s="615" t="n"/>
    </row>
    <row r="3944" ht="18" customHeight="1" s="305">
      <c r="A3944" s="8" t="n">
        <v>4959</v>
      </c>
      <c r="C3944" s="72" t="inlineStr">
        <is>
          <t>X</t>
        </is>
      </c>
      <c r="E3944" s="73">
        <f>B3944*D3944/10000</f>
        <v/>
      </c>
      <c r="F3944" s="74">
        <f>B3944/30.48</f>
        <v/>
      </c>
      <c r="G3944" s="74">
        <f>D3944/30.48</f>
        <v/>
      </c>
      <c r="H3944" s="615" t="n"/>
    </row>
    <row r="3945" ht="18" customHeight="1" s="305">
      <c r="A3945" s="8" t="n">
        <v>4960</v>
      </c>
      <c r="C3945" s="72" t="inlineStr">
        <is>
          <t>X</t>
        </is>
      </c>
      <c r="E3945" s="73">
        <f>B3945*D3945/10000</f>
        <v/>
      </c>
      <c r="F3945" s="74">
        <f>B3945/30.48</f>
        <v/>
      </c>
      <c r="G3945" s="74">
        <f>D3945/30.48</f>
        <v/>
      </c>
      <c r="H3945" s="615" t="n"/>
    </row>
    <row r="3946" ht="18" customHeight="1" s="305">
      <c r="A3946" s="8" t="n">
        <v>4961</v>
      </c>
      <c r="C3946" s="72" t="inlineStr">
        <is>
          <t>X</t>
        </is>
      </c>
      <c r="E3946" s="73">
        <f>B3946*D3946/10000</f>
        <v/>
      </c>
      <c r="F3946" s="74">
        <f>B3946/30.48</f>
        <v/>
      </c>
      <c r="G3946" s="74">
        <f>D3946/30.48</f>
        <v/>
      </c>
      <c r="H3946" s="615" t="n"/>
    </row>
    <row r="3947" ht="18" customHeight="1" s="305">
      <c r="A3947" s="8" t="n">
        <v>4962</v>
      </c>
      <c r="C3947" s="72" t="inlineStr">
        <is>
          <t>X</t>
        </is>
      </c>
      <c r="E3947" s="73">
        <f>B3947*D3947/10000</f>
        <v/>
      </c>
      <c r="F3947" s="74">
        <f>B3947/30.48</f>
        <v/>
      </c>
      <c r="G3947" s="74">
        <f>D3947/30.48</f>
        <v/>
      </c>
      <c r="H3947" s="615" t="n"/>
    </row>
    <row r="3948" ht="18" customHeight="1" s="305">
      <c r="A3948" s="8" t="n">
        <v>4963</v>
      </c>
      <c r="C3948" s="72" t="inlineStr">
        <is>
          <t>X</t>
        </is>
      </c>
      <c r="E3948" s="73">
        <f>B3948*D3948/10000</f>
        <v/>
      </c>
      <c r="F3948" s="74">
        <f>B3948/30.48</f>
        <v/>
      </c>
      <c r="G3948" s="74">
        <f>D3948/30.48</f>
        <v/>
      </c>
      <c r="H3948" s="615" t="n"/>
    </row>
    <row r="3949" ht="18" customHeight="1" s="305">
      <c r="A3949" s="8" t="n">
        <v>4964</v>
      </c>
      <c r="C3949" s="72" t="inlineStr">
        <is>
          <t>X</t>
        </is>
      </c>
      <c r="E3949" s="73">
        <f>B3949*D3949/10000</f>
        <v/>
      </c>
      <c r="F3949" s="74">
        <f>B3949/30.48</f>
        <v/>
      </c>
      <c r="G3949" s="74">
        <f>D3949/30.48</f>
        <v/>
      </c>
      <c r="H3949" s="615" t="n"/>
    </row>
    <row r="3950" ht="18" customHeight="1" s="305">
      <c r="A3950" s="8" t="n">
        <v>4965</v>
      </c>
      <c r="C3950" s="72" t="inlineStr">
        <is>
          <t>X</t>
        </is>
      </c>
      <c r="E3950" s="73">
        <f>B3950*D3950/10000</f>
        <v/>
      </c>
      <c r="F3950" s="74">
        <f>B3950/30.48</f>
        <v/>
      </c>
      <c r="G3950" s="74">
        <f>D3950/30.48</f>
        <v/>
      </c>
      <c r="H3950" s="615" t="n"/>
    </row>
    <row r="3951" ht="18" customHeight="1" s="305">
      <c r="A3951" s="8" t="n">
        <v>4966</v>
      </c>
      <c r="C3951" s="72" t="inlineStr">
        <is>
          <t>X</t>
        </is>
      </c>
      <c r="E3951" s="73">
        <f>B3951*D3951/10000</f>
        <v/>
      </c>
      <c r="F3951" s="74">
        <f>B3951/30.48</f>
        <v/>
      </c>
      <c r="G3951" s="74">
        <f>D3951/30.48</f>
        <v/>
      </c>
      <c r="H3951" s="615" t="n"/>
    </row>
    <row r="3952" ht="18" customHeight="1" s="305">
      <c r="A3952" s="8" t="n">
        <v>4967</v>
      </c>
      <c r="C3952" s="72" t="inlineStr">
        <is>
          <t>X</t>
        </is>
      </c>
      <c r="E3952" s="73">
        <f>B3952*D3952/10000</f>
        <v/>
      </c>
      <c r="F3952" s="74">
        <f>B3952/30.48</f>
        <v/>
      </c>
      <c r="G3952" s="74">
        <f>D3952/30.48</f>
        <v/>
      </c>
      <c r="H3952" s="615" t="n"/>
    </row>
    <row r="3953" ht="18" customHeight="1" s="305">
      <c r="A3953" s="8" t="n">
        <v>4968</v>
      </c>
      <c r="C3953" s="72" t="inlineStr">
        <is>
          <t>X</t>
        </is>
      </c>
      <c r="E3953" s="73">
        <f>B3953*D3953/10000</f>
        <v/>
      </c>
      <c r="F3953" s="74">
        <f>B3953/30.48</f>
        <v/>
      </c>
      <c r="G3953" s="74">
        <f>D3953/30.48</f>
        <v/>
      </c>
      <c r="H3953" s="615" t="n"/>
    </row>
    <row r="3954" ht="18" customHeight="1" s="305">
      <c r="A3954" s="8" t="n">
        <v>4969</v>
      </c>
      <c r="C3954" s="72" t="inlineStr">
        <is>
          <t>X</t>
        </is>
      </c>
      <c r="E3954" s="73">
        <f>B3954*D3954/10000</f>
        <v/>
      </c>
      <c r="F3954" s="74">
        <f>B3954/30.48</f>
        <v/>
      </c>
      <c r="G3954" s="74">
        <f>D3954/30.48</f>
        <v/>
      </c>
      <c r="H3954" s="615" t="n"/>
    </row>
    <row r="3955" ht="18" customHeight="1" s="305">
      <c r="A3955" s="8" t="n">
        <v>4970</v>
      </c>
      <c r="C3955" s="72" t="inlineStr">
        <is>
          <t>X</t>
        </is>
      </c>
      <c r="E3955" s="73">
        <f>B3955*D3955/10000</f>
        <v/>
      </c>
      <c r="F3955" s="74">
        <f>B3955/30.48</f>
        <v/>
      </c>
      <c r="G3955" s="74">
        <f>D3955/30.48</f>
        <v/>
      </c>
      <c r="H3955" s="615" t="n"/>
    </row>
    <row r="3956" ht="18" customHeight="1" s="305">
      <c r="A3956" s="8" t="n">
        <v>4971</v>
      </c>
      <c r="C3956" s="72" t="inlineStr">
        <is>
          <t>X</t>
        </is>
      </c>
      <c r="E3956" s="73">
        <f>B3956*D3956/10000</f>
        <v/>
      </c>
      <c r="F3956" s="74">
        <f>B3956/30.48</f>
        <v/>
      </c>
      <c r="G3956" s="74">
        <f>D3956/30.48</f>
        <v/>
      </c>
      <c r="H3956" s="615" t="n"/>
    </row>
    <row r="3957" ht="18" customHeight="1" s="305">
      <c r="A3957" s="8" t="n">
        <v>4972</v>
      </c>
      <c r="C3957" s="72" t="inlineStr">
        <is>
          <t>X</t>
        </is>
      </c>
      <c r="E3957" s="73">
        <f>B3957*D3957/10000</f>
        <v/>
      </c>
      <c r="F3957" s="74">
        <f>B3957/30.48</f>
        <v/>
      </c>
      <c r="G3957" s="74">
        <f>D3957/30.48</f>
        <v/>
      </c>
      <c r="H3957" s="615" t="n"/>
    </row>
    <row r="3958" ht="18" customHeight="1" s="305">
      <c r="A3958" s="8" t="n">
        <v>4973</v>
      </c>
      <c r="C3958" s="72" t="inlineStr">
        <is>
          <t>X</t>
        </is>
      </c>
      <c r="E3958" s="73">
        <f>B3958*D3958/10000</f>
        <v/>
      </c>
      <c r="F3958" s="74">
        <f>B3958/30.48</f>
        <v/>
      </c>
      <c r="G3958" s="74">
        <f>D3958/30.48</f>
        <v/>
      </c>
      <c r="H3958" s="615" t="n"/>
    </row>
    <row r="3959" ht="18" customHeight="1" s="305">
      <c r="A3959" s="8" t="n">
        <v>4974</v>
      </c>
      <c r="C3959" s="72" t="inlineStr">
        <is>
          <t>X</t>
        </is>
      </c>
      <c r="E3959" s="73">
        <f>B3959*D3959/10000</f>
        <v/>
      </c>
      <c r="F3959" s="74">
        <f>B3959/30.48</f>
        <v/>
      </c>
      <c r="G3959" s="74">
        <f>D3959/30.48</f>
        <v/>
      </c>
      <c r="H3959" s="615" t="n"/>
    </row>
    <row r="3960" ht="18" customHeight="1" s="305">
      <c r="A3960" s="8" t="n">
        <v>4975</v>
      </c>
      <c r="C3960" s="72" t="inlineStr">
        <is>
          <t>X</t>
        </is>
      </c>
      <c r="E3960" s="73">
        <f>B3960*D3960/10000</f>
        <v/>
      </c>
      <c r="F3960" s="74">
        <f>B3960/30.48</f>
        <v/>
      </c>
      <c r="G3960" s="74">
        <f>D3960/30.48</f>
        <v/>
      </c>
      <c r="H3960" s="615" t="n"/>
    </row>
    <row r="3961" ht="18" customHeight="1" s="305">
      <c r="A3961" s="8" t="n">
        <v>4976</v>
      </c>
      <c r="C3961" s="72" t="inlineStr">
        <is>
          <t>X</t>
        </is>
      </c>
      <c r="E3961" s="73">
        <f>B3961*D3961/10000</f>
        <v/>
      </c>
      <c r="F3961" s="74">
        <f>B3961/30.48</f>
        <v/>
      </c>
      <c r="G3961" s="74">
        <f>D3961/30.48</f>
        <v/>
      </c>
      <c r="H3961" s="615" t="n"/>
    </row>
    <row r="3962" ht="18" customHeight="1" s="305">
      <c r="A3962" s="8" t="n">
        <v>4977</v>
      </c>
      <c r="C3962" s="72" t="inlineStr">
        <is>
          <t>X</t>
        </is>
      </c>
      <c r="E3962" s="73">
        <f>B3962*D3962/10000</f>
        <v/>
      </c>
      <c r="F3962" s="74">
        <f>B3962/30.48</f>
        <v/>
      </c>
      <c r="G3962" s="74">
        <f>D3962/30.48</f>
        <v/>
      </c>
      <c r="H3962" s="615" t="n"/>
    </row>
    <row r="3963" ht="18" customHeight="1" s="305">
      <c r="A3963" s="8" t="n">
        <v>4978</v>
      </c>
      <c r="C3963" s="72" t="inlineStr">
        <is>
          <t>X</t>
        </is>
      </c>
      <c r="E3963" s="73">
        <f>B3963*D3963/10000</f>
        <v/>
      </c>
      <c r="F3963" s="74">
        <f>B3963/30.48</f>
        <v/>
      </c>
      <c r="G3963" s="74">
        <f>D3963/30.48</f>
        <v/>
      </c>
      <c r="H3963" s="615" t="n"/>
    </row>
    <row r="3964" ht="18" customHeight="1" s="305">
      <c r="A3964" s="8" t="n">
        <v>4979</v>
      </c>
      <c r="C3964" s="72" t="inlineStr">
        <is>
          <t>X</t>
        </is>
      </c>
      <c r="E3964" s="73">
        <f>B3964*D3964/10000</f>
        <v/>
      </c>
      <c r="F3964" s="74">
        <f>B3964/30.48</f>
        <v/>
      </c>
      <c r="G3964" s="74">
        <f>D3964/30.48</f>
        <v/>
      </c>
      <c r="H3964" s="615" t="n"/>
    </row>
    <row r="3965" ht="18" customHeight="1" s="305">
      <c r="A3965" s="8" t="n">
        <v>4980</v>
      </c>
      <c r="C3965" s="72" t="inlineStr">
        <is>
          <t>X</t>
        </is>
      </c>
      <c r="E3965" s="73">
        <f>B3965*D3965/10000</f>
        <v/>
      </c>
      <c r="F3965" s="74">
        <f>B3965/30.48</f>
        <v/>
      </c>
      <c r="G3965" s="74">
        <f>D3965/30.48</f>
        <v/>
      </c>
      <c r="H3965" s="615" t="n"/>
    </row>
    <row r="3966" ht="18" customHeight="1" s="305">
      <c r="A3966" s="8" t="n">
        <v>4981</v>
      </c>
      <c r="C3966" s="72" t="inlineStr">
        <is>
          <t>X</t>
        </is>
      </c>
      <c r="E3966" s="73">
        <f>B3966*D3966/10000</f>
        <v/>
      </c>
      <c r="F3966" s="74">
        <f>B3966/30.48</f>
        <v/>
      </c>
      <c r="G3966" s="74">
        <f>D3966/30.48</f>
        <v/>
      </c>
      <c r="H3966" s="615" t="n"/>
    </row>
    <row r="3967" ht="18" customHeight="1" s="305">
      <c r="A3967" s="8" t="n">
        <v>4982</v>
      </c>
      <c r="C3967" s="72" t="inlineStr">
        <is>
          <t>X</t>
        </is>
      </c>
      <c r="E3967" s="73">
        <f>B3967*D3967/10000</f>
        <v/>
      </c>
      <c r="F3967" s="74">
        <f>B3967/30.48</f>
        <v/>
      </c>
      <c r="G3967" s="74">
        <f>D3967/30.48</f>
        <v/>
      </c>
      <c r="H3967" s="615" t="n"/>
    </row>
    <row r="3968" ht="18" customHeight="1" s="305">
      <c r="A3968" s="8" t="n">
        <v>4983</v>
      </c>
      <c r="C3968" s="72" t="inlineStr">
        <is>
          <t>X</t>
        </is>
      </c>
      <c r="E3968" s="73">
        <f>B3968*D3968/10000</f>
        <v/>
      </c>
      <c r="F3968" s="74">
        <f>B3968/30.48</f>
        <v/>
      </c>
      <c r="G3968" s="74">
        <f>D3968/30.48</f>
        <v/>
      </c>
      <c r="H3968" s="615" t="n"/>
    </row>
    <row r="3969" ht="18" customHeight="1" s="305">
      <c r="A3969" s="8" t="n">
        <v>4984</v>
      </c>
      <c r="C3969" s="72" t="inlineStr">
        <is>
          <t>X</t>
        </is>
      </c>
      <c r="E3969" s="73">
        <f>B3969*D3969/10000</f>
        <v/>
      </c>
      <c r="F3969" s="74">
        <f>B3969/30.48</f>
        <v/>
      </c>
      <c r="G3969" s="74">
        <f>D3969/30.48</f>
        <v/>
      </c>
      <c r="H3969" s="615" t="n"/>
    </row>
    <row r="3970" ht="18" customHeight="1" s="305">
      <c r="A3970" s="8" t="n">
        <v>4985</v>
      </c>
      <c r="C3970" s="72" t="inlineStr">
        <is>
          <t>X</t>
        </is>
      </c>
      <c r="E3970" s="73">
        <f>B3970*D3970/10000</f>
        <v/>
      </c>
      <c r="F3970" s="74">
        <f>B3970/30.48</f>
        <v/>
      </c>
      <c r="G3970" s="74">
        <f>D3970/30.48</f>
        <v/>
      </c>
      <c r="H3970" s="615" t="n"/>
    </row>
    <row r="3971" ht="18" customHeight="1" s="305">
      <c r="A3971" s="8" t="n">
        <v>4986</v>
      </c>
      <c r="C3971" s="72" t="inlineStr">
        <is>
          <t>X</t>
        </is>
      </c>
      <c r="E3971" s="73">
        <f>B3971*D3971/10000</f>
        <v/>
      </c>
      <c r="F3971" s="74">
        <f>B3971/30.48</f>
        <v/>
      </c>
      <c r="G3971" s="74">
        <f>D3971/30.48</f>
        <v/>
      </c>
      <c r="H3971" s="615" t="n"/>
    </row>
    <row r="3972" ht="18" customHeight="1" s="305">
      <c r="A3972" s="8" t="n">
        <v>4987</v>
      </c>
      <c r="C3972" s="72" t="inlineStr">
        <is>
          <t>X</t>
        </is>
      </c>
      <c r="E3972" s="73">
        <f>B3972*D3972/10000</f>
        <v/>
      </c>
      <c r="F3972" s="74">
        <f>B3972/30.48</f>
        <v/>
      </c>
      <c r="G3972" s="74">
        <f>D3972/30.48</f>
        <v/>
      </c>
      <c r="H3972" s="615" t="n"/>
    </row>
    <row r="3973" ht="18" customHeight="1" s="305">
      <c r="A3973" s="8" t="n">
        <v>4988</v>
      </c>
      <c r="C3973" s="72" t="inlineStr">
        <is>
          <t>X</t>
        </is>
      </c>
      <c r="E3973" s="73">
        <f>B3973*D3973/10000</f>
        <v/>
      </c>
      <c r="F3973" s="74">
        <f>B3973/30.48</f>
        <v/>
      </c>
      <c r="G3973" s="74">
        <f>D3973/30.48</f>
        <v/>
      </c>
      <c r="H3973" s="615" t="n"/>
    </row>
    <row r="3974" ht="18" customHeight="1" s="305">
      <c r="A3974" s="8" t="n">
        <v>4989</v>
      </c>
      <c r="C3974" s="72" t="inlineStr">
        <is>
          <t>X</t>
        </is>
      </c>
      <c r="E3974" s="73">
        <f>B3974*D3974/10000</f>
        <v/>
      </c>
      <c r="F3974" s="74">
        <f>B3974/30.48</f>
        <v/>
      </c>
      <c r="G3974" s="74">
        <f>D3974/30.48</f>
        <v/>
      </c>
      <c r="H3974" s="615" t="n"/>
    </row>
    <row r="3975" ht="18" customHeight="1" s="305">
      <c r="A3975" s="8" t="n">
        <v>4990</v>
      </c>
      <c r="C3975" s="72" t="inlineStr">
        <is>
          <t>X</t>
        </is>
      </c>
      <c r="E3975" s="73">
        <f>B3975*D3975/10000</f>
        <v/>
      </c>
      <c r="F3975" s="74">
        <f>B3975/30.48</f>
        <v/>
      </c>
      <c r="G3975" s="74">
        <f>D3975/30.48</f>
        <v/>
      </c>
      <c r="H3975" s="615" t="n"/>
    </row>
    <row r="3976" ht="18" customHeight="1" s="305">
      <c r="A3976" s="8" t="n">
        <v>4991</v>
      </c>
      <c r="C3976" s="72" t="inlineStr">
        <is>
          <t>X</t>
        </is>
      </c>
      <c r="E3976" s="73">
        <f>B3976*D3976/10000</f>
        <v/>
      </c>
      <c r="F3976" s="74">
        <f>B3976/30.48</f>
        <v/>
      </c>
      <c r="G3976" s="74">
        <f>D3976/30.48</f>
        <v/>
      </c>
      <c r="H3976" s="615" t="n"/>
    </row>
    <row r="3977" ht="18" customHeight="1" s="305">
      <c r="A3977" s="8" t="n">
        <v>4992</v>
      </c>
      <c r="C3977" s="72" t="inlineStr">
        <is>
          <t>X</t>
        </is>
      </c>
      <c r="E3977" s="73">
        <f>B3977*D3977/10000</f>
        <v/>
      </c>
      <c r="F3977" s="74">
        <f>B3977/30.48</f>
        <v/>
      </c>
      <c r="G3977" s="74">
        <f>D3977/30.48</f>
        <v/>
      </c>
      <c r="H3977" s="615" t="n"/>
    </row>
    <row r="3978" ht="18" customHeight="1" s="305">
      <c r="A3978" s="8" t="n">
        <v>4993</v>
      </c>
      <c r="C3978" s="72" t="inlineStr">
        <is>
          <t>X</t>
        </is>
      </c>
      <c r="E3978" s="73">
        <f>B3978*D3978/10000</f>
        <v/>
      </c>
      <c r="F3978" s="74">
        <f>B3978/30.48</f>
        <v/>
      </c>
      <c r="G3978" s="74">
        <f>D3978/30.48</f>
        <v/>
      </c>
      <c r="H3978" s="615" t="n"/>
    </row>
    <row r="3979" ht="18" customHeight="1" s="305">
      <c r="A3979" s="8" t="n">
        <v>4994</v>
      </c>
      <c r="C3979" s="72" t="inlineStr">
        <is>
          <t>X</t>
        </is>
      </c>
      <c r="E3979" s="73">
        <f>B3979*D3979/10000</f>
        <v/>
      </c>
      <c r="F3979" s="74">
        <f>B3979/30.48</f>
        <v/>
      </c>
      <c r="G3979" s="74">
        <f>D3979/30.48</f>
        <v/>
      </c>
      <c r="H3979" s="615" t="n"/>
    </row>
    <row r="3980" ht="18" customHeight="1" s="305">
      <c r="A3980" s="8" t="n">
        <v>4995</v>
      </c>
      <c r="C3980" s="72" t="inlineStr">
        <is>
          <t>X</t>
        </is>
      </c>
      <c r="E3980" s="73">
        <f>B3980*D3980/10000</f>
        <v/>
      </c>
      <c r="F3980" s="74">
        <f>B3980/30.48</f>
        <v/>
      </c>
      <c r="G3980" s="74">
        <f>D3980/30.48</f>
        <v/>
      </c>
      <c r="H3980" s="615" t="n"/>
    </row>
    <row r="3981" ht="18" customHeight="1" s="305">
      <c r="A3981" s="8" t="n">
        <v>4996</v>
      </c>
      <c r="C3981" s="72" t="inlineStr">
        <is>
          <t>X</t>
        </is>
      </c>
      <c r="E3981" s="73">
        <f>B3981*D3981/10000</f>
        <v/>
      </c>
      <c r="F3981" s="74">
        <f>B3981/30.48</f>
        <v/>
      </c>
      <c r="G3981" s="74">
        <f>D3981/30.48</f>
        <v/>
      </c>
      <c r="H3981" s="615" t="n"/>
    </row>
    <row r="3982" ht="18" customHeight="1" s="305">
      <c r="A3982" s="8" t="n">
        <v>4997</v>
      </c>
      <c r="C3982" s="72" t="inlineStr">
        <is>
          <t>X</t>
        </is>
      </c>
      <c r="E3982" s="73">
        <f>B3982*D3982/10000</f>
        <v/>
      </c>
      <c r="F3982" s="74">
        <f>B3982/30.48</f>
        <v/>
      </c>
      <c r="G3982" s="74">
        <f>D3982/30.48</f>
        <v/>
      </c>
      <c r="H3982" s="615" t="n"/>
    </row>
    <row r="3983" ht="18" customHeight="1" s="305">
      <c r="A3983" s="8" t="n">
        <v>4998</v>
      </c>
      <c r="C3983" s="72" t="inlineStr">
        <is>
          <t>X</t>
        </is>
      </c>
      <c r="E3983" s="73">
        <f>B3983*D3983/10000</f>
        <v/>
      </c>
      <c r="F3983" s="74">
        <f>B3983/30.48</f>
        <v/>
      </c>
      <c r="G3983" s="74">
        <f>D3983/30.48</f>
        <v/>
      </c>
      <c r="H3983" s="615" t="n"/>
    </row>
    <row r="3984" ht="18" customHeight="1" s="305">
      <c r="A3984" s="8" t="n">
        <v>4999</v>
      </c>
      <c r="C3984" s="72" t="inlineStr">
        <is>
          <t>X</t>
        </is>
      </c>
      <c r="E3984" s="73">
        <f>B3984*D3984/10000</f>
        <v/>
      </c>
      <c r="F3984" s="74">
        <f>B3984/30.48</f>
        <v/>
      </c>
      <c r="G3984" s="74">
        <f>D3984/30.48</f>
        <v/>
      </c>
      <c r="H3984" s="615" t="n"/>
    </row>
    <row r="3985" ht="18" customHeight="1" s="305">
      <c r="A3985" s="8" t="n">
        <v>5000</v>
      </c>
      <c r="C3985" s="72" t="inlineStr">
        <is>
          <t>X</t>
        </is>
      </c>
      <c r="E3985" s="73">
        <f>B3985*D3985/10000</f>
        <v/>
      </c>
      <c r="F3985" s="74">
        <f>B3985/30.48</f>
        <v/>
      </c>
      <c r="G3985" s="74">
        <f>D3985/30.48</f>
        <v/>
      </c>
      <c r="H3985" s="615" t="n"/>
    </row>
    <row r="3986" ht="18" customHeight="1" s="305">
      <c r="A3986" s="8" t="n">
        <v>5001</v>
      </c>
      <c r="C3986" s="72" t="inlineStr">
        <is>
          <t>X</t>
        </is>
      </c>
      <c r="E3986" s="73">
        <f>B3986*D3986/10000</f>
        <v/>
      </c>
      <c r="F3986" s="74">
        <f>B3986/30.48</f>
        <v/>
      </c>
      <c r="G3986" s="74">
        <f>D3986/30.48</f>
        <v/>
      </c>
      <c r="H3986" s="615" t="n"/>
    </row>
    <row r="3987" ht="18" customHeight="1" s="305">
      <c r="A3987" s="8" t="n">
        <v>5002</v>
      </c>
      <c r="C3987" s="72" t="inlineStr">
        <is>
          <t>X</t>
        </is>
      </c>
      <c r="E3987" s="73">
        <f>B3987*D3987/10000</f>
        <v/>
      </c>
      <c r="F3987" s="74">
        <f>B3987/30.48</f>
        <v/>
      </c>
      <c r="G3987" s="74">
        <f>D3987/30.48</f>
        <v/>
      </c>
      <c r="H3987" s="615" t="n"/>
    </row>
    <row r="3988" ht="18" customHeight="1" s="305">
      <c r="A3988" s="8" t="n">
        <v>5003</v>
      </c>
      <c r="C3988" s="72" t="inlineStr">
        <is>
          <t>X</t>
        </is>
      </c>
      <c r="E3988" s="73">
        <f>B3988*D3988/10000</f>
        <v/>
      </c>
      <c r="F3988" s="74">
        <f>B3988/30.48</f>
        <v/>
      </c>
      <c r="G3988" s="74">
        <f>D3988/30.48</f>
        <v/>
      </c>
      <c r="H3988" s="615" t="n"/>
    </row>
    <row r="3989" ht="18" customHeight="1" s="305">
      <c r="A3989" s="8" t="n">
        <v>5004</v>
      </c>
      <c r="C3989" s="72" t="inlineStr">
        <is>
          <t>X</t>
        </is>
      </c>
      <c r="E3989" s="73">
        <f>B3989*D3989/10000</f>
        <v/>
      </c>
      <c r="F3989" s="74">
        <f>B3989/30.48</f>
        <v/>
      </c>
      <c r="G3989" s="74">
        <f>D3989/30.48</f>
        <v/>
      </c>
      <c r="H3989" s="615" t="n"/>
    </row>
    <row r="3990" ht="18" customHeight="1" s="305">
      <c r="A3990" s="8" t="n">
        <v>5005</v>
      </c>
      <c r="C3990" s="72" t="inlineStr">
        <is>
          <t>X</t>
        </is>
      </c>
      <c r="E3990" s="73">
        <f>B3990*D3990/10000</f>
        <v/>
      </c>
      <c r="F3990" s="74">
        <f>B3990/30.48</f>
        <v/>
      </c>
      <c r="G3990" s="74">
        <f>D3990/30.48</f>
        <v/>
      </c>
      <c r="H3990" s="615" t="n"/>
    </row>
    <row r="3991" ht="18" customHeight="1" s="305">
      <c r="A3991" s="8" t="n">
        <v>5006</v>
      </c>
      <c r="C3991" s="72" t="inlineStr">
        <is>
          <t>X</t>
        </is>
      </c>
      <c r="E3991" s="73">
        <f>B3991*D3991/10000</f>
        <v/>
      </c>
      <c r="F3991" s="74">
        <f>B3991/30.48</f>
        <v/>
      </c>
      <c r="G3991" s="74">
        <f>D3991/30.48</f>
        <v/>
      </c>
      <c r="H3991" s="615" t="n"/>
    </row>
    <row r="3992" ht="18" customHeight="1" s="305">
      <c r="A3992" s="8" t="n">
        <v>5007</v>
      </c>
      <c r="C3992" s="72" t="inlineStr">
        <is>
          <t>X</t>
        </is>
      </c>
      <c r="E3992" s="73">
        <f>B3992*D3992/10000</f>
        <v/>
      </c>
      <c r="F3992" s="74">
        <f>B3992/30.48</f>
        <v/>
      </c>
      <c r="G3992" s="74">
        <f>D3992/30.48</f>
        <v/>
      </c>
      <c r="H3992" s="615" t="n"/>
    </row>
    <row r="3993" ht="18" customHeight="1" s="305">
      <c r="A3993" s="8" t="n">
        <v>5008</v>
      </c>
      <c r="C3993" s="72" t="inlineStr">
        <is>
          <t>X</t>
        </is>
      </c>
      <c r="E3993" s="73">
        <f>B3993*D3993/10000</f>
        <v/>
      </c>
      <c r="F3993" s="74">
        <f>B3993/30.48</f>
        <v/>
      </c>
      <c r="G3993" s="74">
        <f>D3993/30.48</f>
        <v/>
      </c>
      <c r="H3993" s="615" t="n"/>
    </row>
    <row r="3994" ht="18" customHeight="1" s="305">
      <c r="A3994" s="8" t="n">
        <v>5009</v>
      </c>
      <c r="C3994" s="72" t="inlineStr">
        <is>
          <t>X</t>
        </is>
      </c>
      <c r="E3994" s="73">
        <f>B3994*D3994/10000</f>
        <v/>
      </c>
      <c r="F3994" s="74">
        <f>B3994/30.48</f>
        <v/>
      </c>
      <c r="G3994" s="74">
        <f>D3994/30.48</f>
        <v/>
      </c>
      <c r="H3994" s="615" t="n"/>
    </row>
    <row r="3995" ht="18" customHeight="1" s="305">
      <c r="A3995" s="8" t="n">
        <v>5010</v>
      </c>
      <c r="C3995" s="72" t="inlineStr">
        <is>
          <t>X</t>
        </is>
      </c>
      <c r="E3995" s="73">
        <f>B3995*D3995/10000</f>
        <v/>
      </c>
      <c r="F3995" s="74">
        <f>B3995/30.48</f>
        <v/>
      </c>
      <c r="G3995" s="74">
        <f>D3995/30.48</f>
        <v/>
      </c>
      <c r="H3995" s="615" t="n"/>
    </row>
    <row r="3996" ht="18" customHeight="1" s="305">
      <c r="A3996" s="8" t="n">
        <v>5011</v>
      </c>
      <c r="C3996" s="72" t="inlineStr">
        <is>
          <t>X</t>
        </is>
      </c>
      <c r="E3996" s="73">
        <f>B3996*D3996/10000</f>
        <v/>
      </c>
      <c r="F3996" s="74">
        <f>B3996/30.48</f>
        <v/>
      </c>
      <c r="G3996" s="74">
        <f>D3996/30.48</f>
        <v/>
      </c>
      <c r="H3996" s="615" t="n"/>
    </row>
    <row r="3997" ht="18" customHeight="1" s="305">
      <c r="A3997" s="8" t="n">
        <v>5012</v>
      </c>
      <c r="C3997" s="72" t="inlineStr">
        <is>
          <t>X</t>
        </is>
      </c>
      <c r="E3997" s="73">
        <f>B3997*D3997/10000</f>
        <v/>
      </c>
      <c r="F3997" s="74">
        <f>B3997/30.48</f>
        <v/>
      </c>
      <c r="G3997" s="74">
        <f>D3997/30.48</f>
        <v/>
      </c>
      <c r="H3997" s="615" t="n"/>
    </row>
    <row r="3998" ht="18" customHeight="1" s="305">
      <c r="A3998" s="8" t="n">
        <v>5013</v>
      </c>
      <c r="C3998" s="72" t="inlineStr">
        <is>
          <t>X</t>
        </is>
      </c>
      <c r="E3998" s="73">
        <f>B3998*D3998/10000</f>
        <v/>
      </c>
      <c r="F3998" s="74">
        <f>B3998/30.48</f>
        <v/>
      </c>
      <c r="G3998" s="74">
        <f>D3998/30.48</f>
        <v/>
      </c>
      <c r="H3998" s="615" t="n"/>
    </row>
    <row r="3999" ht="18" customHeight="1" s="305">
      <c r="A3999" s="8" t="n">
        <v>5014</v>
      </c>
      <c r="C3999" s="72" t="inlineStr">
        <is>
          <t>X</t>
        </is>
      </c>
      <c r="E3999" s="73">
        <f>B3999*D3999/10000</f>
        <v/>
      </c>
      <c r="F3999" s="74">
        <f>B3999/30.48</f>
        <v/>
      </c>
      <c r="G3999" s="74">
        <f>D3999/30.48</f>
        <v/>
      </c>
      <c r="H3999" s="615" t="n"/>
    </row>
    <row r="4000" ht="18" customHeight="1" s="305">
      <c r="A4000" s="8" t="n">
        <v>5015</v>
      </c>
      <c r="C4000" s="72" t="inlineStr">
        <is>
          <t>X</t>
        </is>
      </c>
      <c r="E4000" s="73">
        <f>B4000*D4000/10000</f>
        <v/>
      </c>
      <c r="F4000" s="74">
        <f>B4000/30.48</f>
        <v/>
      </c>
      <c r="G4000" s="74">
        <f>D4000/30.48</f>
        <v/>
      </c>
      <c r="H4000" s="615" t="n"/>
    </row>
    <row r="4001" ht="18" customHeight="1" s="305">
      <c r="A4001" s="8" t="n">
        <v>5016</v>
      </c>
      <c r="C4001" s="72" t="inlineStr">
        <is>
          <t>X</t>
        </is>
      </c>
      <c r="E4001" s="73">
        <f>B4001*D4001/10000</f>
        <v/>
      </c>
      <c r="F4001" s="74">
        <f>B4001/30.48</f>
        <v/>
      </c>
      <c r="G4001" s="74">
        <f>D4001/30.48</f>
        <v/>
      </c>
      <c r="H4001" s="615" t="n"/>
    </row>
    <row r="4002" ht="18" customHeight="1" s="305">
      <c r="A4002" s="8" t="n">
        <v>5017</v>
      </c>
      <c r="C4002" s="72" t="inlineStr">
        <is>
          <t>X</t>
        </is>
      </c>
      <c r="E4002" s="73">
        <f>B4002*D4002/10000</f>
        <v/>
      </c>
      <c r="F4002" s="74">
        <f>B4002/30.48</f>
        <v/>
      </c>
      <c r="G4002" s="74">
        <f>D4002/30.48</f>
        <v/>
      </c>
      <c r="H4002" s="615" t="n"/>
    </row>
    <row r="4003" ht="18" customHeight="1" s="305">
      <c r="A4003" s="8" t="n">
        <v>5018</v>
      </c>
      <c r="C4003" s="72" t="inlineStr">
        <is>
          <t>X</t>
        </is>
      </c>
      <c r="E4003" s="73">
        <f>B4003*D4003/10000</f>
        <v/>
      </c>
      <c r="F4003" s="74">
        <f>B4003/30.48</f>
        <v/>
      </c>
      <c r="G4003" s="74">
        <f>D4003/30.48</f>
        <v/>
      </c>
      <c r="H4003" s="615" t="n"/>
    </row>
    <row r="4004" ht="18" customHeight="1" s="305">
      <c r="A4004" s="8" t="n">
        <v>5019</v>
      </c>
      <c r="C4004" s="72" t="inlineStr">
        <is>
          <t>X</t>
        </is>
      </c>
      <c r="E4004" s="73">
        <f>B4004*D4004/10000</f>
        <v/>
      </c>
      <c r="F4004" s="74">
        <f>B4004/30.48</f>
        <v/>
      </c>
      <c r="G4004" s="74">
        <f>D4004/30.48</f>
        <v/>
      </c>
      <c r="H4004" s="615" t="n"/>
    </row>
    <row r="4005" ht="18" customHeight="1" s="305">
      <c r="A4005" s="8" t="n">
        <v>5020</v>
      </c>
      <c r="C4005" s="72" t="inlineStr">
        <is>
          <t>X</t>
        </is>
      </c>
      <c r="E4005" s="73">
        <f>B4005*D4005/10000</f>
        <v/>
      </c>
      <c r="F4005" s="74">
        <f>B4005/30.48</f>
        <v/>
      </c>
      <c r="G4005" s="74">
        <f>D4005/30.48</f>
        <v/>
      </c>
      <c r="H4005" s="615" t="n"/>
    </row>
    <row r="4006" ht="18" customHeight="1" s="305">
      <c r="A4006" s="8" t="n">
        <v>5021</v>
      </c>
      <c r="C4006" s="72" t="inlineStr">
        <is>
          <t>X</t>
        </is>
      </c>
      <c r="E4006" s="73">
        <f>B4006*D4006/10000</f>
        <v/>
      </c>
      <c r="F4006" s="74">
        <f>B4006/30.48</f>
        <v/>
      </c>
      <c r="G4006" s="74">
        <f>D4006/30.48</f>
        <v/>
      </c>
      <c r="H4006" s="615" t="n"/>
    </row>
    <row r="4007" ht="18" customHeight="1" s="305">
      <c r="A4007" s="8" t="n">
        <v>5022</v>
      </c>
      <c r="C4007" s="72" t="inlineStr">
        <is>
          <t>X</t>
        </is>
      </c>
      <c r="E4007" s="73">
        <f>B4007*D4007/10000</f>
        <v/>
      </c>
      <c r="F4007" s="74">
        <f>B4007/30.48</f>
        <v/>
      </c>
      <c r="G4007" s="74">
        <f>D4007/30.48</f>
        <v/>
      </c>
      <c r="H4007" s="615" t="n"/>
    </row>
    <row r="4008" ht="18" customHeight="1" s="305">
      <c r="A4008" s="8" t="n">
        <v>5023</v>
      </c>
      <c r="C4008" s="72" t="inlineStr">
        <is>
          <t>X</t>
        </is>
      </c>
      <c r="E4008" s="73">
        <f>B4008*D4008/10000</f>
        <v/>
      </c>
      <c r="F4008" s="74">
        <f>B4008/30.48</f>
        <v/>
      </c>
      <c r="G4008" s="74">
        <f>D4008/30.48</f>
        <v/>
      </c>
      <c r="H4008" s="615" t="n"/>
    </row>
    <row r="4009" ht="18" customHeight="1" s="305">
      <c r="A4009" s="8" t="n">
        <v>5024</v>
      </c>
      <c r="C4009" s="72" t="inlineStr">
        <is>
          <t>X</t>
        </is>
      </c>
      <c r="E4009" s="73">
        <f>B4009*D4009/10000</f>
        <v/>
      </c>
      <c r="F4009" s="74">
        <f>B4009/30.48</f>
        <v/>
      </c>
      <c r="G4009" s="74">
        <f>D4009/30.48</f>
        <v/>
      </c>
      <c r="H4009" s="615" t="n"/>
    </row>
    <row r="4010" ht="18" customHeight="1" s="305">
      <c r="A4010" s="8" t="n">
        <v>5025</v>
      </c>
      <c r="C4010" s="72" t="inlineStr">
        <is>
          <t>X</t>
        </is>
      </c>
      <c r="E4010" s="73">
        <f>B4010*D4010/10000</f>
        <v/>
      </c>
      <c r="F4010" s="74">
        <f>B4010/30.48</f>
        <v/>
      </c>
      <c r="G4010" s="74">
        <f>D4010/30.48</f>
        <v/>
      </c>
      <c r="H4010" s="615" t="n"/>
    </row>
    <row r="4011" ht="18" customHeight="1" s="305">
      <c r="A4011" s="8" t="n">
        <v>5026</v>
      </c>
      <c r="C4011" s="72" t="inlineStr">
        <is>
          <t>X</t>
        </is>
      </c>
      <c r="E4011" s="73">
        <f>B4011*D4011/10000</f>
        <v/>
      </c>
      <c r="F4011" s="74">
        <f>B4011/30.48</f>
        <v/>
      </c>
      <c r="G4011" s="74">
        <f>D4011/30.48</f>
        <v/>
      </c>
      <c r="H4011" s="615" t="n"/>
    </row>
    <row r="4012" ht="18" customHeight="1" s="305">
      <c r="A4012" s="8" t="n">
        <v>5027</v>
      </c>
      <c r="C4012" s="72" t="inlineStr">
        <is>
          <t>X</t>
        </is>
      </c>
      <c r="E4012" s="73">
        <f>B4012*D4012/10000</f>
        <v/>
      </c>
      <c r="F4012" s="74">
        <f>B4012/30.48</f>
        <v/>
      </c>
      <c r="G4012" s="74">
        <f>D4012/30.48</f>
        <v/>
      </c>
      <c r="H4012" s="615" t="n"/>
    </row>
    <row r="4013" ht="18" customHeight="1" s="305">
      <c r="A4013" s="8" t="n">
        <v>5028</v>
      </c>
      <c r="C4013" s="72" t="inlineStr">
        <is>
          <t>X</t>
        </is>
      </c>
      <c r="E4013" s="73">
        <f>B4013*D4013/10000</f>
        <v/>
      </c>
      <c r="F4013" s="74">
        <f>B4013/30.48</f>
        <v/>
      </c>
      <c r="G4013" s="74">
        <f>D4013/30.48</f>
        <v/>
      </c>
      <c r="H4013" s="615" t="n"/>
    </row>
    <row r="4014" ht="18" customHeight="1" s="305">
      <c r="A4014" s="8" t="n">
        <v>5029</v>
      </c>
      <c r="C4014" s="72" t="inlineStr">
        <is>
          <t>X</t>
        </is>
      </c>
      <c r="E4014" s="73">
        <f>B4014*D4014/10000</f>
        <v/>
      </c>
      <c r="F4014" s="74">
        <f>B4014/30.48</f>
        <v/>
      </c>
      <c r="G4014" s="74">
        <f>D4014/30.48</f>
        <v/>
      </c>
      <c r="H4014" s="615" t="n"/>
    </row>
    <row r="4015" ht="18" customHeight="1" s="305">
      <c r="A4015" s="8" t="n">
        <v>5030</v>
      </c>
      <c r="C4015" s="72" t="inlineStr">
        <is>
          <t>X</t>
        </is>
      </c>
      <c r="E4015" s="73">
        <f>B4015*D4015/10000</f>
        <v/>
      </c>
      <c r="F4015" s="74">
        <f>B4015/30.48</f>
        <v/>
      </c>
      <c r="G4015" s="74">
        <f>D4015/30.48</f>
        <v/>
      </c>
      <c r="H4015" s="615" t="n"/>
    </row>
    <row r="4016" ht="18" customHeight="1" s="305">
      <c r="A4016" s="8" t="n">
        <v>5031</v>
      </c>
      <c r="C4016" s="72" t="inlineStr">
        <is>
          <t>X</t>
        </is>
      </c>
      <c r="E4016" s="73">
        <f>B4016*D4016/10000</f>
        <v/>
      </c>
      <c r="F4016" s="74">
        <f>B4016/30.48</f>
        <v/>
      </c>
      <c r="G4016" s="74">
        <f>D4016/30.48</f>
        <v/>
      </c>
      <c r="H4016" s="615" t="n"/>
    </row>
    <row r="4017" ht="18" customHeight="1" s="305">
      <c r="A4017" s="8" t="n">
        <v>5032</v>
      </c>
      <c r="C4017" s="72" t="inlineStr">
        <is>
          <t>X</t>
        </is>
      </c>
      <c r="E4017" s="73">
        <f>B4017*D4017/10000</f>
        <v/>
      </c>
      <c r="F4017" s="74">
        <f>B4017/30.48</f>
        <v/>
      </c>
      <c r="G4017" s="74">
        <f>D4017/30.48</f>
        <v/>
      </c>
      <c r="H4017" s="615" t="n"/>
    </row>
    <row r="4018" ht="18" customHeight="1" s="305">
      <c r="A4018" s="8" t="n">
        <v>5033</v>
      </c>
      <c r="C4018" s="72" t="inlineStr">
        <is>
          <t>X</t>
        </is>
      </c>
      <c r="E4018" s="73">
        <f>B4018*D4018/10000</f>
        <v/>
      </c>
      <c r="F4018" s="74">
        <f>B4018/30.48</f>
        <v/>
      </c>
      <c r="G4018" s="74">
        <f>D4018/30.48</f>
        <v/>
      </c>
      <c r="H4018" s="615" t="n"/>
    </row>
    <row r="4019" ht="18" customHeight="1" s="305">
      <c r="A4019" s="8" t="n">
        <v>5034</v>
      </c>
      <c r="C4019" s="72" t="inlineStr">
        <is>
          <t>X</t>
        </is>
      </c>
      <c r="E4019" s="73">
        <f>B4019*D4019/10000</f>
        <v/>
      </c>
      <c r="F4019" s="74">
        <f>B4019/30.48</f>
        <v/>
      </c>
      <c r="G4019" s="74">
        <f>D4019/30.48</f>
        <v/>
      </c>
      <c r="H4019" s="615" t="n"/>
    </row>
    <row r="4020" ht="18" customHeight="1" s="305">
      <c r="A4020" s="8" t="n">
        <v>5035</v>
      </c>
      <c r="C4020" s="72" t="inlineStr">
        <is>
          <t>X</t>
        </is>
      </c>
      <c r="E4020" s="73">
        <f>B4020*D4020/10000</f>
        <v/>
      </c>
      <c r="F4020" s="74">
        <f>B4020/30.48</f>
        <v/>
      </c>
      <c r="G4020" s="74">
        <f>D4020/30.48</f>
        <v/>
      </c>
      <c r="H4020" s="615" t="n"/>
    </row>
    <row r="4021" ht="18" customHeight="1" s="305">
      <c r="A4021" s="8" t="n">
        <v>5036</v>
      </c>
      <c r="C4021" s="72" t="inlineStr">
        <is>
          <t>X</t>
        </is>
      </c>
      <c r="E4021" s="73">
        <f>B4021*D4021/10000</f>
        <v/>
      </c>
      <c r="F4021" s="74">
        <f>B4021/30.48</f>
        <v/>
      </c>
      <c r="G4021" s="74">
        <f>D4021/30.48</f>
        <v/>
      </c>
      <c r="H4021" s="615" t="n"/>
    </row>
    <row r="4022" ht="18" customHeight="1" s="305">
      <c r="A4022" s="8" t="n">
        <v>5037</v>
      </c>
      <c r="C4022" s="72" t="inlineStr">
        <is>
          <t>X</t>
        </is>
      </c>
      <c r="E4022" s="73">
        <f>B4022*D4022/10000</f>
        <v/>
      </c>
      <c r="F4022" s="74">
        <f>B4022/30.48</f>
        <v/>
      </c>
      <c r="G4022" s="74">
        <f>D4022/30.48</f>
        <v/>
      </c>
      <c r="H4022" s="615" t="n"/>
    </row>
    <row r="4023" ht="18" customHeight="1" s="305">
      <c r="A4023" s="8" t="n">
        <v>5038</v>
      </c>
      <c r="C4023" s="72" t="inlineStr">
        <is>
          <t>X</t>
        </is>
      </c>
      <c r="E4023" s="73">
        <f>B4023*D4023/10000</f>
        <v/>
      </c>
      <c r="F4023" s="74">
        <f>B4023/30.48</f>
        <v/>
      </c>
      <c r="G4023" s="74">
        <f>D4023/30.48</f>
        <v/>
      </c>
      <c r="H4023" s="615" t="n"/>
    </row>
    <row r="4024" ht="18" customHeight="1" s="305">
      <c r="A4024" s="8" t="n">
        <v>5039</v>
      </c>
      <c r="C4024" s="72" t="inlineStr">
        <is>
          <t>X</t>
        </is>
      </c>
      <c r="E4024" s="73">
        <f>B4024*D4024/10000</f>
        <v/>
      </c>
      <c r="F4024" s="74">
        <f>B4024/30.48</f>
        <v/>
      </c>
      <c r="G4024" s="74">
        <f>D4024/30.48</f>
        <v/>
      </c>
      <c r="H4024" s="615" t="n"/>
    </row>
    <row r="4025" ht="18" customHeight="1" s="305">
      <c r="A4025" s="8" t="n">
        <v>5040</v>
      </c>
      <c r="C4025" s="72" t="inlineStr">
        <is>
          <t>X</t>
        </is>
      </c>
      <c r="E4025" s="73">
        <f>B4025*D4025/10000</f>
        <v/>
      </c>
      <c r="F4025" s="74">
        <f>B4025/30.48</f>
        <v/>
      </c>
      <c r="G4025" s="74">
        <f>D4025/30.48</f>
        <v/>
      </c>
      <c r="H4025" s="615" t="n"/>
    </row>
    <row r="4026" ht="18" customHeight="1" s="305">
      <c r="A4026" s="8" t="n">
        <v>5041</v>
      </c>
      <c r="C4026" s="72" t="inlineStr">
        <is>
          <t>X</t>
        </is>
      </c>
      <c r="E4026" s="73">
        <f>B4026*D4026/10000</f>
        <v/>
      </c>
      <c r="F4026" s="74">
        <f>B4026/30.48</f>
        <v/>
      </c>
      <c r="G4026" s="74">
        <f>D4026/30.48</f>
        <v/>
      </c>
      <c r="H4026" s="615" t="n"/>
    </row>
    <row r="4027" ht="18" customHeight="1" s="305">
      <c r="A4027" s="8" t="n">
        <v>5042</v>
      </c>
      <c r="C4027" s="72" t="inlineStr">
        <is>
          <t>X</t>
        </is>
      </c>
      <c r="E4027" s="73">
        <f>B4027*D4027/10000</f>
        <v/>
      </c>
      <c r="F4027" s="74">
        <f>B4027/30.48</f>
        <v/>
      </c>
      <c r="G4027" s="74">
        <f>D4027/30.48</f>
        <v/>
      </c>
      <c r="H4027" s="615" t="n"/>
    </row>
    <row r="4028" ht="18" customHeight="1" s="305">
      <c r="A4028" s="8" t="n">
        <v>5043</v>
      </c>
      <c r="C4028" s="72" t="inlineStr">
        <is>
          <t>X</t>
        </is>
      </c>
      <c r="E4028" s="73">
        <f>B4028*D4028/10000</f>
        <v/>
      </c>
      <c r="F4028" s="74">
        <f>B4028/30.48</f>
        <v/>
      </c>
      <c r="G4028" s="74">
        <f>D4028/30.48</f>
        <v/>
      </c>
      <c r="H4028" s="615" t="n"/>
    </row>
    <row r="4029" ht="18" customHeight="1" s="305">
      <c r="A4029" s="8" t="n">
        <v>5044</v>
      </c>
      <c r="C4029" s="72" t="inlineStr">
        <is>
          <t>X</t>
        </is>
      </c>
      <c r="E4029" s="73">
        <f>B4029*D4029/10000</f>
        <v/>
      </c>
      <c r="F4029" s="74">
        <f>B4029/30.48</f>
        <v/>
      </c>
      <c r="G4029" s="74">
        <f>D4029/30.48</f>
        <v/>
      </c>
      <c r="H4029" s="615" t="n"/>
    </row>
    <row r="4030" ht="18" customHeight="1" s="305">
      <c r="A4030" s="8" t="n">
        <v>5045</v>
      </c>
      <c r="C4030" s="72" t="inlineStr">
        <is>
          <t>X</t>
        </is>
      </c>
      <c r="E4030" s="73">
        <f>B4030*D4030/10000</f>
        <v/>
      </c>
      <c r="F4030" s="74">
        <f>B4030/30.48</f>
        <v/>
      </c>
      <c r="G4030" s="74">
        <f>D4030/30.48</f>
        <v/>
      </c>
      <c r="H4030" s="615" t="n"/>
    </row>
    <row r="4031" ht="18" customHeight="1" s="305">
      <c r="A4031" s="8" t="n">
        <v>5046</v>
      </c>
      <c r="C4031" s="72" t="inlineStr">
        <is>
          <t>X</t>
        </is>
      </c>
      <c r="E4031" s="73">
        <f>B4031*D4031/10000</f>
        <v/>
      </c>
      <c r="F4031" s="74">
        <f>B4031/30.48</f>
        <v/>
      </c>
      <c r="G4031" s="74">
        <f>D4031/30.48</f>
        <v/>
      </c>
      <c r="H4031" s="615" t="n"/>
    </row>
    <row r="4032" ht="18" customHeight="1" s="305">
      <c r="A4032" s="8" t="n">
        <v>5047</v>
      </c>
      <c r="C4032" s="72" t="inlineStr">
        <is>
          <t>X</t>
        </is>
      </c>
      <c r="E4032" s="73">
        <f>B4032*D4032/10000</f>
        <v/>
      </c>
      <c r="F4032" s="74">
        <f>B4032/30.48</f>
        <v/>
      </c>
      <c r="G4032" s="74">
        <f>D4032/30.48</f>
        <v/>
      </c>
      <c r="H4032" s="615" t="n"/>
    </row>
    <row r="4033" ht="18" customHeight="1" s="305">
      <c r="A4033" s="8" t="n">
        <v>5048</v>
      </c>
      <c r="C4033" s="72" t="inlineStr">
        <is>
          <t>X</t>
        </is>
      </c>
      <c r="E4033" s="73">
        <f>B4033*D4033/10000</f>
        <v/>
      </c>
      <c r="F4033" s="74">
        <f>B4033/30.48</f>
        <v/>
      </c>
      <c r="G4033" s="74">
        <f>D4033/30.48</f>
        <v/>
      </c>
      <c r="H4033" s="615" t="n"/>
    </row>
    <row r="4034" ht="18" customHeight="1" s="305">
      <c r="A4034" s="8" t="n">
        <v>5049</v>
      </c>
      <c r="C4034" s="72" t="inlineStr">
        <is>
          <t>X</t>
        </is>
      </c>
      <c r="E4034" s="73">
        <f>B4034*D4034/10000</f>
        <v/>
      </c>
      <c r="F4034" s="74">
        <f>B4034/30.48</f>
        <v/>
      </c>
      <c r="G4034" s="74">
        <f>D4034/30.48</f>
        <v/>
      </c>
      <c r="H4034" s="615" t="n"/>
    </row>
    <row r="4035" ht="18" customHeight="1" s="305">
      <c r="A4035" s="8" t="n">
        <v>5050</v>
      </c>
      <c r="C4035" s="72" t="inlineStr">
        <is>
          <t>X</t>
        </is>
      </c>
      <c r="E4035" s="73">
        <f>B4035*D4035/10000</f>
        <v/>
      </c>
      <c r="F4035" s="74">
        <f>B4035/30.48</f>
        <v/>
      </c>
      <c r="G4035" s="74">
        <f>D4035/30.48</f>
        <v/>
      </c>
      <c r="H4035" s="615" t="n"/>
    </row>
    <row r="4036" ht="18" customHeight="1" s="305">
      <c r="A4036" s="8" t="n">
        <v>5051</v>
      </c>
      <c r="C4036" s="72" t="inlineStr">
        <is>
          <t>X</t>
        </is>
      </c>
      <c r="E4036" s="73">
        <f>B4036*D4036/10000</f>
        <v/>
      </c>
      <c r="F4036" s="74">
        <f>B4036/30.48</f>
        <v/>
      </c>
      <c r="G4036" s="74">
        <f>D4036/30.48</f>
        <v/>
      </c>
      <c r="H4036" s="615" t="n"/>
    </row>
    <row r="4037" ht="18" customHeight="1" s="305">
      <c r="A4037" s="8" t="n">
        <v>5052</v>
      </c>
      <c r="C4037" s="72" t="inlineStr">
        <is>
          <t>X</t>
        </is>
      </c>
      <c r="E4037" s="73">
        <f>B4037*D4037/10000</f>
        <v/>
      </c>
      <c r="F4037" s="74">
        <f>B4037/30.48</f>
        <v/>
      </c>
      <c r="G4037" s="74">
        <f>D4037/30.48</f>
        <v/>
      </c>
      <c r="H4037" s="615" t="n"/>
    </row>
    <row r="4038" ht="18" customHeight="1" s="305">
      <c r="A4038" s="8" t="n">
        <v>5053</v>
      </c>
      <c r="C4038" s="72" t="inlineStr">
        <is>
          <t>X</t>
        </is>
      </c>
      <c r="E4038" s="73">
        <f>B4038*D4038/10000</f>
        <v/>
      </c>
      <c r="F4038" s="74">
        <f>B4038/30.48</f>
        <v/>
      </c>
      <c r="G4038" s="74">
        <f>D4038/30.48</f>
        <v/>
      </c>
      <c r="H4038" s="615" t="n"/>
    </row>
    <row r="4039" ht="18" customHeight="1" s="305">
      <c r="A4039" s="8" t="n">
        <v>5054</v>
      </c>
      <c r="C4039" s="72" t="inlineStr">
        <is>
          <t>X</t>
        </is>
      </c>
      <c r="E4039" s="73">
        <f>B4039*D4039/10000</f>
        <v/>
      </c>
      <c r="F4039" s="74">
        <f>B4039/30.48</f>
        <v/>
      </c>
      <c r="G4039" s="74">
        <f>D4039/30.48</f>
        <v/>
      </c>
      <c r="H4039" s="615" t="n"/>
    </row>
    <row r="4040" ht="18" customHeight="1" s="305">
      <c r="A4040" s="8" t="n">
        <v>5055</v>
      </c>
      <c r="C4040" s="72" t="inlineStr">
        <is>
          <t>X</t>
        </is>
      </c>
      <c r="E4040" s="73">
        <f>B4040*D4040/10000</f>
        <v/>
      </c>
      <c r="F4040" s="74">
        <f>B4040/30.48</f>
        <v/>
      </c>
      <c r="G4040" s="74">
        <f>D4040/30.48</f>
        <v/>
      </c>
      <c r="H4040" s="615" t="n"/>
    </row>
    <row r="4041" ht="18" customHeight="1" s="305">
      <c r="A4041" s="8" t="n">
        <v>5056</v>
      </c>
      <c r="C4041" s="72" t="inlineStr">
        <is>
          <t>X</t>
        </is>
      </c>
      <c r="E4041" s="73">
        <f>B4041*D4041/10000</f>
        <v/>
      </c>
      <c r="F4041" s="74">
        <f>B4041/30.48</f>
        <v/>
      </c>
      <c r="G4041" s="74">
        <f>D4041/30.48</f>
        <v/>
      </c>
      <c r="H4041" s="615" t="n"/>
    </row>
    <row r="4042" ht="18" customHeight="1" s="305">
      <c r="A4042" s="8" t="n">
        <v>5057</v>
      </c>
      <c r="C4042" s="72" t="inlineStr">
        <is>
          <t>X</t>
        </is>
      </c>
      <c r="E4042" s="73">
        <f>B4042*D4042/10000</f>
        <v/>
      </c>
      <c r="F4042" s="74">
        <f>B4042/30.48</f>
        <v/>
      </c>
      <c r="G4042" s="74">
        <f>D4042/30.48</f>
        <v/>
      </c>
      <c r="H4042" s="615" t="n"/>
    </row>
    <row r="4043" ht="18" customHeight="1" s="305">
      <c r="A4043" s="8" t="n">
        <v>5058</v>
      </c>
      <c r="C4043" s="72" t="inlineStr">
        <is>
          <t>X</t>
        </is>
      </c>
      <c r="E4043" s="73">
        <f>B4043*D4043/10000</f>
        <v/>
      </c>
      <c r="F4043" s="74">
        <f>B4043/30.48</f>
        <v/>
      </c>
      <c r="G4043" s="74">
        <f>D4043/30.48</f>
        <v/>
      </c>
      <c r="H4043" s="615" t="n"/>
    </row>
    <row r="4044" ht="18" customHeight="1" s="305">
      <c r="A4044" s="8" t="n">
        <v>5059</v>
      </c>
      <c r="C4044" s="72" t="inlineStr">
        <is>
          <t>X</t>
        </is>
      </c>
      <c r="E4044" s="73">
        <f>B4044*D4044/10000</f>
        <v/>
      </c>
      <c r="F4044" s="74">
        <f>B4044/30.48</f>
        <v/>
      </c>
      <c r="G4044" s="74">
        <f>D4044/30.48</f>
        <v/>
      </c>
      <c r="H4044" s="615" t="n"/>
    </row>
    <row r="4045" ht="18" customHeight="1" s="305">
      <c r="A4045" s="8" t="n">
        <v>5060</v>
      </c>
      <c r="C4045" s="72" t="inlineStr">
        <is>
          <t>X</t>
        </is>
      </c>
      <c r="E4045" s="73">
        <f>B4045*D4045/10000</f>
        <v/>
      </c>
      <c r="F4045" s="74">
        <f>B4045/30.48</f>
        <v/>
      </c>
      <c r="G4045" s="74">
        <f>D4045/30.48</f>
        <v/>
      </c>
      <c r="H4045" s="615" t="n"/>
    </row>
    <row r="4046" ht="18" customHeight="1" s="305">
      <c r="A4046" s="8" t="n">
        <v>5061</v>
      </c>
      <c r="C4046" s="72" t="inlineStr">
        <is>
          <t>X</t>
        </is>
      </c>
      <c r="E4046" s="73">
        <f>B4046*D4046/10000</f>
        <v/>
      </c>
      <c r="F4046" s="74">
        <f>B4046/30.48</f>
        <v/>
      </c>
      <c r="G4046" s="74">
        <f>D4046/30.48</f>
        <v/>
      </c>
      <c r="H4046" s="615" t="n"/>
    </row>
    <row r="4047" ht="18" customHeight="1" s="305">
      <c r="A4047" s="8" t="n">
        <v>5062</v>
      </c>
      <c r="C4047" s="72" t="inlineStr">
        <is>
          <t>X</t>
        </is>
      </c>
      <c r="E4047" s="73">
        <f>B4047*D4047/10000</f>
        <v/>
      </c>
      <c r="F4047" s="74">
        <f>B4047/30.48</f>
        <v/>
      </c>
      <c r="G4047" s="74">
        <f>D4047/30.48</f>
        <v/>
      </c>
      <c r="H4047" s="615" t="n"/>
    </row>
    <row r="4048" ht="18" customHeight="1" s="305">
      <c r="A4048" s="8" t="n">
        <v>5063</v>
      </c>
      <c r="C4048" s="72" t="inlineStr">
        <is>
          <t>X</t>
        </is>
      </c>
      <c r="E4048" s="73">
        <f>B4048*D4048/10000</f>
        <v/>
      </c>
      <c r="F4048" s="74">
        <f>B4048/30.48</f>
        <v/>
      </c>
      <c r="G4048" s="74">
        <f>D4048/30.48</f>
        <v/>
      </c>
      <c r="H4048" s="615" t="n"/>
    </row>
    <row r="4049" ht="18" customHeight="1" s="305">
      <c r="A4049" s="8" t="n">
        <v>5064</v>
      </c>
      <c r="C4049" s="72" t="inlineStr">
        <is>
          <t>X</t>
        </is>
      </c>
      <c r="E4049" s="73">
        <f>B4049*D4049/10000</f>
        <v/>
      </c>
      <c r="F4049" s="74">
        <f>B4049/30.48</f>
        <v/>
      </c>
      <c r="G4049" s="74">
        <f>D4049/30.48</f>
        <v/>
      </c>
      <c r="H4049" s="615" t="n"/>
    </row>
    <row r="4050" ht="18" customHeight="1" s="305">
      <c r="A4050" s="8" t="n">
        <v>5065</v>
      </c>
      <c r="C4050" s="72" t="inlineStr">
        <is>
          <t>X</t>
        </is>
      </c>
      <c r="E4050" s="73">
        <f>B4050*D4050/10000</f>
        <v/>
      </c>
      <c r="F4050" s="74">
        <f>B4050/30.48</f>
        <v/>
      </c>
      <c r="G4050" s="74">
        <f>D4050/30.48</f>
        <v/>
      </c>
      <c r="H4050" s="615" t="n"/>
    </row>
    <row r="4051" ht="18" customHeight="1" s="305">
      <c r="A4051" s="8" t="n">
        <v>5066</v>
      </c>
      <c r="C4051" s="72" t="inlineStr">
        <is>
          <t>X</t>
        </is>
      </c>
      <c r="E4051" s="73">
        <f>B4051*D4051/10000</f>
        <v/>
      </c>
      <c r="F4051" s="74">
        <f>B4051/30.48</f>
        <v/>
      </c>
      <c r="G4051" s="74">
        <f>D4051/30.48</f>
        <v/>
      </c>
      <c r="H4051" s="615" t="n"/>
    </row>
    <row r="4052" ht="18" customHeight="1" s="305">
      <c r="A4052" s="8" t="n">
        <v>5067</v>
      </c>
      <c r="C4052" s="72" t="inlineStr">
        <is>
          <t>X</t>
        </is>
      </c>
      <c r="E4052" s="73">
        <f>B4052*D4052/10000</f>
        <v/>
      </c>
      <c r="F4052" s="74">
        <f>B4052/30.48</f>
        <v/>
      </c>
      <c r="G4052" s="74">
        <f>D4052/30.48</f>
        <v/>
      </c>
      <c r="H4052" s="615" t="n"/>
    </row>
    <row r="4053" ht="18" customHeight="1" s="305">
      <c r="A4053" s="8" t="n">
        <v>5068</v>
      </c>
      <c r="C4053" s="72" t="inlineStr">
        <is>
          <t>X</t>
        </is>
      </c>
      <c r="E4053" s="73">
        <f>B4053*D4053/10000</f>
        <v/>
      </c>
      <c r="F4053" s="74">
        <f>B4053/30.48</f>
        <v/>
      </c>
      <c r="G4053" s="74">
        <f>D4053/30.48</f>
        <v/>
      </c>
      <c r="H4053" s="615" t="n"/>
    </row>
    <row r="4054" ht="18" customHeight="1" s="305">
      <c r="A4054" s="8" t="n">
        <v>5069</v>
      </c>
      <c r="C4054" s="72" t="inlineStr">
        <is>
          <t>X</t>
        </is>
      </c>
      <c r="E4054" s="73">
        <f>B4054*D4054/10000</f>
        <v/>
      </c>
      <c r="F4054" s="74">
        <f>B4054/30.48</f>
        <v/>
      </c>
      <c r="G4054" s="74">
        <f>D4054/30.48</f>
        <v/>
      </c>
      <c r="H4054" s="615" t="n"/>
    </row>
    <row r="4055" ht="18" customHeight="1" s="305">
      <c r="A4055" s="8" t="n">
        <v>5070</v>
      </c>
      <c r="C4055" s="72" t="inlineStr">
        <is>
          <t>X</t>
        </is>
      </c>
      <c r="E4055" s="73">
        <f>B4055*D4055/10000</f>
        <v/>
      </c>
      <c r="F4055" s="74">
        <f>B4055/30.48</f>
        <v/>
      </c>
      <c r="G4055" s="74">
        <f>D4055/30.48</f>
        <v/>
      </c>
      <c r="H4055" s="615" t="n"/>
    </row>
    <row r="4056" ht="18" customHeight="1" s="305">
      <c r="A4056" s="8" t="n">
        <v>5071</v>
      </c>
      <c r="C4056" s="72" t="inlineStr">
        <is>
          <t>X</t>
        </is>
      </c>
      <c r="E4056" s="73">
        <f>B4056*D4056/10000</f>
        <v/>
      </c>
      <c r="F4056" s="74">
        <f>B4056/30.48</f>
        <v/>
      </c>
      <c r="G4056" s="74">
        <f>D4056/30.48</f>
        <v/>
      </c>
      <c r="H4056" s="615" t="n"/>
    </row>
    <row r="4057" ht="18" customHeight="1" s="305">
      <c r="A4057" s="8" t="n">
        <v>5072</v>
      </c>
      <c r="C4057" s="72" t="inlineStr">
        <is>
          <t>X</t>
        </is>
      </c>
      <c r="E4057" s="73">
        <f>B4057*D4057/10000</f>
        <v/>
      </c>
      <c r="F4057" s="74">
        <f>B4057/30.48</f>
        <v/>
      </c>
      <c r="G4057" s="74">
        <f>D4057/30.48</f>
        <v/>
      </c>
      <c r="H4057" s="615" t="n"/>
    </row>
    <row r="4058" ht="18" customHeight="1" s="305">
      <c r="A4058" s="8" t="n">
        <v>5073</v>
      </c>
      <c r="C4058" s="72" t="inlineStr">
        <is>
          <t>X</t>
        </is>
      </c>
      <c r="E4058" s="73">
        <f>B4058*D4058/10000</f>
        <v/>
      </c>
      <c r="F4058" s="74">
        <f>B4058/30.48</f>
        <v/>
      </c>
      <c r="G4058" s="74">
        <f>D4058/30.48</f>
        <v/>
      </c>
      <c r="H4058" s="615" t="n"/>
    </row>
    <row r="4059" ht="18" customHeight="1" s="305">
      <c r="A4059" s="8" t="n">
        <v>5074</v>
      </c>
      <c r="C4059" s="72" t="inlineStr">
        <is>
          <t>X</t>
        </is>
      </c>
      <c r="E4059" s="73">
        <f>B4059*D4059/10000</f>
        <v/>
      </c>
      <c r="F4059" s="74">
        <f>B4059/30.48</f>
        <v/>
      </c>
      <c r="G4059" s="74">
        <f>D4059/30.48</f>
        <v/>
      </c>
      <c r="H4059" s="615" t="n"/>
    </row>
    <row r="4060" ht="18" customHeight="1" s="305">
      <c r="A4060" s="8" t="n">
        <v>5075</v>
      </c>
      <c r="C4060" s="72" t="inlineStr">
        <is>
          <t>X</t>
        </is>
      </c>
      <c r="E4060" s="73">
        <f>B4060*D4060/10000</f>
        <v/>
      </c>
      <c r="F4060" s="74">
        <f>B4060/30.48</f>
        <v/>
      </c>
      <c r="G4060" s="74">
        <f>D4060/30.48</f>
        <v/>
      </c>
      <c r="H4060" s="615" t="n"/>
    </row>
    <row r="4061" ht="18" customHeight="1" s="305">
      <c r="A4061" s="8" t="n">
        <v>5076</v>
      </c>
      <c r="C4061" s="72" t="inlineStr">
        <is>
          <t>X</t>
        </is>
      </c>
      <c r="E4061" s="73">
        <f>B4061*D4061/10000</f>
        <v/>
      </c>
      <c r="F4061" s="74">
        <f>B4061/30.48</f>
        <v/>
      </c>
      <c r="G4061" s="74">
        <f>D4061/30.48</f>
        <v/>
      </c>
      <c r="H4061" s="615" t="n"/>
    </row>
    <row r="4062" ht="18" customHeight="1" s="305">
      <c r="A4062" s="8" t="n">
        <v>5077</v>
      </c>
      <c r="C4062" s="72" t="inlineStr">
        <is>
          <t>X</t>
        </is>
      </c>
      <c r="E4062" s="73">
        <f>B4062*D4062/10000</f>
        <v/>
      </c>
      <c r="F4062" s="74">
        <f>B4062/30.48</f>
        <v/>
      </c>
      <c r="G4062" s="74">
        <f>D4062/30.48</f>
        <v/>
      </c>
      <c r="H4062" s="615" t="n"/>
    </row>
    <row r="4063" ht="18" customHeight="1" s="305">
      <c r="A4063" s="8" t="n">
        <v>5078</v>
      </c>
      <c r="C4063" s="72" t="inlineStr">
        <is>
          <t>X</t>
        </is>
      </c>
      <c r="E4063" s="73">
        <f>B4063*D4063/10000</f>
        <v/>
      </c>
      <c r="F4063" s="74">
        <f>B4063/30.48</f>
        <v/>
      </c>
      <c r="G4063" s="74">
        <f>D4063/30.48</f>
        <v/>
      </c>
      <c r="H4063" s="615" t="n"/>
    </row>
    <row r="4064" ht="18" customHeight="1" s="305">
      <c r="A4064" s="8" t="n">
        <v>5079</v>
      </c>
      <c r="C4064" s="72" t="inlineStr">
        <is>
          <t>X</t>
        </is>
      </c>
      <c r="E4064" s="73">
        <f>B4064*D4064/10000</f>
        <v/>
      </c>
      <c r="F4064" s="74">
        <f>B4064/30.48</f>
        <v/>
      </c>
      <c r="G4064" s="74">
        <f>D4064/30.48</f>
        <v/>
      </c>
      <c r="H4064" s="615" t="n"/>
    </row>
    <row r="4065" ht="18" customHeight="1" s="305">
      <c r="A4065" s="8" t="n">
        <v>5080</v>
      </c>
      <c r="C4065" s="72" t="inlineStr">
        <is>
          <t>X</t>
        </is>
      </c>
      <c r="E4065" s="73">
        <f>B4065*D4065/10000</f>
        <v/>
      </c>
      <c r="F4065" s="74">
        <f>B4065/30.48</f>
        <v/>
      </c>
      <c r="G4065" s="74">
        <f>D4065/30.48</f>
        <v/>
      </c>
      <c r="H4065" s="615" t="n"/>
    </row>
    <row r="4066" ht="18" customHeight="1" s="305">
      <c r="A4066" s="8" t="n">
        <v>5081</v>
      </c>
      <c r="C4066" s="72" t="inlineStr">
        <is>
          <t>X</t>
        </is>
      </c>
      <c r="E4066" s="73">
        <f>B4066*D4066/10000</f>
        <v/>
      </c>
      <c r="F4066" s="74">
        <f>B4066/30.48</f>
        <v/>
      </c>
      <c r="G4066" s="74">
        <f>D4066/30.48</f>
        <v/>
      </c>
      <c r="H4066" s="615" t="n"/>
    </row>
    <row r="4067" ht="18" customHeight="1" s="305">
      <c r="A4067" s="8" t="n">
        <v>5082</v>
      </c>
      <c r="C4067" s="72" t="inlineStr">
        <is>
          <t>X</t>
        </is>
      </c>
      <c r="E4067" s="73">
        <f>B4067*D4067/10000</f>
        <v/>
      </c>
      <c r="F4067" s="74">
        <f>B4067/30.48</f>
        <v/>
      </c>
      <c r="G4067" s="74">
        <f>D4067/30.48</f>
        <v/>
      </c>
      <c r="H4067" s="615" t="n"/>
    </row>
    <row r="4068" ht="18" customHeight="1" s="305">
      <c r="A4068" s="8" t="n">
        <v>5083</v>
      </c>
      <c r="C4068" s="72" t="inlineStr">
        <is>
          <t>X</t>
        </is>
      </c>
      <c r="E4068" s="73">
        <f>B4068*D4068/10000</f>
        <v/>
      </c>
      <c r="F4068" s="74">
        <f>B4068/30.48</f>
        <v/>
      </c>
      <c r="G4068" s="74">
        <f>D4068/30.48</f>
        <v/>
      </c>
      <c r="H4068" s="615" t="n"/>
    </row>
    <row r="4069" ht="18" customHeight="1" s="305">
      <c r="A4069" s="8" t="n">
        <v>5084</v>
      </c>
      <c r="C4069" s="72" t="inlineStr">
        <is>
          <t>X</t>
        </is>
      </c>
      <c r="E4069" s="73">
        <f>B4069*D4069/10000</f>
        <v/>
      </c>
      <c r="F4069" s="74">
        <f>B4069/30.48</f>
        <v/>
      </c>
      <c r="G4069" s="74">
        <f>D4069/30.48</f>
        <v/>
      </c>
      <c r="H4069" s="615" t="n"/>
    </row>
    <row r="4070" ht="18" customHeight="1" s="305">
      <c r="A4070" s="8" t="n">
        <v>5085</v>
      </c>
      <c r="C4070" s="72" t="inlineStr">
        <is>
          <t>X</t>
        </is>
      </c>
      <c r="E4070" s="73">
        <f>B4070*D4070/10000</f>
        <v/>
      </c>
      <c r="F4070" s="74">
        <f>B4070/30.48</f>
        <v/>
      </c>
      <c r="G4070" s="74">
        <f>D4070/30.48</f>
        <v/>
      </c>
      <c r="H4070" s="615" t="n"/>
    </row>
    <row r="4071" ht="18" customHeight="1" s="305">
      <c r="A4071" s="8" t="n">
        <v>5086</v>
      </c>
      <c r="C4071" s="72" t="inlineStr">
        <is>
          <t>X</t>
        </is>
      </c>
      <c r="E4071" s="73">
        <f>B4071*D4071/10000</f>
        <v/>
      </c>
      <c r="F4071" s="74">
        <f>B4071/30.48</f>
        <v/>
      </c>
      <c r="G4071" s="74">
        <f>D4071/30.48</f>
        <v/>
      </c>
      <c r="H4071" s="615" t="n"/>
    </row>
    <row r="4072" ht="18" customHeight="1" s="305">
      <c r="A4072" s="8" t="n">
        <v>5087</v>
      </c>
      <c r="C4072" s="72" t="inlineStr">
        <is>
          <t>X</t>
        </is>
      </c>
      <c r="E4072" s="73">
        <f>B4072*D4072/10000</f>
        <v/>
      </c>
      <c r="F4072" s="74">
        <f>B4072/30.48</f>
        <v/>
      </c>
      <c r="G4072" s="74">
        <f>D4072/30.48</f>
        <v/>
      </c>
      <c r="H4072" s="615" t="n"/>
    </row>
    <row r="4073" ht="18" customHeight="1" s="305">
      <c r="A4073" s="8" t="n">
        <v>5088</v>
      </c>
      <c r="C4073" s="72" t="inlineStr">
        <is>
          <t>X</t>
        </is>
      </c>
      <c r="E4073" s="73">
        <f>B4073*D4073/10000</f>
        <v/>
      </c>
      <c r="F4073" s="74">
        <f>B4073/30.48</f>
        <v/>
      </c>
      <c r="G4073" s="74">
        <f>D4073/30.48</f>
        <v/>
      </c>
      <c r="H4073" s="615" t="n"/>
    </row>
    <row r="4074" ht="18" customHeight="1" s="305">
      <c r="A4074" s="8" t="n">
        <v>5089</v>
      </c>
      <c r="C4074" s="72" t="inlineStr">
        <is>
          <t>X</t>
        </is>
      </c>
      <c r="E4074" s="73">
        <f>B4074*D4074/10000</f>
        <v/>
      </c>
      <c r="F4074" s="74">
        <f>B4074/30.48</f>
        <v/>
      </c>
      <c r="G4074" s="74">
        <f>D4074/30.48</f>
        <v/>
      </c>
      <c r="H4074" s="615" t="n"/>
    </row>
    <row r="4075" ht="18" customHeight="1" s="305">
      <c r="A4075" s="8" t="n">
        <v>5090</v>
      </c>
      <c r="C4075" s="72" t="inlineStr">
        <is>
          <t>X</t>
        </is>
      </c>
      <c r="E4075" s="73">
        <f>B4075*D4075/10000</f>
        <v/>
      </c>
      <c r="F4075" s="74">
        <f>B4075/30.48</f>
        <v/>
      </c>
      <c r="G4075" s="74">
        <f>D4075/30.48</f>
        <v/>
      </c>
      <c r="H4075" s="615" t="n"/>
    </row>
    <row r="4076" ht="18" customHeight="1" s="305">
      <c r="A4076" s="8" t="n">
        <v>5091</v>
      </c>
      <c r="C4076" s="72" t="inlineStr">
        <is>
          <t>X</t>
        </is>
      </c>
      <c r="E4076" s="73">
        <f>B4076*D4076/10000</f>
        <v/>
      </c>
      <c r="F4076" s="74">
        <f>B4076/30.48</f>
        <v/>
      </c>
      <c r="G4076" s="74">
        <f>D4076/30.48</f>
        <v/>
      </c>
      <c r="H4076" s="615" t="n"/>
    </row>
    <row r="4077" ht="18" customHeight="1" s="305">
      <c r="A4077" s="8" t="n">
        <v>5092</v>
      </c>
      <c r="C4077" s="72" t="inlineStr">
        <is>
          <t>X</t>
        </is>
      </c>
      <c r="E4077" s="73">
        <f>B4077*D4077/10000</f>
        <v/>
      </c>
      <c r="F4077" s="74">
        <f>B4077/30.48</f>
        <v/>
      </c>
      <c r="G4077" s="74">
        <f>D4077/30.48</f>
        <v/>
      </c>
      <c r="H4077" s="615" t="n"/>
    </row>
    <row r="4078" ht="18" customHeight="1" s="305">
      <c r="A4078" s="8" t="n">
        <v>5093</v>
      </c>
      <c r="C4078" s="72" t="inlineStr">
        <is>
          <t>X</t>
        </is>
      </c>
      <c r="E4078" s="73">
        <f>B4078*D4078/10000</f>
        <v/>
      </c>
      <c r="F4078" s="74">
        <f>B4078/30.48</f>
        <v/>
      </c>
      <c r="G4078" s="74">
        <f>D4078/30.48</f>
        <v/>
      </c>
      <c r="H4078" s="615" t="n"/>
    </row>
    <row r="4079" ht="18" customHeight="1" s="305">
      <c r="A4079" s="8" t="n">
        <v>5094</v>
      </c>
      <c r="C4079" s="72" t="inlineStr">
        <is>
          <t>X</t>
        </is>
      </c>
      <c r="E4079" s="73">
        <f>B4079*D4079/10000</f>
        <v/>
      </c>
      <c r="F4079" s="74">
        <f>B4079/30.48</f>
        <v/>
      </c>
      <c r="G4079" s="74">
        <f>D4079/30.48</f>
        <v/>
      </c>
      <c r="H4079" s="615" t="n"/>
    </row>
    <row r="4080" ht="18" customHeight="1" s="305">
      <c r="A4080" s="8" t="n">
        <v>5095</v>
      </c>
      <c r="C4080" s="72" t="inlineStr">
        <is>
          <t>X</t>
        </is>
      </c>
      <c r="E4080" s="73">
        <f>B4080*D4080/10000</f>
        <v/>
      </c>
      <c r="F4080" s="74">
        <f>B4080/30.48</f>
        <v/>
      </c>
      <c r="G4080" s="74">
        <f>D4080/30.48</f>
        <v/>
      </c>
      <c r="H4080" s="615" t="n"/>
    </row>
    <row r="4081" ht="18" customHeight="1" s="305">
      <c r="A4081" s="8" t="n">
        <v>5096</v>
      </c>
      <c r="C4081" s="72" t="inlineStr">
        <is>
          <t>X</t>
        </is>
      </c>
      <c r="E4081" s="73">
        <f>B4081*D4081/10000</f>
        <v/>
      </c>
      <c r="F4081" s="74">
        <f>B4081/30.48</f>
        <v/>
      </c>
      <c r="G4081" s="74">
        <f>D4081/30.48</f>
        <v/>
      </c>
      <c r="H4081" s="615" t="n"/>
    </row>
    <row r="4082" ht="18" customHeight="1" s="305">
      <c r="A4082" s="8" t="n">
        <v>5097</v>
      </c>
      <c r="C4082" s="72" t="inlineStr">
        <is>
          <t>X</t>
        </is>
      </c>
      <c r="E4082" s="73">
        <f>B4082*D4082/10000</f>
        <v/>
      </c>
      <c r="F4082" s="74">
        <f>B4082/30.48</f>
        <v/>
      </c>
      <c r="G4082" s="74">
        <f>D4082/30.48</f>
        <v/>
      </c>
      <c r="H4082" s="615" t="n"/>
    </row>
    <row r="4083" ht="18" customHeight="1" s="305">
      <c r="A4083" s="8" t="n">
        <v>5098</v>
      </c>
      <c r="C4083" s="72" t="inlineStr">
        <is>
          <t>X</t>
        </is>
      </c>
      <c r="E4083" s="73">
        <f>B4083*D4083/10000</f>
        <v/>
      </c>
      <c r="F4083" s="74">
        <f>B4083/30.48</f>
        <v/>
      </c>
      <c r="G4083" s="74">
        <f>D4083/30.48</f>
        <v/>
      </c>
      <c r="H4083" s="615" t="n"/>
    </row>
    <row r="4084" ht="18" customHeight="1" s="305">
      <c r="A4084" s="8" t="n">
        <v>5099</v>
      </c>
      <c r="C4084" s="72" t="inlineStr">
        <is>
          <t>X</t>
        </is>
      </c>
      <c r="E4084" s="73">
        <f>B4084*D4084/10000</f>
        <v/>
      </c>
      <c r="F4084" s="74">
        <f>B4084/30.48</f>
        <v/>
      </c>
      <c r="G4084" s="74">
        <f>D4084/30.48</f>
        <v/>
      </c>
      <c r="H4084" s="615" t="n"/>
    </row>
    <row r="4085" ht="18" customHeight="1" s="305">
      <c r="A4085" s="8" t="n">
        <v>5100</v>
      </c>
      <c r="C4085" s="72" t="inlineStr">
        <is>
          <t>X</t>
        </is>
      </c>
      <c r="E4085" s="73">
        <f>B4085*D4085/10000</f>
        <v/>
      </c>
      <c r="F4085" s="74">
        <f>B4085/30.48</f>
        <v/>
      </c>
      <c r="G4085" s="74">
        <f>D4085/30.48</f>
        <v/>
      </c>
      <c r="H4085" s="615" t="n"/>
    </row>
    <row r="4086" ht="18" customHeight="1" s="305">
      <c r="A4086" s="8" t="n">
        <v>5101</v>
      </c>
      <c r="C4086" s="72" t="inlineStr">
        <is>
          <t>X</t>
        </is>
      </c>
      <c r="E4086" s="73">
        <f>B4086*D4086/10000</f>
        <v/>
      </c>
      <c r="F4086" s="74">
        <f>B4086/30.48</f>
        <v/>
      </c>
      <c r="G4086" s="74">
        <f>D4086/30.48</f>
        <v/>
      </c>
      <c r="H4086" s="615" t="n"/>
    </row>
    <row r="4087" ht="18" customHeight="1" s="305">
      <c r="A4087" s="8" t="n">
        <v>5102</v>
      </c>
      <c r="C4087" s="72" t="inlineStr">
        <is>
          <t>X</t>
        </is>
      </c>
      <c r="E4087" s="73">
        <f>B4087*D4087/10000</f>
        <v/>
      </c>
      <c r="F4087" s="74">
        <f>B4087/30.48</f>
        <v/>
      </c>
      <c r="G4087" s="74">
        <f>D4087/30.48</f>
        <v/>
      </c>
      <c r="H4087" s="615" t="n"/>
    </row>
    <row r="4088" ht="18" customHeight="1" s="305">
      <c r="A4088" s="8" t="n">
        <v>5103</v>
      </c>
      <c r="C4088" s="72" t="inlineStr">
        <is>
          <t>X</t>
        </is>
      </c>
      <c r="E4088" s="73">
        <f>B4088*D4088/10000</f>
        <v/>
      </c>
      <c r="F4088" s="74">
        <f>B4088/30.48</f>
        <v/>
      </c>
      <c r="G4088" s="74">
        <f>D4088/30.48</f>
        <v/>
      </c>
      <c r="H4088" s="615" t="n"/>
    </row>
    <row r="4089" ht="18" customHeight="1" s="305">
      <c r="A4089" s="8" t="n">
        <v>5104</v>
      </c>
      <c r="C4089" s="72" t="inlineStr">
        <is>
          <t>X</t>
        </is>
      </c>
      <c r="E4089" s="73">
        <f>B4089*D4089/10000</f>
        <v/>
      </c>
      <c r="F4089" s="74">
        <f>B4089/30.48</f>
        <v/>
      </c>
      <c r="G4089" s="74">
        <f>D4089/30.48</f>
        <v/>
      </c>
      <c r="H4089" s="615" t="n"/>
    </row>
    <row r="4090" ht="18" customHeight="1" s="305">
      <c r="A4090" s="8" t="n">
        <v>5105</v>
      </c>
      <c r="C4090" s="72" t="inlineStr">
        <is>
          <t>X</t>
        </is>
      </c>
      <c r="E4090" s="73">
        <f>B4090*D4090/10000</f>
        <v/>
      </c>
      <c r="F4090" s="74">
        <f>B4090/30.48</f>
        <v/>
      </c>
      <c r="G4090" s="74">
        <f>D4090/30.48</f>
        <v/>
      </c>
      <c r="H4090" s="615" t="n"/>
    </row>
    <row r="4091" ht="18" customHeight="1" s="305">
      <c r="A4091" s="8" t="n">
        <v>5106</v>
      </c>
      <c r="C4091" s="72" t="inlineStr">
        <is>
          <t>X</t>
        </is>
      </c>
      <c r="E4091" s="73">
        <f>B4091*D4091/10000</f>
        <v/>
      </c>
      <c r="F4091" s="74">
        <f>B4091/30.48</f>
        <v/>
      </c>
      <c r="G4091" s="74">
        <f>D4091/30.48</f>
        <v/>
      </c>
      <c r="H4091" s="615" t="n"/>
    </row>
    <row r="4092" ht="18" customHeight="1" s="305">
      <c r="A4092" s="8" t="n">
        <v>5107</v>
      </c>
      <c r="C4092" s="72" t="inlineStr">
        <is>
          <t>X</t>
        </is>
      </c>
      <c r="E4092" s="73">
        <f>B4092*D4092/10000</f>
        <v/>
      </c>
      <c r="F4092" s="74">
        <f>B4092/30.48</f>
        <v/>
      </c>
      <c r="G4092" s="74">
        <f>D4092/30.48</f>
        <v/>
      </c>
      <c r="H4092" s="615" t="n"/>
    </row>
    <row r="4093" ht="18" customHeight="1" s="305">
      <c r="A4093" s="8" t="n">
        <v>5108</v>
      </c>
      <c r="C4093" s="72" t="inlineStr">
        <is>
          <t>X</t>
        </is>
      </c>
      <c r="E4093" s="73">
        <f>B4093*D4093/10000</f>
        <v/>
      </c>
      <c r="F4093" s="74">
        <f>B4093/30.48</f>
        <v/>
      </c>
      <c r="G4093" s="74">
        <f>D4093/30.48</f>
        <v/>
      </c>
      <c r="H4093" s="615" t="n"/>
    </row>
    <row r="4094" ht="18" customHeight="1" s="305">
      <c r="A4094" s="8" t="n">
        <v>5109</v>
      </c>
      <c r="C4094" s="72" t="inlineStr">
        <is>
          <t>X</t>
        </is>
      </c>
      <c r="E4094" s="73">
        <f>B4094*D4094/10000</f>
        <v/>
      </c>
      <c r="F4094" s="74">
        <f>B4094/30.48</f>
        <v/>
      </c>
      <c r="G4094" s="74">
        <f>D4094/30.48</f>
        <v/>
      </c>
      <c r="H4094" s="615" t="n"/>
    </row>
    <row r="4095" ht="18" customHeight="1" s="305">
      <c r="A4095" s="8" t="n">
        <v>5110</v>
      </c>
      <c r="C4095" s="72" t="inlineStr">
        <is>
          <t>X</t>
        </is>
      </c>
      <c r="E4095" s="73">
        <f>B4095*D4095/10000</f>
        <v/>
      </c>
      <c r="F4095" s="74">
        <f>B4095/30.48</f>
        <v/>
      </c>
      <c r="G4095" s="74">
        <f>D4095/30.48</f>
        <v/>
      </c>
      <c r="H4095" s="615" t="n"/>
    </row>
    <row r="4096" ht="18" customHeight="1" s="305">
      <c r="A4096" s="8" t="n">
        <v>5111</v>
      </c>
      <c r="C4096" s="72" t="inlineStr">
        <is>
          <t>X</t>
        </is>
      </c>
      <c r="E4096" s="73">
        <f>B4096*D4096/10000</f>
        <v/>
      </c>
      <c r="F4096" s="74">
        <f>B4096/30.48</f>
        <v/>
      </c>
      <c r="G4096" s="74">
        <f>D4096/30.48</f>
        <v/>
      </c>
      <c r="H4096" s="615" t="n"/>
    </row>
    <row r="4097" ht="18" customHeight="1" s="305">
      <c r="A4097" s="8" t="n">
        <v>5112</v>
      </c>
      <c r="C4097" s="72" t="inlineStr">
        <is>
          <t>X</t>
        </is>
      </c>
      <c r="E4097" s="73">
        <f>B4097*D4097/10000</f>
        <v/>
      </c>
      <c r="F4097" s="74">
        <f>B4097/30.48</f>
        <v/>
      </c>
      <c r="G4097" s="74">
        <f>D4097/30.48</f>
        <v/>
      </c>
      <c r="H4097" s="615" t="n"/>
    </row>
    <row r="4098" ht="18" customHeight="1" s="305">
      <c r="A4098" s="8" t="n">
        <v>5113</v>
      </c>
      <c r="C4098" s="72" t="inlineStr">
        <is>
          <t>X</t>
        </is>
      </c>
      <c r="E4098" s="73">
        <f>B4098*D4098/10000</f>
        <v/>
      </c>
      <c r="F4098" s="74">
        <f>B4098/30.48</f>
        <v/>
      </c>
      <c r="G4098" s="74">
        <f>D4098/30.48</f>
        <v/>
      </c>
      <c r="H4098" s="615" t="n"/>
    </row>
    <row r="4099" ht="18" customHeight="1" s="305">
      <c r="A4099" s="8" t="n">
        <v>5114</v>
      </c>
      <c r="C4099" s="72" t="inlineStr">
        <is>
          <t>X</t>
        </is>
      </c>
      <c r="E4099" s="73">
        <f>B4099*D4099/10000</f>
        <v/>
      </c>
      <c r="F4099" s="74">
        <f>B4099/30.48</f>
        <v/>
      </c>
      <c r="G4099" s="74">
        <f>D4099/30.48</f>
        <v/>
      </c>
      <c r="H4099" s="615" t="n"/>
    </row>
    <row r="4100" ht="18" customHeight="1" s="305">
      <c r="A4100" s="8" t="n">
        <v>5115</v>
      </c>
      <c r="C4100" s="72" t="inlineStr">
        <is>
          <t>X</t>
        </is>
      </c>
      <c r="E4100" s="73">
        <f>B4100*D4100/10000</f>
        <v/>
      </c>
      <c r="F4100" s="74">
        <f>B4100/30.48</f>
        <v/>
      </c>
      <c r="G4100" s="74">
        <f>D4100/30.48</f>
        <v/>
      </c>
      <c r="H4100" s="615" t="n"/>
    </row>
    <row r="4101" ht="18" customHeight="1" s="305">
      <c r="A4101" s="8" t="n">
        <v>5116</v>
      </c>
      <c r="C4101" s="72" t="inlineStr">
        <is>
          <t>X</t>
        </is>
      </c>
      <c r="E4101" s="73">
        <f>B4101*D4101/10000</f>
        <v/>
      </c>
      <c r="F4101" s="74">
        <f>B4101/30.48</f>
        <v/>
      </c>
      <c r="G4101" s="74">
        <f>D4101/30.48</f>
        <v/>
      </c>
      <c r="H4101" s="615" t="n"/>
    </row>
    <row r="4102" ht="18" customHeight="1" s="305">
      <c r="A4102" s="8" t="n">
        <v>5117</v>
      </c>
      <c r="C4102" s="72" t="inlineStr">
        <is>
          <t>X</t>
        </is>
      </c>
      <c r="E4102" s="73">
        <f>B4102*D4102/10000</f>
        <v/>
      </c>
      <c r="F4102" s="74">
        <f>B4102/30.48</f>
        <v/>
      </c>
      <c r="G4102" s="74">
        <f>D4102/30.48</f>
        <v/>
      </c>
      <c r="H4102" s="615" t="n"/>
    </row>
    <row r="4103" ht="18" customHeight="1" s="305">
      <c r="A4103" s="8" t="n">
        <v>5118</v>
      </c>
      <c r="C4103" s="72" t="inlineStr">
        <is>
          <t>X</t>
        </is>
      </c>
      <c r="E4103" s="73">
        <f>B4103*D4103/10000</f>
        <v/>
      </c>
      <c r="F4103" s="74">
        <f>B4103/30.48</f>
        <v/>
      </c>
      <c r="G4103" s="74">
        <f>D4103/30.48</f>
        <v/>
      </c>
      <c r="H4103" s="615" t="n"/>
    </row>
    <row r="4104" ht="18" customHeight="1" s="305">
      <c r="A4104" s="8" t="n">
        <v>5119</v>
      </c>
      <c r="C4104" s="72" t="inlineStr">
        <is>
          <t>X</t>
        </is>
      </c>
      <c r="E4104" s="73">
        <f>B4104*D4104/10000</f>
        <v/>
      </c>
      <c r="F4104" s="74">
        <f>B4104/30.48</f>
        <v/>
      </c>
      <c r="G4104" s="74">
        <f>D4104/30.48</f>
        <v/>
      </c>
      <c r="H4104" s="615" t="n"/>
    </row>
    <row r="4105" ht="18" customHeight="1" s="305">
      <c r="A4105" s="8" t="n">
        <v>5120</v>
      </c>
      <c r="C4105" s="72" t="inlineStr">
        <is>
          <t>X</t>
        </is>
      </c>
      <c r="E4105" s="73">
        <f>B4105*D4105/10000</f>
        <v/>
      </c>
      <c r="F4105" s="74">
        <f>B4105/30.48</f>
        <v/>
      </c>
      <c r="G4105" s="74">
        <f>D4105/30.48</f>
        <v/>
      </c>
      <c r="H4105" s="615" t="n"/>
    </row>
    <row r="4106" ht="18" customHeight="1" s="305">
      <c r="A4106" s="8" t="n">
        <v>5121</v>
      </c>
      <c r="C4106" s="72" t="inlineStr">
        <is>
          <t>X</t>
        </is>
      </c>
      <c r="E4106" s="73">
        <f>B4106*D4106/10000</f>
        <v/>
      </c>
      <c r="F4106" s="74">
        <f>B4106/30.48</f>
        <v/>
      </c>
      <c r="G4106" s="74">
        <f>D4106/30.48</f>
        <v/>
      </c>
      <c r="H4106" s="615" t="n"/>
    </row>
    <row r="4107" ht="18" customHeight="1" s="305">
      <c r="A4107" s="8" t="n">
        <v>5122</v>
      </c>
      <c r="C4107" s="72" t="inlineStr">
        <is>
          <t>X</t>
        </is>
      </c>
      <c r="E4107" s="73">
        <f>B4107*D4107/10000</f>
        <v/>
      </c>
      <c r="F4107" s="74">
        <f>B4107/30.48</f>
        <v/>
      </c>
      <c r="G4107" s="74">
        <f>D4107/30.48</f>
        <v/>
      </c>
      <c r="H4107" s="615" t="n"/>
    </row>
    <row r="4108" ht="18" customHeight="1" s="305">
      <c r="A4108" s="8" t="n">
        <v>5123</v>
      </c>
      <c r="C4108" s="72" t="inlineStr">
        <is>
          <t>X</t>
        </is>
      </c>
      <c r="E4108" s="73">
        <f>B4108*D4108/10000</f>
        <v/>
      </c>
      <c r="F4108" s="74">
        <f>B4108/30.48</f>
        <v/>
      </c>
      <c r="G4108" s="74">
        <f>D4108/30.48</f>
        <v/>
      </c>
      <c r="H4108" s="615" t="n"/>
    </row>
    <row r="4109" ht="18" customHeight="1" s="305">
      <c r="A4109" s="8" t="n">
        <v>5124</v>
      </c>
      <c r="C4109" s="72" t="inlineStr">
        <is>
          <t>X</t>
        </is>
      </c>
      <c r="E4109" s="73">
        <f>B4109*D4109/10000</f>
        <v/>
      </c>
      <c r="F4109" s="74">
        <f>B4109/30.48</f>
        <v/>
      </c>
      <c r="G4109" s="74">
        <f>D4109/30.48</f>
        <v/>
      </c>
      <c r="H4109" s="615" t="n"/>
    </row>
    <row r="4110" ht="18" customHeight="1" s="305">
      <c r="A4110" s="8" t="n">
        <v>5125</v>
      </c>
      <c r="C4110" s="72" t="inlineStr">
        <is>
          <t>X</t>
        </is>
      </c>
      <c r="E4110" s="73">
        <f>B4110*D4110/10000</f>
        <v/>
      </c>
      <c r="F4110" s="74">
        <f>B4110/30.48</f>
        <v/>
      </c>
      <c r="G4110" s="74">
        <f>D4110/30.48</f>
        <v/>
      </c>
      <c r="H4110" s="615" t="n"/>
    </row>
    <row r="4111" ht="18" customHeight="1" s="305">
      <c r="A4111" s="8" t="n">
        <v>5126</v>
      </c>
      <c r="C4111" s="72" t="inlineStr">
        <is>
          <t>X</t>
        </is>
      </c>
      <c r="E4111" s="73">
        <f>B4111*D4111/10000</f>
        <v/>
      </c>
      <c r="F4111" s="74">
        <f>B4111/30.48</f>
        <v/>
      </c>
      <c r="G4111" s="74">
        <f>D4111/30.48</f>
        <v/>
      </c>
      <c r="H4111" s="615" t="n"/>
    </row>
    <row r="4112" ht="18" customHeight="1" s="305">
      <c r="A4112" s="8" t="n">
        <v>5127</v>
      </c>
      <c r="C4112" s="72" t="inlineStr">
        <is>
          <t>X</t>
        </is>
      </c>
      <c r="E4112" s="73">
        <f>B4112*D4112/10000</f>
        <v/>
      </c>
      <c r="F4112" s="74">
        <f>B4112/30.48</f>
        <v/>
      </c>
      <c r="G4112" s="74">
        <f>D4112/30.48</f>
        <v/>
      </c>
      <c r="H4112" s="615" t="n"/>
    </row>
    <row r="4113" ht="18" customHeight="1" s="305">
      <c r="A4113" s="8" t="n">
        <v>5128</v>
      </c>
      <c r="C4113" s="72" t="inlineStr">
        <is>
          <t>X</t>
        </is>
      </c>
      <c r="E4113" s="73">
        <f>B4113*D4113/10000</f>
        <v/>
      </c>
      <c r="F4113" s="74">
        <f>B4113/30.48</f>
        <v/>
      </c>
      <c r="G4113" s="74">
        <f>D4113/30.48</f>
        <v/>
      </c>
      <c r="H4113" s="615" t="n"/>
    </row>
    <row r="4114" ht="18" customHeight="1" s="305">
      <c r="A4114" s="8" t="n">
        <v>5129</v>
      </c>
      <c r="C4114" s="72" t="inlineStr">
        <is>
          <t>X</t>
        </is>
      </c>
      <c r="E4114" s="73">
        <f>B4114*D4114/10000</f>
        <v/>
      </c>
      <c r="F4114" s="74">
        <f>B4114/30.48</f>
        <v/>
      </c>
      <c r="G4114" s="74">
        <f>D4114/30.48</f>
        <v/>
      </c>
      <c r="H4114" s="615" t="n"/>
    </row>
    <row r="4115" ht="18" customHeight="1" s="305">
      <c r="A4115" s="8" t="n">
        <v>5130</v>
      </c>
      <c r="C4115" s="72" t="inlineStr">
        <is>
          <t>X</t>
        </is>
      </c>
      <c r="E4115" s="73">
        <f>B4115*D4115/10000</f>
        <v/>
      </c>
      <c r="F4115" s="74">
        <f>B4115/30.48</f>
        <v/>
      </c>
      <c r="G4115" s="74">
        <f>D4115/30.48</f>
        <v/>
      </c>
      <c r="H4115" s="615" t="n"/>
    </row>
    <row r="4116" ht="18" customHeight="1" s="305">
      <c r="A4116" s="8" t="n">
        <v>5131</v>
      </c>
      <c r="C4116" s="72" t="inlineStr">
        <is>
          <t>X</t>
        </is>
      </c>
      <c r="E4116" s="73">
        <f>B4116*D4116/10000</f>
        <v/>
      </c>
      <c r="F4116" s="74">
        <f>B4116/30.48</f>
        <v/>
      </c>
      <c r="G4116" s="74">
        <f>D4116/30.48</f>
        <v/>
      </c>
      <c r="H4116" s="615" t="n"/>
    </row>
    <row r="4117">
      <c r="H4117" s="615" t="n"/>
    </row>
    <row r="4118">
      <c r="H4118" s="615" t="n"/>
    </row>
    <row r="4119">
      <c r="H4119" s="615" t="n"/>
    </row>
    <row r="4120">
      <c r="H4120" s="615" t="n"/>
    </row>
    <row r="4121">
      <c r="H4121" s="615" t="n"/>
    </row>
    <row r="4122">
      <c r="H4122" s="615" t="n"/>
    </row>
    <row r="4123">
      <c r="H4123" s="615" t="n"/>
    </row>
    <row r="4124">
      <c r="H4124" s="615" t="n"/>
    </row>
    <row r="4125">
      <c r="H4125" s="615" t="n"/>
    </row>
    <row r="4126">
      <c r="H4126" s="615" t="n"/>
    </row>
    <row r="4127">
      <c r="H4127" s="615" t="n"/>
    </row>
    <row r="4128">
      <c r="H4128" s="615" t="n"/>
    </row>
    <row r="4129">
      <c r="H4129" s="615" t="n"/>
    </row>
    <row r="4130">
      <c r="H4130" s="615" t="n"/>
    </row>
    <row r="4131">
      <c r="H4131" s="615" t="n"/>
    </row>
    <row r="4132">
      <c r="H4132" s="615" t="n"/>
    </row>
    <row r="4133">
      <c r="H4133" s="615" t="n"/>
    </row>
    <row r="4134">
      <c r="H4134" s="615" t="n"/>
    </row>
    <row r="4135">
      <c r="H4135" s="615" t="n"/>
    </row>
    <row r="4136">
      <c r="H4136" s="615" t="n"/>
    </row>
    <row r="4137">
      <c r="H4137" s="615" t="n"/>
    </row>
    <row r="4138">
      <c r="H4138" s="615" t="n"/>
    </row>
    <row r="4139">
      <c r="H4139" s="615" t="n"/>
    </row>
    <row r="4140">
      <c r="H4140" s="615" t="n"/>
    </row>
    <row r="4141">
      <c r="H4141" s="615" t="n"/>
    </row>
    <row r="4142">
      <c r="H4142" s="615" t="n"/>
    </row>
    <row r="4143">
      <c r="H4143" s="615" t="n"/>
    </row>
    <row r="4144">
      <c r="H4144" s="615" t="n"/>
    </row>
    <row r="4145">
      <c r="H4145" s="615" t="n"/>
    </row>
    <row r="4146">
      <c r="H4146" s="615" t="n"/>
    </row>
    <row r="4147">
      <c r="H4147" s="615" t="n"/>
    </row>
    <row r="4148">
      <c r="H4148" s="615" t="n"/>
    </row>
    <row r="4149">
      <c r="H4149" s="615" t="n"/>
    </row>
    <row r="4150">
      <c r="H4150" s="615" t="n"/>
    </row>
    <row r="4151">
      <c r="H4151" s="615" t="n"/>
    </row>
    <row r="4152">
      <c r="H4152" s="615" t="n"/>
    </row>
    <row r="4153">
      <c r="H4153" s="615" t="n"/>
    </row>
    <row r="4154">
      <c r="H4154" s="615" t="n"/>
    </row>
    <row r="4155">
      <c r="H4155" s="615" t="n"/>
    </row>
    <row r="4156">
      <c r="H4156" s="615" t="n"/>
    </row>
    <row r="4157">
      <c r="H4157" s="615" t="n"/>
    </row>
    <row r="4158">
      <c r="H4158" s="615" t="n"/>
    </row>
    <row r="4159">
      <c r="H4159" s="615" t="n"/>
    </row>
    <row r="4160">
      <c r="H4160" s="615" t="n"/>
    </row>
    <row r="4161">
      <c r="H4161" s="615" t="n"/>
    </row>
    <row r="4162">
      <c r="H4162" s="615" t="n"/>
    </row>
    <row r="4163">
      <c r="H4163" s="615" t="n"/>
    </row>
    <row r="4164">
      <c r="H4164" s="615" t="n"/>
    </row>
    <row r="4165">
      <c r="H4165" s="615" t="n"/>
    </row>
    <row r="4166">
      <c r="H4166" s="615" t="n"/>
    </row>
    <row r="4167">
      <c r="H4167" s="615" t="n"/>
    </row>
    <row r="4168">
      <c r="H4168" s="615" t="n"/>
    </row>
    <row r="4169">
      <c r="H4169" s="615" t="n"/>
    </row>
    <row r="4170">
      <c r="H4170" s="615" t="n"/>
    </row>
    <row r="4171">
      <c r="H4171" s="615" t="n"/>
    </row>
    <row r="4172">
      <c r="H4172" s="615" t="n"/>
    </row>
    <row r="4173">
      <c r="H4173" s="615" t="n"/>
    </row>
    <row r="4174">
      <c r="H4174" s="615" t="n"/>
    </row>
    <row r="4175">
      <c r="H4175" s="615" t="n"/>
    </row>
    <row r="4176">
      <c r="H4176" s="615" t="n"/>
    </row>
    <row r="4177">
      <c r="H4177" s="615" t="n"/>
    </row>
    <row r="4178">
      <c r="H4178" s="615" t="n"/>
    </row>
    <row r="4179">
      <c r="H4179" s="615" t="n"/>
    </row>
    <row r="4180">
      <c r="H4180" s="615" t="n"/>
    </row>
    <row r="4181">
      <c r="H4181" s="615" t="n"/>
    </row>
    <row r="4182">
      <c r="H4182" s="615" t="n"/>
    </row>
    <row r="4183">
      <c r="H4183" s="615" t="n"/>
    </row>
    <row r="4184">
      <c r="H4184" s="615" t="n"/>
    </row>
    <row r="4185">
      <c r="H4185" s="615" t="n"/>
    </row>
    <row r="4186">
      <c r="H4186" s="615" t="n"/>
    </row>
    <row r="4187">
      <c r="H4187" s="615" t="n"/>
    </row>
    <row r="4188">
      <c r="H4188" s="615" t="n"/>
    </row>
    <row r="4189">
      <c r="H4189" s="615" t="n"/>
    </row>
    <row r="4190">
      <c r="H4190" s="615" t="n"/>
    </row>
    <row r="4191">
      <c r="H4191" s="615" t="n"/>
    </row>
    <row r="4192">
      <c r="H4192" s="615" t="n"/>
    </row>
    <row r="4193">
      <c r="H4193" s="615" t="n"/>
    </row>
    <row r="4194">
      <c r="H4194" s="615" t="n"/>
    </row>
    <row r="4195">
      <c r="H4195" s="615" t="n"/>
    </row>
    <row r="4196">
      <c r="H4196" s="615" t="n"/>
    </row>
    <row r="4197">
      <c r="H4197" s="615" t="n"/>
    </row>
    <row r="4198">
      <c r="H4198" s="615" t="n"/>
    </row>
    <row r="4199">
      <c r="H4199" s="615" t="n"/>
    </row>
    <row r="4200">
      <c r="H4200" s="615" t="n"/>
    </row>
    <row r="4201">
      <c r="H4201" s="615" t="n"/>
    </row>
    <row r="4202">
      <c r="H4202" s="615" t="n"/>
    </row>
    <row r="4203">
      <c r="H4203" s="615" t="n"/>
    </row>
    <row r="4204">
      <c r="H4204" s="615" t="n"/>
    </row>
    <row r="4205">
      <c r="H4205" s="615" t="n"/>
    </row>
    <row r="4206">
      <c r="H4206" s="615" t="n"/>
    </row>
    <row r="4207">
      <c r="H4207" s="615" t="n"/>
    </row>
    <row r="4208">
      <c r="H4208" s="615" t="n"/>
    </row>
    <row r="4209">
      <c r="H4209" s="615" t="n"/>
    </row>
    <row r="4210">
      <c r="H4210" s="615" t="n"/>
    </row>
    <row r="4211">
      <c r="H4211" s="615" t="n"/>
    </row>
    <row r="4212">
      <c r="H4212" s="615" t="n"/>
    </row>
    <row r="4213">
      <c r="H4213" s="615" t="n"/>
    </row>
    <row r="4214">
      <c r="H4214" s="615" t="n"/>
    </row>
    <row r="4215">
      <c r="H4215" s="615" t="n"/>
    </row>
    <row r="4216">
      <c r="H4216" s="615" t="n"/>
    </row>
    <row r="4217">
      <c r="H4217" s="615" t="n"/>
    </row>
    <row r="4218">
      <c r="H4218" s="615" t="n"/>
    </row>
    <row r="4219">
      <c r="H4219" s="615" t="n"/>
    </row>
    <row r="4220">
      <c r="H4220" s="615" t="n"/>
    </row>
    <row r="4221">
      <c r="H4221" s="615" t="n"/>
    </row>
    <row r="4222">
      <c r="H4222" s="615" t="n"/>
    </row>
    <row r="4223">
      <c r="H4223" s="615" t="n"/>
    </row>
    <row r="4224">
      <c r="H4224" s="615" t="n"/>
    </row>
    <row r="4225">
      <c r="H4225" s="615" t="n"/>
    </row>
    <row r="4226">
      <c r="H4226" s="615" t="n"/>
    </row>
    <row r="4227">
      <c r="H4227" s="615" t="n"/>
    </row>
    <row r="4228">
      <c r="H4228" s="615" t="n"/>
    </row>
    <row r="4229">
      <c r="H4229" s="615" t="n"/>
    </row>
    <row r="4230">
      <c r="H4230" s="615" t="n"/>
    </row>
    <row r="4231">
      <c r="H4231" s="615" t="n"/>
    </row>
    <row r="4232">
      <c r="H4232" s="615" t="n"/>
    </row>
    <row r="4233">
      <c r="H4233" s="615" t="n"/>
    </row>
    <row r="4234">
      <c r="H4234" s="615" t="n"/>
    </row>
    <row r="4235">
      <c r="H4235" s="615" t="n"/>
    </row>
    <row r="4236">
      <c r="H4236" s="615" t="n"/>
    </row>
    <row r="4237">
      <c r="H4237" s="615" t="n"/>
    </row>
    <row r="4238">
      <c r="H4238" s="615" t="n"/>
    </row>
    <row r="4239">
      <c r="H4239" s="615" t="n"/>
    </row>
    <row r="4240">
      <c r="H4240" s="615" t="n"/>
    </row>
    <row r="4241">
      <c r="H4241" s="615" t="n"/>
    </row>
    <row r="4242">
      <c r="H4242" s="615" t="n"/>
    </row>
    <row r="4243">
      <c r="H4243" s="615" t="n"/>
    </row>
    <row r="4244">
      <c r="H4244" s="615" t="n"/>
    </row>
    <row r="4245">
      <c r="H4245" s="615" t="n"/>
    </row>
    <row r="4246">
      <c r="H4246" s="615" t="n"/>
    </row>
    <row r="4247">
      <c r="H4247" s="615" t="n"/>
    </row>
    <row r="4248">
      <c r="H4248" s="615" t="n"/>
    </row>
    <row r="4249">
      <c r="H4249" s="615" t="n"/>
    </row>
    <row r="4250">
      <c r="H4250" s="615" t="n"/>
    </row>
    <row r="4251">
      <c r="H4251" s="615" t="n"/>
    </row>
    <row r="4252">
      <c r="H4252" s="615" t="n"/>
    </row>
    <row r="4253">
      <c r="H4253" s="615" t="n"/>
    </row>
    <row r="4254">
      <c r="H4254" s="615" t="n"/>
    </row>
    <row r="4255">
      <c r="H4255" s="615" t="n"/>
    </row>
    <row r="4256">
      <c r="H4256" s="615" t="n"/>
    </row>
    <row r="4257">
      <c r="H4257" s="615" t="n"/>
    </row>
    <row r="4258">
      <c r="H4258" s="615" t="n"/>
    </row>
    <row r="4259">
      <c r="H4259" s="615" t="n"/>
    </row>
    <row r="4260">
      <c r="H4260" s="615" t="n"/>
    </row>
    <row r="4261">
      <c r="H4261" s="615" t="n"/>
    </row>
    <row r="4262">
      <c r="H4262" s="615" t="n"/>
    </row>
    <row r="4263">
      <c r="H4263" s="615" t="n"/>
    </row>
    <row r="4264">
      <c r="H4264" s="615" t="n"/>
    </row>
    <row r="4265">
      <c r="H4265" s="615" t="n"/>
    </row>
    <row r="4266">
      <c r="H4266" s="615" t="n"/>
    </row>
    <row r="4267">
      <c r="H4267" s="615" t="n"/>
    </row>
    <row r="4268">
      <c r="H4268" s="615" t="n"/>
    </row>
    <row r="4269">
      <c r="H4269" s="615" t="n"/>
    </row>
    <row r="4270">
      <c r="H4270" s="615" t="n"/>
    </row>
    <row r="4271">
      <c r="H4271" s="615" t="n"/>
    </row>
    <row r="4272">
      <c r="H4272" s="615" t="n"/>
    </row>
    <row r="4273">
      <c r="H4273" s="615" t="n"/>
    </row>
    <row r="4274">
      <c r="H4274" s="615" t="n"/>
    </row>
    <row r="4275">
      <c r="H4275" s="615" t="n"/>
    </row>
    <row r="4276">
      <c r="H4276" s="615" t="n"/>
    </row>
    <row r="4277">
      <c r="H4277" s="615" t="n"/>
    </row>
    <row r="4278">
      <c r="H4278" s="615" t="n"/>
    </row>
    <row r="4279">
      <c r="H4279" s="615" t="n"/>
    </row>
    <row r="4280">
      <c r="H4280" s="615" t="n"/>
    </row>
    <row r="4281">
      <c r="H4281" s="615" t="n"/>
    </row>
    <row r="4282">
      <c r="H4282" s="615" t="n"/>
    </row>
    <row r="4283">
      <c r="H4283" s="615" t="n"/>
    </row>
    <row r="4284">
      <c r="H4284" s="615" t="n"/>
    </row>
    <row r="4285">
      <c r="H4285" s="615" t="n"/>
    </row>
    <row r="4286">
      <c r="H4286" s="615" t="n"/>
    </row>
    <row r="4287">
      <c r="H4287" s="615" t="n"/>
    </row>
    <row r="4288">
      <c r="H4288" s="615" t="n"/>
    </row>
    <row r="4289">
      <c r="H4289" s="615" t="n"/>
    </row>
    <row r="4290">
      <c r="H4290" s="615" t="n"/>
    </row>
    <row r="4291">
      <c r="H4291" s="615" t="n"/>
    </row>
    <row r="4292">
      <c r="H4292" s="615" t="n"/>
    </row>
    <row r="4293">
      <c r="H4293" s="615" t="n"/>
    </row>
    <row r="4294">
      <c r="H4294" s="615" t="n"/>
    </row>
    <row r="4295">
      <c r="H4295" s="615" t="n"/>
    </row>
    <row r="4296">
      <c r="H4296" s="615" t="n"/>
    </row>
    <row r="4297">
      <c r="H4297" s="615" t="n"/>
    </row>
    <row r="4298">
      <c r="H4298" s="615" t="n"/>
    </row>
    <row r="4299">
      <c r="H4299" s="615" t="n"/>
    </row>
    <row r="4300">
      <c r="H4300" s="615" t="n"/>
    </row>
    <row r="4301">
      <c r="H4301" s="615" t="n"/>
    </row>
    <row r="4302">
      <c r="H4302" s="615" t="n"/>
    </row>
    <row r="4303">
      <c r="H4303" s="615" t="n"/>
    </row>
    <row r="4304">
      <c r="H4304" s="615" t="n"/>
    </row>
    <row r="4305">
      <c r="H4305" s="615" t="n"/>
    </row>
    <row r="4306">
      <c r="H4306" s="615" t="n"/>
    </row>
    <row r="4307">
      <c r="H4307" s="615" t="n"/>
    </row>
    <row r="4308">
      <c r="H4308" s="615" t="n"/>
    </row>
    <row r="4309">
      <c r="H4309" s="615" t="n"/>
    </row>
    <row r="4310">
      <c r="H4310" s="615" t="n"/>
    </row>
    <row r="4311">
      <c r="H4311" s="615" t="n"/>
    </row>
    <row r="4312">
      <c r="H4312" s="615" t="n"/>
    </row>
    <row r="4313">
      <c r="H4313" s="615" t="n"/>
    </row>
    <row r="4314">
      <c r="H4314" s="615" t="n"/>
    </row>
    <row r="4315">
      <c r="H4315" s="615" t="n"/>
    </row>
    <row r="4316">
      <c r="H4316" s="615" t="n"/>
    </row>
    <row r="4317">
      <c r="H4317" s="615" t="n"/>
    </row>
    <row r="4318">
      <c r="H4318" s="615" t="n"/>
    </row>
    <row r="4319">
      <c r="H4319" s="615" t="n"/>
    </row>
    <row r="4320">
      <c r="H4320" s="615" t="n"/>
    </row>
    <row r="4321">
      <c r="H4321" s="615" t="n"/>
    </row>
    <row r="4322">
      <c r="H4322" s="615" t="n"/>
    </row>
    <row r="4323">
      <c r="H4323" s="615" t="n"/>
    </row>
    <row r="4324">
      <c r="H4324" s="615" t="n"/>
    </row>
    <row r="4325">
      <c r="H4325" s="615" t="n"/>
    </row>
    <row r="4326">
      <c r="H4326" s="615" t="n"/>
    </row>
    <row r="4327">
      <c r="H4327" s="615" t="n"/>
    </row>
    <row r="4328">
      <c r="H4328" s="615" t="n"/>
    </row>
    <row r="4329">
      <c r="H4329" s="615" t="n"/>
    </row>
    <row r="4330">
      <c r="H4330" s="615" t="n"/>
    </row>
    <row r="4331">
      <c r="H4331" s="615" t="n"/>
    </row>
    <row r="4332">
      <c r="H4332" s="615" t="n"/>
    </row>
    <row r="4333">
      <c r="H4333" s="615" t="n"/>
    </row>
    <row r="4334">
      <c r="H4334" s="615" t="n"/>
    </row>
    <row r="4335">
      <c r="H4335" s="615" t="n"/>
    </row>
    <row r="4336">
      <c r="H4336" s="615" t="n"/>
    </row>
    <row r="4337">
      <c r="H4337" s="615" t="n"/>
    </row>
    <row r="4338">
      <c r="H4338" s="615" t="n"/>
    </row>
    <row r="4339">
      <c r="H4339" s="615" t="n"/>
    </row>
    <row r="4340">
      <c r="H4340" s="615" t="n"/>
    </row>
    <row r="4341">
      <c r="H4341" s="615" t="n"/>
    </row>
    <row r="4342">
      <c r="H4342" s="615" t="n"/>
    </row>
    <row r="4343">
      <c r="H4343" s="615" t="n"/>
    </row>
    <row r="4344">
      <c r="H4344" s="615" t="n"/>
    </row>
    <row r="4345">
      <c r="H4345" s="615" t="n"/>
    </row>
    <row r="4346">
      <c r="H4346" s="615" t="n"/>
    </row>
    <row r="4347">
      <c r="H4347" s="615" t="n"/>
    </row>
    <row r="4348">
      <c r="H4348" s="615" t="n"/>
    </row>
    <row r="4349">
      <c r="H4349" s="615" t="n"/>
    </row>
    <row r="4350">
      <c r="H4350" s="615" t="n"/>
    </row>
    <row r="4351">
      <c r="H4351" s="615" t="n"/>
    </row>
    <row r="4352">
      <c r="H4352" s="615" t="n"/>
    </row>
    <row r="4353">
      <c r="H4353" s="615" t="n"/>
    </row>
    <row r="4354">
      <c r="H4354" s="615" t="n"/>
    </row>
    <row r="4355">
      <c r="H4355" s="615" t="n"/>
    </row>
    <row r="4356">
      <c r="H4356" s="615" t="n"/>
    </row>
    <row r="4357">
      <c r="H4357" s="615" t="n"/>
    </row>
    <row r="4358">
      <c r="H4358" s="615" t="n"/>
    </row>
    <row r="4359">
      <c r="H4359" s="615" t="n"/>
    </row>
    <row r="4360">
      <c r="H4360" s="615" t="n"/>
    </row>
    <row r="4361">
      <c r="H4361" s="615" t="n"/>
    </row>
    <row r="4362">
      <c r="H4362" s="615" t="n"/>
    </row>
    <row r="4363">
      <c r="H4363" s="615" t="n"/>
    </row>
    <row r="4364">
      <c r="H4364" s="615" t="n"/>
    </row>
    <row r="4365">
      <c r="H4365" s="615" t="n"/>
    </row>
    <row r="4366">
      <c r="H4366" s="615" t="n"/>
    </row>
    <row r="4367">
      <c r="H4367" s="615" t="n"/>
    </row>
    <row r="4368">
      <c r="H4368" s="615" t="n"/>
    </row>
    <row r="4369">
      <c r="H4369" s="615" t="n"/>
    </row>
    <row r="4370">
      <c r="H4370" s="615" t="n"/>
    </row>
    <row r="4371">
      <c r="H4371" s="615" t="n"/>
    </row>
    <row r="4372">
      <c r="H4372" s="615" t="n"/>
    </row>
    <row r="4373">
      <c r="H4373" s="615" t="n"/>
    </row>
    <row r="4374">
      <c r="H4374" s="615" t="n"/>
    </row>
    <row r="4375">
      <c r="H4375" s="615" t="n"/>
    </row>
    <row r="4376">
      <c r="H4376" s="615" t="n"/>
    </row>
    <row r="4377">
      <c r="H4377" s="615" t="n"/>
    </row>
    <row r="4378">
      <c r="H4378" s="615" t="n"/>
    </row>
    <row r="4379">
      <c r="H4379" s="615" t="n"/>
    </row>
    <row r="4380">
      <c r="H4380" s="615" t="n"/>
    </row>
    <row r="4381">
      <c r="H4381" s="615" t="n"/>
    </row>
    <row r="4382">
      <c r="H4382" s="615" t="n"/>
    </row>
    <row r="4383">
      <c r="H4383" s="615" t="n"/>
    </row>
    <row r="4384">
      <c r="H4384" s="615" t="n"/>
    </row>
    <row r="4385">
      <c r="H4385" s="615" t="n"/>
    </row>
    <row r="4386">
      <c r="H4386" s="615" t="n"/>
    </row>
    <row r="4387">
      <c r="H4387" s="615" t="n"/>
    </row>
    <row r="4388">
      <c r="H4388" s="615" t="n"/>
    </row>
    <row r="4389">
      <c r="H4389" s="615" t="n"/>
    </row>
    <row r="4390">
      <c r="H4390" s="615" t="n"/>
    </row>
    <row r="4391">
      <c r="H4391" s="615" t="n"/>
    </row>
    <row r="4392">
      <c r="H4392" s="615" t="n"/>
    </row>
    <row r="4393">
      <c r="H4393" s="615" t="n"/>
    </row>
    <row r="4394">
      <c r="H4394" s="615" t="n"/>
    </row>
    <row r="4395">
      <c r="H4395" s="615" t="n"/>
    </row>
    <row r="4396">
      <c r="H4396" s="615" t="n"/>
    </row>
    <row r="4397">
      <c r="H4397" s="615" t="n"/>
    </row>
    <row r="4398">
      <c r="H4398" s="615" t="n"/>
    </row>
    <row r="4399">
      <c r="H4399" s="615" t="n"/>
    </row>
    <row r="4400">
      <c r="H4400" s="615" t="n"/>
    </row>
    <row r="4401">
      <c r="H4401" s="615" t="n"/>
    </row>
    <row r="4402">
      <c r="H4402" s="615" t="n"/>
    </row>
    <row r="4403">
      <c r="H4403" s="615" t="n"/>
    </row>
    <row r="4404">
      <c r="H4404" s="615" t="n"/>
    </row>
    <row r="4405">
      <c r="H4405" s="615" t="n"/>
    </row>
    <row r="4406">
      <c r="H4406" s="615" t="n"/>
    </row>
    <row r="4407">
      <c r="H4407" s="615" t="n"/>
    </row>
    <row r="4408">
      <c r="H4408" s="615" t="n"/>
    </row>
    <row r="4409">
      <c r="H4409" s="615" t="n"/>
    </row>
    <row r="4410">
      <c r="H4410" s="615" t="n"/>
    </row>
    <row r="4411">
      <c r="H4411" s="615" t="n"/>
    </row>
    <row r="4412">
      <c r="H4412" s="615" t="n"/>
    </row>
    <row r="4413">
      <c r="H4413" s="615" t="n"/>
    </row>
    <row r="4414">
      <c r="H4414" s="615" t="n"/>
    </row>
    <row r="4415">
      <c r="H4415" s="615" t="n"/>
    </row>
    <row r="4416">
      <c r="H4416" s="615" t="n"/>
    </row>
    <row r="4417">
      <c r="H4417" s="615" t="n"/>
    </row>
    <row r="4418">
      <c r="H4418" s="615" t="n"/>
    </row>
    <row r="4419">
      <c r="H4419" s="615" t="n"/>
    </row>
    <row r="4420">
      <c r="H4420" s="615" t="n"/>
    </row>
    <row r="4421">
      <c r="H4421" s="615" t="n"/>
    </row>
    <row r="4422">
      <c r="H4422" s="615" t="n"/>
    </row>
    <row r="4423">
      <c r="H4423" s="615" t="n"/>
    </row>
    <row r="4424">
      <c r="H4424" s="615" t="n"/>
    </row>
    <row r="4425">
      <c r="H4425" s="615" t="n"/>
    </row>
    <row r="4426">
      <c r="H4426" s="615" t="n"/>
    </row>
    <row r="4427">
      <c r="H4427" s="615" t="n"/>
    </row>
    <row r="4428">
      <c r="H4428" s="615" t="n"/>
    </row>
    <row r="4429">
      <c r="H4429" s="615" t="n"/>
    </row>
    <row r="4430">
      <c r="H4430" s="615" t="n"/>
    </row>
    <row r="4431">
      <c r="H4431" s="615" t="n"/>
    </row>
    <row r="4432">
      <c r="H4432" s="615" t="n"/>
    </row>
    <row r="4433">
      <c r="H4433" s="615" t="n"/>
    </row>
    <row r="4434">
      <c r="H4434" s="615" t="n"/>
    </row>
    <row r="4435">
      <c r="H4435" s="615" t="n"/>
    </row>
    <row r="4436">
      <c r="H4436" s="615" t="n"/>
    </row>
    <row r="4437">
      <c r="H4437" s="615" t="n"/>
    </row>
    <row r="4438">
      <c r="H4438" s="615" t="n"/>
    </row>
    <row r="4439">
      <c r="H4439" s="615" t="n"/>
    </row>
    <row r="4440">
      <c r="H4440" s="615" t="n"/>
    </row>
    <row r="4441">
      <c r="H4441" s="615" t="n"/>
    </row>
    <row r="4442">
      <c r="H4442" s="615" t="n"/>
    </row>
    <row r="4443">
      <c r="H4443" s="615" t="n"/>
    </row>
    <row r="4444">
      <c r="H4444" s="615" t="n"/>
    </row>
    <row r="4445">
      <c r="H4445" s="615" t="n"/>
    </row>
    <row r="4446">
      <c r="H4446" s="615" t="n"/>
    </row>
    <row r="4447">
      <c r="H4447" s="615" t="n"/>
    </row>
    <row r="4448">
      <c r="H4448" s="615" t="n"/>
    </row>
    <row r="4449">
      <c r="H4449" s="615" t="n"/>
    </row>
    <row r="4450">
      <c r="H4450" s="615" t="n"/>
    </row>
    <row r="4451">
      <c r="H4451" s="615" t="n"/>
    </row>
    <row r="4452">
      <c r="H4452" s="615" t="n"/>
    </row>
    <row r="4453">
      <c r="H4453" s="615" t="n"/>
    </row>
    <row r="4454">
      <c r="H4454" s="615" t="n"/>
    </row>
    <row r="4455">
      <c r="H4455" s="615" t="n"/>
    </row>
    <row r="4456">
      <c r="H4456" s="615" t="n"/>
    </row>
    <row r="4457">
      <c r="H4457" s="615" t="n"/>
    </row>
    <row r="4458">
      <c r="H4458" s="615" t="n"/>
    </row>
    <row r="4459">
      <c r="H4459" s="615" t="n"/>
    </row>
    <row r="4460">
      <c r="H4460" s="615" t="n"/>
    </row>
    <row r="4461">
      <c r="H4461" s="615" t="n"/>
    </row>
    <row r="4462">
      <c r="H4462" s="615" t="n"/>
    </row>
    <row r="4463">
      <c r="H4463" s="615" t="n"/>
    </row>
    <row r="4464">
      <c r="H4464" s="615" t="n"/>
    </row>
    <row r="4465">
      <c r="H4465" s="615" t="n"/>
    </row>
    <row r="4466">
      <c r="H4466" s="615" t="n"/>
    </row>
    <row r="4467">
      <c r="H4467" s="615" t="n"/>
    </row>
    <row r="4468">
      <c r="H4468" s="615" t="n"/>
    </row>
    <row r="4469">
      <c r="H4469" s="615" t="n"/>
    </row>
    <row r="4470">
      <c r="H4470" s="615" t="n"/>
    </row>
    <row r="4471">
      <c r="H4471" s="615" t="n"/>
    </row>
    <row r="4472">
      <c r="H4472" s="615" t="n"/>
    </row>
    <row r="4473">
      <c r="H4473" s="615" t="n"/>
    </row>
    <row r="4474">
      <c r="H4474" s="615" t="n"/>
    </row>
    <row r="4475">
      <c r="H4475" s="615" t="n"/>
    </row>
    <row r="4476">
      <c r="H4476" s="615" t="n"/>
    </row>
    <row r="4477">
      <c r="H4477" s="615" t="n"/>
    </row>
    <row r="4478">
      <c r="H4478" s="615" t="n"/>
    </row>
    <row r="4479">
      <c r="H4479" s="615" t="n"/>
    </row>
    <row r="4480">
      <c r="H4480" s="615" t="n"/>
    </row>
    <row r="4481">
      <c r="H4481" s="615" t="n"/>
    </row>
    <row r="4482">
      <c r="H4482" s="615" t="n"/>
    </row>
    <row r="4483">
      <c r="H4483" s="615" t="n"/>
    </row>
    <row r="4484">
      <c r="H4484" s="615" t="n"/>
    </row>
    <row r="4485">
      <c r="H4485" s="615" t="n"/>
    </row>
    <row r="4486">
      <c r="H4486" s="615" t="n"/>
    </row>
    <row r="4487">
      <c r="H4487" s="615" t="n"/>
    </row>
    <row r="4488">
      <c r="H4488" s="615" t="n"/>
    </row>
    <row r="4489">
      <c r="H4489" s="615" t="n"/>
    </row>
    <row r="4490">
      <c r="H4490" s="615" t="n"/>
    </row>
    <row r="4491">
      <c r="H4491" s="615" t="n"/>
    </row>
    <row r="4492">
      <c r="H4492" s="615" t="n"/>
    </row>
    <row r="4493">
      <c r="H4493" s="615" t="n"/>
    </row>
    <row r="4494">
      <c r="H4494" s="615" t="n"/>
    </row>
    <row r="4495">
      <c r="H4495" s="615" t="n"/>
    </row>
    <row r="4496">
      <c r="H4496" s="615" t="n"/>
    </row>
    <row r="4497">
      <c r="H4497" s="615" t="n"/>
    </row>
    <row r="4498">
      <c r="H4498" s="615" t="n"/>
    </row>
    <row r="4499">
      <c r="H4499" s="615" t="n"/>
    </row>
    <row r="4500">
      <c r="H4500" s="615" t="n"/>
    </row>
    <row r="4501">
      <c r="H4501" s="615" t="n"/>
    </row>
    <row r="4502">
      <c r="H4502" s="615" t="n"/>
    </row>
    <row r="4503">
      <c r="H4503" s="615" t="n"/>
    </row>
    <row r="4504">
      <c r="H4504" s="615" t="n"/>
    </row>
    <row r="4505">
      <c r="H4505" s="615" t="n"/>
    </row>
    <row r="4506">
      <c r="H4506" s="615" t="n"/>
    </row>
    <row r="4507">
      <c r="H4507" s="615" t="n"/>
    </row>
    <row r="4508">
      <c r="H4508" s="615" t="n"/>
    </row>
    <row r="4509">
      <c r="H4509" s="615" t="n"/>
    </row>
    <row r="4510">
      <c r="H4510" s="615" t="n"/>
    </row>
    <row r="4511">
      <c r="H4511" s="615" t="n"/>
    </row>
    <row r="4512">
      <c r="H4512" s="615" t="n"/>
    </row>
    <row r="4513">
      <c r="H4513" s="615" t="n"/>
    </row>
    <row r="4514">
      <c r="H4514" s="615" t="n"/>
    </row>
    <row r="4515">
      <c r="H4515" s="615" t="n"/>
    </row>
    <row r="4516">
      <c r="H4516" s="615" t="n"/>
    </row>
  </sheetData>
  <autoFilter ref="Q1:Q2990"/>
  <pageMargins left="0.7" right="0.7" top="0.75" bottom="0.75" header="0.3" footer="0.3"/>
  <pageSetup orientation="landscape" paperSize="9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90"/>
  <sheetViews>
    <sheetView tabSelected="1" topLeftCell="A3545" workbookViewId="0">
      <selection activeCell="H3577" sqref="H3577"/>
    </sheetView>
  </sheetViews>
  <sheetFormatPr baseColWidth="8" defaultRowHeight="15"/>
  <cols>
    <col width="14.7109375" bestFit="1" customWidth="1" style="305" min="5" max="5"/>
    <col width="15.28515625" bestFit="1" customWidth="1" style="305" min="7" max="7"/>
    <col width="26" bestFit="1" customWidth="1" style="16" min="8" max="8"/>
    <col width="43.140625" bestFit="1" customWidth="1" style="21" min="9" max="9"/>
    <col width="36.5703125" customWidth="1" style="9" min="10" max="10"/>
    <col width="10.85546875" bestFit="1" customWidth="1" style="305" min="14" max="14"/>
  </cols>
  <sheetData>
    <row r="1">
      <c r="A1" s="583" t="inlineStr">
        <is>
          <t>-2022 MART-25</t>
        </is>
      </c>
      <c r="B1" s="692" t="n"/>
      <c r="C1" s="692" t="n"/>
      <c r="D1" s="692" t="n"/>
      <c r="E1" s="692" t="n"/>
      <c r="F1" s="692" t="n"/>
      <c r="G1" s="692" t="n"/>
      <c r="H1" s="62" t="inlineStr">
        <is>
          <t>SATAN-SİTE</t>
        </is>
      </c>
      <c r="I1" s="19" t="inlineStr">
        <is>
          <t>MÜŞTERİ ADI</t>
        </is>
      </c>
      <c r="J1" s="64" t="inlineStr">
        <is>
          <t>MÜŞTERİ İLETİŞİM &amp; ÜLKE</t>
        </is>
      </c>
    </row>
    <row r="2" ht="17.25" customFormat="1" customHeight="1" s="1">
      <c r="A2" s="8" t="inlineStr">
        <is>
          <t>C 5</t>
        </is>
      </c>
      <c r="B2" s="5" t="n">
        <v>260</v>
      </c>
      <c r="C2" s="6" t="inlineStr">
        <is>
          <t>X</t>
        </is>
      </c>
      <c r="D2" s="5" t="n">
        <v>86</v>
      </c>
      <c r="E2" s="2">
        <f>B2*D2/10000</f>
        <v/>
      </c>
      <c r="F2" s="3">
        <f>B2/30.48</f>
        <v/>
      </c>
      <c r="G2" s="3">
        <f>D2/30.48</f>
        <v/>
      </c>
      <c r="H2" s="16" t="inlineStr">
        <is>
          <t>MCHD-TR</t>
        </is>
      </c>
      <c r="I2" s="20" t="inlineStr">
        <is>
          <t>Whitney Reece</t>
        </is>
      </c>
      <c r="J2" s="9" t="inlineStr">
        <is>
          <t>US-601 421 2171</t>
        </is>
      </c>
    </row>
    <row r="3" ht="17.25" customFormat="1" customHeight="1" s="1">
      <c r="A3" s="8" t="n">
        <v>101</v>
      </c>
      <c r="B3" s="5" t="n">
        <v>85</v>
      </c>
      <c r="C3" s="6" t="inlineStr">
        <is>
          <t>X</t>
        </is>
      </c>
      <c r="D3" s="5" t="n">
        <v>53</v>
      </c>
      <c r="E3" s="2">
        <f>B3*D3/10000</f>
        <v/>
      </c>
      <c r="F3" s="3">
        <f>B3/30.48</f>
        <v/>
      </c>
      <c r="G3" s="3">
        <f>D3/30.48</f>
        <v/>
      </c>
      <c r="H3" s="16" t="inlineStr">
        <is>
          <t>MCHD-OLD</t>
        </is>
      </c>
      <c r="I3" s="20" t="inlineStr">
        <is>
          <t>McKenzie Evans</t>
        </is>
      </c>
      <c r="J3" s="518" t="inlineStr">
        <is>
          <t>US-917 796 0158</t>
        </is>
      </c>
    </row>
    <row r="4" ht="17.25" customFormat="1" customHeight="1" s="1">
      <c r="A4" s="8" t="inlineStr">
        <is>
          <t>Y 679</t>
        </is>
      </c>
      <c r="B4" s="5" t="n">
        <v>240</v>
      </c>
      <c r="C4" s="6" t="inlineStr">
        <is>
          <t>X</t>
        </is>
      </c>
      <c r="D4" s="5" t="n">
        <v>153</v>
      </c>
      <c r="E4" s="2">
        <f>B4*D4/10000</f>
        <v/>
      </c>
      <c r="F4" s="3">
        <f>B4/30.48</f>
        <v/>
      </c>
      <c r="G4" s="3">
        <f>D4/30.48</f>
        <v/>
      </c>
      <c r="H4" s="17" t="inlineStr">
        <is>
          <t>MSTF-EFS</t>
        </is>
      </c>
      <c r="I4" s="21" t="n"/>
      <c r="J4" s="518" t="n"/>
    </row>
    <row r="5" ht="17.25" customFormat="1" customHeight="1" s="1">
      <c r="A5" s="8" t="inlineStr">
        <is>
          <t>C 9</t>
        </is>
      </c>
      <c r="B5" s="5" t="n">
        <v>238</v>
      </c>
      <c r="C5" s="6" t="inlineStr">
        <is>
          <t>X</t>
        </is>
      </c>
      <c r="D5" s="5" t="n">
        <v>77</v>
      </c>
      <c r="E5" s="2">
        <f>B5*D5/10000</f>
        <v/>
      </c>
      <c r="F5" s="3">
        <f>B5/30.48</f>
        <v/>
      </c>
      <c r="G5" s="3">
        <f>D5/30.48</f>
        <v/>
      </c>
      <c r="H5" s="17" t="inlineStr">
        <is>
          <t>MSTF-EFS</t>
        </is>
      </c>
      <c r="I5" s="22" t="n"/>
      <c r="J5" s="518" t="n"/>
    </row>
    <row r="6" ht="17.25" customFormat="1" customHeight="1" s="1">
      <c r="A6" s="8" t="inlineStr">
        <is>
          <t>Y 889</t>
        </is>
      </c>
      <c r="B6" s="5" t="n">
        <v>261</v>
      </c>
      <c r="C6" s="6" t="inlineStr">
        <is>
          <t>X</t>
        </is>
      </c>
      <c r="D6" s="5" t="n">
        <v>63</v>
      </c>
      <c r="E6" s="2">
        <f>B6*D6/10000</f>
        <v/>
      </c>
      <c r="F6" s="3">
        <f>B6/30.48</f>
        <v/>
      </c>
      <c r="G6" s="3">
        <f>D6/30.48</f>
        <v/>
      </c>
      <c r="H6" s="18" t="inlineStr">
        <is>
          <t>MSTF-EFS</t>
        </is>
      </c>
      <c r="I6" s="20" t="n"/>
      <c r="J6" s="9" t="n"/>
    </row>
    <row r="7" ht="17.25" customFormat="1" customHeight="1" s="1">
      <c r="A7" s="8" t="inlineStr">
        <is>
          <t>Y 297</t>
        </is>
      </c>
      <c r="B7" s="5" t="n">
        <v>224</v>
      </c>
      <c r="C7" s="6" t="inlineStr">
        <is>
          <t>X</t>
        </is>
      </c>
      <c r="D7" s="5" t="n">
        <v>89</v>
      </c>
      <c r="E7" s="2">
        <f>B7*D7/10000</f>
        <v/>
      </c>
      <c r="F7" s="3">
        <f>B7/30.48</f>
        <v/>
      </c>
      <c r="G7" s="3">
        <f>D7/30.48</f>
        <v/>
      </c>
      <c r="H7" s="18" t="inlineStr">
        <is>
          <t>MSTF-TH</t>
        </is>
      </c>
      <c r="I7" s="20" t="n"/>
      <c r="J7" s="518" t="n"/>
    </row>
    <row r="8" ht="17.25" customFormat="1" customHeight="1" s="1">
      <c r="A8" s="28" t="n">
        <v>153</v>
      </c>
      <c r="B8" s="29" t="n">
        <v>83</v>
      </c>
      <c r="C8" s="30" t="inlineStr">
        <is>
          <t>X</t>
        </is>
      </c>
      <c r="D8" s="29" t="n">
        <v>49</v>
      </c>
      <c r="E8" s="31">
        <f>B8*D8/10000</f>
        <v/>
      </c>
      <c r="F8" s="32">
        <f>B8/30.48</f>
        <v/>
      </c>
      <c r="G8" s="32">
        <f>D8/30.48</f>
        <v/>
      </c>
      <c r="H8" s="503" t="inlineStr">
        <is>
          <t>MCHD-OLD</t>
        </is>
      </c>
      <c r="I8" s="22" t="inlineStr">
        <is>
          <t>Matty Whaling</t>
        </is>
      </c>
      <c r="J8" s="518" t="n"/>
    </row>
    <row r="9" ht="17.25" customFormat="1" customHeight="1" s="1">
      <c r="A9" s="25" t="inlineStr">
        <is>
          <t>C 112</t>
        </is>
      </c>
      <c r="B9" s="9" t="n">
        <v>309</v>
      </c>
      <c r="C9" s="26" t="inlineStr">
        <is>
          <t>X</t>
        </is>
      </c>
      <c r="D9" s="9" t="n">
        <v>164</v>
      </c>
      <c r="E9" s="27">
        <f>B9*D9/10000</f>
        <v/>
      </c>
      <c r="F9" s="11">
        <f>B9/30.48</f>
        <v/>
      </c>
      <c r="G9" s="11">
        <f>D9/30.48</f>
        <v/>
      </c>
      <c r="H9" s="503" t="inlineStr">
        <is>
          <t>MCHD-TR</t>
        </is>
      </c>
      <c r="I9" s="518" t="inlineStr">
        <is>
          <t>Sarah Bideau</t>
        </is>
      </c>
      <c r="J9" s="518" t="inlineStr">
        <is>
          <t>US-610 698 1755</t>
        </is>
      </c>
    </row>
    <row r="10" ht="17.25" customFormat="1" customHeight="1" s="1">
      <c r="A10" s="8" t="inlineStr">
        <is>
          <t>Y 973</t>
        </is>
      </c>
      <c r="B10" s="5" t="n">
        <v>340</v>
      </c>
      <c r="C10" s="6" t="inlineStr">
        <is>
          <t>X</t>
        </is>
      </c>
      <c r="D10" s="5" t="n">
        <v>90</v>
      </c>
      <c r="E10" s="2">
        <f>B10*D10/10000</f>
        <v/>
      </c>
      <c r="F10" s="3">
        <f>B10/30.48</f>
        <v/>
      </c>
      <c r="G10" s="3">
        <f>D10/30.48</f>
        <v/>
      </c>
      <c r="H10" s="584" t="inlineStr">
        <is>
          <t>MCHD-PAC</t>
        </is>
      </c>
      <c r="I10" s="586" t="inlineStr">
        <is>
          <t>Jessica M. Schwein</t>
        </is>
      </c>
      <c r="J10" s="9" t="n"/>
    </row>
    <row r="11" ht="17.25" customFormat="1" customHeight="1" s="1">
      <c r="A11" s="8" t="inlineStr">
        <is>
          <t>Y 443</t>
        </is>
      </c>
      <c r="B11" s="5" t="n">
        <v>356</v>
      </c>
      <c r="C11" s="6" t="inlineStr">
        <is>
          <t>X</t>
        </is>
      </c>
      <c r="D11" s="5" t="n">
        <v>67</v>
      </c>
      <c r="E11" s="2">
        <f>B11*D11/10000</f>
        <v/>
      </c>
      <c r="F11" s="3">
        <f>B11/30.48</f>
        <v/>
      </c>
      <c r="G11" s="3">
        <f>D11/30.48</f>
        <v/>
      </c>
      <c r="H11" s="693" t="n"/>
      <c r="I11" s="693" t="n"/>
      <c r="J11" s="518" t="n"/>
    </row>
    <row r="12" ht="17.25" customFormat="1" customHeight="1" s="1">
      <c r="A12" s="8" t="inlineStr">
        <is>
          <t>C 52</t>
        </is>
      </c>
      <c r="B12" s="5" t="n">
        <v>421</v>
      </c>
      <c r="C12" s="6" t="inlineStr">
        <is>
          <t>X</t>
        </is>
      </c>
      <c r="D12" s="5" t="n">
        <v>88</v>
      </c>
      <c r="E12" s="2">
        <f>B12*D12/10000</f>
        <v/>
      </c>
      <c r="F12" s="3">
        <f>B12/30.48</f>
        <v/>
      </c>
      <c r="G12" s="3">
        <f>D12/30.48</f>
        <v/>
      </c>
      <c r="H12" s="18" t="inlineStr">
        <is>
          <t>MSTF-TH</t>
        </is>
      </c>
      <c r="I12" s="9" t="n"/>
      <c r="J12" s="9" t="n"/>
    </row>
    <row r="13" ht="17.25" customFormat="1" customHeight="1" s="1">
      <c r="A13" s="8" t="n">
        <v>156</v>
      </c>
      <c r="B13" s="5" t="n">
        <v>90</v>
      </c>
      <c r="C13" s="6" t="inlineStr">
        <is>
          <t>X</t>
        </is>
      </c>
      <c r="D13" s="5" t="n">
        <v>48</v>
      </c>
      <c r="E13" s="2">
        <f>B13*D13/10000</f>
        <v/>
      </c>
      <c r="F13" s="3">
        <f>B13/30.48</f>
        <v/>
      </c>
      <c r="G13" s="3">
        <f>D13/30.48</f>
        <v/>
      </c>
      <c r="H13" s="569" t="inlineStr">
        <is>
          <t>MCHD-OLD</t>
        </is>
      </c>
      <c r="I13" s="586" t="inlineStr">
        <is>
          <t>Olivia Raccuglia</t>
        </is>
      </c>
      <c r="J13" s="518" t="inlineStr">
        <is>
          <t>US-303 532 7038</t>
        </is>
      </c>
    </row>
    <row r="14" ht="17.25" customFormat="1" customHeight="1" s="1">
      <c r="A14" s="8" t="n">
        <v>92</v>
      </c>
      <c r="B14" s="5" t="n">
        <v>99</v>
      </c>
      <c r="C14" s="6" t="inlineStr">
        <is>
          <t>X</t>
        </is>
      </c>
      <c r="D14" s="5" t="n">
        <v>40</v>
      </c>
      <c r="E14" s="2">
        <f>B14*D14/10000</f>
        <v/>
      </c>
      <c r="F14" s="3">
        <f>B14/30.48</f>
        <v/>
      </c>
      <c r="G14" s="3">
        <f>D14/30.48</f>
        <v/>
      </c>
      <c r="H14" s="16" t="inlineStr">
        <is>
          <t>MCHD-OLD</t>
        </is>
      </c>
      <c r="I14" s="33" t="inlineStr">
        <is>
          <t xml:space="preserve">Andrea Mariash </t>
        </is>
      </c>
      <c r="J14" s="9" t="inlineStr">
        <is>
          <t>US-260 226 3732</t>
        </is>
      </c>
    </row>
    <row r="15" ht="17.25" customFormat="1" customHeight="1" s="1">
      <c r="A15" s="8" t="n">
        <v>122</v>
      </c>
      <c r="B15" s="5" t="n">
        <v>80</v>
      </c>
      <c r="C15" s="6" t="inlineStr">
        <is>
          <t>X</t>
        </is>
      </c>
      <c r="D15" s="5" t="n">
        <v>48</v>
      </c>
      <c r="E15" s="2">
        <f>B15*D15/10000</f>
        <v/>
      </c>
      <c r="F15" s="3">
        <f>B15/30.48</f>
        <v/>
      </c>
      <c r="G15" s="3">
        <f>D15/30.48</f>
        <v/>
      </c>
      <c r="H15" s="503" t="inlineStr">
        <is>
          <t>MCHD-OLD</t>
        </is>
      </c>
      <c r="I15" s="34" t="inlineStr">
        <is>
          <t xml:space="preserve">Amanda Smith </t>
        </is>
      </c>
      <c r="J15" s="518" t="inlineStr">
        <is>
          <t>US-516 965 9387</t>
        </is>
      </c>
    </row>
    <row r="16" ht="17.25" customFormat="1" customHeight="1" s="1">
      <c r="A16" s="8" t="inlineStr">
        <is>
          <t>Y 959</t>
        </is>
      </c>
      <c r="B16" s="5" t="n">
        <v>227</v>
      </c>
      <c r="C16" s="6" t="inlineStr">
        <is>
          <t>X</t>
        </is>
      </c>
      <c r="D16" s="5" t="n">
        <v>73</v>
      </c>
      <c r="E16" s="2">
        <f>B16*D16/10000</f>
        <v/>
      </c>
      <c r="F16" s="3">
        <f>B16/30.48</f>
        <v/>
      </c>
      <c r="G16" s="3">
        <f>D16/30.48</f>
        <v/>
      </c>
      <c r="H16" s="35" t="inlineStr">
        <is>
          <t>MSTF-TH</t>
        </is>
      </c>
      <c r="I16" s="518" t="n"/>
      <c r="J16" s="518" t="n"/>
    </row>
    <row r="17" ht="17.25" customFormat="1" customHeight="1" s="1">
      <c r="A17" s="8" t="inlineStr">
        <is>
          <t>C 40</t>
        </is>
      </c>
      <c r="B17" s="5" t="n">
        <v>386</v>
      </c>
      <c r="C17" s="6" t="inlineStr">
        <is>
          <t>X</t>
        </is>
      </c>
      <c r="D17" s="5" t="n">
        <v>296</v>
      </c>
      <c r="E17" s="2">
        <f>B17*D17/10000</f>
        <v/>
      </c>
      <c r="F17" s="3">
        <f>B17/30.48</f>
        <v/>
      </c>
      <c r="G17" s="3">
        <f>D17/30.48</f>
        <v/>
      </c>
      <c r="H17" s="16" t="inlineStr">
        <is>
          <t>MCHD-TR</t>
        </is>
      </c>
      <c r="I17" s="586" t="inlineStr">
        <is>
          <t>Lisa Nadorp</t>
        </is>
      </c>
      <c r="J17" s="518" t="inlineStr">
        <is>
          <t>AU-61 438 344 427</t>
        </is>
      </c>
    </row>
    <row r="18" ht="17.25" customFormat="1" customHeight="1" s="1">
      <c r="A18" s="8" t="inlineStr">
        <is>
          <t>Y 982</t>
        </is>
      </c>
      <c r="B18" s="5" t="n">
        <v>240</v>
      </c>
      <c r="C18" s="6" t="inlineStr">
        <is>
          <t>X</t>
        </is>
      </c>
      <c r="D18" s="5" t="n">
        <v>147</v>
      </c>
      <c r="E18" s="2">
        <f>B18*D18/10000</f>
        <v/>
      </c>
      <c r="F18" s="3">
        <f>B18/30.48</f>
        <v/>
      </c>
      <c r="G18" s="3">
        <f>D18/30.48</f>
        <v/>
      </c>
      <c r="H18" s="36" t="inlineStr">
        <is>
          <t>MCHD-PAC</t>
        </is>
      </c>
      <c r="I18" s="9" t="inlineStr">
        <is>
          <t>Jo Ann Rothfelder</t>
        </is>
      </c>
      <c r="J18" s="9" t="n"/>
    </row>
    <row r="19" ht="17.25" customFormat="1" customHeight="1" s="1">
      <c r="A19" s="8" t="inlineStr">
        <is>
          <t>Y 573</t>
        </is>
      </c>
      <c r="B19" s="5" t="n">
        <v>377</v>
      </c>
      <c r="C19" s="6" t="inlineStr">
        <is>
          <t>X</t>
        </is>
      </c>
      <c r="D19" s="5" t="n">
        <v>146</v>
      </c>
      <c r="E19" s="2">
        <f>B19*D19/10000</f>
        <v/>
      </c>
      <c r="F19" s="3">
        <f>B19/30.48</f>
        <v/>
      </c>
      <c r="G19" s="3">
        <f>D19/30.48</f>
        <v/>
      </c>
      <c r="H19" s="35" t="inlineStr">
        <is>
          <t>MSTF-TH</t>
        </is>
      </c>
      <c r="I19" s="518" t="n"/>
      <c r="J19" s="518" t="n"/>
    </row>
    <row r="20" ht="17.25" customFormat="1" customHeight="1" s="1">
      <c r="A20" s="8" t="inlineStr">
        <is>
          <t>C 238</t>
        </is>
      </c>
      <c r="B20" s="5" t="n">
        <v>371</v>
      </c>
      <c r="C20" s="6" t="inlineStr">
        <is>
          <t>X</t>
        </is>
      </c>
      <c r="D20" s="5" t="n">
        <v>232</v>
      </c>
      <c r="E20" s="2">
        <f>B20*D20/10000</f>
        <v/>
      </c>
      <c r="F20" s="3">
        <f>B20/30.48</f>
        <v/>
      </c>
      <c r="G20" s="3">
        <f>D20/30.48</f>
        <v/>
      </c>
      <c r="H20" s="503" t="inlineStr">
        <is>
          <t>MCHD-OLD</t>
        </is>
      </c>
      <c r="I20" s="9" t="inlineStr">
        <is>
          <t>Tylin Senvardarli</t>
        </is>
      </c>
      <c r="J20" s="9" t="inlineStr">
        <is>
          <t>US-214 632 0405</t>
        </is>
      </c>
    </row>
    <row r="21" ht="17.25" customFormat="1" customHeight="1" s="1">
      <c r="A21" s="8" t="inlineStr">
        <is>
          <t>Y 986</t>
        </is>
      </c>
      <c r="B21" s="5" t="n">
        <v>287</v>
      </c>
      <c r="C21" s="6" t="inlineStr">
        <is>
          <t>X</t>
        </is>
      </c>
      <c r="D21" s="5" t="n">
        <v>187</v>
      </c>
      <c r="E21" s="2">
        <f>B21*D21/10000</f>
        <v/>
      </c>
      <c r="F21" s="3">
        <f>B21/30.48</f>
        <v/>
      </c>
      <c r="G21" s="3">
        <f>D21/30.48</f>
        <v/>
      </c>
      <c r="H21" s="37" t="inlineStr">
        <is>
          <t>MCHD-PAC</t>
        </is>
      </c>
      <c r="I21" s="38" t="inlineStr">
        <is>
          <t>Sophia Ong</t>
        </is>
      </c>
      <c r="J21" s="518" t="n"/>
    </row>
    <row r="22" ht="17.25" customFormat="1" customHeight="1" s="1">
      <c r="A22" s="8" t="n">
        <v>154</v>
      </c>
      <c r="B22" s="5" t="n">
        <v>84</v>
      </c>
      <c r="C22" s="6" t="inlineStr">
        <is>
          <t>X</t>
        </is>
      </c>
      <c r="D22" s="5" t="n">
        <v>49</v>
      </c>
      <c r="E22" s="2">
        <f>B22*D22/10000</f>
        <v/>
      </c>
      <c r="F22" s="3">
        <f>B22/30.48</f>
        <v/>
      </c>
      <c r="G22" s="3">
        <f>D22/30.48</f>
        <v/>
      </c>
      <c r="H22" s="16" t="inlineStr">
        <is>
          <t>MCHD-OLD</t>
        </is>
      </c>
      <c r="I22" s="33" t="inlineStr">
        <is>
          <t>Gia Marino</t>
        </is>
      </c>
      <c r="J22" s="518" t="inlineStr">
        <is>
          <t>US-717 497 9219</t>
        </is>
      </c>
    </row>
    <row r="23" ht="17.25" customFormat="1" customHeight="1" s="1">
      <c r="A23" s="8" t="inlineStr">
        <is>
          <t>Y 158</t>
        </is>
      </c>
      <c r="B23" s="5" t="n">
        <v>291</v>
      </c>
      <c r="C23" s="6" t="inlineStr">
        <is>
          <t>X</t>
        </is>
      </c>
      <c r="D23" s="5" t="n">
        <v>179</v>
      </c>
      <c r="E23" s="2">
        <f>B23*D23/10000</f>
        <v/>
      </c>
      <c r="F23" s="3">
        <f>B23/30.48</f>
        <v/>
      </c>
      <c r="G23" s="3">
        <f>D23/30.48</f>
        <v/>
      </c>
      <c r="H23" s="37" t="inlineStr">
        <is>
          <t>MCHD-PAC</t>
        </is>
      </c>
      <c r="I23" s="39" t="inlineStr">
        <is>
          <t>Grace Ellington</t>
        </is>
      </c>
      <c r="J23" s="9" t="n"/>
    </row>
    <row r="24" ht="17.25" customFormat="1" customHeight="1" s="1">
      <c r="A24" s="8" t="inlineStr">
        <is>
          <t>C 172</t>
        </is>
      </c>
      <c r="B24" s="5" t="n">
        <v>181</v>
      </c>
      <c r="C24" s="6" t="inlineStr">
        <is>
          <t>X</t>
        </is>
      </c>
      <c r="D24" s="5" t="n">
        <v>81</v>
      </c>
      <c r="E24" s="2">
        <f>B24*D24/10000</f>
        <v/>
      </c>
      <c r="F24" s="3">
        <f>B24/30.48</f>
        <v/>
      </c>
      <c r="G24" s="3">
        <f>D24/30.48</f>
        <v/>
      </c>
      <c r="H24" s="503" t="inlineStr">
        <is>
          <t>MCHD-TR</t>
        </is>
      </c>
      <c r="I24" s="22" t="inlineStr">
        <is>
          <t>Dani Naughton</t>
        </is>
      </c>
      <c r="J24" s="518" t="inlineStr">
        <is>
          <t>US-802 345 5234</t>
        </is>
      </c>
    </row>
    <row r="25" ht="17.25" customFormat="1" customHeight="1" s="1">
      <c r="A25" s="8" t="inlineStr">
        <is>
          <t>D 129</t>
        </is>
      </c>
      <c r="B25" s="5" t="n">
        <v>86</v>
      </c>
      <c r="C25" s="6" t="inlineStr">
        <is>
          <t>X</t>
        </is>
      </c>
      <c r="D25" s="5" t="n">
        <v>40</v>
      </c>
      <c r="E25" s="2">
        <f>B25*D25/10000</f>
        <v/>
      </c>
      <c r="F25" s="3">
        <f>B25/30.48</f>
        <v/>
      </c>
      <c r="G25" s="3">
        <f>D25/30.48</f>
        <v/>
      </c>
      <c r="H25" s="16" t="inlineStr">
        <is>
          <t>MCHD-OLD</t>
        </is>
      </c>
      <c r="I25" s="20" t="inlineStr">
        <is>
          <t>Katie Altergott</t>
        </is>
      </c>
      <c r="J25" s="518" t="inlineStr">
        <is>
          <t>US-262 339 0216</t>
        </is>
      </c>
    </row>
    <row r="26" ht="17.25" customFormat="1" customHeight="1" s="1">
      <c r="A26" s="8" t="n">
        <v>1012</v>
      </c>
      <c r="B26" s="5" t="n">
        <v>85</v>
      </c>
      <c r="C26" s="6" t="inlineStr">
        <is>
          <t>X</t>
        </is>
      </c>
      <c r="D26" s="5" t="n">
        <v>48</v>
      </c>
      <c r="E26" s="2">
        <f>B26*D26/10000</f>
        <v/>
      </c>
      <c r="F26" s="3">
        <f>B26/30.48</f>
        <v/>
      </c>
      <c r="G26" s="3">
        <f>D26/30.48</f>
        <v/>
      </c>
      <c r="H26" s="16" t="inlineStr">
        <is>
          <t>MCHD-OLD</t>
        </is>
      </c>
      <c r="I26" s="21" t="inlineStr">
        <is>
          <t>Tanya Jacopson</t>
        </is>
      </c>
      <c r="J26" s="9" t="inlineStr">
        <is>
          <t>US-770 612 8249</t>
        </is>
      </c>
    </row>
    <row r="27" ht="17.25" customFormat="1" customHeight="1" s="1">
      <c r="A27" s="8" t="n">
        <v>174</v>
      </c>
      <c r="B27" s="5" t="n">
        <v>87</v>
      </c>
      <c r="C27" s="6" t="inlineStr">
        <is>
          <t>X</t>
        </is>
      </c>
      <c r="D27" s="5" t="n">
        <v>47</v>
      </c>
      <c r="E27" s="2">
        <f>B27*D27/10000</f>
        <v/>
      </c>
      <c r="F27" s="3">
        <f>B27/30.48</f>
        <v/>
      </c>
      <c r="G27" s="3">
        <f>D27/30.48</f>
        <v/>
      </c>
      <c r="H27" s="16" t="inlineStr">
        <is>
          <t>MCHD-OLD</t>
        </is>
      </c>
      <c r="I27" s="20" t="inlineStr">
        <is>
          <t>Kate Moreno</t>
        </is>
      </c>
      <c r="J27" s="519" t="n"/>
    </row>
    <row r="28">
      <c r="A28" s="580" t="inlineStr">
        <is>
          <t>-2022 NİSAN-31</t>
        </is>
      </c>
      <c r="H28" s="62" t="inlineStr">
        <is>
          <t>SATAN-SİTE</t>
        </is>
      </c>
      <c r="I28" s="19" t="inlineStr">
        <is>
          <t>MÜŞTERİ ADI</t>
        </is>
      </c>
      <c r="J28" s="64" t="inlineStr">
        <is>
          <t>MÜŞTERİ İLETİŞİM &amp; ÜLKE</t>
        </is>
      </c>
    </row>
    <row r="29" ht="17.25" customFormat="1" customHeight="1" s="1">
      <c r="A29" s="25" t="inlineStr">
        <is>
          <t>C 170-1</t>
        </is>
      </c>
      <c r="B29" s="9" t="n">
        <v>360</v>
      </c>
      <c r="C29" s="26" t="inlineStr">
        <is>
          <t>X</t>
        </is>
      </c>
      <c r="D29" s="9" t="n">
        <v>73</v>
      </c>
      <c r="E29" s="27">
        <f>B29*D29/10000</f>
        <v/>
      </c>
      <c r="F29" s="11">
        <f>B29/30.48</f>
        <v/>
      </c>
      <c r="G29" s="11">
        <f>D29/30.48</f>
        <v/>
      </c>
      <c r="H29" s="16" t="inlineStr">
        <is>
          <t>MCHD-OLD</t>
        </is>
      </c>
      <c r="I29" s="20" t="inlineStr">
        <is>
          <t>Caroline Morgan</t>
        </is>
      </c>
      <c r="J29" s="9" t="inlineStr">
        <is>
          <t>US-404 308 0542</t>
        </is>
      </c>
    </row>
    <row r="30" ht="17.25" customFormat="1" customHeight="1" s="1">
      <c r="A30" s="25" t="n">
        <v>8</v>
      </c>
      <c r="B30" s="9" t="n">
        <v>89</v>
      </c>
      <c r="C30" s="26" t="inlineStr">
        <is>
          <t>X</t>
        </is>
      </c>
      <c r="D30" s="9" t="n">
        <v>46</v>
      </c>
      <c r="E30" s="27">
        <f>B30*D30/10000</f>
        <v/>
      </c>
      <c r="F30" s="11">
        <f>B30/30.48</f>
        <v/>
      </c>
      <c r="G30" s="11">
        <f>D30/30.48</f>
        <v/>
      </c>
      <c r="H30" s="503" t="inlineStr">
        <is>
          <t>MCHD-OLD</t>
        </is>
      </c>
      <c r="I30" s="586" t="inlineStr">
        <is>
          <t>Alli Stangel</t>
        </is>
      </c>
      <c r="J30" s="518" t="inlineStr">
        <is>
          <t>US-503 929 4792</t>
        </is>
      </c>
    </row>
    <row r="31" ht="17.25" customFormat="1" customHeight="1" s="1">
      <c r="A31" s="25" t="inlineStr">
        <is>
          <t>Y 917</t>
        </is>
      </c>
      <c r="B31" s="9" t="n">
        <v>153</v>
      </c>
      <c r="C31" s="26" t="inlineStr">
        <is>
          <t>X</t>
        </is>
      </c>
      <c r="D31" s="9" t="n">
        <v>96</v>
      </c>
      <c r="E31" s="27">
        <f>B31*D31/10000</f>
        <v/>
      </c>
      <c r="F31" s="11">
        <f>B31/30.48</f>
        <v/>
      </c>
      <c r="G31" s="40">
        <f>D31/30.48</f>
        <v/>
      </c>
      <c r="H31" s="17" t="inlineStr">
        <is>
          <t>MSTF-TH</t>
        </is>
      </c>
      <c r="I31" s="37" t="n"/>
      <c r="J31" s="9" t="n"/>
    </row>
    <row r="32" ht="17.25" customFormat="1" customHeight="1" s="1">
      <c r="A32" s="8" t="inlineStr">
        <is>
          <t>D 165</t>
        </is>
      </c>
      <c r="B32" s="5" t="n">
        <v>86</v>
      </c>
      <c r="C32" s="6" t="inlineStr">
        <is>
          <t>X</t>
        </is>
      </c>
      <c r="D32" s="5" t="n">
        <v>51</v>
      </c>
      <c r="E32" s="2">
        <f>B32*D32/10000</f>
        <v/>
      </c>
      <c r="F32" s="3">
        <f>B32/30.48</f>
        <v/>
      </c>
      <c r="G32" s="3">
        <f>D32/30.48</f>
        <v/>
      </c>
      <c r="H32" s="503" t="inlineStr">
        <is>
          <t>MCHD-OLD</t>
        </is>
      </c>
      <c r="I32" s="20" t="inlineStr">
        <is>
          <t>Vanessa Price</t>
        </is>
      </c>
      <c r="J32" s="9" t="inlineStr">
        <is>
          <t>US-815 641 1708</t>
        </is>
      </c>
    </row>
    <row r="33" ht="17.25" customFormat="1" customHeight="1" s="1">
      <c r="A33" s="8" t="n">
        <v>161</v>
      </c>
      <c r="B33" s="5" t="n">
        <v>89</v>
      </c>
      <c r="C33" s="6" t="inlineStr">
        <is>
          <t>X</t>
        </is>
      </c>
      <c r="D33" s="5" t="n">
        <v>51</v>
      </c>
      <c r="E33" s="2">
        <f>B33*D33/10000</f>
        <v/>
      </c>
      <c r="F33" s="3">
        <f>B33/30.48</f>
        <v/>
      </c>
      <c r="G33" s="3">
        <f>D33/30.48</f>
        <v/>
      </c>
      <c r="H33" s="503" t="inlineStr">
        <is>
          <t>MCHD-OLD</t>
        </is>
      </c>
      <c r="I33" s="20" t="inlineStr">
        <is>
          <t>Jaclyn Smith</t>
        </is>
      </c>
      <c r="J33" s="9" t="inlineStr">
        <is>
          <t>US-917 617 4539</t>
        </is>
      </c>
    </row>
    <row r="34" ht="17.25" customFormat="1" customHeight="1" s="1">
      <c r="A34" s="8" t="inlineStr">
        <is>
          <t>Y 704</t>
        </is>
      </c>
      <c r="B34" s="5" t="n">
        <v>283</v>
      </c>
      <c r="C34" s="6" t="inlineStr">
        <is>
          <t>X</t>
        </is>
      </c>
      <c r="D34" s="5" t="n">
        <v>186</v>
      </c>
      <c r="E34" s="2">
        <f>B34*D34/10000</f>
        <v/>
      </c>
      <c r="F34" s="3">
        <f>B34/30.48</f>
        <v/>
      </c>
      <c r="G34" s="3">
        <f>D34/30.48</f>
        <v/>
      </c>
      <c r="H34" s="17" t="inlineStr">
        <is>
          <t>MSTF-EFS</t>
        </is>
      </c>
      <c r="I34" s="37" t="n"/>
      <c r="J34" s="9" t="n"/>
    </row>
    <row r="35" ht="17.25" customFormat="1" customHeight="1" s="1">
      <c r="A35" s="8" t="n">
        <v>259</v>
      </c>
      <c r="B35" s="5" t="n">
        <v>298</v>
      </c>
      <c r="C35" s="6" t="inlineStr">
        <is>
          <t>X</t>
        </is>
      </c>
      <c r="D35" s="5" t="n">
        <v>186</v>
      </c>
      <c r="E35" s="2">
        <f>B35*D35/10000</f>
        <v/>
      </c>
      <c r="F35" s="3">
        <f>B35/30.48</f>
        <v/>
      </c>
      <c r="G35" s="3">
        <f>D35/30.48</f>
        <v/>
      </c>
      <c r="H35" s="584" t="inlineStr">
        <is>
          <t>MSTF-TH</t>
        </is>
      </c>
      <c r="I35" s="518" t="n"/>
      <c r="J35" s="518" t="n"/>
    </row>
    <row r="36" ht="17.25" customFormat="1" customHeight="1" s="1">
      <c r="A36" s="8" t="n">
        <v>136</v>
      </c>
      <c r="B36" s="5" t="n">
        <v>90</v>
      </c>
      <c r="C36" s="6" t="inlineStr">
        <is>
          <t>X</t>
        </is>
      </c>
      <c r="D36" s="5" t="n">
        <v>47</v>
      </c>
      <c r="E36" s="2">
        <f>B36*D36/10000</f>
        <v/>
      </c>
      <c r="F36" s="3">
        <f>B36/30.48</f>
        <v/>
      </c>
      <c r="G36" s="3">
        <f>D36/30.48</f>
        <v/>
      </c>
      <c r="H36" s="16" t="inlineStr">
        <is>
          <t>MCHD-OLD</t>
        </is>
      </c>
      <c r="I36" s="34" t="inlineStr">
        <is>
          <t>Kandice Baker</t>
        </is>
      </c>
      <c r="J36" s="518" t="inlineStr">
        <is>
          <t>US-385 312 4243</t>
        </is>
      </c>
    </row>
    <row r="37" ht="17.25" customFormat="1" customHeight="1" s="1">
      <c r="A37" s="8" t="n">
        <v>107</v>
      </c>
      <c r="B37" s="5" t="n">
        <v>79</v>
      </c>
      <c r="C37" s="6" t="inlineStr">
        <is>
          <t>X</t>
        </is>
      </c>
      <c r="D37" s="5" t="n">
        <v>49</v>
      </c>
      <c r="E37" s="2">
        <f>B37*D37/10000</f>
        <v/>
      </c>
      <c r="F37" s="3">
        <f>B37/30.48</f>
        <v/>
      </c>
      <c r="G37" s="3">
        <f>D37/30.48</f>
        <v/>
      </c>
      <c r="H37" s="568" t="inlineStr">
        <is>
          <t>MCHD-OLD</t>
        </is>
      </c>
      <c r="I37" s="20" t="inlineStr">
        <is>
          <t>Ivory Big Willow</t>
        </is>
      </c>
      <c r="J37" s="9" t="inlineStr">
        <is>
          <t>US-801 747 7078</t>
        </is>
      </c>
    </row>
    <row r="38" ht="17.25" customFormat="1" customHeight="1" s="1">
      <c r="A38" s="8" t="n">
        <v>124</v>
      </c>
      <c r="B38" s="5" t="n">
        <v>91</v>
      </c>
      <c r="C38" s="6" t="inlineStr">
        <is>
          <t>X</t>
        </is>
      </c>
      <c r="D38" s="5" t="n">
        <v>49</v>
      </c>
      <c r="E38" s="2">
        <f>B38*D38/10000</f>
        <v/>
      </c>
      <c r="F38" s="3">
        <f>B38/30.48</f>
        <v/>
      </c>
      <c r="G38" s="3">
        <f>D38/30.48</f>
        <v/>
      </c>
      <c r="H38" s="569" t="inlineStr">
        <is>
          <t>MCHD-OLD</t>
        </is>
      </c>
      <c r="I38" s="586" t="inlineStr">
        <is>
          <t>Brandi Hartness</t>
        </is>
      </c>
      <c r="J38" s="518" t="inlineStr">
        <is>
          <t>US-478 733 4201</t>
        </is>
      </c>
    </row>
    <row r="39" ht="17.25" customFormat="1" customHeight="1" s="1">
      <c r="A39" s="8" t="inlineStr">
        <is>
          <t>M 96</t>
        </is>
      </c>
      <c r="B39" s="5" t="n">
        <v>89</v>
      </c>
      <c r="C39" s="6" t="inlineStr">
        <is>
          <t>X</t>
        </is>
      </c>
      <c r="D39" s="5" t="n">
        <v>53</v>
      </c>
      <c r="E39" s="2">
        <f>B39*D39/10000</f>
        <v/>
      </c>
      <c r="F39" s="3">
        <f>B39/30.48</f>
        <v/>
      </c>
      <c r="G39" s="3">
        <f>D39/30.48</f>
        <v/>
      </c>
      <c r="H39" s="569" t="inlineStr">
        <is>
          <t>MCHD-OLD</t>
        </is>
      </c>
      <c r="I39" s="20" t="inlineStr">
        <is>
          <t>Emily Srygley</t>
        </is>
      </c>
      <c r="J39" s="9" t="inlineStr">
        <is>
          <t>US-479 462 8848</t>
        </is>
      </c>
    </row>
    <row r="40" ht="17.25" customFormat="1" customHeight="1" s="1">
      <c r="A40" s="8" t="n">
        <v>19</v>
      </c>
      <c r="B40" s="5" t="n">
        <v>91</v>
      </c>
      <c r="C40" s="6" t="inlineStr">
        <is>
          <t>X</t>
        </is>
      </c>
      <c r="D40" s="5" t="n">
        <v>47</v>
      </c>
      <c r="E40" s="2">
        <f>B40*D40/10000</f>
        <v/>
      </c>
      <c r="F40" s="3">
        <f>B40/30.48</f>
        <v/>
      </c>
      <c r="G40" s="3">
        <f>D40/30.48</f>
        <v/>
      </c>
      <c r="H40" s="16" t="inlineStr">
        <is>
          <t>MCHD-OLD</t>
        </is>
      </c>
      <c r="I40" s="33" t="inlineStr">
        <is>
          <t>Dean Parker</t>
        </is>
      </c>
      <c r="J40" s="9" t="inlineStr">
        <is>
          <t>US-212 335 0548</t>
        </is>
      </c>
    </row>
    <row r="41" ht="17.25" customFormat="1" customHeight="1" s="1">
      <c r="A41" s="8" t="n">
        <v>14</v>
      </c>
      <c r="B41" s="5" t="n">
        <v>92</v>
      </c>
      <c r="C41" s="6" t="inlineStr">
        <is>
          <t>X</t>
        </is>
      </c>
      <c r="D41" s="5" t="n">
        <v>45</v>
      </c>
      <c r="E41" s="2">
        <f>B41*D41/10000</f>
        <v/>
      </c>
      <c r="F41" s="3">
        <f>B41/30.48</f>
        <v/>
      </c>
      <c r="G41" s="3">
        <f>D41/30.48</f>
        <v/>
      </c>
      <c r="H41" s="16" t="inlineStr">
        <is>
          <t>MCHD-OLD</t>
        </is>
      </c>
      <c r="I41" s="21" t="inlineStr">
        <is>
          <t>Ann Webster</t>
        </is>
      </c>
      <c r="J41" s="9" t="inlineStr">
        <is>
          <t>US-843 986 3679</t>
        </is>
      </c>
    </row>
    <row r="42" ht="17.25" customFormat="1" customHeight="1" s="1">
      <c r="A42" s="8" t="inlineStr">
        <is>
          <t>C 34</t>
        </is>
      </c>
      <c r="B42" s="5" t="n">
        <v>386</v>
      </c>
      <c r="C42" s="6" t="inlineStr">
        <is>
          <t>X</t>
        </is>
      </c>
      <c r="D42" s="5" t="n">
        <v>280</v>
      </c>
      <c r="E42" s="2">
        <f>B42*D42/10000</f>
        <v/>
      </c>
      <c r="F42" s="3">
        <f>B42/30.48</f>
        <v/>
      </c>
      <c r="G42" s="3">
        <f>D42/30.48</f>
        <v/>
      </c>
      <c r="H42" s="584" t="inlineStr">
        <is>
          <t>MSTF-TH</t>
        </is>
      </c>
      <c r="I42" s="41" t="n"/>
      <c r="J42" s="42" t="n"/>
    </row>
    <row r="43" ht="17.25" customFormat="1" customHeight="1" s="1">
      <c r="A43" s="8" t="inlineStr">
        <is>
          <t>D 147</t>
        </is>
      </c>
      <c r="B43" s="5" t="n">
        <v>89</v>
      </c>
      <c r="C43" s="6" t="inlineStr">
        <is>
          <t>X</t>
        </is>
      </c>
      <c r="D43" s="5" t="n">
        <v>51</v>
      </c>
      <c r="E43" s="2">
        <f>B43*D43/10000</f>
        <v/>
      </c>
      <c r="F43" s="3">
        <f>B43/30.48</f>
        <v/>
      </c>
      <c r="G43" s="3">
        <f>D43/30.48</f>
        <v/>
      </c>
      <c r="H43" s="16" t="inlineStr">
        <is>
          <t>MCHD-OLD</t>
        </is>
      </c>
      <c r="I43" s="21" t="inlineStr">
        <is>
          <t>Justine Jones</t>
        </is>
      </c>
      <c r="J43" s="42" t="inlineStr">
        <is>
          <t>US-602 561 1717</t>
        </is>
      </c>
    </row>
    <row r="44" ht="17.25" customFormat="1" customHeight="1" s="1">
      <c r="A44" s="8" t="n">
        <v>120</v>
      </c>
      <c r="B44" s="5" t="n">
        <v>76</v>
      </c>
      <c r="C44" s="6" t="inlineStr">
        <is>
          <t>X</t>
        </is>
      </c>
      <c r="D44" s="5" t="n">
        <v>45</v>
      </c>
      <c r="E44" s="2">
        <f>B44*D44/10000</f>
        <v/>
      </c>
      <c r="F44" s="3">
        <f>B44/30.48</f>
        <v/>
      </c>
      <c r="G44" s="3">
        <f>D44/30.48</f>
        <v/>
      </c>
      <c r="H44" s="16" t="inlineStr">
        <is>
          <t>MCHD-OLD</t>
        </is>
      </c>
      <c r="I44" s="21" t="inlineStr">
        <is>
          <t>Megan Bringman</t>
        </is>
      </c>
      <c r="J44" s="42" t="inlineStr">
        <is>
          <t>US-816 361 9669</t>
        </is>
      </c>
    </row>
    <row r="45" ht="17.25" customFormat="1" customHeight="1" s="1">
      <c r="A45" s="8" t="inlineStr">
        <is>
          <t>Y 807</t>
        </is>
      </c>
      <c r="B45" s="5" t="n">
        <v>468</v>
      </c>
      <c r="C45" s="6" t="inlineStr">
        <is>
          <t>X</t>
        </is>
      </c>
      <c r="D45" s="5" t="n">
        <v>89</v>
      </c>
      <c r="E45" s="2">
        <f>B45*D45/10000</f>
        <v/>
      </c>
      <c r="F45" s="3">
        <f>B45/30.48</f>
        <v/>
      </c>
      <c r="G45" s="3">
        <f>D45/30.48</f>
        <v/>
      </c>
      <c r="H45" s="16" t="inlineStr">
        <is>
          <t>MCHD-OLD</t>
        </is>
      </c>
      <c r="I45" s="22" t="inlineStr">
        <is>
          <t>Audrey Straus</t>
        </is>
      </c>
      <c r="J45" s="578" t="inlineStr">
        <is>
          <t>US-404 769 7293</t>
        </is>
      </c>
    </row>
    <row r="46" ht="17.25" customFormat="1" customHeight="1" s="1">
      <c r="A46" s="8" t="n">
        <v>15</v>
      </c>
      <c r="B46" s="5" t="n">
        <v>100</v>
      </c>
      <c r="C46" s="6" t="inlineStr">
        <is>
          <t>X</t>
        </is>
      </c>
      <c r="D46" s="5" t="n">
        <v>52</v>
      </c>
      <c r="E46" s="2">
        <f>B46*D46/10000</f>
        <v/>
      </c>
      <c r="F46" s="3">
        <f>B46/30.48</f>
        <v/>
      </c>
      <c r="G46" s="3">
        <f>D46/30.48</f>
        <v/>
      </c>
      <c r="H46" s="16" t="inlineStr">
        <is>
          <t>MCHD-OLD</t>
        </is>
      </c>
      <c r="I46" s="20" t="inlineStr">
        <is>
          <t>Jennifer Brizzolara</t>
        </is>
      </c>
      <c r="J46" s="42" t="n"/>
    </row>
    <row r="47" ht="17.25" customFormat="1" customHeight="1" s="1">
      <c r="A47" s="8" t="n">
        <v>68</v>
      </c>
      <c r="B47" s="5" t="n">
        <v>91</v>
      </c>
      <c r="C47" s="6" t="inlineStr">
        <is>
          <t>X</t>
        </is>
      </c>
      <c r="D47" s="5" t="n">
        <v>50</v>
      </c>
      <c r="E47" s="2">
        <f>B47*D47/10000</f>
        <v/>
      </c>
      <c r="F47" s="3">
        <f>B47/30.48</f>
        <v/>
      </c>
      <c r="G47" s="3">
        <f>D47/30.48</f>
        <v/>
      </c>
      <c r="H47" s="16" t="inlineStr">
        <is>
          <t>MCHD-OLD</t>
        </is>
      </c>
      <c r="I47" s="20" t="inlineStr">
        <is>
          <t>Britney Mcconnelell</t>
        </is>
      </c>
      <c r="J47" s="42" t="inlineStr">
        <is>
          <t>US-407 749 3535</t>
        </is>
      </c>
    </row>
    <row r="48" ht="17.25" customFormat="1" customHeight="1" s="1">
      <c r="A48" s="8" t="inlineStr">
        <is>
          <t>Y 366</t>
        </is>
      </c>
      <c r="B48" s="5" t="n">
        <v>315</v>
      </c>
      <c r="C48" s="6" t="inlineStr">
        <is>
          <t>X</t>
        </is>
      </c>
      <c r="D48" s="5" t="n">
        <v>220</v>
      </c>
      <c r="E48" s="2">
        <f>B48*D48/10000</f>
        <v/>
      </c>
      <c r="F48" s="3">
        <f>B48/30.48</f>
        <v/>
      </c>
      <c r="G48" s="3">
        <f>D48/30.48</f>
        <v/>
      </c>
      <c r="H48" s="37" t="inlineStr">
        <is>
          <t>MCHD-PAC</t>
        </is>
      </c>
      <c r="I48" s="20" t="inlineStr">
        <is>
          <t>Jennifer Worobec</t>
        </is>
      </c>
      <c r="J48" s="42" t="n"/>
    </row>
    <row r="49" ht="17.25" customFormat="1" customHeight="1" s="1">
      <c r="A49" s="8" t="inlineStr">
        <is>
          <t>C 146</t>
        </is>
      </c>
      <c r="B49" s="5" t="n">
        <v>147</v>
      </c>
      <c r="C49" s="6" t="inlineStr">
        <is>
          <t>X</t>
        </is>
      </c>
      <c r="D49" s="5" t="n">
        <v>79</v>
      </c>
      <c r="E49" s="2">
        <f>B49*D49/10000</f>
        <v/>
      </c>
      <c r="F49" s="3">
        <f>B49/30.48</f>
        <v/>
      </c>
      <c r="G49" s="3">
        <f>D49/30.48</f>
        <v/>
      </c>
      <c r="H49" s="16" t="inlineStr">
        <is>
          <t>MCHD-OLD</t>
        </is>
      </c>
      <c r="I49" s="21" t="inlineStr">
        <is>
          <t>Sunnyside Trading Company</t>
        </is>
      </c>
      <c r="J49" s="42" t="inlineStr">
        <is>
          <t>US-828 575 2595</t>
        </is>
      </c>
    </row>
    <row r="50" ht="17.25" customFormat="1" customHeight="1" s="1">
      <c r="A50" s="8" t="n">
        <v>10</v>
      </c>
      <c r="B50" s="5" t="n">
        <v>91</v>
      </c>
      <c r="C50" s="6" t="inlineStr">
        <is>
          <t>X</t>
        </is>
      </c>
      <c r="D50" s="5" t="n">
        <v>49</v>
      </c>
      <c r="E50" s="2">
        <f>B50*D50/10000</f>
        <v/>
      </c>
      <c r="F50" s="3">
        <f>B50/30.48</f>
        <v/>
      </c>
      <c r="G50" s="3">
        <f>D50/30.48</f>
        <v/>
      </c>
      <c r="H50" s="16" t="inlineStr">
        <is>
          <t>MCHD-OLD</t>
        </is>
      </c>
      <c r="I50" s="21" t="inlineStr">
        <is>
          <t>Pervez Randelia II</t>
        </is>
      </c>
      <c r="J50" s="42" t="n"/>
    </row>
    <row r="51" ht="17.25" customFormat="1" customHeight="1" s="1">
      <c r="A51" s="8" t="inlineStr">
        <is>
          <t>C 245</t>
        </is>
      </c>
      <c r="B51" s="5" t="n">
        <v>217</v>
      </c>
      <c r="C51" s="6" t="inlineStr">
        <is>
          <t>X</t>
        </is>
      </c>
      <c r="D51" s="5" t="n">
        <v>80</v>
      </c>
      <c r="E51" s="2">
        <f>B51*D51/10000</f>
        <v/>
      </c>
      <c r="F51" s="3">
        <f>B51/30.48</f>
        <v/>
      </c>
      <c r="G51" s="3">
        <f>D51/30.48</f>
        <v/>
      </c>
      <c r="H51" s="16" t="inlineStr">
        <is>
          <t>MCHD-OLD</t>
        </is>
      </c>
      <c r="I51" s="43" t="inlineStr">
        <is>
          <t xml:space="preserve">Mary Grace Thomas </t>
        </is>
      </c>
      <c r="J51" s="42" t="inlineStr">
        <is>
          <t>US-815 382 0930</t>
        </is>
      </c>
    </row>
    <row r="52" ht="17.25" customFormat="1" customHeight="1" s="1">
      <c r="A52" s="8" t="n">
        <v>387</v>
      </c>
      <c r="B52" s="5" t="n">
        <v>353</v>
      </c>
      <c r="C52" s="6" t="inlineStr">
        <is>
          <t>X</t>
        </is>
      </c>
      <c r="D52" s="5" t="n">
        <v>255</v>
      </c>
      <c r="E52" s="2">
        <f>B52*D52/10000</f>
        <v/>
      </c>
      <c r="F52" s="3">
        <f>B52/30.48</f>
        <v/>
      </c>
      <c r="G52" s="3">
        <f>D52/30.48</f>
        <v/>
      </c>
      <c r="H52" s="16" t="inlineStr">
        <is>
          <t>MCHD-OLD</t>
        </is>
      </c>
      <c r="I52" s="43" t="inlineStr">
        <is>
          <t>Jennifer Stabach-Smith</t>
        </is>
      </c>
      <c r="J52" s="42" t="inlineStr">
        <is>
          <t>US-479 263 4519</t>
        </is>
      </c>
    </row>
    <row r="53" ht="17.25" customFormat="1" customHeight="1" s="1">
      <c r="A53" s="8" t="n">
        <v>210</v>
      </c>
      <c r="B53" s="5" t="n">
        <v>80</v>
      </c>
      <c r="C53" s="6" t="inlineStr">
        <is>
          <t>X</t>
        </is>
      </c>
      <c r="D53" s="5" t="n">
        <v>39</v>
      </c>
      <c r="E53" s="2">
        <f>B53*D53/10000</f>
        <v/>
      </c>
      <c r="F53" s="3">
        <f>B53/30.48</f>
        <v/>
      </c>
      <c r="G53" s="3">
        <f>D53/30.48</f>
        <v/>
      </c>
      <c r="H53" s="584" t="inlineStr">
        <is>
          <t>MCHD-OLD</t>
        </is>
      </c>
      <c r="I53" s="45" t="inlineStr">
        <is>
          <t xml:space="preserve">Julia Kissel </t>
        </is>
      </c>
      <c r="J53" s="42" t="inlineStr">
        <is>
          <t>US-937 430 1703</t>
        </is>
      </c>
    </row>
    <row r="54" ht="17.25" customFormat="1" customHeight="1" s="1">
      <c r="A54" s="8" t="n">
        <v>1019</v>
      </c>
      <c r="B54" s="5" t="n">
        <v>82</v>
      </c>
      <c r="C54" s="6" t="inlineStr">
        <is>
          <t>X</t>
        </is>
      </c>
      <c r="D54" s="5" t="n">
        <v>48</v>
      </c>
      <c r="E54" s="2">
        <f>B54*D54/10000</f>
        <v/>
      </c>
      <c r="F54" s="3">
        <f>B54/30.48</f>
        <v/>
      </c>
      <c r="G54" s="3">
        <f>D54/30.48</f>
        <v/>
      </c>
      <c r="H54" s="693" t="n"/>
      <c r="I54" s="694" t="n"/>
      <c r="J54" s="694" t="n"/>
    </row>
    <row r="55" ht="17.25" customFormat="1" customHeight="1" s="1">
      <c r="A55" s="8" t="n">
        <v>1060</v>
      </c>
      <c r="B55" s="5" t="n">
        <v>295</v>
      </c>
      <c r="C55" s="6" t="inlineStr">
        <is>
          <t>X</t>
        </is>
      </c>
      <c r="D55" s="5" t="n">
        <v>180</v>
      </c>
      <c r="E55" s="2">
        <f>B55*D55/10000</f>
        <v/>
      </c>
      <c r="F55" s="3">
        <f>B55/30.48</f>
        <v/>
      </c>
      <c r="G55" s="3">
        <f>D55/30.48</f>
        <v/>
      </c>
      <c r="H55" s="17" t="inlineStr">
        <is>
          <t>MSTF-EFS</t>
        </is>
      </c>
      <c r="I55" s="44" t="n"/>
      <c r="J55" s="42" t="n"/>
    </row>
    <row r="56" ht="17.25" customFormat="1" customHeight="1" s="1">
      <c r="A56" s="8" t="inlineStr">
        <is>
          <t>Y 35</t>
        </is>
      </c>
      <c r="B56" s="5" t="n">
        <v>266</v>
      </c>
      <c r="C56" s="6" t="inlineStr">
        <is>
          <t>X</t>
        </is>
      </c>
      <c r="D56" s="5" t="n">
        <v>175</v>
      </c>
      <c r="E56" s="2">
        <f>B56*D56/10000</f>
        <v/>
      </c>
      <c r="F56" s="3">
        <f>B56/30.48</f>
        <v/>
      </c>
      <c r="G56" s="3">
        <f>D56/30.48</f>
        <v/>
      </c>
      <c r="H56" s="17" t="inlineStr">
        <is>
          <t>MSTF-EFS</t>
        </is>
      </c>
      <c r="I56" s="44" t="n"/>
      <c r="J56" s="42" t="n"/>
    </row>
    <row r="57" ht="17.25" customFormat="1" customHeight="1" s="1">
      <c r="A57" s="8" t="inlineStr">
        <is>
          <t>C 48</t>
        </is>
      </c>
      <c r="B57" s="5" t="n">
        <v>313</v>
      </c>
      <c r="C57" s="6" t="inlineStr">
        <is>
          <t>X</t>
        </is>
      </c>
      <c r="D57" s="5" t="n">
        <v>89</v>
      </c>
      <c r="E57" s="2">
        <f>B57*D57/10000</f>
        <v/>
      </c>
      <c r="F57" s="3">
        <f>B57/30.48</f>
        <v/>
      </c>
      <c r="G57" s="3">
        <f>D57/30.48</f>
        <v/>
      </c>
      <c r="H57" s="584" t="inlineStr">
        <is>
          <t>MSTF-TH</t>
        </is>
      </c>
      <c r="I57" s="44" t="n"/>
      <c r="J57" s="42" t="n"/>
    </row>
    <row r="58" ht="17.25" customFormat="1" customHeight="1" s="1">
      <c r="A58" s="8" t="inlineStr">
        <is>
          <t>C 177</t>
        </is>
      </c>
      <c r="B58" s="5" t="n">
        <v>440</v>
      </c>
      <c r="C58" s="6" t="inlineStr">
        <is>
          <t>X</t>
        </is>
      </c>
      <c r="D58" s="5" t="n">
        <v>105</v>
      </c>
      <c r="E58" s="2">
        <f>B58*D58/10000</f>
        <v/>
      </c>
      <c r="F58" s="3">
        <f>B58/30.48</f>
        <v/>
      </c>
      <c r="G58" s="3">
        <f>D58/30.48</f>
        <v/>
      </c>
      <c r="H58" s="16" t="inlineStr">
        <is>
          <t>MCHD-OLD</t>
        </is>
      </c>
      <c r="I58" s="43" t="inlineStr">
        <is>
          <t>Anthony Pippo</t>
        </is>
      </c>
      <c r="J58" s="578" t="inlineStr">
        <is>
          <t>US-914 462 1289</t>
        </is>
      </c>
    </row>
    <row r="59" ht="17.25" customFormat="1" customHeight="1" s="1">
      <c r="A59" s="8" t="n">
        <v>130</v>
      </c>
      <c r="B59" s="5" t="n">
        <v>88</v>
      </c>
      <c r="C59" s="6" t="inlineStr">
        <is>
          <t>X</t>
        </is>
      </c>
      <c r="D59" s="5" t="n">
        <v>50</v>
      </c>
      <c r="E59" s="2">
        <f>B59*D59/10000</f>
        <v/>
      </c>
      <c r="F59" s="3">
        <f>B59/30.48</f>
        <v/>
      </c>
      <c r="G59" s="3">
        <f>D59/30.48</f>
        <v/>
      </c>
      <c r="H59" s="503" t="inlineStr">
        <is>
          <t>MCHD-TR</t>
        </is>
      </c>
      <c r="I59" s="43" t="inlineStr">
        <is>
          <t>Jennifer Perez</t>
        </is>
      </c>
      <c r="J59" s="45" t="inlineStr">
        <is>
          <t>US-404 408 8518</t>
        </is>
      </c>
    </row>
    <row r="60">
      <c r="A60" s="580" t="inlineStr">
        <is>
          <t>-2022 MAYIS-41</t>
        </is>
      </c>
      <c r="H60" s="62" t="inlineStr">
        <is>
          <t>SATAN-SİTE</t>
        </is>
      </c>
      <c r="I60" s="19" t="inlineStr">
        <is>
          <t>MÜŞTERİ ADI</t>
        </is>
      </c>
      <c r="J60" s="63" t="inlineStr">
        <is>
          <t>MÜŞTERİ İLETİŞİM &amp; ÜLKE</t>
        </is>
      </c>
      <c r="K60" s="1" t="n"/>
    </row>
    <row r="61" ht="17.25" customFormat="1" customHeight="1" s="1">
      <c r="A61" s="8" t="inlineStr">
        <is>
          <t>C 17</t>
        </is>
      </c>
      <c r="B61" s="5" t="n">
        <v>116</v>
      </c>
      <c r="C61" s="6" t="inlineStr">
        <is>
          <t>X</t>
        </is>
      </c>
      <c r="D61" s="5" t="n">
        <v>74</v>
      </c>
      <c r="E61" s="2">
        <f>B61*D61/10000</f>
        <v/>
      </c>
      <c r="F61" s="3">
        <f>B61/30.48</f>
        <v/>
      </c>
      <c r="G61" s="3">
        <f>D61/30.48</f>
        <v/>
      </c>
      <c r="H61" s="503" t="inlineStr">
        <is>
          <t>MCHD-TR</t>
        </is>
      </c>
      <c r="I61" s="39" t="inlineStr">
        <is>
          <t>Terri Matthews-Woodall</t>
        </is>
      </c>
      <c r="J61" s="578" t="n"/>
    </row>
    <row r="62" ht="17.25" customFormat="1" customHeight="1" s="1">
      <c r="A62" s="8" t="n">
        <v>157</v>
      </c>
      <c r="B62" s="5" t="n">
        <v>93</v>
      </c>
      <c r="C62" s="6" t="inlineStr">
        <is>
          <t>X</t>
        </is>
      </c>
      <c r="D62" s="5" t="n">
        <v>47</v>
      </c>
      <c r="E62" s="2">
        <f>B62*D62/10000</f>
        <v/>
      </c>
      <c r="F62" s="3">
        <f>B62/30.48</f>
        <v/>
      </c>
      <c r="G62" s="3">
        <f>D62/30.48</f>
        <v/>
      </c>
      <c r="H62" s="16" t="inlineStr">
        <is>
          <t>MCHD-OLD</t>
        </is>
      </c>
      <c r="I62" s="21" t="inlineStr">
        <is>
          <t>Sabrina Rivera</t>
        </is>
      </c>
      <c r="J62" s="42" t="inlineStr">
        <is>
          <t>US-417 693 3750</t>
        </is>
      </c>
    </row>
    <row r="63" ht="17.25" customFormat="1" customHeight="1" s="1">
      <c r="A63" s="8" t="inlineStr">
        <is>
          <t>D 132</t>
        </is>
      </c>
      <c r="B63" s="5" t="n">
        <v>90</v>
      </c>
      <c r="C63" s="6" t="inlineStr">
        <is>
          <t>X</t>
        </is>
      </c>
      <c r="D63" s="5" t="n">
        <v>48</v>
      </c>
      <c r="E63" s="2">
        <f>B63*D63/10000</f>
        <v/>
      </c>
      <c r="F63" s="3">
        <f>B63/30.48</f>
        <v/>
      </c>
      <c r="G63" s="3">
        <f>D63/30.48</f>
        <v/>
      </c>
      <c r="H63" s="16" t="inlineStr">
        <is>
          <t>MCHD-OLD</t>
        </is>
      </c>
      <c r="I63" s="21" t="inlineStr">
        <is>
          <t>Amber Hall</t>
        </is>
      </c>
      <c r="J63" s="42" t="inlineStr">
        <is>
          <t>US-360 904 7136</t>
        </is>
      </c>
    </row>
    <row r="64" ht="17.25" customFormat="1" customHeight="1" s="1">
      <c r="A64" s="8" t="n">
        <v>26</v>
      </c>
      <c r="B64" s="5" t="n">
        <v>83</v>
      </c>
      <c r="C64" s="6" t="inlineStr">
        <is>
          <t>X</t>
        </is>
      </c>
      <c r="D64" s="5" t="n">
        <v>49</v>
      </c>
      <c r="E64" s="2">
        <f>B64*D64/10000</f>
        <v/>
      </c>
      <c r="F64" s="3">
        <f>B64/30.48</f>
        <v/>
      </c>
      <c r="G64" s="3">
        <f>D64/30.48</f>
        <v/>
      </c>
      <c r="H64" s="16" t="inlineStr">
        <is>
          <t>MCHD-OLD</t>
        </is>
      </c>
      <c r="I64" s="21" t="inlineStr">
        <is>
          <t>Laura Courtenay</t>
        </is>
      </c>
      <c r="J64" s="42" t="inlineStr">
        <is>
          <t>US-228 209 9834</t>
        </is>
      </c>
    </row>
    <row r="65" ht="17.25" customFormat="1" customHeight="1" s="1">
      <c r="A65" s="8" t="inlineStr">
        <is>
          <t>D 127</t>
        </is>
      </c>
      <c r="B65" s="5" t="n">
        <v>98</v>
      </c>
      <c r="C65" s="6" t="inlineStr">
        <is>
          <t>X</t>
        </is>
      </c>
      <c r="D65" s="5" t="n">
        <v>54</v>
      </c>
      <c r="E65" s="2">
        <f>B65*D65/10000</f>
        <v/>
      </c>
      <c r="F65" s="3">
        <f>B65/30.48</f>
        <v/>
      </c>
      <c r="G65" s="3">
        <f>D65/30.48</f>
        <v/>
      </c>
      <c r="H65" s="16" t="inlineStr">
        <is>
          <t>MCHD-OLD</t>
        </is>
      </c>
      <c r="I65" s="21" t="inlineStr">
        <is>
          <t>Maggie Mudd</t>
        </is>
      </c>
      <c r="J65" s="42" t="inlineStr">
        <is>
          <t>US-910 308 4593</t>
        </is>
      </c>
    </row>
    <row r="66" ht="17.25" customFormat="1" customHeight="1" s="1">
      <c r="A66" s="8" t="n">
        <v>223</v>
      </c>
      <c r="B66" s="5" t="n">
        <v>104</v>
      </c>
      <c r="C66" s="6" t="inlineStr">
        <is>
          <t>X</t>
        </is>
      </c>
      <c r="D66" s="5" t="n">
        <v>54</v>
      </c>
      <c r="E66" s="2">
        <f>B66*D66/10000</f>
        <v/>
      </c>
      <c r="F66" s="3">
        <f>B66/30.48</f>
        <v/>
      </c>
      <c r="G66" s="3">
        <f>D66/30.48</f>
        <v/>
      </c>
      <c r="H66" s="16" t="inlineStr">
        <is>
          <t>MCHD-OLD</t>
        </is>
      </c>
      <c r="I66" s="21" t="inlineStr">
        <is>
          <t>Allison Mitchell</t>
        </is>
      </c>
      <c r="J66" s="578" t="inlineStr">
        <is>
          <t>US-808 284 5288</t>
        </is>
      </c>
    </row>
    <row r="67" ht="17.25" customFormat="1" customHeight="1" s="1">
      <c r="A67" s="8" t="inlineStr">
        <is>
          <t>Y 456</t>
        </is>
      </c>
      <c r="B67" s="5" t="n">
        <v>271</v>
      </c>
      <c r="C67" s="6" t="inlineStr">
        <is>
          <t>X</t>
        </is>
      </c>
      <c r="D67" s="5" t="n">
        <v>88</v>
      </c>
      <c r="E67" s="2">
        <f>B67*D67/10000</f>
        <v/>
      </c>
      <c r="F67" s="3">
        <f>B67/30.48</f>
        <v/>
      </c>
      <c r="G67" s="3">
        <f>D67/30.48</f>
        <v/>
      </c>
      <c r="H67" s="584" t="inlineStr">
        <is>
          <t>MSTF-TH</t>
        </is>
      </c>
      <c r="I67" s="39" t="n"/>
      <c r="J67" s="42" t="n"/>
    </row>
    <row r="68" ht="17.25" customFormat="1" customHeight="1" s="1">
      <c r="A68" s="8" t="inlineStr">
        <is>
          <t>Y 870</t>
        </is>
      </c>
      <c r="B68" s="5" t="n">
        <v>213</v>
      </c>
      <c r="C68" s="6" t="inlineStr">
        <is>
          <t>X</t>
        </is>
      </c>
      <c r="D68" s="5" t="n">
        <v>95</v>
      </c>
      <c r="E68" s="2">
        <f>B68*D68/10000</f>
        <v/>
      </c>
      <c r="F68" s="3">
        <f>B68/30.48</f>
        <v/>
      </c>
      <c r="G68" s="3">
        <f>D68/30.48</f>
        <v/>
      </c>
      <c r="H68" s="584" t="inlineStr">
        <is>
          <t>MSTF-TH</t>
        </is>
      </c>
      <c r="I68" s="39" t="n"/>
      <c r="J68" s="578" t="n"/>
    </row>
    <row r="69" ht="17.25" customFormat="1" customHeight="1" s="1">
      <c r="A69" s="8" t="inlineStr">
        <is>
          <t>Y 858</t>
        </is>
      </c>
      <c r="B69" s="5" t="n">
        <v>369</v>
      </c>
      <c r="C69" s="6" t="inlineStr">
        <is>
          <t>X</t>
        </is>
      </c>
      <c r="D69" s="5" t="n">
        <v>107</v>
      </c>
      <c r="E69" s="2">
        <f>B69*D69/10000</f>
        <v/>
      </c>
      <c r="F69" s="3">
        <f>B69/30.48</f>
        <v/>
      </c>
      <c r="G69" s="3">
        <f>D69/30.48</f>
        <v/>
      </c>
      <c r="H69" s="37" t="inlineStr">
        <is>
          <t>MCHD-PAC</t>
        </is>
      </c>
      <c r="I69" s="43" t="inlineStr">
        <is>
          <t>Katie Lowder</t>
        </is>
      </c>
      <c r="J69" s="575" t="n"/>
    </row>
    <row r="70" ht="17.25" customFormat="1" customHeight="1" s="1">
      <c r="A70" s="8" t="n">
        <v>11</v>
      </c>
      <c r="B70" s="5" t="n">
        <v>77</v>
      </c>
      <c r="C70" s="6" t="inlineStr">
        <is>
          <t>X</t>
        </is>
      </c>
      <c r="D70" s="5" t="n">
        <v>48</v>
      </c>
      <c r="E70" s="2">
        <f>B70*D70/10000</f>
        <v/>
      </c>
      <c r="F70" s="3">
        <f>B70/30.48</f>
        <v/>
      </c>
      <c r="G70" s="3">
        <f>D70/30.48</f>
        <v/>
      </c>
      <c r="H70" s="16" t="inlineStr">
        <is>
          <t>MCHD-OLD</t>
        </is>
      </c>
      <c r="I70" s="43" t="inlineStr">
        <is>
          <t>Candice Miele</t>
        </is>
      </c>
      <c r="J70" s="45" t="inlineStr">
        <is>
          <t>US-845 729 3376</t>
        </is>
      </c>
    </row>
    <row r="71" ht="17.25" customFormat="1" customHeight="1" s="1">
      <c r="A71" s="8" t="inlineStr">
        <is>
          <t>Y 319</t>
        </is>
      </c>
      <c r="B71" s="5" t="n">
        <v>186</v>
      </c>
      <c r="C71" s="6" t="inlineStr">
        <is>
          <t>X</t>
        </is>
      </c>
      <c r="D71" s="5" t="n">
        <v>104</v>
      </c>
      <c r="E71" s="2">
        <f>B71*D71/10000</f>
        <v/>
      </c>
      <c r="F71" s="3">
        <f>B71/30.48</f>
        <v/>
      </c>
      <c r="G71" s="3">
        <f>D71/30.48</f>
        <v/>
      </c>
      <c r="H71" s="16" t="inlineStr">
        <is>
          <t>MCHD-OLD</t>
        </is>
      </c>
      <c r="I71" s="43" t="inlineStr">
        <is>
          <t>Karen Cooper</t>
        </is>
      </c>
      <c r="J71" s="575" t="inlineStr">
        <is>
          <t>US-618 467 1055</t>
        </is>
      </c>
    </row>
    <row r="72" ht="17.25" customFormat="1" customHeight="1" s="1">
      <c r="A72" s="8" t="inlineStr">
        <is>
          <t>Y 298</t>
        </is>
      </c>
      <c r="B72" s="5" t="n">
        <v>385</v>
      </c>
      <c r="C72" s="6" t="inlineStr">
        <is>
          <t>X</t>
        </is>
      </c>
      <c r="D72" s="5" t="n">
        <v>86</v>
      </c>
      <c r="E72" s="2">
        <f>B72*D72/10000</f>
        <v/>
      </c>
      <c r="F72" s="3">
        <f>B72/30.48</f>
        <v/>
      </c>
      <c r="G72" s="3">
        <f>D72/30.48</f>
        <v/>
      </c>
      <c r="H72" s="584" t="inlineStr">
        <is>
          <t>MSTF-TH</t>
        </is>
      </c>
      <c r="I72" s="52" t="n"/>
      <c r="J72" s="54" t="n"/>
    </row>
    <row r="73" ht="17.25" customFormat="1" customHeight="1" s="1">
      <c r="A73" s="8" t="n">
        <v>160</v>
      </c>
      <c r="B73" s="5" t="n">
        <v>89</v>
      </c>
      <c r="C73" s="6" t="inlineStr">
        <is>
          <t>X</t>
        </is>
      </c>
      <c r="D73" s="5" t="n">
        <v>55</v>
      </c>
      <c r="E73" s="2">
        <f>B73*D73/10000</f>
        <v/>
      </c>
      <c r="F73" s="3">
        <f>B73/30.48</f>
        <v/>
      </c>
      <c r="G73" s="3">
        <f>D73/30.48</f>
        <v/>
      </c>
      <c r="H73" s="16" t="inlineStr">
        <is>
          <t>MCHD-OLD</t>
        </is>
      </c>
      <c r="I73" s="43" t="inlineStr">
        <is>
          <t>Andrea Hainsworth</t>
        </is>
      </c>
      <c r="J73" s="53" t="n"/>
    </row>
    <row r="74" ht="17.25" customFormat="1" customHeight="1" s="1">
      <c r="A74" s="8" t="n">
        <v>1018</v>
      </c>
      <c r="B74" s="5" t="n">
        <v>66</v>
      </c>
      <c r="C74" s="6" t="inlineStr">
        <is>
          <t>X</t>
        </is>
      </c>
      <c r="D74" s="5" t="n">
        <v>44</v>
      </c>
      <c r="E74" s="2">
        <f>B74*D74/10000</f>
        <v/>
      </c>
      <c r="F74" s="3">
        <f>B74/30.48</f>
        <v/>
      </c>
      <c r="G74" s="3">
        <f>D74/30.48</f>
        <v/>
      </c>
      <c r="H74" s="16" t="inlineStr">
        <is>
          <t>MCHD-OLD</t>
        </is>
      </c>
      <c r="I74" s="21" t="inlineStr">
        <is>
          <t>Amber Hall</t>
        </is>
      </c>
      <c r="J74" s="578" t="inlineStr">
        <is>
          <t>US-360 904 7136</t>
        </is>
      </c>
    </row>
    <row r="75" ht="17.25" customFormat="1" customHeight="1" s="1">
      <c r="A75" s="8" t="inlineStr">
        <is>
          <t>Y 700</t>
        </is>
      </c>
      <c r="B75" s="5" t="n">
        <v>263</v>
      </c>
      <c r="C75" s="6" t="inlineStr">
        <is>
          <t>X</t>
        </is>
      </c>
      <c r="D75" s="5" t="n">
        <v>164</v>
      </c>
      <c r="E75" s="2">
        <f>B75*D75/10000</f>
        <v/>
      </c>
      <c r="F75" s="3">
        <f>B75/30.48</f>
        <v/>
      </c>
      <c r="G75" s="3">
        <f>D75/30.48</f>
        <v/>
      </c>
      <c r="H75" s="37" t="inlineStr">
        <is>
          <t>MCHD-PAC</t>
        </is>
      </c>
      <c r="I75" s="43" t="inlineStr">
        <is>
          <t>Ana Leocha</t>
        </is>
      </c>
      <c r="J75" s="575" t="inlineStr">
        <is>
          <t>US-603 498 9543</t>
        </is>
      </c>
    </row>
    <row r="76" ht="17.25" customFormat="1" customHeight="1" s="1">
      <c r="A76" s="8" t="inlineStr">
        <is>
          <t>C 65</t>
        </is>
      </c>
      <c r="B76" s="5" t="n">
        <v>226</v>
      </c>
      <c r="C76" s="6" t="inlineStr">
        <is>
          <t>X</t>
        </is>
      </c>
      <c r="D76" s="5" t="n">
        <v>161</v>
      </c>
      <c r="E76" s="2">
        <f>B76*D76/10000</f>
        <v/>
      </c>
      <c r="F76" s="3">
        <f>B76/30.48</f>
        <v/>
      </c>
      <c r="G76" s="3">
        <f>D76/30.48</f>
        <v/>
      </c>
      <c r="H76" s="37" t="inlineStr">
        <is>
          <t>MCHD-PAC</t>
        </is>
      </c>
      <c r="I76" s="43" t="inlineStr">
        <is>
          <t>Richard Bauer</t>
        </is>
      </c>
      <c r="J76" s="54" t="n"/>
    </row>
    <row r="77" ht="17.25" customFormat="1" customHeight="1" s="1">
      <c r="A77" s="8" t="inlineStr">
        <is>
          <t>C 160</t>
        </is>
      </c>
      <c r="B77" s="5" t="n">
        <v>346</v>
      </c>
      <c r="C77" s="6" t="inlineStr">
        <is>
          <t>X</t>
        </is>
      </c>
      <c r="D77" s="5" t="n">
        <v>91</v>
      </c>
      <c r="E77" s="2">
        <f>B77*D77/10000</f>
        <v/>
      </c>
      <c r="F77" s="3">
        <f>B77/30.48</f>
        <v/>
      </c>
      <c r="G77" s="3">
        <f>D77/30.48</f>
        <v/>
      </c>
      <c r="H77" s="584" t="inlineStr">
        <is>
          <t>MSTF-TH</t>
        </is>
      </c>
      <c r="I77" s="52" t="n"/>
      <c r="J77" s="53" t="n"/>
    </row>
    <row r="78" ht="17.25" customFormat="1" customHeight="1" s="1">
      <c r="A78" s="8" t="inlineStr">
        <is>
          <t>Y 784</t>
        </is>
      </c>
      <c r="B78" s="5" t="n">
        <v>203</v>
      </c>
      <c r="C78" s="6" t="inlineStr">
        <is>
          <t>X</t>
        </is>
      </c>
      <c r="D78" s="5" t="n">
        <v>65</v>
      </c>
      <c r="E78" s="2">
        <f>B78*D78/10000</f>
        <v/>
      </c>
      <c r="F78" s="3">
        <f>B78/30.48</f>
        <v/>
      </c>
      <c r="G78" s="3">
        <f>D78/30.48</f>
        <v/>
      </c>
      <c r="H78" s="16" t="inlineStr">
        <is>
          <t>MCHD-OLD</t>
        </is>
      </c>
      <c r="I78" s="43" t="inlineStr">
        <is>
          <t>Ellen Solomon</t>
        </is>
      </c>
      <c r="J78" s="45" t="inlineStr">
        <is>
          <t>US-336 280 1707</t>
        </is>
      </c>
    </row>
    <row r="79" ht="17.25" customFormat="1" customHeight="1" s="1">
      <c r="A79" s="8" t="n">
        <v>283</v>
      </c>
      <c r="B79" s="5" t="n">
        <v>70</v>
      </c>
      <c r="C79" s="6" t="inlineStr">
        <is>
          <t>X</t>
        </is>
      </c>
      <c r="D79" s="5" t="n">
        <v>44</v>
      </c>
      <c r="E79" s="2">
        <f>B79*D79/10000</f>
        <v/>
      </c>
      <c r="F79" s="3">
        <f>B79/30.48</f>
        <v/>
      </c>
      <c r="G79" s="3">
        <f>D79/30.48</f>
        <v/>
      </c>
      <c r="H79" s="16" t="inlineStr">
        <is>
          <t>MCHD-OLD</t>
        </is>
      </c>
      <c r="I79" s="43" t="inlineStr">
        <is>
          <t>Madison Marvin</t>
        </is>
      </c>
      <c r="J79" s="45" t="inlineStr">
        <is>
          <t>US-541 968 6239</t>
        </is>
      </c>
    </row>
    <row r="80" ht="17.25" customFormat="1" customHeight="1" s="1">
      <c r="A80" s="8" t="inlineStr">
        <is>
          <t>Y 599</t>
        </is>
      </c>
      <c r="B80" s="5" t="n">
        <v>276</v>
      </c>
      <c r="C80" s="6" t="inlineStr">
        <is>
          <t>X</t>
        </is>
      </c>
      <c r="D80" s="5" t="n">
        <v>176</v>
      </c>
      <c r="E80" s="2">
        <f>B80*D80/10000</f>
        <v/>
      </c>
      <c r="F80" s="3">
        <f>B80/30.48</f>
        <v/>
      </c>
      <c r="G80" s="3">
        <f>D80/30.48</f>
        <v/>
      </c>
      <c r="H80" s="37" t="inlineStr">
        <is>
          <t>MCHD-PAC</t>
        </is>
      </c>
      <c r="I80" s="43" t="inlineStr">
        <is>
          <t>Chris Harman</t>
        </is>
      </c>
      <c r="J80" s="575" t="inlineStr">
        <is>
          <t>US-706 315 3388</t>
        </is>
      </c>
    </row>
    <row r="81" ht="17.25" customFormat="1" customHeight="1" s="1">
      <c r="A81" s="8" t="inlineStr">
        <is>
          <t>C 213</t>
        </is>
      </c>
      <c r="B81" s="5" t="n">
        <v>347</v>
      </c>
      <c r="C81" s="6" t="inlineStr">
        <is>
          <t>X</t>
        </is>
      </c>
      <c r="D81" s="5" t="n">
        <v>90</v>
      </c>
      <c r="E81" s="2">
        <f>B81*D81/10000</f>
        <v/>
      </c>
      <c r="F81" s="3">
        <f>B81/30.48</f>
        <v/>
      </c>
      <c r="G81" s="3">
        <f>D81/30.48</f>
        <v/>
      </c>
      <c r="H81" s="503" t="inlineStr">
        <is>
          <t>MCHD-TR</t>
        </is>
      </c>
      <c r="I81" s="43" t="inlineStr">
        <is>
          <t xml:space="preserve">Amanda Young </t>
        </is>
      </c>
      <c r="J81" s="575" t="inlineStr">
        <is>
          <t>US-678 206 4386</t>
        </is>
      </c>
    </row>
    <row r="82" ht="17.25" customFormat="1" customHeight="1" s="1">
      <c r="A82" s="8" t="n">
        <v>18</v>
      </c>
      <c r="B82" s="5" t="n">
        <v>89</v>
      </c>
      <c r="C82" s="6" t="inlineStr">
        <is>
          <t>X</t>
        </is>
      </c>
      <c r="D82" s="5" t="n">
        <v>54</v>
      </c>
      <c r="E82" s="2">
        <f>B82*D82/10000</f>
        <v/>
      </c>
      <c r="F82" s="3">
        <f>B82/30.48</f>
        <v/>
      </c>
      <c r="G82" s="3">
        <f>D82/30.48</f>
        <v/>
      </c>
      <c r="H82" s="16" t="inlineStr">
        <is>
          <t>MCHD-OLD</t>
        </is>
      </c>
      <c r="I82" s="43" t="inlineStr">
        <is>
          <t>Jamie M German</t>
        </is>
      </c>
      <c r="J82" s="575" t="n"/>
    </row>
    <row r="83" ht="17.25" customFormat="1" customHeight="1" s="1">
      <c r="A83" s="8" t="inlineStr">
        <is>
          <t>C 81</t>
        </is>
      </c>
      <c r="B83" s="5" t="n">
        <v>212</v>
      </c>
      <c r="C83" s="6" t="inlineStr">
        <is>
          <t>X</t>
        </is>
      </c>
      <c r="D83" s="5" t="n">
        <v>105</v>
      </c>
      <c r="E83" s="2">
        <f>B83*D83/10000</f>
        <v/>
      </c>
      <c r="F83" s="3">
        <f>B83/30.48</f>
        <v/>
      </c>
      <c r="G83" s="3">
        <f>D83/30.48</f>
        <v/>
      </c>
      <c r="H83" s="16" t="inlineStr">
        <is>
          <t>MCHD-OLD</t>
        </is>
      </c>
      <c r="I83" s="43" t="inlineStr">
        <is>
          <t>Kathleen Maybury</t>
        </is>
      </c>
      <c r="J83" s="45" t="inlineStr">
        <is>
          <t>US-571 236 6944</t>
        </is>
      </c>
    </row>
    <row r="84" ht="17.25" customFormat="1" customHeight="1" s="1">
      <c r="A84" s="8" t="inlineStr">
        <is>
          <t>C 30</t>
        </is>
      </c>
      <c r="B84" s="5" t="n">
        <v>384</v>
      </c>
      <c r="C84" s="6" t="inlineStr">
        <is>
          <t>X</t>
        </is>
      </c>
      <c r="D84" s="5" t="n">
        <v>292</v>
      </c>
      <c r="E84" s="2">
        <f>B84*D84/10000</f>
        <v/>
      </c>
      <c r="F84" s="3">
        <f>B84/30.48</f>
        <v/>
      </c>
      <c r="G84" s="3">
        <f>D84/30.48</f>
        <v/>
      </c>
      <c r="H84" s="503" t="inlineStr">
        <is>
          <t>MCHD-TR</t>
        </is>
      </c>
      <c r="I84" s="43" t="inlineStr">
        <is>
          <t xml:space="preserve">Mia Malave </t>
        </is>
      </c>
      <c r="J84" s="575" t="inlineStr">
        <is>
          <t>US-206 403 7309</t>
        </is>
      </c>
    </row>
    <row r="85" ht="17.25" customFormat="1" customHeight="1" s="1">
      <c r="A85" s="8" t="inlineStr">
        <is>
          <t>Y 632</t>
        </is>
      </c>
      <c r="B85" s="5" t="n">
        <v>244</v>
      </c>
      <c r="C85" s="6" t="inlineStr">
        <is>
          <t>X</t>
        </is>
      </c>
      <c r="D85" s="5" t="n">
        <v>65</v>
      </c>
      <c r="E85" s="2">
        <f>B85*D85/10000</f>
        <v/>
      </c>
      <c r="F85" s="3">
        <f>B85/30.48</f>
        <v/>
      </c>
      <c r="G85" s="3">
        <f>D85/30.48</f>
        <v/>
      </c>
      <c r="H85" s="584" t="inlineStr">
        <is>
          <t>MSTF-TH</t>
        </is>
      </c>
      <c r="I85" s="43" t="n"/>
      <c r="J85" s="45" t="n"/>
    </row>
    <row r="86" ht="17.25" customFormat="1" customHeight="1" s="1">
      <c r="A86" s="8" t="inlineStr">
        <is>
          <t>D 38</t>
        </is>
      </c>
      <c r="B86" s="5" t="n">
        <v>90</v>
      </c>
      <c r="C86" s="6" t="inlineStr">
        <is>
          <t>X</t>
        </is>
      </c>
      <c r="D86" s="5" t="n">
        <v>47</v>
      </c>
      <c r="E86" s="2">
        <f>B86*D86/10000</f>
        <v/>
      </c>
      <c r="F86" s="3">
        <f>B86/30.48</f>
        <v/>
      </c>
      <c r="G86" s="3">
        <f>D86/30.48</f>
        <v/>
      </c>
      <c r="H86" s="16" t="inlineStr">
        <is>
          <t>MCHD-OLD</t>
        </is>
      </c>
      <c r="I86" s="43" t="inlineStr">
        <is>
          <t>Karen Knell</t>
        </is>
      </c>
      <c r="J86" s="54" t="n"/>
    </row>
    <row r="87" ht="17.25" customFormat="1" customHeight="1" s="1">
      <c r="A87" s="8" t="n">
        <v>30</v>
      </c>
      <c r="B87" s="5" t="n">
        <v>80</v>
      </c>
      <c r="C87" s="6" t="inlineStr">
        <is>
          <t>X</t>
        </is>
      </c>
      <c r="D87" s="5" t="n">
        <v>50</v>
      </c>
      <c r="E87" s="2">
        <f>B87*D87/10000</f>
        <v/>
      </c>
      <c r="F87" s="3">
        <f>B87/30.48</f>
        <v/>
      </c>
      <c r="G87" s="3">
        <f>D87/30.48</f>
        <v/>
      </c>
      <c r="H87" s="16" t="inlineStr">
        <is>
          <t>MCHD-OLD</t>
        </is>
      </c>
      <c r="I87" s="43" t="inlineStr">
        <is>
          <t>Gia Jensen</t>
        </is>
      </c>
      <c r="J87" s="54" t="n"/>
    </row>
    <row r="88" ht="17.25" customFormat="1" customHeight="1" s="1">
      <c r="A88" s="8" t="inlineStr">
        <is>
          <t>C 32</t>
        </is>
      </c>
      <c r="B88" s="5" t="n">
        <v>375</v>
      </c>
      <c r="C88" s="6" t="inlineStr">
        <is>
          <t>X</t>
        </is>
      </c>
      <c r="D88" s="5" t="n">
        <v>287</v>
      </c>
      <c r="E88" s="2">
        <f>B88*D88/10000</f>
        <v/>
      </c>
      <c r="F88" s="3">
        <f>B88/30.48</f>
        <v/>
      </c>
      <c r="G88" s="3">
        <f>D88/30.48</f>
        <v/>
      </c>
      <c r="H88" s="16" t="inlineStr">
        <is>
          <t>MCHD-OLD</t>
        </is>
      </c>
      <c r="I88" s="43" t="inlineStr">
        <is>
          <t>Alice McElhinney</t>
        </is>
      </c>
      <c r="J88" s="575" t="inlineStr">
        <is>
          <t>US-804 512 8965</t>
        </is>
      </c>
    </row>
    <row r="89" ht="17.25" customFormat="1" customHeight="1" s="1">
      <c r="A89" s="8" t="inlineStr">
        <is>
          <t>Y 377</t>
        </is>
      </c>
      <c r="B89" s="5" t="n">
        <v>241</v>
      </c>
      <c r="C89" s="6" t="inlineStr">
        <is>
          <t>X</t>
        </is>
      </c>
      <c r="D89" s="5" t="n">
        <v>152</v>
      </c>
      <c r="E89" s="2">
        <f>B89*D89/10000</f>
        <v/>
      </c>
      <c r="F89" s="3">
        <f>B89/30.48</f>
        <v/>
      </c>
      <c r="G89" s="3">
        <f>D89/30.48</f>
        <v/>
      </c>
      <c r="H89" s="584" t="inlineStr">
        <is>
          <t>MSTF-TH</t>
        </is>
      </c>
      <c r="I89" s="52" t="n"/>
      <c r="J89" s="54" t="n"/>
    </row>
    <row r="90" ht="17.25" customFormat="1" customHeight="1" s="1">
      <c r="A90" s="8" t="inlineStr">
        <is>
          <t>C 47</t>
        </is>
      </c>
      <c r="B90" s="5" t="n">
        <v>273</v>
      </c>
      <c r="C90" s="6" t="inlineStr">
        <is>
          <t>X</t>
        </is>
      </c>
      <c r="D90" s="5" t="n">
        <v>196</v>
      </c>
      <c r="E90" s="2">
        <f>B90*D90/10000</f>
        <v/>
      </c>
      <c r="F90" s="3">
        <f>B90/30.48</f>
        <v/>
      </c>
      <c r="G90" s="3">
        <f>D90/30.48</f>
        <v/>
      </c>
      <c r="H90" s="584" t="inlineStr">
        <is>
          <t>MSTF-TH</t>
        </is>
      </c>
      <c r="I90" s="52" t="n"/>
      <c r="J90" s="54" t="n"/>
    </row>
    <row r="91" ht="17.25" customFormat="1" customHeight="1" s="1">
      <c r="A91" s="8" t="n">
        <v>45</v>
      </c>
      <c r="B91" s="5" t="n">
        <v>76</v>
      </c>
      <c r="C91" s="6" t="inlineStr">
        <is>
          <t>X</t>
        </is>
      </c>
      <c r="D91" s="5" t="n">
        <v>48</v>
      </c>
      <c r="E91" s="2">
        <f>B91*D91/10000</f>
        <v/>
      </c>
      <c r="F91" s="3">
        <f>B91/30.48</f>
        <v/>
      </c>
      <c r="G91" s="3">
        <f>D91/30.48</f>
        <v/>
      </c>
      <c r="H91" s="16" t="inlineStr">
        <is>
          <t>MCHD-OLD</t>
        </is>
      </c>
      <c r="I91" s="43" t="inlineStr">
        <is>
          <t>Ashley Evans</t>
        </is>
      </c>
      <c r="J91" s="575" t="inlineStr">
        <is>
          <t>US-678 478 3110</t>
        </is>
      </c>
    </row>
    <row r="92" ht="17.25" customFormat="1" customHeight="1" s="1">
      <c r="A92" s="8" t="inlineStr">
        <is>
          <t>C 174</t>
        </is>
      </c>
      <c r="B92" s="5" t="n">
        <v>136</v>
      </c>
      <c r="C92" s="6" t="inlineStr">
        <is>
          <t>X</t>
        </is>
      </c>
      <c r="D92" s="5" t="n">
        <v>75</v>
      </c>
      <c r="E92" s="2">
        <f>B92*D92/10000</f>
        <v/>
      </c>
      <c r="F92" s="3">
        <f>B92/30.48</f>
        <v/>
      </c>
      <c r="G92" s="3">
        <f>D92/30.48</f>
        <v/>
      </c>
      <c r="H92" s="37" t="inlineStr">
        <is>
          <t>MCHD-PAC</t>
        </is>
      </c>
      <c r="I92" s="43" t="inlineStr">
        <is>
          <t>Katie Patty</t>
        </is>
      </c>
      <c r="J92" s="45" t="n"/>
    </row>
    <row r="93" ht="17.25" customFormat="1" customHeight="1" s="1">
      <c r="A93" s="8" t="inlineStr">
        <is>
          <t>Y 625</t>
        </is>
      </c>
      <c r="B93" s="5" t="n">
        <v>220</v>
      </c>
      <c r="C93" s="6" t="inlineStr">
        <is>
          <t>X</t>
        </is>
      </c>
      <c r="D93" s="5" t="n">
        <v>74</v>
      </c>
      <c r="E93" s="2">
        <f>B93*D93/10000</f>
        <v/>
      </c>
      <c r="F93" s="3">
        <f>B93/30.48</f>
        <v/>
      </c>
      <c r="G93" s="3">
        <f>D93/30.48</f>
        <v/>
      </c>
      <c r="H93" s="37" t="inlineStr">
        <is>
          <t>MCHD-PAC</t>
        </is>
      </c>
      <c r="I93" s="43" t="inlineStr">
        <is>
          <t>Blake Chana</t>
        </is>
      </c>
      <c r="J93" s="45" t="inlineStr">
        <is>
          <t>US-773 606 6525</t>
        </is>
      </c>
    </row>
    <row r="94" ht="17.25" customFormat="1" customHeight="1" s="1">
      <c r="A94" s="8" t="inlineStr">
        <is>
          <t>Y 928</t>
        </is>
      </c>
      <c r="B94" s="5" t="n">
        <v>302</v>
      </c>
      <c r="C94" s="6" t="inlineStr">
        <is>
          <t>X</t>
        </is>
      </c>
      <c r="D94" s="5" t="n">
        <v>74</v>
      </c>
      <c r="E94" s="2">
        <f>B94*D94/10000</f>
        <v/>
      </c>
      <c r="F94" s="3">
        <f>B94/30.48</f>
        <v/>
      </c>
      <c r="G94" s="3">
        <f>D94/30.48</f>
        <v/>
      </c>
      <c r="H94" s="16" t="inlineStr">
        <is>
          <t>MCHD-OLD</t>
        </is>
      </c>
      <c r="I94" s="43" t="inlineStr">
        <is>
          <t>Allyson Sanders</t>
        </is>
      </c>
      <c r="J94" s="45" t="inlineStr">
        <is>
          <t>US-704 222 6939</t>
        </is>
      </c>
    </row>
    <row r="95" ht="17.25" customFormat="1" customHeight="1" s="1">
      <c r="A95" s="8" t="inlineStr">
        <is>
          <t>KN42</t>
        </is>
      </c>
      <c r="B95" s="5" t="n">
        <v>305</v>
      </c>
      <c r="C95" s="6" t="inlineStr">
        <is>
          <t>X</t>
        </is>
      </c>
      <c r="D95" s="5" t="n">
        <v>166</v>
      </c>
      <c r="E95" s="2">
        <f>B95*D95/10000</f>
        <v/>
      </c>
      <c r="F95" s="3">
        <f>B95/30.48</f>
        <v/>
      </c>
      <c r="G95" s="3">
        <f>D95/30.48</f>
        <v/>
      </c>
      <c r="H95" s="37" t="inlineStr">
        <is>
          <t>MCHD-PAC</t>
        </is>
      </c>
      <c r="I95" s="43" t="inlineStr">
        <is>
          <t>Anne-Mette Ravn</t>
        </is>
      </c>
      <c r="J95" s="45" t="inlineStr">
        <is>
          <t>DN-455 128 5011</t>
        </is>
      </c>
    </row>
    <row r="96" ht="17.25" customFormat="1" customHeight="1" s="1">
      <c r="A96" s="8" t="n">
        <v>7</v>
      </c>
      <c r="B96" s="5" t="n">
        <v>86</v>
      </c>
      <c r="C96" s="6" t="inlineStr">
        <is>
          <t>X</t>
        </is>
      </c>
      <c r="D96" s="5" t="n">
        <v>47</v>
      </c>
      <c r="E96" s="2">
        <f>B96*D96/10000</f>
        <v/>
      </c>
      <c r="F96" s="3">
        <f>B96/30.48</f>
        <v/>
      </c>
      <c r="G96" s="3">
        <f>D96/30.48</f>
        <v/>
      </c>
      <c r="H96" s="503" t="inlineStr">
        <is>
          <t>MCHD-OLD</t>
        </is>
      </c>
      <c r="I96" s="55" t="inlineStr">
        <is>
          <t xml:space="preserve">Dana Coward </t>
        </is>
      </c>
      <c r="J96" s="575" t="inlineStr">
        <is>
          <t>US-843 729 6890</t>
        </is>
      </c>
    </row>
    <row r="97" ht="17.25" customFormat="1" customHeight="1" s="1">
      <c r="A97" s="8" t="inlineStr">
        <is>
          <t>Y 403</t>
        </is>
      </c>
      <c r="B97" s="5" t="n">
        <v>269</v>
      </c>
      <c r="C97" s="6" t="inlineStr">
        <is>
          <t>X</t>
        </is>
      </c>
      <c r="D97" s="5" t="n">
        <v>174</v>
      </c>
      <c r="E97" s="2">
        <f>B97*D97/10000</f>
        <v/>
      </c>
      <c r="F97" s="3">
        <f>B97/30.48</f>
        <v/>
      </c>
      <c r="G97" s="3">
        <f>D97/30.48</f>
        <v/>
      </c>
      <c r="H97" s="504" t="inlineStr">
        <is>
          <t>MCHD-OLD</t>
        </is>
      </c>
      <c r="I97" s="61" t="inlineStr">
        <is>
          <t>Samantha Litt</t>
        </is>
      </c>
      <c r="J97" s="565" t="inlineStr">
        <is>
          <t>US-551 206 7642</t>
        </is>
      </c>
    </row>
    <row r="98" ht="17.25" customFormat="1" customHeight="1" s="1">
      <c r="A98" s="8" t="inlineStr">
        <is>
          <t>C 171</t>
        </is>
      </c>
      <c r="B98" s="5" t="n">
        <v>215</v>
      </c>
      <c r="C98" s="6" t="inlineStr">
        <is>
          <t>X</t>
        </is>
      </c>
      <c r="D98" s="5" t="n">
        <v>78</v>
      </c>
      <c r="E98" s="2">
        <f>B98*D98/10000</f>
        <v/>
      </c>
      <c r="F98" s="3">
        <f>B98/30.48</f>
        <v/>
      </c>
      <c r="G98" s="3">
        <f>D98/30.48</f>
        <v/>
      </c>
      <c r="H98" s="503" t="inlineStr">
        <is>
          <t>MCHD-TR</t>
        </is>
      </c>
      <c r="I98" s="43" t="inlineStr">
        <is>
          <t>Kai-lee Berke</t>
        </is>
      </c>
      <c r="J98" s="45" t="inlineStr">
        <is>
          <t>US-757 359 8309</t>
        </is>
      </c>
    </row>
    <row r="99" ht="17.25" customFormat="1" customHeight="1" s="1">
      <c r="A99" s="8" t="inlineStr">
        <is>
          <t>Y 987</t>
        </is>
      </c>
      <c r="B99" s="5" t="n">
        <v>188</v>
      </c>
      <c r="C99" s="6" t="inlineStr">
        <is>
          <t>X</t>
        </is>
      </c>
      <c r="D99" s="5" t="n">
        <v>125</v>
      </c>
      <c r="E99" s="2">
        <f>B99*D99/10000</f>
        <v/>
      </c>
      <c r="F99" s="3">
        <f>B99/30.48</f>
        <v/>
      </c>
      <c r="G99" s="3">
        <f>D99/30.48</f>
        <v/>
      </c>
      <c r="H99" s="503" t="inlineStr">
        <is>
          <t>MCHD-TR</t>
        </is>
      </c>
      <c r="I99" s="43" t="inlineStr">
        <is>
          <t>Lisa Glus</t>
        </is>
      </c>
      <c r="J99" s="575" t="inlineStr">
        <is>
          <t>US-717 645 5421</t>
        </is>
      </c>
    </row>
    <row r="100" ht="17.25" customFormat="1" customHeight="1" s="1">
      <c r="A100" s="8" t="inlineStr">
        <is>
          <t>Y 957</t>
        </is>
      </c>
      <c r="B100" s="5" t="n">
        <v>193</v>
      </c>
      <c r="C100" s="6" t="inlineStr">
        <is>
          <t>X</t>
        </is>
      </c>
      <c r="D100" s="5" t="n">
        <v>80</v>
      </c>
      <c r="E100" s="2">
        <f>B100*D100/10000</f>
        <v/>
      </c>
      <c r="F100" s="3">
        <f>B100/30.48</f>
        <v/>
      </c>
      <c r="G100" s="3">
        <f>D100/30.48</f>
        <v/>
      </c>
      <c r="H100" s="16" t="inlineStr">
        <is>
          <t>MCHD-OLD</t>
        </is>
      </c>
      <c r="I100" s="43" t="inlineStr">
        <is>
          <t>Katherine Cuomo</t>
        </is>
      </c>
      <c r="J100" s="45" t="inlineStr">
        <is>
          <t>US-646 784 4494</t>
        </is>
      </c>
    </row>
    <row r="101" ht="17.25" customFormat="1" customHeight="1" s="1">
      <c r="A101" s="8" t="inlineStr">
        <is>
          <t>C 154</t>
        </is>
      </c>
      <c r="B101" s="5" t="n">
        <v>414</v>
      </c>
      <c r="C101" s="6" t="inlineStr">
        <is>
          <t>X</t>
        </is>
      </c>
      <c r="D101" s="5" t="n">
        <v>98</v>
      </c>
      <c r="E101" s="2">
        <f>B101*D101/10000</f>
        <v/>
      </c>
      <c r="F101" s="3">
        <f>B101/30.48</f>
        <v/>
      </c>
      <c r="G101" s="3">
        <f>D101/30.48</f>
        <v/>
      </c>
      <c r="H101" s="37" t="inlineStr">
        <is>
          <t>MCHD-PAC</t>
        </is>
      </c>
      <c r="I101" s="43" t="inlineStr">
        <is>
          <t>Susan Fallon</t>
        </is>
      </c>
      <c r="J101" s="45" t="n"/>
    </row>
    <row r="102">
      <c r="A102" s="536" t="inlineStr">
        <is>
          <t>-2022 HAZİRAN-55</t>
        </is>
      </c>
      <c r="H102" s="62" t="inlineStr">
        <is>
          <t>SATAN-SİTE</t>
        </is>
      </c>
      <c r="I102" s="19" t="inlineStr">
        <is>
          <t>MÜŞTERİ ADI</t>
        </is>
      </c>
      <c r="J102" s="63" t="inlineStr">
        <is>
          <t>MÜŞTERİ İLETİŞİM &amp; ÜLKE</t>
        </is>
      </c>
      <c r="K102" s="1" t="n"/>
      <c r="L102" s="1" t="n"/>
      <c r="M102" s="1" t="n"/>
    </row>
    <row r="103" ht="17.25" customFormat="1" customHeight="1" s="1">
      <c r="A103" s="8" t="inlineStr">
        <is>
          <t>Y 687</t>
        </is>
      </c>
      <c r="B103" s="5" t="n">
        <v>372</v>
      </c>
      <c r="C103" s="6" t="inlineStr">
        <is>
          <t>X</t>
        </is>
      </c>
      <c r="D103" s="5" t="n">
        <v>86</v>
      </c>
      <c r="E103" s="2">
        <f>B103*D103/10000</f>
        <v/>
      </c>
      <c r="F103" s="3">
        <f>B103/30.48</f>
        <v/>
      </c>
      <c r="G103" s="3">
        <f>D103/30.48</f>
        <v/>
      </c>
      <c r="H103" s="17" t="inlineStr">
        <is>
          <t>MSTF-EFS</t>
        </is>
      </c>
      <c r="I103" s="52" t="n"/>
      <c r="J103" s="54" t="n"/>
    </row>
    <row r="104" ht="17.25" customFormat="1" customHeight="1" s="1">
      <c r="A104" s="8" t="inlineStr">
        <is>
          <t>C 24</t>
        </is>
      </c>
      <c r="B104" s="5" t="n">
        <v>249</v>
      </c>
      <c r="C104" s="6" t="inlineStr">
        <is>
          <t>X</t>
        </is>
      </c>
      <c r="D104" s="5" t="n">
        <v>79</v>
      </c>
      <c r="E104" s="2">
        <f>B104*D104/10000</f>
        <v/>
      </c>
      <c r="F104" s="3">
        <f>B104/30.48</f>
        <v/>
      </c>
      <c r="G104" s="3">
        <f>D104/30.48</f>
        <v/>
      </c>
      <c r="H104" s="17" t="inlineStr">
        <is>
          <t>MSTF-EFS</t>
        </is>
      </c>
      <c r="I104" s="43" t="n"/>
      <c r="J104" s="575" t="n"/>
    </row>
    <row r="105" ht="17.25" customFormat="1" customHeight="1" s="1">
      <c r="A105" s="8" t="inlineStr">
        <is>
          <t>C 686</t>
        </is>
      </c>
      <c r="B105" s="5" t="n">
        <v>368</v>
      </c>
      <c r="C105" s="6" t="inlineStr">
        <is>
          <t>X</t>
        </is>
      </c>
      <c r="D105" s="5" t="n">
        <v>261</v>
      </c>
      <c r="E105" s="2">
        <f>B105*D105/10000</f>
        <v/>
      </c>
      <c r="F105" s="3">
        <f>B105/30.48</f>
        <v/>
      </c>
      <c r="G105" s="3">
        <f>D105/30.48</f>
        <v/>
      </c>
      <c r="H105" s="37" t="inlineStr">
        <is>
          <t>MCHD-PAC</t>
        </is>
      </c>
      <c r="I105" s="43" t="inlineStr">
        <is>
          <t>Elite Designer Services</t>
        </is>
      </c>
      <c r="J105" s="45" t="n"/>
    </row>
    <row r="106" ht="17.25" customFormat="1" customHeight="1" s="1">
      <c r="A106" s="8" t="inlineStr">
        <is>
          <t>KN 54</t>
        </is>
      </c>
      <c r="B106" s="5" t="n">
        <v>237</v>
      </c>
      <c r="C106" s="6" t="inlineStr">
        <is>
          <t>X</t>
        </is>
      </c>
      <c r="D106" s="5" t="n">
        <v>176</v>
      </c>
      <c r="E106" s="2">
        <f>B106*D106/10000</f>
        <v/>
      </c>
      <c r="F106" s="3">
        <f>B106/30.48</f>
        <v/>
      </c>
      <c r="G106" s="3">
        <f>D106/30.48</f>
        <v/>
      </c>
      <c r="H106" s="37" t="inlineStr">
        <is>
          <t>MCHD-PAC</t>
        </is>
      </c>
      <c r="I106" s="43" t="inlineStr">
        <is>
          <t>Keaton Bullen</t>
        </is>
      </c>
      <c r="J106" s="575" t="inlineStr">
        <is>
          <t>US-817 287 1964</t>
        </is>
      </c>
    </row>
    <row r="107" ht="17.25" customFormat="1" customHeight="1" s="1">
      <c r="A107" s="8" t="inlineStr">
        <is>
          <t>Y 680</t>
        </is>
      </c>
      <c r="B107" s="5" t="n">
        <v>255</v>
      </c>
      <c r="C107" s="6" t="inlineStr">
        <is>
          <t>X</t>
        </is>
      </c>
      <c r="D107" s="5" t="n">
        <v>78</v>
      </c>
      <c r="E107" s="2">
        <f>B107*D107/10000</f>
        <v/>
      </c>
      <c r="F107" s="3">
        <f>B107/30.48</f>
        <v/>
      </c>
      <c r="G107" s="3">
        <f>D107/30.48</f>
        <v/>
      </c>
      <c r="H107" s="16" t="inlineStr">
        <is>
          <t>MCHD-OLD</t>
        </is>
      </c>
      <c r="I107" s="43" t="inlineStr">
        <is>
          <t>Anna Metcalfe</t>
        </is>
      </c>
      <c r="J107" s="575" t="n"/>
    </row>
    <row r="108" ht="17.25" customFormat="1" customHeight="1" s="1">
      <c r="A108" s="8" t="inlineStr">
        <is>
          <t>C 92</t>
        </is>
      </c>
      <c r="B108" s="5" t="n">
        <v>276</v>
      </c>
      <c r="C108" s="6" t="inlineStr">
        <is>
          <t>X</t>
        </is>
      </c>
      <c r="D108" s="5" t="n">
        <v>190</v>
      </c>
      <c r="E108" s="2">
        <f>B108*D108/10000</f>
        <v/>
      </c>
      <c r="F108" s="3">
        <f>B108/30.48</f>
        <v/>
      </c>
      <c r="G108" s="3">
        <f>D108/30.48</f>
        <v/>
      </c>
      <c r="H108" s="37" t="inlineStr">
        <is>
          <t>MCHD-PAC</t>
        </is>
      </c>
      <c r="I108" s="43" t="inlineStr">
        <is>
          <t>Katherine Kirkpatrick</t>
        </is>
      </c>
      <c r="J108" s="575" t="inlineStr">
        <is>
          <t>US-806 368 1427</t>
        </is>
      </c>
    </row>
    <row r="109" ht="17.25" customFormat="1" customHeight="1" s="1">
      <c r="A109" s="8" t="inlineStr">
        <is>
          <t>Y 882</t>
        </is>
      </c>
      <c r="B109" s="5" t="n">
        <v>280</v>
      </c>
      <c r="C109" s="6" t="inlineStr">
        <is>
          <t>X</t>
        </is>
      </c>
      <c r="D109" s="5" t="n">
        <v>198</v>
      </c>
      <c r="E109" s="2">
        <f>B109*D109/10000</f>
        <v/>
      </c>
      <c r="F109" s="3">
        <f>B109/30.48</f>
        <v/>
      </c>
      <c r="G109" s="3">
        <f>D109/30.48</f>
        <v/>
      </c>
      <c r="H109" s="584" t="inlineStr">
        <is>
          <t>MSTF-TH</t>
        </is>
      </c>
      <c r="I109" s="43" t="n"/>
      <c r="J109" s="45" t="n"/>
    </row>
    <row r="110" ht="17.25" customFormat="1" customHeight="1" s="1">
      <c r="A110" s="8" t="inlineStr">
        <is>
          <t>C 684</t>
        </is>
      </c>
      <c r="B110" s="5" t="n">
        <v>379</v>
      </c>
      <c r="C110" s="6" t="inlineStr">
        <is>
          <t>X</t>
        </is>
      </c>
      <c r="D110" s="5" t="n">
        <v>286</v>
      </c>
      <c r="E110" s="2">
        <f>B110*D110/10000</f>
        <v/>
      </c>
      <c r="F110" s="3">
        <f>B110/30.48</f>
        <v/>
      </c>
      <c r="G110" s="3">
        <f>D110/30.48</f>
        <v/>
      </c>
      <c r="H110" s="37" t="inlineStr">
        <is>
          <t>MCHD-PAC</t>
        </is>
      </c>
      <c r="I110" s="43" t="inlineStr">
        <is>
          <t>Jenna Zerbo</t>
        </is>
      </c>
      <c r="J110" s="45" t="inlineStr">
        <is>
          <t>US-248 240 3206</t>
        </is>
      </c>
    </row>
    <row r="111" ht="17.25" customFormat="1" customHeight="1" s="1">
      <c r="A111" s="8" t="inlineStr">
        <is>
          <t>Y 157</t>
        </is>
      </c>
      <c r="B111" s="5" t="n">
        <v>336</v>
      </c>
      <c r="C111" s="6" t="inlineStr">
        <is>
          <t>X</t>
        </is>
      </c>
      <c r="D111" s="5" t="n">
        <v>225</v>
      </c>
      <c r="E111" s="2">
        <f>B111*D111/10000</f>
        <v/>
      </c>
      <c r="F111" s="3">
        <f>B111/30.48</f>
        <v/>
      </c>
      <c r="G111" s="3">
        <f>D111/30.48</f>
        <v/>
      </c>
      <c r="H111" s="37" t="inlineStr">
        <is>
          <t>MCHD-PAC</t>
        </is>
      </c>
      <c r="I111" s="43" t="inlineStr">
        <is>
          <t>Alexandra Caulfield</t>
        </is>
      </c>
      <c r="J111" s="575" t="inlineStr">
        <is>
          <t>US-302 593 9119</t>
        </is>
      </c>
    </row>
    <row r="112" ht="17.25" customFormat="1" customHeight="1" s="1">
      <c r="A112" s="8" t="inlineStr">
        <is>
          <t>C 184</t>
        </is>
      </c>
      <c r="B112" s="5" t="n">
        <v>163</v>
      </c>
      <c r="C112" s="6" t="inlineStr">
        <is>
          <t>X</t>
        </is>
      </c>
      <c r="D112" s="5" t="n">
        <v>105</v>
      </c>
      <c r="E112" s="2">
        <f>B112*D112/10000</f>
        <v/>
      </c>
      <c r="F112" s="3">
        <f>B112/30.48</f>
        <v/>
      </c>
      <c r="G112" s="3">
        <f>D112/30.48</f>
        <v/>
      </c>
      <c r="H112" s="37" t="inlineStr">
        <is>
          <t>MCHD-PAC</t>
        </is>
      </c>
      <c r="I112" s="43" t="inlineStr">
        <is>
          <t>Megan Allred</t>
        </is>
      </c>
      <c r="J112" s="45" t="inlineStr">
        <is>
          <t>US-325 280 2349</t>
        </is>
      </c>
    </row>
    <row r="113" ht="17.25" customFormat="1" customHeight="1" s="1">
      <c r="A113" s="8" t="inlineStr">
        <is>
          <t>C 185</t>
        </is>
      </c>
      <c r="B113" s="5" t="n">
        <v>224</v>
      </c>
      <c r="C113" s="6" t="inlineStr">
        <is>
          <t>X</t>
        </is>
      </c>
      <c r="D113" s="5" t="n">
        <v>155</v>
      </c>
      <c r="E113" s="2">
        <f>B113*D113/10000</f>
        <v/>
      </c>
      <c r="F113" s="3">
        <f>B113/30.48</f>
        <v/>
      </c>
      <c r="G113" s="3">
        <f>D113/30.48</f>
        <v/>
      </c>
      <c r="H113" s="37" t="inlineStr">
        <is>
          <t>MCHD-PAC</t>
        </is>
      </c>
      <c r="I113" s="43" t="inlineStr">
        <is>
          <t>Courtney Paddock</t>
        </is>
      </c>
      <c r="J113" s="45" t="inlineStr">
        <is>
          <t>US-832 993 1115</t>
        </is>
      </c>
    </row>
    <row r="114" ht="17.25" customFormat="1" customHeight="1" s="1">
      <c r="A114" s="8" t="inlineStr">
        <is>
          <t>C 102</t>
        </is>
      </c>
      <c r="B114" s="5" t="n">
        <v>251</v>
      </c>
      <c r="C114" s="6" t="inlineStr">
        <is>
          <t>X</t>
        </is>
      </c>
      <c r="D114" s="5" t="n">
        <v>88</v>
      </c>
      <c r="E114" s="2">
        <f>B114*D114/10000</f>
        <v/>
      </c>
      <c r="F114" s="3">
        <f>B114/30.48</f>
        <v/>
      </c>
      <c r="G114" s="3">
        <f>D114/30.48</f>
        <v/>
      </c>
      <c r="H114" s="503" t="inlineStr">
        <is>
          <t>MCHD-TR</t>
        </is>
      </c>
      <c r="I114" s="55" t="inlineStr">
        <is>
          <t>Roxanna Hill</t>
        </is>
      </c>
      <c r="J114" s="575" t="inlineStr">
        <is>
          <t>US-985 445 5554</t>
        </is>
      </c>
    </row>
    <row r="115" ht="17.25" customFormat="1" customHeight="1" s="1">
      <c r="A115" s="8" t="n">
        <v>145</v>
      </c>
      <c r="B115" s="5" t="n">
        <v>81</v>
      </c>
      <c r="C115" s="6" t="inlineStr">
        <is>
          <t>X</t>
        </is>
      </c>
      <c r="D115" s="5" t="n">
        <v>50</v>
      </c>
      <c r="E115" s="2">
        <f>B115*D115/10000</f>
        <v/>
      </c>
      <c r="F115" s="3">
        <f>B115/30.48</f>
        <v/>
      </c>
      <c r="G115" s="3">
        <f>D115/30.48</f>
        <v/>
      </c>
      <c r="H115" s="16" t="inlineStr">
        <is>
          <t>MCHD-OLD</t>
        </is>
      </c>
      <c r="I115" s="45" t="inlineStr">
        <is>
          <t>Aimee Bauer</t>
        </is>
      </c>
      <c r="J115" s="45" t="inlineStr">
        <is>
          <t>US-612 749 6575</t>
        </is>
      </c>
    </row>
    <row r="116" ht="17.25" customFormat="1" customHeight="1" s="1">
      <c r="A116" s="8" t="inlineStr">
        <is>
          <t>C 125</t>
        </is>
      </c>
      <c r="B116" s="5" t="n">
        <v>380</v>
      </c>
      <c r="C116" s="6" t="inlineStr">
        <is>
          <t>X</t>
        </is>
      </c>
      <c r="D116" s="5" t="n">
        <v>95</v>
      </c>
      <c r="E116" s="2">
        <f>B116*D116/10000</f>
        <v/>
      </c>
      <c r="F116" s="3">
        <f>B116/30.48</f>
        <v/>
      </c>
      <c r="G116" s="3">
        <f>D116/30.48</f>
        <v/>
      </c>
      <c r="H116" s="584" t="inlineStr">
        <is>
          <t>MSTF-TH</t>
        </is>
      </c>
      <c r="I116" s="45" t="n"/>
      <c r="J116" s="575" t="n"/>
    </row>
    <row r="117" ht="17.25" customFormat="1" customHeight="1" s="1">
      <c r="A117" s="8" t="inlineStr">
        <is>
          <t>Y 824</t>
        </is>
      </c>
      <c r="B117" s="5" t="n">
        <v>185</v>
      </c>
      <c r="C117" s="6" t="inlineStr">
        <is>
          <t>X</t>
        </is>
      </c>
      <c r="D117" s="5" t="n">
        <v>116</v>
      </c>
      <c r="E117" s="2">
        <f>B117*D117/10000</f>
        <v/>
      </c>
      <c r="F117" s="3">
        <f>B117/30.48</f>
        <v/>
      </c>
      <c r="G117" s="3">
        <f>D117/30.48</f>
        <v/>
      </c>
      <c r="H117" s="584" t="inlineStr">
        <is>
          <t>MSTF-TH</t>
        </is>
      </c>
      <c r="I117" s="52" t="n"/>
      <c r="J117" s="53" t="n"/>
    </row>
    <row r="118" ht="17.25" customFormat="1" customHeight="1" s="1">
      <c r="A118" s="8" t="inlineStr">
        <is>
          <t>H 144</t>
        </is>
      </c>
      <c r="B118" s="5" t="n">
        <v>435</v>
      </c>
      <c r="C118" s="6" t="inlineStr">
        <is>
          <t>X</t>
        </is>
      </c>
      <c r="D118" s="5" t="n">
        <v>92</v>
      </c>
      <c r="E118" s="2">
        <f>B118*D118/10000</f>
        <v/>
      </c>
      <c r="F118" s="3">
        <f>B118/30.48</f>
        <v/>
      </c>
      <c r="G118" s="3">
        <f>D118/30.48</f>
        <v/>
      </c>
      <c r="H118" s="16" t="inlineStr">
        <is>
          <t>MCHD-OLD</t>
        </is>
      </c>
      <c r="I118" s="43" t="inlineStr">
        <is>
          <t>Lisa Moir</t>
        </is>
      </c>
      <c r="J118" s="45" t="inlineStr">
        <is>
          <t>CA-415 734 8502</t>
        </is>
      </c>
    </row>
    <row r="119" ht="17.25" customFormat="1" customHeight="1" s="1">
      <c r="A119" s="8" t="inlineStr">
        <is>
          <t>C 764</t>
        </is>
      </c>
      <c r="B119" s="5" t="n">
        <v>369</v>
      </c>
      <c r="C119" s="6" t="inlineStr">
        <is>
          <t>X</t>
        </is>
      </c>
      <c r="D119" s="5" t="n">
        <v>280</v>
      </c>
      <c r="E119" s="2">
        <f>B119*D119/10000</f>
        <v/>
      </c>
      <c r="F119" s="3">
        <f>B119/30.48</f>
        <v/>
      </c>
      <c r="G119" s="3">
        <f>D119/30.48</f>
        <v/>
      </c>
      <c r="H119" s="37" t="inlineStr">
        <is>
          <t>MCHD-PAC</t>
        </is>
      </c>
      <c r="I119" s="45" t="inlineStr">
        <is>
          <t>Kathryn Miller</t>
        </is>
      </c>
      <c r="J119" s="45" t="inlineStr">
        <is>
          <t>US-864 710 5058</t>
        </is>
      </c>
    </row>
    <row r="120" ht="17.25" customFormat="1" customHeight="1" s="1">
      <c r="A120" s="8" t="inlineStr">
        <is>
          <t>C 765</t>
        </is>
      </c>
      <c r="B120" s="5" t="n">
        <v>368</v>
      </c>
      <c r="C120" s="6" t="inlineStr">
        <is>
          <t>X</t>
        </is>
      </c>
      <c r="D120" s="5" t="n">
        <v>304</v>
      </c>
      <c r="E120" s="2">
        <f>B120*D120/10000</f>
        <v/>
      </c>
      <c r="F120" s="3">
        <f>B120/30.48</f>
        <v/>
      </c>
      <c r="G120" s="3">
        <f>D120/30.48</f>
        <v/>
      </c>
      <c r="H120" s="37" t="inlineStr">
        <is>
          <t>MCHD-PAC</t>
        </is>
      </c>
      <c r="I120" s="693" t="n"/>
      <c r="J120" s="56" t="inlineStr">
        <is>
          <t>E-Kathrynevansmiller@gmail.com</t>
        </is>
      </c>
    </row>
    <row r="121" ht="17.25" customFormat="1" customHeight="1" s="1">
      <c r="A121" s="8" t="inlineStr">
        <is>
          <t>C 768</t>
        </is>
      </c>
      <c r="B121" s="5" t="n">
        <v>386</v>
      </c>
      <c r="C121" s="6" t="inlineStr">
        <is>
          <t>X</t>
        </is>
      </c>
      <c r="D121" s="5" t="n">
        <v>284</v>
      </c>
      <c r="E121" s="2">
        <f>B121*D121/10000</f>
        <v/>
      </c>
      <c r="F121" s="3">
        <f>B121/30.48</f>
        <v/>
      </c>
      <c r="G121" s="3">
        <f>D121/30.48</f>
        <v/>
      </c>
      <c r="H121" s="37" t="inlineStr">
        <is>
          <t>MCHD-PAC</t>
        </is>
      </c>
      <c r="I121" s="694" t="n"/>
      <c r="J121" s="575" t="inlineStr">
        <is>
          <t>274 Rockwood Dr greenville sc 29605</t>
        </is>
      </c>
    </row>
    <row r="122" ht="17.25" customFormat="1" customHeight="1" s="1">
      <c r="A122" s="8" t="inlineStr">
        <is>
          <t>C 142</t>
        </is>
      </c>
      <c r="B122" s="5" t="n">
        <v>359</v>
      </c>
      <c r="C122" s="6" t="inlineStr">
        <is>
          <t>X</t>
        </is>
      </c>
      <c r="D122" s="5" t="n">
        <v>90</v>
      </c>
      <c r="E122" s="2">
        <f>B122*D122/10000</f>
        <v/>
      </c>
      <c r="F122" s="3">
        <f>B122/30.48</f>
        <v/>
      </c>
      <c r="G122" s="3">
        <f>D122/30.48</f>
        <v/>
      </c>
      <c r="H122" s="37" t="inlineStr">
        <is>
          <t>MCHD-PAC</t>
        </is>
      </c>
      <c r="I122" s="59" t="inlineStr">
        <is>
          <t>Jamie Simpson</t>
        </is>
      </c>
      <c r="J122" s="575" t="n"/>
    </row>
    <row r="123" ht="17.25" customFormat="1" customHeight="1" s="1">
      <c r="A123" s="8" t="n">
        <v>50</v>
      </c>
      <c r="B123" s="5" t="n">
        <v>81</v>
      </c>
      <c r="C123" s="6" t="inlineStr">
        <is>
          <t>X</t>
        </is>
      </c>
      <c r="D123" s="5" t="n">
        <v>53</v>
      </c>
      <c r="E123" s="2">
        <f>B123*D123/10000</f>
        <v/>
      </c>
      <c r="F123" s="3">
        <f>B123/30.48</f>
        <v/>
      </c>
      <c r="G123" s="3">
        <f>D123/30.48</f>
        <v/>
      </c>
      <c r="H123" s="16" t="inlineStr">
        <is>
          <t>MCHD-OLD</t>
        </is>
      </c>
      <c r="I123" s="45" t="inlineStr">
        <is>
          <t>Zoie Wilson</t>
        </is>
      </c>
      <c r="J123" s="45" t="inlineStr">
        <is>
          <t>US-423 650 340</t>
        </is>
      </c>
    </row>
    <row r="124" ht="17.25" customFormat="1" customHeight="1" s="1">
      <c r="A124" s="8" t="inlineStr">
        <is>
          <t>Y 943</t>
        </is>
      </c>
      <c r="B124" s="5" t="n">
        <v>300</v>
      </c>
      <c r="C124" s="6" t="inlineStr">
        <is>
          <t>X</t>
        </is>
      </c>
      <c r="D124" s="5" t="n">
        <v>91</v>
      </c>
      <c r="E124" s="2">
        <f>B124*D124/10000</f>
        <v/>
      </c>
      <c r="F124" s="3">
        <f>B124/30.48</f>
        <v/>
      </c>
      <c r="G124" s="3">
        <f>D124/30.48</f>
        <v/>
      </c>
      <c r="H124" s="16" t="inlineStr">
        <is>
          <t>MCHD-OLD</t>
        </is>
      </c>
      <c r="I124" s="45" t="inlineStr">
        <is>
          <t>Kelly Moen</t>
        </is>
      </c>
      <c r="J124" s="45" t="inlineStr">
        <is>
          <t>US-404 493 1748</t>
        </is>
      </c>
    </row>
    <row r="125" ht="17.25" customFormat="1" customHeight="1" s="1">
      <c r="A125" s="8" t="inlineStr">
        <is>
          <t>C 688</t>
        </is>
      </c>
      <c r="B125" s="5" t="n">
        <v>376</v>
      </c>
      <c r="C125" s="6" t="inlineStr">
        <is>
          <t>X</t>
        </is>
      </c>
      <c r="D125" s="5" t="n">
        <v>288</v>
      </c>
      <c r="E125" s="2">
        <f>B125*D125/10000</f>
        <v/>
      </c>
      <c r="F125" s="3">
        <f>B125/30.48</f>
        <v/>
      </c>
      <c r="G125" s="3">
        <f>D125/30.48</f>
        <v/>
      </c>
      <c r="H125" s="37" t="inlineStr">
        <is>
          <t>MCHD-PAC</t>
        </is>
      </c>
      <c r="I125" s="45" t="inlineStr">
        <is>
          <t>Alia Raza</t>
        </is>
      </c>
      <c r="J125" s="45" t="inlineStr">
        <is>
          <t>US-917 574 5220</t>
        </is>
      </c>
    </row>
    <row r="126" ht="17.25" customFormat="1" customHeight="1" s="1">
      <c r="A126" s="8" t="inlineStr">
        <is>
          <t>C 771</t>
        </is>
      </c>
      <c r="B126" s="5" t="n">
        <v>370</v>
      </c>
      <c r="C126" s="6" t="inlineStr">
        <is>
          <t>X</t>
        </is>
      </c>
      <c r="D126" s="5" t="n">
        <v>286</v>
      </c>
      <c r="E126" s="2">
        <f>B126*D126/10000</f>
        <v/>
      </c>
      <c r="F126" s="3">
        <f>B126/30.48</f>
        <v/>
      </c>
      <c r="G126" s="3">
        <f>D126/30.48</f>
        <v/>
      </c>
      <c r="H126" s="503" t="inlineStr">
        <is>
          <t>MCHD-TR</t>
        </is>
      </c>
      <c r="I126" s="45" t="inlineStr">
        <is>
          <t>Jennifer Lehane</t>
        </is>
      </c>
      <c r="J126" s="575" t="n"/>
    </row>
    <row r="127" ht="17.25" customFormat="1" customHeight="1" s="1">
      <c r="A127" s="8" t="n">
        <v>155</v>
      </c>
      <c r="B127" s="5" t="n">
        <v>89</v>
      </c>
      <c r="C127" s="6" t="inlineStr">
        <is>
          <t>X</t>
        </is>
      </c>
      <c r="D127" s="5" t="n">
        <v>47</v>
      </c>
      <c r="E127" s="2">
        <f>B127*D127/10000</f>
        <v/>
      </c>
      <c r="F127" s="3">
        <f>B127/30.48</f>
        <v/>
      </c>
      <c r="G127" s="3">
        <f>D127/30.48</f>
        <v/>
      </c>
      <c r="H127" s="16" t="inlineStr">
        <is>
          <t>MCHD-OLD</t>
        </is>
      </c>
      <c r="I127" s="43" t="inlineStr">
        <is>
          <t>Laura Jones</t>
        </is>
      </c>
      <c r="J127" s="45" t="n"/>
    </row>
    <row r="128" ht="17.25" customFormat="1" customHeight="1" s="1">
      <c r="A128" s="8" t="inlineStr">
        <is>
          <t>Y 673</t>
        </is>
      </c>
      <c r="B128" s="5" t="n">
        <v>120</v>
      </c>
      <c r="C128" s="6" t="inlineStr">
        <is>
          <t>X</t>
        </is>
      </c>
      <c r="D128" s="5" t="n">
        <v>78</v>
      </c>
      <c r="E128" s="2">
        <f>B128*D128/10000</f>
        <v/>
      </c>
      <c r="F128" s="3">
        <f>B128/30.48</f>
        <v/>
      </c>
      <c r="G128" s="3">
        <f>D128/30.48</f>
        <v/>
      </c>
      <c r="H128" s="16" t="inlineStr">
        <is>
          <t>MCHD-OLD</t>
        </is>
      </c>
      <c r="I128" s="55" t="inlineStr">
        <is>
          <t>Donna DeLaurentis</t>
        </is>
      </c>
      <c r="J128" s="575" t="inlineStr">
        <is>
          <t>US-512 694 5238</t>
        </is>
      </c>
    </row>
    <row r="129" ht="17.25" customFormat="1" customHeight="1" s="1">
      <c r="A129" s="8" t="inlineStr">
        <is>
          <t>Y 460</t>
        </is>
      </c>
      <c r="B129" s="5" t="n">
        <v>358</v>
      </c>
      <c r="C129" s="6" t="inlineStr">
        <is>
          <t>X</t>
        </is>
      </c>
      <c r="D129" s="5" t="n">
        <v>253</v>
      </c>
      <c r="E129" s="2">
        <f>B129*D129/10000</f>
        <v/>
      </c>
      <c r="F129" s="3">
        <f>B129/30.48</f>
        <v/>
      </c>
      <c r="G129" s="3">
        <f>D129/30.48</f>
        <v/>
      </c>
      <c r="H129" s="584" t="inlineStr">
        <is>
          <t>MSTF-TH</t>
        </is>
      </c>
      <c r="I129" s="575" t="n"/>
      <c r="J129" s="575" t="n"/>
    </row>
    <row r="130" ht="17.25" customFormat="1" customHeight="1" s="1">
      <c r="A130" s="8" t="inlineStr">
        <is>
          <t>D 25</t>
        </is>
      </c>
      <c r="B130" s="5" t="n">
        <v>75</v>
      </c>
      <c r="C130" s="6" t="inlineStr">
        <is>
          <t>X</t>
        </is>
      </c>
      <c r="D130" s="5" t="n">
        <v>49</v>
      </c>
      <c r="E130" s="2">
        <f>B130*D130/10000</f>
        <v/>
      </c>
      <c r="F130" s="3">
        <f>B130/30.48</f>
        <v/>
      </c>
      <c r="G130" s="3">
        <f>D130/30.48</f>
        <v/>
      </c>
      <c r="H130" s="16" t="inlineStr">
        <is>
          <t>MCHD-OLD</t>
        </is>
      </c>
      <c r="I130" s="45" t="inlineStr">
        <is>
          <t>Elizabeth Morris</t>
        </is>
      </c>
      <c r="J130" s="45" t="n"/>
    </row>
    <row r="131" ht="17.25" customFormat="1" customHeight="1" s="1">
      <c r="A131" s="8" t="n">
        <v>56</v>
      </c>
      <c r="B131" s="5" t="n">
        <v>70</v>
      </c>
      <c r="C131" s="6" t="inlineStr">
        <is>
          <t>X</t>
        </is>
      </c>
      <c r="D131" s="5" t="n">
        <v>43</v>
      </c>
      <c r="E131" s="2">
        <f>B131*D131/10000</f>
        <v/>
      </c>
      <c r="F131" s="3">
        <f>B131/30.48</f>
        <v/>
      </c>
      <c r="G131" s="3">
        <f>D131/30.48</f>
        <v/>
      </c>
      <c r="H131" s="16" t="inlineStr">
        <is>
          <t>MCHD-OLD</t>
        </is>
      </c>
      <c r="I131" s="45" t="inlineStr">
        <is>
          <t>Ariel Kray</t>
        </is>
      </c>
      <c r="J131" s="45" t="n"/>
    </row>
    <row r="132" ht="17.25" customFormat="1" customHeight="1" s="1">
      <c r="A132" s="8" t="inlineStr">
        <is>
          <t>C 36</t>
        </is>
      </c>
      <c r="B132" s="5" t="n">
        <v>385</v>
      </c>
      <c r="C132" s="6" t="inlineStr">
        <is>
          <t>X</t>
        </is>
      </c>
      <c r="D132" s="5" t="n">
        <v>283</v>
      </c>
      <c r="E132" s="2">
        <f>B132*D132/10000</f>
        <v/>
      </c>
      <c r="F132" s="3">
        <f>B132/30.48</f>
        <v/>
      </c>
      <c r="G132" s="3">
        <f>D132/30.48</f>
        <v/>
      </c>
      <c r="H132" s="16" t="inlineStr">
        <is>
          <t>MCHD-OLD</t>
        </is>
      </c>
      <c r="I132" s="45" t="inlineStr">
        <is>
          <t>Allyson Justmann</t>
        </is>
      </c>
      <c r="J132" s="45" t="inlineStr">
        <is>
          <t>US-314 504 8343</t>
        </is>
      </c>
    </row>
    <row r="133" ht="17.25" customFormat="1" customHeight="1" s="1">
      <c r="A133" s="8" t="inlineStr">
        <is>
          <t>C 19</t>
        </is>
      </c>
      <c r="B133" s="5" t="n">
        <v>398</v>
      </c>
      <c r="C133" s="6" t="inlineStr">
        <is>
          <t>X</t>
        </is>
      </c>
      <c r="D133" s="5" t="n">
        <v>82</v>
      </c>
      <c r="E133" s="2">
        <f>B133*D133/10000</f>
        <v/>
      </c>
      <c r="F133" s="3">
        <f>B133/30.48</f>
        <v/>
      </c>
      <c r="G133" s="3">
        <f>D133/30.48</f>
        <v/>
      </c>
      <c r="H133" s="503" t="inlineStr">
        <is>
          <t>MCHD-TR</t>
        </is>
      </c>
      <c r="I133" s="575" t="inlineStr">
        <is>
          <t>Katie Barnhart</t>
        </is>
      </c>
      <c r="J133" s="575" t="inlineStr">
        <is>
          <t>US-713 882 6678</t>
        </is>
      </c>
    </row>
    <row r="134" ht="17.25" customFormat="1" customHeight="1" s="1">
      <c r="A134" s="8" t="inlineStr">
        <is>
          <t>C 90</t>
        </is>
      </c>
      <c r="B134" s="5" t="n">
        <v>410</v>
      </c>
      <c r="C134" s="6" t="inlineStr">
        <is>
          <t>X</t>
        </is>
      </c>
      <c r="D134" s="5" t="n">
        <v>102</v>
      </c>
      <c r="E134" s="2">
        <f>B134*D134/10000</f>
        <v/>
      </c>
      <c r="F134" s="3">
        <f>B134/30.48</f>
        <v/>
      </c>
      <c r="G134" s="3">
        <f>D134/30.48</f>
        <v/>
      </c>
      <c r="H134" s="16" t="inlineStr">
        <is>
          <t>MCHD-TR</t>
        </is>
      </c>
      <c r="I134" s="693" t="n"/>
      <c r="J134" s="693" t="n"/>
    </row>
    <row r="135" ht="17.25" customFormat="1" customHeight="1" s="1">
      <c r="A135" s="8" t="inlineStr">
        <is>
          <t>C 132</t>
        </is>
      </c>
      <c r="B135" s="5" t="n">
        <v>314</v>
      </c>
      <c r="C135" s="6" t="inlineStr">
        <is>
          <t>X</t>
        </is>
      </c>
      <c r="D135" s="5" t="n">
        <v>87</v>
      </c>
      <c r="E135" s="2">
        <f>B135*D135/10000</f>
        <v/>
      </c>
      <c r="F135" s="3">
        <f>B135/30.48</f>
        <v/>
      </c>
      <c r="G135" s="3">
        <f>D135/30.48</f>
        <v/>
      </c>
      <c r="H135" s="16" t="inlineStr">
        <is>
          <t>MCHD-TR</t>
        </is>
      </c>
      <c r="I135" s="45" t="inlineStr">
        <is>
          <t>Sarah Delashaw</t>
        </is>
      </c>
      <c r="J135" s="45" t="n"/>
    </row>
    <row r="136" ht="17.25" customFormat="1" customHeight="1" s="1">
      <c r="A136" s="8" t="inlineStr">
        <is>
          <t>Y 925</t>
        </is>
      </c>
      <c r="B136" s="5" t="n">
        <v>259</v>
      </c>
      <c r="C136" s="6" t="inlineStr">
        <is>
          <t>X</t>
        </is>
      </c>
      <c r="D136" s="5" t="n">
        <v>70</v>
      </c>
      <c r="E136" s="2">
        <f>B136*D136/10000</f>
        <v/>
      </c>
      <c r="F136" s="3">
        <f>B136/30.48</f>
        <v/>
      </c>
      <c r="G136" s="3">
        <f>D136/30.48</f>
        <v/>
      </c>
      <c r="H136" s="584" t="inlineStr">
        <is>
          <t>MSTF-EFS</t>
        </is>
      </c>
      <c r="I136" s="575" t="n"/>
      <c r="J136" s="575" t="n"/>
    </row>
    <row r="137" ht="17.25" customFormat="1" customHeight="1" s="1">
      <c r="A137" s="8" t="inlineStr">
        <is>
          <t>C 122</t>
        </is>
      </c>
      <c r="B137" s="5" t="n">
        <v>160</v>
      </c>
      <c r="C137" s="6" t="inlineStr">
        <is>
          <t>X</t>
        </is>
      </c>
      <c r="D137" s="5" t="n">
        <v>96</v>
      </c>
      <c r="E137" s="2">
        <f>B137*D137/10000</f>
        <v/>
      </c>
      <c r="F137" s="3">
        <f>B137/30.48</f>
        <v/>
      </c>
      <c r="G137" s="3">
        <f>D137/30.48</f>
        <v/>
      </c>
      <c r="H137" s="37" t="inlineStr">
        <is>
          <t>MCHD-PAC</t>
        </is>
      </c>
      <c r="I137" s="45" t="inlineStr">
        <is>
          <t>Crystal Knochenmus</t>
        </is>
      </c>
      <c r="J137" s="575" t="inlineStr">
        <is>
          <t>US-320 360 2618</t>
        </is>
      </c>
    </row>
    <row r="138" ht="17.25" customFormat="1" customHeight="1" s="1">
      <c r="A138" s="8" t="n">
        <v>365</v>
      </c>
      <c r="B138" s="5" t="n">
        <v>125</v>
      </c>
      <c r="C138" s="6" t="inlineStr">
        <is>
          <t>X</t>
        </is>
      </c>
      <c r="D138" s="5" t="n">
        <v>70</v>
      </c>
      <c r="E138" s="2">
        <f>B138*D138/10000</f>
        <v/>
      </c>
      <c r="F138" s="3">
        <f>B138/30.48</f>
        <v/>
      </c>
      <c r="G138" s="3">
        <f>D138/30.48</f>
        <v/>
      </c>
      <c r="H138" s="584" t="inlineStr">
        <is>
          <t>HASAN-TOPTAN</t>
        </is>
      </c>
      <c r="I138" s="43" t="inlineStr">
        <is>
          <t>Esra Pope</t>
        </is>
      </c>
      <c r="J138" s="45" t="n"/>
    </row>
    <row r="139" ht="17.25" customFormat="1" customHeight="1" s="1">
      <c r="A139" s="8" t="inlineStr">
        <is>
          <t>Y 536</t>
        </is>
      </c>
      <c r="B139" s="5" t="n">
        <v>129</v>
      </c>
      <c r="C139" s="6" t="inlineStr">
        <is>
          <t>X</t>
        </is>
      </c>
      <c r="D139" s="5" t="n">
        <v>79</v>
      </c>
      <c r="E139" s="2">
        <f>B139*D139/10000</f>
        <v/>
      </c>
      <c r="F139" s="3">
        <f>B139/30.48</f>
        <v/>
      </c>
      <c r="G139" s="3">
        <f>D139/30.48</f>
        <v/>
      </c>
      <c r="H139" s="584" t="inlineStr">
        <is>
          <t>HASAN-TOPTAN</t>
        </is>
      </c>
      <c r="I139" s="43" t="inlineStr">
        <is>
          <t>Esra Pope</t>
        </is>
      </c>
      <c r="J139" s="45" t="n"/>
    </row>
    <row r="140" ht="17.25" customFormat="1" customHeight="1" s="1">
      <c r="A140" s="8" t="inlineStr">
        <is>
          <t>Y 921</t>
        </is>
      </c>
      <c r="B140" s="5" t="n">
        <v>138</v>
      </c>
      <c r="C140" s="6" t="inlineStr">
        <is>
          <t>X</t>
        </is>
      </c>
      <c r="D140" s="5" t="n">
        <v>90</v>
      </c>
      <c r="E140" s="2">
        <f>B140*D140/10000</f>
        <v/>
      </c>
      <c r="F140" s="3">
        <f>B140/30.48</f>
        <v/>
      </c>
      <c r="G140" s="3">
        <f>D140/30.48</f>
        <v/>
      </c>
      <c r="H140" s="584" t="inlineStr">
        <is>
          <t>HASAN-TOPTAN</t>
        </is>
      </c>
      <c r="I140" s="43" t="inlineStr">
        <is>
          <t>Esra Pope</t>
        </is>
      </c>
      <c r="J140" s="45" t="n"/>
    </row>
    <row r="141" ht="17.25" customFormat="1" customHeight="1" s="1">
      <c r="A141" s="8" t="inlineStr">
        <is>
          <t>C 145</t>
        </is>
      </c>
      <c r="B141" s="5" t="n">
        <v>155</v>
      </c>
      <c r="C141" s="6" t="inlineStr">
        <is>
          <t>X</t>
        </is>
      </c>
      <c r="D141" s="5" t="n">
        <v>66</v>
      </c>
      <c r="E141" s="2">
        <f>B141*D141/10000</f>
        <v/>
      </c>
      <c r="F141" s="3">
        <f>B141/30.48</f>
        <v/>
      </c>
      <c r="G141" s="3">
        <f>D141/30.48</f>
        <v/>
      </c>
      <c r="H141" s="584" t="inlineStr">
        <is>
          <t>HASAN-TOPTAN</t>
        </is>
      </c>
      <c r="I141" s="43" t="inlineStr">
        <is>
          <t>Esra Pope</t>
        </is>
      </c>
      <c r="J141" s="45" t="n"/>
    </row>
    <row r="142" ht="17.25" customFormat="1" customHeight="1" s="1">
      <c r="A142" s="8" t="inlineStr">
        <is>
          <t>C 216</t>
        </is>
      </c>
      <c r="B142" s="5" t="n">
        <v>140</v>
      </c>
      <c r="C142" s="6" t="inlineStr">
        <is>
          <t>X</t>
        </is>
      </c>
      <c r="D142" s="5" t="n">
        <v>98</v>
      </c>
      <c r="E142" s="2">
        <f>B142*D142/10000</f>
        <v/>
      </c>
      <c r="F142" s="3">
        <f>B142/30.48</f>
        <v/>
      </c>
      <c r="G142" s="3">
        <f>D142/30.48</f>
        <v/>
      </c>
      <c r="H142" s="584" t="inlineStr">
        <is>
          <t>HASAN-TOPTAN</t>
        </is>
      </c>
      <c r="I142" s="43" t="inlineStr">
        <is>
          <t>Esra Pope</t>
        </is>
      </c>
      <c r="J142" s="45" t="n"/>
    </row>
    <row r="143" ht="17.25" customFormat="1" customHeight="1" s="1">
      <c r="A143" s="8" t="inlineStr">
        <is>
          <t>C 205</t>
        </is>
      </c>
      <c r="B143" s="5" t="n">
        <v>120</v>
      </c>
      <c r="C143" s="6" t="inlineStr">
        <is>
          <t>X</t>
        </is>
      </c>
      <c r="D143" s="5" t="n">
        <v>60</v>
      </c>
      <c r="E143" s="2">
        <f>B143*D143/10000</f>
        <v/>
      </c>
      <c r="F143" s="3">
        <f>B143/30.48</f>
        <v/>
      </c>
      <c r="G143" s="3">
        <f>D143/30.48</f>
        <v/>
      </c>
      <c r="H143" s="584" t="inlineStr">
        <is>
          <t>HASAN-TOPTAN</t>
        </is>
      </c>
      <c r="I143" s="55" t="inlineStr">
        <is>
          <t>Esra Pope</t>
        </is>
      </c>
      <c r="J143" s="575" t="n"/>
    </row>
    <row r="144" ht="17.25" customFormat="1" customHeight="1" s="1">
      <c r="A144" s="8" t="inlineStr">
        <is>
          <t>C 195</t>
        </is>
      </c>
      <c r="B144" s="5" t="n">
        <v>149</v>
      </c>
      <c r="C144" s="6" t="inlineStr">
        <is>
          <t>X</t>
        </is>
      </c>
      <c r="D144" s="5" t="n">
        <v>74</v>
      </c>
      <c r="E144" s="2">
        <f>B144*D144/10000</f>
        <v/>
      </c>
      <c r="F144" s="3">
        <f>B144/30.48</f>
        <v/>
      </c>
      <c r="G144" s="3">
        <f>D144/30.48</f>
        <v/>
      </c>
      <c r="H144" s="553" t="inlineStr">
        <is>
          <t>MCHD-PAC</t>
        </is>
      </c>
      <c r="I144" s="575" t="inlineStr">
        <is>
          <t>Jessi Jennings</t>
        </is>
      </c>
      <c r="J144" s="575" t="n"/>
    </row>
    <row r="145" ht="17.25" customFormat="1" customHeight="1" s="1">
      <c r="A145" s="8" t="inlineStr">
        <is>
          <t>Y 419</t>
        </is>
      </c>
      <c r="B145" s="5" t="n">
        <v>211</v>
      </c>
      <c r="C145" s="6" t="inlineStr">
        <is>
          <t>X</t>
        </is>
      </c>
      <c r="D145" s="5" t="n">
        <v>111</v>
      </c>
      <c r="E145" s="2">
        <f>B145*D145/10000</f>
        <v/>
      </c>
      <c r="F145" s="3">
        <f>B145/30.48</f>
        <v/>
      </c>
      <c r="G145" s="3">
        <f>D145/30.48</f>
        <v/>
      </c>
      <c r="H145" s="37" t="inlineStr">
        <is>
          <t>MCHD-PAC</t>
        </is>
      </c>
      <c r="I145" s="588" t="inlineStr">
        <is>
          <t>Paul Zygmunt</t>
        </is>
      </c>
      <c r="J145" s="575" t="inlineStr">
        <is>
          <t>US-651 303 3350</t>
        </is>
      </c>
    </row>
    <row r="146" ht="17.25" customFormat="1" customHeight="1" s="1">
      <c r="A146" s="8" t="n">
        <v>137</v>
      </c>
      <c r="B146" s="5" t="n">
        <v>81</v>
      </c>
      <c r="C146" s="6" t="inlineStr">
        <is>
          <t>X</t>
        </is>
      </c>
      <c r="D146" s="5" t="n">
        <v>50</v>
      </c>
      <c r="E146" s="2">
        <f>B146*D146/10000</f>
        <v/>
      </c>
      <c r="F146" s="3">
        <f>B146/30.48</f>
        <v/>
      </c>
      <c r="G146" s="3">
        <f>D146/30.48</f>
        <v/>
      </c>
      <c r="H146" s="16" t="inlineStr">
        <is>
          <t>MCHD-OLD</t>
        </is>
      </c>
      <c r="I146" s="57" t="inlineStr">
        <is>
          <t>Donna Malenchini</t>
        </is>
      </c>
      <c r="J146" s="45" t="inlineStr">
        <is>
          <t>US-214 783 8753</t>
        </is>
      </c>
    </row>
    <row r="147" ht="17.25" customFormat="1" customHeight="1" s="1">
      <c r="A147" s="8" t="inlineStr">
        <is>
          <t>C 6</t>
        </is>
      </c>
      <c r="B147" s="5" t="n">
        <v>350</v>
      </c>
      <c r="C147" s="6" t="inlineStr">
        <is>
          <t>X</t>
        </is>
      </c>
      <c r="D147" s="5" t="n">
        <v>92</v>
      </c>
      <c r="E147" s="2">
        <f>B147*D147/10000</f>
        <v/>
      </c>
      <c r="F147" s="3">
        <f>B147/30.48</f>
        <v/>
      </c>
      <c r="G147" s="3">
        <f>D147/30.48</f>
        <v/>
      </c>
      <c r="H147" s="16" t="inlineStr">
        <is>
          <t>MCHD-OLD</t>
        </is>
      </c>
      <c r="I147" s="57" t="inlineStr">
        <is>
          <t>Evelyn Hefner</t>
        </is>
      </c>
      <c r="J147" s="45" t="inlineStr">
        <is>
          <t>US-518 292 8700</t>
        </is>
      </c>
    </row>
    <row r="148" ht="17.25" customFormat="1" customHeight="1" s="1">
      <c r="A148" s="8" t="inlineStr">
        <is>
          <t>C 151</t>
        </is>
      </c>
      <c r="B148" s="5" t="n">
        <v>344</v>
      </c>
      <c r="C148" s="6" t="inlineStr">
        <is>
          <t>X</t>
        </is>
      </c>
      <c r="D148" s="5" t="n">
        <v>95</v>
      </c>
      <c r="E148" s="2">
        <f>B148*D148/10000</f>
        <v/>
      </c>
      <c r="F148" s="3">
        <f>B148/30.48</f>
        <v/>
      </c>
      <c r="G148" s="3">
        <f>D148/30.48</f>
        <v/>
      </c>
      <c r="H148" s="37" t="inlineStr">
        <is>
          <t>MCHD-PAC</t>
        </is>
      </c>
      <c r="I148" s="57" t="inlineStr">
        <is>
          <t>Danielle Helling</t>
        </is>
      </c>
      <c r="J148" s="45" t="inlineStr">
        <is>
          <t>US-615 290 6736</t>
        </is>
      </c>
    </row>
    <row r="149" ht="17.25" customFormat="1" customHeight="1" s="1">
      <c r="A149" s="8" t="inlineStr">
        <is>
          <t>C 760</t>
        </is>
      </c>
      <c r="B149" s="5" t="n">
        <v>391</v>
      </c>
      <c r="C149" s="6" t="inlineStr">
        <is>
          <t>X</t>
        </is>
      </c>
      <c r="D149" s="5" t="n">
        <v>288</v>
      </c>
      <c r="E149" s="2">
        <f>B149*D149/10000</f>
        <v/>
      </c>
      <c r="F149" s="3">
        <f>B149/30.48</f>
        <v/>
      </c>
      <c r="G149" s="3">
        <f>D149/30.48</f>
        <v/>
      </c>
      <c r="H149" s="37" t="inlineStr">
        <is>
          <t>MCHD-PAC</t>
        </is>
      </c>
      <c r="I149" s="57" t="inlineStr">
        <is>
          <t>Rachel Riva</t>
        </is>
      </c>
      <c r="J149" s="45" t="inlineStr">
        <is>
          <t>US-775 762 0852</t>
        </is>
      </c>
    </row>
    <row r="150" ht="17.25" customFormat="1" customHeight="1" s="1">
      <c r="A150" s="8" t="inlineStr">
        <is>
          <t>C 772</t>
        </is>
      </c>
      <c r="B150" s="5" t="n">
        <v>379</v>
      </c>
      <c r="C150" s="6" t="inlineStr">
        <is>
          <t>X</t>
        </is>
      </c>
      <c r="D150" s="5" t="n">
        <v>287</v>
      </c>
      <c r="E150" s="2">
        <f>B150*D150/10000</f>
        <v/>
      </c>
      <c r="F150" s="3">
        <f>B150/30.48</f>
        <v/>
      </c>
      <c r="G150" s="3">
        <f>D150/30.48</f>
        <v/>
      </c>
      <c r="H150" s="553" t="inlineStr">
        <is>
          <t>MCHD-PAC</t>
        </is>
      </c>
      <c r="I150" s="581" t="inlineStr">
        <is>
          <t>Keely McGee</t>
        </is>
      </c>
      <c r="J150" s="575" t="inlineStr">
        <is>
          <t>US-205 243 4439</t>
        </is>
      </c>
    </row>
    <row r="151" ht="17.25" customFormat="1" customHeight="1" s="1">
      <c r="A151" s="8" t="inlineStr">
        <is>
          <t>Y 998</t>
        </is>
      </c>
      <c r="B151" s="5" t="n">
        <v>268</v>
      </c>
      <c r="C151" s="6" t="inlineStr">
        <is>
          <t>X</t>
        </is>
      </c>
      <c r="D151" s="5" t="n">
        <v>88</v>
      </c>
      <c r="E151" s="2">
        <f>B151*D151/10000</f>
        <v/>
      </c>
      <c r="F151" s="3">
        <f>B151/30.48</f>
        <v/>
      </c>
      <c r="G151" s="3">
        <f>D151/30.48</f>
        <v/>
      </c>
      <c r="H151" s="37" t="inlineStr">
        <is>
          <t>MCHD-PAC</t>
        </is>
      </c>
      <c r="I151" s="58" t="inlineStr">
        <is>
          <t>David Webber</t>
        </is>
      </c>
      <c r="J151" s="575" t="inlineStr">
        <is>
          <t>US-270 300 3811</t>
        </is>
      </c>
    </row>
    <row r="152" ht="17.25" customFormat="1" customHeight="1" s="1">
      <c r="A152" s="8" t="inlineStr">
        <is>
          <t>Y 628</t>
        </is>
      </c>
      <c r="B152" s="5" t="n">
        <v>203</v>
      </c>
      <c r="C152" s="6" t="inlineStr">
        <is>
          <t>X</t>
        </is>
      </c>
      <c r="D152" s="5" t="n">
        <v>90</v>
      </c>
      <c r="E152" s="2">
        <f>B152*D152/10000</f>
        <v/>
      </c>
      <c r="F152" s="3">
        <f>B152/30.48</f>
        <v/>
      </c>
      <c r="G152" s="3">
        <f>D152/30.48</f>
        <v/>
      </c>
      <c r="H152" s="16" t="inlineStr">
        <is>
          <t>MCHD-OLD</t>
        </is>
      </c>
      <c r="I152" s="57" t="inlineStr">
        <is>
          <t>Donna Malenchini</t>
        </is>
      </c>
      <c r="J152" s="45" t="inlineStr">
        <is>
          <t>US-978 270 8189</t>
        </is>
      </c>
    </row>
    <row r="153" ht="17.25" customFormat="1" customHeight="1" s="1">
      <c r="A153" s="8" t="inlineStr">
        <is>
          <t>Y 859</t>
        </is>
      </c>
      <c r="B153" s="5" t="n">
        <v>246</v>
      </c>
      <c r="C153" s="6" t="inlineStr">
        <is>
          <t>X</t>
        </is>
      </c>
      <c r="D153" s="5" t="n">
        <v>163</v>
      </c>
      <c r="E153" s="2">
        <f>B153*D153/10000</f>
        <v/>
      </c>
      <c r="F153" s="3">
        <f>B153/30.48</f>
        <v/>
      </c>
      <c r="G153" s="3">
        <f>D153/30.48</f>
        <v/>
      </c>
      <c r="H153" s="16" t="inlineStr">
        <is>
          <t>MCHD-OLD</t>
        </is>
      </c>
      <c r="I153" s="581" t="inlineStr">
        <is>
          <t>Joy Segars</t>
        </is>
      </c>
      <c r="J153" s="575" t="inlineStr">
        <is>
          <t>US-512 590 2343</t>
        </is>
      </c>
    </row>
    <row r="154" ht="17.25" customFormat="1" customHeight="1" s="1">
      <c r="A154" s="8" t="inlineStr">
        <is>
          <t>Y 685</t>
        </is>
      </c>
      <c r="B154" s="5" t="n">
        <v>196</v>
      </c>
      <c r="C154" s="6" t="inlineStr">
        <is>
          <t>X</t>
        </is>
      </c>
      <c r="D154" s="5" t="n">
        <v>116</v>
      </c>
      <c r="E154" s="2">
        <f>B154*D154/10000</f>
        <v/>
      </c>
      <c r="F154" s="3">
        <f>B154/30.48</f>
        <v/>
      </c>
      <c r="G154" s="3">
        <f>D154/30.48</f>
        <v/>
      </c>
      <c r="H154" s="584" t="inlineStr">
        <is>
          <t>MSTF-TH</t>
        </is>
      </c>
      <c r="I154" s="76" t="n"/>
      <c r="J154" s="575" t="n"/>
    </row>
    <row r="155" ht="17.25" customFormat="1" customHeight="1" s="1">
      <c r="A155" s="8" t="inlineStr">
        <is>
          <t>C 179</t>
        </is>
      </c>
      <c r="B155" s="5" t="n">
        <v>190</v>
      </c>
      <c r="C155" s="6" t="inlineStr">
        <is>
          <t>X</t>
        </is>
      </c>
      <c r="D155" s="5" t="n">
        <v>117</v>
      </c>
      <c r="E155" s="2">
        <f>B155*D155/10000</f>
        <v/>
      </c>
      <c r="F155" s="3">
        <f>B155/30.48</f>
        <v/>
      </c>
      <c r="G155" s="3">
        <f>D155/30.48</f>
        <v/>
      </c>
      <c r="H155" s="16" t="inlineStr">
        <is>
          <t>MCHD-TR</t>
        </is>
      </c>
      <c r="I155" s="57" t="inlineStr">
        <is>
          <t>Gerard Stewart</t>
        </is>
      </c>
      <c r="J155" s="45" t="n"/>
    </row>
    <row r="156" ht="17.25" customFormat="1" customHeight="1" s="1">
      <c r="A156" s="8" t="inlineStr">
        <is>
          <t>C 128</t>
        </is>
      </c>
      <c r="B156" s="5" t="n">
        <v>270</v>
      </c>
      <c r="C156" s="6" t="inlineStr">
        <is>
          <t>X</t>
        </is>
      </c>
      <c r="D156" s="5" t="n">
        <v>82</v>
      </c>
      <c r="E156" s="2">
        <f>B156*D156/10000</f>
        <v/>
      </c>
      <c r="F156" s="3">
        <f>B156/30.48</f>
        <v/>
      </c>
      <c r="G156" s="3">
        <f>D156/30.48</f>
        <v/>
      </c>
      <c r="H156" s="16" t="inlineStr">
        <is>
          <t>MCHD-TR</t>
        </is>
      </c>
      <c r="I156" s="581" t="inlineStr">
        <is>
          <t>Megan Greenwood</t>
        </is>
      </c>
      <c r="J156" s="575" t="inlineStr">
        <is>
          <t>US-210 822 7453</t>
        </is>
      </c>
    </row>
    <row r="157" ht="17.25" customFormat="1" customHeight="1" s="1">
      <c r="A157" s="8" t="inlineStr">
        <is>
          <t>C 206</t>
        </is>
      </c>
      <c r="B157" s="5" t="n">
        <v>124</v>
      </c>
      <c r="C157" s="6" t="inlineStr">
        <is>
          <t>X</t>
        </is>
      </c>
      <c r="D157" s="5" t="n">
        <v>88</v>
      </c>
      <c r="E157" s="2">
        <f>B157*D157/10000</f>
        <v/>
      </c>
      <c r="F157" s="3">
        <f>B157/30.48</f>
        <v/>
      </c>
      <c r="G157" s="3">
        <f>D157/30.48</f>
        <v/>
      </c>
      <c r="H157" s="17" t="inlineStr">
        <is>
          <t>MSTF-EFS</t>
        </is>
      </c>
      <c r="I157" s="75" t="n"/>
      <c r="J157" s="45" t="n"/>
    </row>
    <row r="158">
      <c r="A158" s="536" t="inlineStr">
        <is>
          <t>-2022 TEMMUZ-56</t>
        </is>
      </c>
      <c r="H158" s="62" t="inlineStr">
        <is>
          <t>SATAN-SİTE</t>
        </is>
      </c>
      <c r="I158" s="19" t="inlineStr">
        <is>
          <t>MÜŞTERİ ADI</t>
        </is>
      </c>
      <c r="J158" s="63" t="inlineStr">
        <is>
          <t>MÜŞTERİ İLETİŞİM &amp; ÜLKE</t>
        </is>
      </c>
      <c r="K158" s="1" t="n"/>
      <c r="L158" s="1" t="n"/>
    </row>
    <row r="159" ht="17.25" customFormat="1" customHeight="1" s="1">
      <c r="A159" s="8" t="inlineStr">
        <is>
          <t>Y 798</t>
        </is>
      </c>
      <c r="B159" s="5" t="n">
        <v>361</v>
      </c>
      <c r="C159" s="6" t="inlineStr">
        <is>
          <t>X</t>
        </is>
      </c>
      <c r="D159" s="5" t="n">
        <v>146</v>
      </c>
      <c r="E159" s="2">
        <f>B159*D159/10000</f>
        <v/>
      </c>
      <c r="F159" s="3">
        <f>B159/30.48</f>
        <v/>
      </c>
      <c r="G159" s="3">
        <f>D159/30.48</f>
        <v/>
      </c>
      <c r="H159" s="35" t="inlineStr">
        <is>
          <t>MSTF-TH</t>
        </is>
      </c>
      <c r="I159" s="75" t="n"/>
      <c r="J159" s="45" t="n"/>
    </row>
    <row r="160" ht="17.25" customFormat="1" customHeight="1" s="1">
      <c r="A160" s="8" t="n">
        <v>58</v>
      </c>
      <c r="B160" s="5" t="n">
        <v>89</v>
      </c>
      <c r="C160" s="6" t="inlineStr">
        <is>
          <t>X</t>
        </is>
      </c>
      <c r="D160" s="5" t="n">
        <v>51</v>
      </c>
      <c r="E160" s="2">
        <f>B160*D160/10000</f>
        <v/>
      </c>
      <c r="F160" s="3">
        <f>B160/30.48</f>
        <v/>
      </c>
      <c r="G160" s="3">
        <f>D160/30.48</f>
        <v/>
      </c>
      <c r="H160" s="568" t="inlineStr">
        <is>
          <t>MCHD-OLD</t>
        </is>
      </c>
      <c r="I160" s="57" t="inlineStr">
        <is>
          <t>Kelly Chhikara</t>
        </is>
      </c>
      <c r="J160" s="45" t="n"/>
    </row>
    <row r="161" ht="17.25" customFormat="1" customHeight="1" s="1">
      <c r="A161" s="8" t="inlineStr">
        <is>
          <t>M 9</t>
        </is>
      </c>
      <c r="B161" s="5" t="n">
        <v>215</v>
      </c>
      <c r="C161" s="6" t="inlineStr">
        <is>
          <t>X</t>
        </is>
      </c>
      <c r="D161" s="5" t="n">
        <v>144</v>
      </c>
      <c r="E161" s="2">
        <f>B161*D161/10000</f>
        <v/>
      </c>
      <c r="F161" s="3">
        <f>B161/30.48</f>
        <v/>
      </c>
      <c r="G161" s="3">
        <f>D161/30.48</f>
        <v/>
      </c>
      <c r="H161" s="568" t="inlineStr">
        <is>
          <t>MCHD-OLD</t>
        </is>
      </c>
      <c r="I161" s="57" t="inlineStr">
        <is>
          <t>Shawn Thies</t>
        </is>
      </c>
      <c r="J161" s="45" t="n"/>
    </row>
    <row r="162" ht="17.25" customFormat="1" customHeight="1" s="1">
      <c r="A162" s="8" t="inlineStr">
        <is>
          <t>C 828</t>
        </is>
      </c>
      <c r="B162" s="5" t="n">
        <v>376</v>
      </c>
      <c r="C162" s="6" t="inlineStr">
        <is>
          <t>X</t>
        </is>
      </c>
      <c r="D162" s="5" t="n">
        <v>285</v>
      </c>
      <c r="E162" s="2">
        <f>B162*D162/10000</f>
        <v/>
      </c>
      <c r="F162" s="3">
        <f>B162/30.48</f>
        <v/>
      </c>
      <c r="G162" s="3">
        <f>D162/30.48</f>
        <v/>
      </c>
      <c r="H162" s="36" t="inlineStr">
        <is>
          <t>MCHD-PAC</t>
        </is>
      </c>
      <c r="I162" s="57" t="inlineStr">
        <is>
          <t>Christine Batista</t>
        </is>
      </c>
      <c r="J162" s="45" t="inlineStr">
        <is>
          <t>US-646 331 6423</t>
        </is>
      </c>
    </row>
    <row r="163" ht="17.25" customFormat="1" customHeight="1" s="1">
      <c r="A163" s="8" t="inlineStr">
        <is>
          <t>C 769</t>
        </is>
      </c>
      <c r="B163" s="5" t="n">
        <v>378</v>
      </c>
      <c r="C163" s="6" t="inlineStr">
        <is>
          <t>X</t>
        </is>
      </c>
      <c r="D163" s="5" t="n">
        <v>282</v>
      </c>
      <c r="E163" s="2">
        <f>B163*D163/10000</f>
        <v/>
      </c>
      <c r="F163" s="3">
        <f>B163/30.48</f>
        <v/>
      </c>
      <c r="G163" s="3">
        <f>D163/30.48</f>
        <v/>
      </c>
      <c r="H163" s="568" t="inlineStr">
        <is>
          <t>MCHD-TR</t>
        </is>
      </c>
      <c r="I163" s="581" t="inlineStr">
        <is>
          <t>SM Freeman/Cram</t>
        </is>
      </c>
      <c r="J163" s="575" t="inlineStr">
        <is>
          <t>US-615 483 3817</t>
        </is>
      </c>
    </row>
    <row r="164" ht="17.25" customFormat="1" customHeight="1" s="1">
      <c r="A164" s="8" t="inlineStr">
        <is>
          <t>C 755</t>
        </is>
      </c>
      <c r="B164" s="5" t="n">
        <v>374</v>
      </c>
      <c r="C164" s="6" t="inlineStr">
        <is>
          <t>X</t>
        </is>
      </c>
      <c r="D164" s="5" t="n">
        <v>268</v>
      </c>
      <c r="E164" s="2">
        <f>B164*D164/10000</f>
        <v/>
      </c>
      <c r="F164" s="3">
        <f>B164/30.48</f>
        <v/>
      </c>
      <c r="G164" s="3">
        <f>D164/30.48</f>
        <v/>
      </c>
      <c r="H164" s="553" t="inlineStr">
        <is>
          <t>MCHD-PAC</t>
        </is>
      </c>
      <c r="I164" s="57" t="inlineStr">
        <is>
          <t>Wasan Somboonchan</t>
        </is>
      </c>
      <c r="J164" s="575" t="inlineStr">
        <is>
          <t>TY-66 91 495 99 90</t>
        </is>
      </c>
    </row>
    <row r="165" ht="17.25" customFormat="1" customHeight="1" s="1">
      <c r="A165" s="8" t="inlineStr">
        <is>
          <t>C 766</t>
        </is>
      </c>
      <c r="B165" s="5" t="n">
        <v>393</v>
      </c>
      <c r="C165" s="6" t="inlineStr">
        <is>
          <t>X</t>
        </is>
      </c>
      <c r="D165" s="5" t="n">
        <v>278</v>
      </c>
      <c r="E165" s="2">
        <f>B165*D165/10000</f>
        <v/>
      </c>
      <c r="F165" s="3">
        <f>B165/30.48</f>
        <v/>
      </c>
      <c r="G165" s="3">
        <f>D165/30.48</f>
        <v/>
      </c>
      <c r="H165" s="693" t="n"/>
      <c r="I165" s="694" t="n"/>
      <c r="J165" s="693" t="n"/>
    </row>
    <row r="166" ht="17.25" customFormat="1" customHeight="1" s="1">
      <c r="A166" s="8" t="inlineStr">
        <is>
          <t>C 239</t>
        </is>
      </c>
      <c r="B166" s="5" t="n">
        <v>217</v>
      </c>
      <c r="C166" s="6" t="inlineStr">
        <is>
          <t>X</t>
        </is>
      </c>
      <c r="D166" s="5" t="n">
        <v>92</v>
      </c>
      <c r="E166" s="2">
        <f>B166*D166/10000</f>
        <v/>
      </c>
      <c r="F166" s="3">
        <f>B166/30.48</f>
        <v/>
      </c>
      <c r="G166" s="3">
        <f>D166/30.48</f>
        <v/>
      </c>
      <c r="H166" s="553" t="inlineStr">
        <is>
          <t>MCHD-PAC</t>
        </is>
      </c>
      <c r="I166" s="59" t="inlineStr">
        <is>
          <t>Lindsey Perry</t>
        </is>
      </c>
      <c r="J166" s="575" t="inlineStr">
        <is>
          <t>US-916 521 5215</t>
        </is>
      </c>
    </row>
    <row r="167" ht="17.25" customFormat="1" customHeight="1" s="1">
      <c r="A167" s="8" t="inlineStr">
        <is>
          <t>C 192</t>
        </is>
      </c>
      <c r="B167" s="5" t="n">
        <v>229</v>
      </c>
      <c r="C167" s="6" t="inlineStr">
        <is>
          <t>X</t>
        </is>
      </c>
      <c r="D167" s="5" t="n">
        <v>146</v>
      </c>
      <c r="E167" s="2">
        <f>B167*D167/10000</f>
        <v/>
      </c>
      <c r="F167" s="3">
        <f>B167/30.48</f>
        <v/>
      </c>
      <c r="G167" s="3">
        <f>D167/30.48</f>
        <v/>
      </c>
      <c r="H167" s="17" t="inlineStr">
        <is>
          <t>MSTF-TH</t>
        </is>
      </c>
      <c r="I167" s="77" t="n"/>
      <c r="J167" s="575" t="n"/>
    </row>
    <row r="168" ht="17.25" customFormat="1" customHeight="1" s="1">
      <c r="A168" s="8" t="n">
        <v>24</v>
      </c>
      <c r="B168" s="5" t="n">
        <v>82</v>
      </c>
      <c r="C168" s="6" t="inlineStr">
        <is>
          <t>X</t>
        </is>
      </c>
      <c r="D168" s="5" t="n">
        <v>51</v>
      </c>
      <c r="E168" s="2">
        <f>B168*D168/10000</f>
        <v/>
      </c>
      <c r="F168" s="3">
        <f>B168/30.48</f>
        <v/>
      </c>
      <c r="G168" s="3">
        <f>D168/30.48</f>
        <v/>
      </c>
      <c r="H168" s="568" t="inlineStr">
        <is>
          <t>MCHD-OLD</t>
        </is>
      </c>
      <c r="I168" s="581" t="inlineStr">
        <is>
          <t>Sally Bunting</t>
        </is>
      </c>
      <c r="J168" s="575" t="n"/>
    </row>
    <row r="169" ht="17.25" customFormat="1" customHeight="1" s="1">
      <c r="A169" s="8" t="inlineStr">
        <is>
          <t>Y 726</t>
        </is>
      </c>
      <c r="B169" s="5" t="n">
        <v>119</v>
      </c>
      <c r="C169" s="6" t="inlineStr">
        <is>
          <t>X</t>
        </is>
      </c>
      <c r="D169" s="5" t="n">
        <v>109</v>
      </c>
      <c r="E169" s="2">
        <f>B169*D169/10000</f>
        <v/>
      </c>
      <c r="F169" s="3">
        <f>B169/30.48</f>
        <v/>
      </c>
      <c r="G169" s="3">
        <f>D169/30.48</f>
        <v/>
      </c>
      <c r="H169" s="17" t="inlineStr">
        <is>
          <t>MSTF-TH</t>
        </is>
      </c>
      <c r="I169" s="75" t="n"/>
      <c r="J169" s="45" t="n"/>
    </row>
    <row r="170" ht="17.25" customFormat="1" customHeight="1" s="1">
      <c r="A170" s="8" t="n">
        <v>98</v>
      </c>
      <c r="B170" s="5" t="n">
        <v>90</v>
      </c>
      <c r="C170" s="6" t="inlineStr">
        <is>
          <t>X</t>
        </is>
      </c>
      <c r="D170" s="5" t="n">
        <v>48</v>
      </c>
      <c r="E170" s="2">
        <f>B170*D170/10000</f>
        <v/>
      </c>
      <c r="F170" s="3">
        <f>B170/30.48</f>
        <v/>
      </c>
      <c r="G170" s="3">
        <f>D170/30.48</f>
        <v/>
      </c>
      <c r="H170" s="568" t="inlineStr">
        <is>
          <t>MCHD-VR</t>
        </is>
      </c>
      <c r="I170" s="57" t="inlineStr">
        <is>
          <t>Katy Anderson</t>
        </is>
      </c>
      <c r="J170" s="45" t="inlineStr">
        <is>
          <t>US-913 626 1774</t>
        </is>
      </c>
    </row>
    <row r="171" ht="17.25" customFormat="1" customHeight="1" s="1">
      <c r="A171" s="8" t="n">
        <v>29</v>
      </c>
      <c r="B171" s="5" t="n">
        <v>85</v>
      </c>
      <c r="C171" s="6" t="inlineStr">
        <is>
          <t>X</t>
        </is>
      </c>
      <c r="D171" s="5" t="n">
        <v>49</v>
      </c>
      <c r="E171" s="2">
        <f>B171*D171/10000</f>
        <v/>
      </c>
      <c r="F171" s="3">
        <f>B171/30.48</f>
        <v/>
      </c>
      <c r="G171" s="3">
        <f>D171/30.48</f>
        <v/>
      </c>
      <c r="H171" s="568" t="inlineStr">
        <is>
          <t>MCHD-VR</t>
        </is>
      </c>
      <c r="I171" s="57" t="inlineStr">
        <is>
          <t>Georgia Williams</t>
        </is>
      </c>
      <c r="J171" s="45" t="inlineStr">
        <is>
          <t>US-803 622 0023</t>
        </is>
      </c>
    </row>
    <row r="172" ht="17.25" customFormat="1" customHeight="1" s="1">
      <c r="A172" s="8" t="inlineStr">
        <is>
          <t>C 236</t>
        </is>
      </c>
      <c r="B172" s="5" t="n">
        <v>300</v>
      </c>
      <c r="C172" s="6" t="inlineStr">
        <is>
          <t>X</t>
        </is>
      </c>
      <c r="D172" s="5" t="n">
        <v>73</v>
      </c>
      <c r="E172" s="2">
        <f>B172*D172/10000</f>
        <v/>
      </c>
      <c r="F172" s="3">
        <f>B172/30.48</f>
        <v/>
      </c>
      <c r="G172" s="3">
        <f>D172/30.48</f>
        <v/>
      </c>
      <c r="H172" s="553" t="inlineStr">
        <is>
          <t>MCHD-PAC</t>
        </is>
      </c>
      <c r="I172" s="57" t="inlineStr">
        <is>
          <t>Lisa Nelson</t>
        </is>
      </c>
      <c r="J172" s="45" t="inlineStr">
        <is>
          <t>US-972 733 0882</t>
        </is>
      </c>
    </row>
    <row r="173" ht="17.25" customFormat="1" customHeight="1" s="1">
      <c r="A173" s="8" t="inlineStr">
        <is>
          <t>C 204</t>
        </is>
      </c>
      <c r="B173" s="5" t="n">
        <v>141</v>
      </c>
      <c r="C173" s="6" t="inlineStr">
        <is>
          <t>X</t>
        </is>
      </c>
      <c r="D173" s="5" t="n">
        <v>59</v>
      </c>
      <c r="E173" s="2">
        <f>B173*D173/10000</f>
        <v/>
      </c>
      <c r="F173" s="3">
        <f>B173/30.48</f>
        <v/>
      </c>
      <c r="G173" s="3">
        <f>D173/30.48</f>
        <v/>
      </c>
      <c r="H173" s="553" t="inlineStr">
        <is>
          <t>MCHD-PAC</t>
        </is>
      </c>
      <c r="I173" s="57" t="inlineStr">
        <is>
          <t>Kathryn Wilson</t>
        </is>
      </c>
      <c r="J173" s="45" t="inlineStr">
        <is>
          <t>US-908 310 7974</t>
        </is>
      </c>
    </row>
    <row r="174" ht="17.25" customFormat="1" customHeight="1" s="1">
      <c r="A174" s="8" t="inlineStr">
        <is>
          <t>C 200</t>
        </is>
      </c>
      <c r="B174" s="5" t="n">
        <v>156</v>
      </c>
      <c r="C174" s="6" t="inlineStr">
        <is>
          <t>X</t>
        </is>
      </c>
      <c r="D174" s="5" t="n">
        <v>97</v>
      </c>
      <c r="E174" s="2">
        <f>B174*D174/10000</f>
        <v/>
      </c>
      <c r="F174" s="3">
        <f>B174/30.48</f>
        <v/>
      </c>
      <c r="G174" s="3">
        <f>D174/30.48</f>
        <v/>
      </c>
      <c r="H174" s="553" t="inlineStr">
        <is>
          <t>MCHD-PAC</t>
        </is>
      </c>
      <c r="I174" s="57" t="inlineStr">
        <is>
          <t>William Clark</t>
        </is>
      </c>
      <c r="J174" s="45" t="inlineStr">
        <is>
          <t>US-917 679 6248</t>
        </is>
      </c>
    </row>
    <row r="175" ht="17.25" customFormat="1" customHeight="1" s="1">
      <c r="A175" s="8" t="inlineStr">
        <is>
          <t>Y 383</t>
        </is>
      </c>
      <c r="B175" s="5" t="n">
        <v>377</v>
      </c>
      <c r="C175" s="6" t="inlineStr">
        <is>
          <t>X</t>
        </is>
      </c>
      <c r="D175" s="5" t="n">
        <v>250</v>
      </c>
      <c r="E175" s="2">
        <f>B175*D175/10000</f>
        <v/>
      </c>
      <c r="F175" s="3">
        <f>B175/30.48</f>
        <v/>
      </c>
      <c r="G175" s="3">
        <f>D175/30.48</f>
        <v/>
      </c>
      <c r="H175" s="16" t="inlineStr">
        <is>
          <t>MCHD-TR</t>
        </is>
      </c>
      <c r="I175" s="57" t="inlineStr">
        <is>
          <t>PEARSON+co.care of Standout</t>
        </is>
      </c>
      <c r="J175" s="45" t="inlineStr">
        <is>
          <t>US-615 609 0028</t>
        </is>
      </c>
    </row>
    <row r="176" ht="17.25" customFormat="1" customHeight="1" s="1">
      <c r="A176" s="8" t="inlineStr">
        <is>
          <t>C 161</t>
        </is>
      </c>
      <c r="B176" s="5" t="n">
        <v>262</v>
      </c>
      <c r="C176" s="6" t="inlineStr">
        <is>
          <t>X</t>
        </is>
      </c>
      <c r="D176" s="5" t="n">
        <v>185</v>
      </c>
      <c r="E176" s="2">
        <f>B176*D176/10000</f>
        <v/>
      </c>
      <c r="F176" s="3">
        <f>B176/30.48</f>
        <v/>
      </c>
      <c r="G176" s="3">
        <f>D176/30.48</f>
        <v/>
      </c>
      <c r="H176" s="553" t="inlineStr">
        <is>
          <t>MCHD-PAC</t>
        </is>
      </c>
      <c r="I176" s="57" t="inlineStr">
        <is>
          <t>Becky Cutrone</t>
        </is>
      </c>
      <c r="J176" s="45" t="inlineStr">
        <is>
          <t>US-631 368 5544</t>
        </is>
      </c>
    </row>
    <row r="177" ht="17.25" customFormat="1" customHeight="1" s="1">
      <c r="A177" s="8" t="inlineStr">
        <is>
          <t>C 757</t>
        </is>
      </c>
      <c r="B177" s="5" t="n">
        <v>382</v>
      </c>
      <c r="C177" s="6" t="inlineStr">
        <is>
          <t>X</t>
        </is>
      </c>
      <c r="D177" s="5" t="n">
        <v>288</v>
      </c>
      <c r="E177" s="2">
        <f>B177*D177/10000</f>
        <v/>
      </c>
      <c r="F177" s="3">
        <f>B177/30.48</f>
        <v/>
      </c>
      <c r="G177" s="3">
        <f>D177/30.48</f>
        <v/>
      </c>
      <c r="H177" s="553" t="inlineStr">
        <is>
          <t>MCHD-PAC</t>
        </is>
      </c>
      <c r="I177" s="581" t="inlineStr">
        <is>
          <t>Lori Atamanyk</t>
        </is>
      </c>
      <c r="J177" s="575" t="inlineStr">
        <is>
          <t>US-647 200 2201</t>
        </is>
      </c>
    </row>
    <row r="178" ht="17.25" customFormat="1" customHeight="1" s="1">
      <c r="A178" s="8" t="inlineStr">
        <is>
          <t>C 196</t>
        </is>
      </c>
      <c r="B178" s="5" t="n">
        <v>295</v>
      </c>
      <c r="C178" s="6" t="inlineStr">
        <is>
          <t>X</t>
        </is>
      </c>
      <c r="D178" s="5" t="n">
        <v>53</v>
      </c>
      <c r="E178" s="2">
        <f>B178*D178/10000</f>
        <v/>
      </c>
      <c r="F178" s="3">
        <f>B178/30.48</f>
        <v/>
      </c>
      <c r="G178" s="3">
        <f>D178/30.48</f>
        <v/>
      </c>
      <c r="H178" s="17" t="inlineStr">
        <is>
          <t>MSTF-EFS</t>
        </is>
      </c>
      <c r="I178" s="75" t="n"/>
      <c r="J178" s="45" t="n"/>
    </row>
    <row r="179" ht="17.25" customFormat="1" customHeight="1" s="1">
      <c r="A179" s="8" t="inlineStr">
        <is>
          <t>C 103</t>
        </is>
      </c>
      <c r="B179" s="5" t="n">
        <v>188</v>
      </c>
      <c r="C179" s="6" t="inlineStr">
        <is>
          <t>X</t>
        </is>
      </c>
      <c r="D179" s="5" t="n">
        <v>111</v>
      </c>
      <c r="E179" s="2">
        <f>B179*D179/10000</f>
        <v/>
      </c>
      <c r="F179" s="3">
        <f>B179/30.48</f>
        <v/>
      </c>
      <c r="G179" s="3">
        <f>D179/30.48</f>
        <v/>
      </c>
      <c r="H179" s="16" t="inlineStr">
        <is>
          <t>MCHD-TR</t>
        </is>
      </c>
      <c r="I179" s="581" t="inlineStr">
        <is>
          <t>Susannah Holmberg-Burr</t>
        </is>
      </c>
      <c r="J179" s="575" t="inlineStr">
        <is>
          <t>US-801 656 9713</t>
        </is>
      </c>
    </row>
    <row r="180" ht="17.25" customFormat="1" customHeight="1" s="1">
      <c r="A180" s="8" t="inlineStr">
        <is>
          <t>Y 674</t>
        </is>
      </c>
      <c r="B180" s="5" t="n">
        <v>270</v>
      </c>
      <c r="C180" s="6" t="inlineStr">
        <is>
          <t>X</t>
        </is>
      </c>
      <c r="D180" s="5" t="n">
        <v>105</v>
      </c>
      <c r="E180" s="2">
        <f>B180*D180/10000</f>
        <v/>
      </c>
      <c r="F180" s="3">
        <f>B180/30.48</f>
        <v/>
      </c>
      <c r="G180" s="3">
        <f>D180/30.48</f>
        <v/>
      </c>
      <c r="H180" s="17" t="inlineStr">
        <is>
          <t>MSTF-TH</t>
        </is>
      </c>
      <c r="I180" s="76" t="n"/>
      <c r="J180" s="575" t="n"/>
    </row>
    <row r="181" ht="17.25" customFormat="1" customHeight="1" s="1">
      <c r="A181" s="8" t="inlineStr">
        <is>
          <t>C 194</t>
        </is>
      </c>
      <c r="B181" s="5" t="n">
        <v>148</v>
      </c>
      <c r="C181" s="6" t="inlineStr">
        <is>
          <t>X</t>
        </is>
      </c>
      <c r="D181" s="5" t="n">
        <v>75</v>
      </c>
      <c r="E181" s="2">
        <f>B181*D181/10000</f>
        <v/>
      </c>
      <c r="F181" s="3">
        <f>B181/30.48</f>
        <v/>
      </c>
      <c r="G181" s="3">
        <f>D181/30.48</f>
        <v/>
      </c>
      <c r="H181" s="553" t="inlineStr">
        <is>
          <t>MCHD-PAC</t>
        </is>
      </c>
      <c r="I181" s="57" t="inlineStr">
        <is>
          <t>Allyson Sanders</t>
        </is>
      </c>
      <c r="J181" s="45" t="inlineStr">
        <is>
          <t>US-704 222 6939</t>
        </is>
      </c>
    </row>
    <row r="182" ht="17.25" customFormat="1" customHeight="1" s="1">
      <c r="A182" s="8" t="n">
        <v>81</v>
      </c>
      <c r="B182" s="5" t="n">
        <v>94</v>
      </c>
      <c r="C182" s="6" t="inlineStr">
        <is>
          <t>X</t>
        </is>
      </c>
      <c r="D182" s="5" t="n">
        <v>53</v>
      </c>
      <c r="E182" s="2">
        <f>B182*D182/10000</f>
        <v/>
      </c>
      <c r="F182" s="3">
        <f>B182/30.48</f>
        <v/>
      </c>
      <c r="G182" s="3">
        <f>D182/30.48</f>
        <v/>
      </c>
      <c r="H182" s="569" t="inlineStr">
        <is>
          <t>MCHD-VR</t>
        </is>
      </c>
      <c r="I182" s="581" t="inlineStr">
        <is>
          <t>Andrea Margolin</t>
        </is>
      </c>
      <c r="J182" s="575" t="inlineStr">
        <is>
          <t>US-410 218 1911</t>
        </is>
      </c>
    </row>
    <row r="183" ht="17.25" customFormat="1" customHeight="1" s="1">
      <c r="A183" s="8" t="n">
        <v>414</v>
      </c>
      <c r="B183" s="5" t="n">
        <v>324</v>
      </c>
      <c r="C183" s="6" t="inlineStr">
        <is>
          <t>X</t>
        </is>
      </c>
      <c r="D183" s="5" t="n">
        <v>222</v>
      </c>
      <c r="E183" s="2">
        <f>B183*D183/10000</f>
        <v/>
      </c>
      <c r="F183" s="3">
        <f>B183/30.48</f>
        <v/>
      </c>
      <c r="G183" s="3">
        <f>D183/30.48</f>
        <v/>
      </c>
      <c r="H183" s="568" t="inlineStr">
        <is>
          <t>MCHD-OLD</t>
        </is>
      </c>
      <c r="I183" s="581" t="inlineStr">
        <is>
          <t>Daniel Todd</t>
        </is>
      </c>
      <c r="J183" s="575" t="inlineStr">
        <is>
          <t>US-202 352 7761</t>
        </is>
      </c>
    </row>
    <row r="184" ht="17.25" customFormat="1" customHeight="1" s="1">
      <c r="A184" s="8" t="inlineStr">
        <is>
          <t>Y 900</t>
        </is>
      </c>
      <c r="B184" s="5" t="n">
        <v>206</v>
      </c>
      <c r="C184" s="6" t="inlineStr">
        <is>
          <t>X</t>
        </is>
      </c>
      <c r="D184" s="5" t="n">
        <v>120</v>
      </c>
      <c r="E184" s="2">
        <f>B184*D184/10000</f>
        <v/>
      </c>
      <c r="F184" s="3">
        <f>B184/30.48</f>
        <v/>
      </c>
      <c r="G184" s="3">
        <f>D184/30.48</f>
        <v/>
      </c>
      <c r="H184" s="17" t="inlineStr">
        <is>
          <t>MSTF-EFS</t>
        </is>
      </c>
      <c r="I184" s="75" t="n"/>
      <c r="J184" s="45" t="n"/>
    </row>
    <row r="185" ht="17.25" customFormat="1" customHeight="1" s="1">
      <c r="A185" s="8" t="inlineStr">
        <is>
          <t>C 453</t>
        </is>
      </c>
      <c r="B185" s="5" t="n">
        <v>105</v>
      </c>
      <c r="C185" s="6" t="inlineStr">
        <is>
          <t>X</t>
        </is>
      </c>
      <c r="D185" s="5" t="n">
        <v>165</v>
      </c>
      <c r="E185" s="2">
        <f>B185*D185/10000</f>
        <v/>
      </c>
      <c r="F185" s="3">
        <f>B185/30.48</f>
        <v/>
      </c>
      <c r="G185" s="3">
        <f>D185/30.48</f>
        <v/>
      </c>
      <c r="H185" s="553" t="inlineStr">
        <is>
          <t>MCHD-PAC</t>
        </is>
      </c>
      <c r="I185" s="67" t="inlineStr">
        <is>
          <t>Stephen Young</t>
        </is>
      </c>
      <c r="J185" s="575" t="n"/>
    </row>
    <row r="186" ht="17.25" customFormat="1" customHeight="1" s="1">
      <c r="A186" s="8" t="inlineStr">
        <is>
          <t>C 219</t>
        </is>
      </c>
      <c r="B186" s="5" t="n">
        <v>209</v>
      </c>
      <c r="C186" s="6" t="inlineStr">
        <is>
          <t>X</t>
        </is>
      </c>
      <c r="D186" s="5" t="n">
        <v>90</v>
      </c>
      <c r="E186" s="2">
        <f>B186*D186/10000</f>
        <v/>
      </c>
      <c r="F186" s="3">
        <f>B186/30.48</f>
        <v/>
      </c>
      <c r="G186" s="3">
        <f>D186/30.48</f>
        <v/>
      </c>
      <c r="H186" s="553" t="inlineStr">
        <is>
          <t>MCHD-PAC</t>
        </is>
      </c>
      <c r="I186" s="57" t="inlineStr">
        <is>
          <t>Lisa Hall c/o Betsy Kraft A. P.</t>
        </is>
      </c>
      <c r="J186" s="45" t="n"/>
    </row>
    <row r="187" ht="17.25" customFormat="1" customHeight="1" s="1">
      <c r="A187" s="8" t="inlineStr">
        <is>
          <t>C 104</t>
        </is>
      </c>
      <c r="B187" s="5" t="n">
        <v>180</v>
      </c>
      <c r="C187" s="6" t="inlineStr">
        <is>
          <t>X</t>
        </is>
      </c>
      <c r="D187" s="5" t="n">
        <v>100</v>
      </c>
      <c r="E187" s="2">
        <f>B187*D187/10000</f>
        <v/>
      </c>
      <c r="F187" s="3">
        <f>B187/30.48</f>
        <v/>
      </c>
      <c r="G187" s="3">
        <f>D187/30.48</f>
        <v/>
      </c>
      <c r="H187" s="16" t="inlineStr">
        <is>
          <t>MCHD-TR</t>
        </is>
      </c>
      <c r="I187" s="57" t="inlineStr">
        <is>
          <t>Mindy Bernard</t>
        </is>
      </c>
      <c r="J187" s="45" t="inlineStr">
        <is>
          <t>US-337 789 1674</t>
        </is>
      </c>
    </row>
    <row r="188" ht="17.25" customFormat="1" customHeight="1" s="1">
      <c r="A188" s="8" t="inlineStr">
        <is>
          <t>C 133</t>
        </is>
      </c>
      <c r="B188" s="5" t="n">
        <v>375</v>
      </c>
      <c r="C188" s="6" t="inlineStr">
        <is>
          <t>X</t>
        </is>
      </c>
      <c r="D188" s="5" t="n">
        <v>77</v>
      </c>
      <c r="E188" s="2">
        <f>B188*D188/10000</f>
        <v/>
      </c>
      <c r="F188" s="3">
        <f>B188/30.48</f>
        <v/>
      </c>
      <c r="G188" s="3">
        <f>D188/30.48</f>
        <v/>
      </c>
      <c r="H188" s="553" t="inlineStr">
        <is>
          <t>MCHD-PAC</t>
        </is>
      </c>
      <c r="I188" s="57" t="inlineStr">
        <is>
          <t>Kristen Little</t>
        </is>
      </c>
      <c r="J188" s="45" t="inlineStr">
        <is>
          <t>US-818 438 3360</t>
        </is>
      </c>
    </row>
    <row r="189" ht="17.25" customFormat="1" customHeight="1" s="1">
      <c r="A189" s="8" t="n">
        <v>234</v>
      </c>
      <c r="B189" s="5" t="n">
        <v>73</v>
      </c>
      <c r="C189" s="6" t="inlineStr">
        <is>
          <t>X</t>
        </is>
      </c>
      <c r="D189" s="5" t="n">
        <v>44</v>
      </c>
      <c r="E189" s="2">
        <f>B189*D189/10000</f>
        <v/>
      </c>
      <c r="F189" s="3">
        <f>B189/30.48</f>
        <v/>
      </c>
      <c r="G189" s="3">
        <f>D189/30.48</f>
        <v/>
      </c>
      <c r="H189" s="569" t="inlineStr">
        <is>
          <t>MCHD-VR</t>
        </is>
      </c>
      <c r="I189" s="57" t="inlineStr">
        <is>
          <t>Erica Browne</t>
        </is>
      </c>
      <c r="J189" s="45" t="inlineStr">
        <is>
          <t>US-913 515 9833</t>
        </is>
      </c>
      <c r="K189" s="1" t="inlineStr">
        <is>
          <t xml:space="preserve"> </t>
        </is>
      </c>
    </row>
    <row r="190" ht="17.25" customFormat="1" customHeight="1" s="1">
      <c r="A190" s="8" t="inlineStr">
        <is>
          <t>Y 771</t>
        </is>
      </c>
      <c r="B190" s="5" t="n">
        <v>227</v>
      </c>
      <c r="C190" s="6" t="inlineStr">
        <is>
          <t>X</t>
        </is>
      </c>
      <c r="D190" s="5" t="n">
        <v>130</v>
      </c>
      <c r="E190" s="2">
        <f>B190*D190/10000</f>
        <v/>
      </c>
      <c r="F190" s="3">
        <f>B190/30.48</f>
        <v/>
      </c>
      <c r="G190" s="3">
        <f>D190/30.48</f>
        <v/>
      </c>
      <c r="H190" s="16" t="inlineStr">
        <is>
          <t>MCHD-TR</t>
        </is>
      </c>
      <c r="I190" s="581" t="inlineStr">
        <is>
          <t>Kim Shoulders</t>
        </is>
      </c>
      <c r="J190" s="575" t="n"/>
    </row>
    <row r="191" ht="17.25" customFormat="1" customHeight="1" s="1">
      <c r="A191" s="8" t="inlineStr">
        <is>
          <t>C 314</t>
        </is>
      </c>
      <c r="B191" s="5" t="n">
        <v>212</v>
      </c>
      <c r="C191" s="6" t="inlineStr">
        <is>
          <t>X</t>
        </is>
      </c>
      <c r="D191" s="5" t="n">
        <v>112</v>
      </c>
      <c r="E191" s="2">
        <f>B191*D191/10000</f>
        <v/>
      </c>
      <c r="F191" s="3">
        <f>B191/30.48</f>
        <v/>
      </c>
      <c r="G191" s="3">
        <f>D191/30.48</f>
        <v/>
      </c>
      <c r="H191" s="553" t="inlineStr">
        <is>
          <t>MCHD-PAC</t>
        </is>
      </c>
      <c r="I191" s="57" t="inlineStr">
        <is>
          <t>Kendra Russell</t>
        </is>
      </c>
      <c r="J191" s="45" t="inlineStr">
        <is>
          <t>US-610 804 5045</t>
        </is>
      </c>
    </row>
    <row r="192" ht="17.25" customFormat="1" customHeight="1" s="1">
      <c r="A192" s="8" t="inlineStr">
        <is>
          <t>C 197</t>
        </is>
      </c>
      <c r="B192" s="5" t="n">
        <v>438</v>
      </c>
      <c r="C192" s="6" t="inlineStr">
        <is>
          <t>X</t>
        </is>
      </c>
      <c r="D192" s="5" t="n">
        <v>90</v>
      </c>
      <c r="E192" s="2">
        <f>B192*D192/10000</f>
        <v/>
      </c>
      <c r="F192" s="3">
        <f>B192/30.48</f>
        <v/>
      </c>
      <c r="G192" s="3">
        <f>D192/30.48</f>
        <v/>
      </c>
      <c r="H192" s="568" t="inlineStr">
        <is>
          <t>MCHD-OLD</t>
        </is>
      </c>
      <c r="I192" s="57" t="inlineStr">
        <is>
          <t>Luana Fox</t>
        </is>
      </c>
      <c r="J192" s="45" t="inlineStr">
        <is>
          <t>US-917 741 3166</t>
        </is>
      </c>
      <c r="K192" s="1" t="inlineStr">
        <is>
          <t xml:space="preserve"> </t>
        </is>
      </c>
    </row>
    <row r="193" ht="17.25" customFormat="1" customHeight="1" s="1">
      <c r="A193" s="8" t="inlineStr">
        <is>
          <t>C 825</t>
        </is>
      </c>
      <c r="B193" s="5" t="n">
        <v>378</v>
      </c>
      <c r="C193" s="6" t="inlineStr">
        <is>
          <t>X</t>
        </is>
      </c>
      <c r="D193" s="5" t="n">
        <v>281</v>
      </c>
      <c r="E193" s="2">
        <f>B193*D193/10000</f>
        <v/>
      </c>
      <c r="F193" s="3">
        <f>B193/30.48</f>
        <v/>
      </c>
      <c r="G193" s="3">
        <f>D193/30.48</f>
        <v/>
      </c>
      <c r="H193" s="553" t="inlineStr">
        <is>
          <t>MCHD-PAC</t>
        </is>
      </c>
      <c r="I193" s="581" t="inlineStr">
        <is>
          <t>Courtney Minor</t>
        </is>
      </c>
      <c r="J193" s="575" t="inlineStr">
        <is>
          <t>US-502 548 2447</t>
        </is>
      </c>
    </row>
    <row r="194" ht="17.25" customFormat="1" customHeight="1" s="1">
      <c r="A194" s="8" t="inlineStr">
        <is>
          <t>C 770</t>
        </is>
      </c>
      <c r="B194" s="5" t="n">
        <v>300</v>
      </c>
      <c r="C194" s="6" t="inlineStr">
        <is>
          <t>X</t>
        </is>
      </c>
      <c r="D194" s="5" t="n">
        <v>217</v>
      </c>
      <c r="E194" s="2">
        <f>B194*D194/10000</f>
        <v/>
      </c>
      <c r="F194" s="3">
        <f>B194/30.48</f>
        <v/>
      </c>
      <c r="G194" s="3">
        <f>D194/30.48</f>
        <v/>
      </c>
      <c r="H194" s="553" t="inlineStr">
        <is>
          <t>MCHD-PAC</t>
        </is>
      </c>
      <c r="I194" s="581" t="inlineStr">
        <is>
          <t>Kim Adamle</t>
        </is>
      </c>
      <c r="J194" s="575" t="inlineStr">
        <is>
          <t>US-847 331 0038</t>
        </is>
      </c>
      <c r="K194" s="1" t="inlineStr">
        <is>
          <t xml:space="preserve"> </t>
        </is>
      </c>
    </row>
    <row r="195" ht="17.25" customFormat="1" customHeight="1" s="1">
      <c r="A195" s="8" t="n">
        <v>651</v>
      </c>
      <c r="B195" s="5" t="n">
        <v>297</v>
      </c>
      <c r="C195" s="6" t="inlineStr">
        <is>
          <t>X</t>
        </is>
      </c>
      <c r="D195" s="5" t="n">
        <v>173</v>
      </c>
      <c r="E195" s="2">
        <f>B195*D195/10000</f>
        <v/>
      </c>
      <c r="F195" s="3">
        <f>B195/30.48</f>
        <v/>
      </c>
      <c r="G195" s="3">
        <f>D195/30.48</f>
        <v/>
      </c>
      <c r="H195" s="17" t="inlineStr">
        <is>
          <t>MSTF-EFS</t>
        </is>
      </c>
      <c r="I195" s="75" t="n"/>
      <c r="J195" s="45" t="n"/>
    </row>
    <row r="196" ht="17.25" customFormat="1" customHeight="1" s="1">
      <c r="A196" s="8" t="inlineStr">
        <is>
          <t>C 231</t>
        </is>
      </c>
      <c r="B196" s="5" t="n">
        <v>255</v>
      </c>
      <c r="C196" s="6" t="inlineStr">
        <is>
          <t>X</t>
        </is>
      </c>
      <c r="D196" s="5" t="n">
        <v>94</v>
      </c>
      <c r="E196" s="2">
        <f>B196*D196/10000</f>
        <v/>
      </c>
      <c r="F196" s="3">
        <f>B196/30.48</f>
        <v/>
      </c>
      <c r="G196" s="3">
        <f>D196/30.48</f>
        <v/>
      </c>
      <c r="H196" s="17" t="inlineStr">
        <is>
          <t>MSTF-EFS</t>
        </is>
      </c>
      <c r="I196" s="75" t="n"/>
      <c r="J196" s="45" t="n"/>
      <c r="K196" s="1" t="inlineStr">
        <is>
          <t xml:space="preserve"> </t>
        </is>
      </c>
    </row>
    <row r="197" ht="17.25" customFormat="1" customHeight="1" s="1">
      <c r="A197" s="8" t="inlineStr">
        <is>
          <t>Y 806</t>
        </is>
      </c>
      <c r="B197" s="5" t="n">
        <v>305</v>
      </c>
      <c r="C197" s="6" t="inlineStr">
        <is>
          <t>X</t>
        </is>
      </c>
      <c r="D197" s="5" t="n">
        <v>208</v>
      </c>
      <c r="E197" s="2">
        <f>B197*D197/10000</f>
        <v/>
      </c>
      <c r="F197" s="3">
        <f>B197/30.48</f>
        <v/>
      </c>
      <c r="G197" s="3">
        <f>D197/30.48</f>
        <v/>
      </c>
      <c r="H197" s="553" t="inlineStr">
        <is>
          <t>MCHD-PAC</t>
        </is>
      </c>
      <c r="I197" s="57" t="inlineStr">
        <is>
          <t>Jennifer Zabierek</t>
        </is>
      </c>
      <c r="J197" s="45" t="inlineStr">
        <is>
          <t>US-646 522 0269</t>
        </is>
      </c>
    </row>
    <row r="198" ht="17.25" customFormat="1" customHeight="1" s="1">
      <c r="A198" s="8" t="inlineStr">
        <is>
          <t>C 328</t>
        </is>
      </c>
      <c r="B198" s="5" t="n">
        <v>160</v>
      </c>
      <c r="C198" s="6" t="inlineStr">
        <is>
          <t>X</t>
        </is>
      </c>
      <c r="D198" s="5" t="n">
        <v>90</v>
      </c>
      <c r="E198" s="2">
        <f>B198*D198/10000</f>
        <v/>
      </c>
      <c r="F198" s="3">
        <f>B198/30.48</f>
        <v/>
      </c>
      <c r="G198" s="3">
        <f>D198/30.48</f>
        <v/>
      </c>
      <c r="H198" s="553" t="inlineStr">
        <is>
          <t>MCHD-PAC</t>
        </is>
      </c>
      <c r="I198" s="57" t="inlineStr">
        <is>
          <t>Handpıcked Artıfacts</t>
        </is>
      </c>
      <c r="J198" s="45" t="inlineStr">
        <is>
          <t>US-519 831 6790</t>
        </is>
      </c>
      <c r="K198" s="1" t="inlineStr">
        <is>
          <t xml:space="preserve"> </t>
        </is>
      </c>
    </row>
    <row r="199" ht="17.25" customFormat="1" customHeight="1" s="1">
      <c r="A199" s="8" t="inlineStr">
        <is>
          <t>C 829</t>
        </is>
      </c>
      <c r="B199" s="5" t="n">
        <v>383</v>
      </c>
      <c r="C199" s="6" t="inlineStr">
        <is>
          <t>X</t>
        </is>
      </c>
      <c r="D199" s="5" t="n">
        <v>296</v>
      </c>
      <c r="E199" s="2">
        <f>B199*D199/10000</f>
        <v/>
      </c>
      <c r="F199" s="3">
        <f>B199/30.48</f>
        <v/>
      </c>
      <c r="G199" s="3">
        <f>D199/30.48</f>
        <v/>
      </c>
      <c r="H199" s="553" t="inlineStr">
        <is>
          <t>MCHD-PAC</t>
        </is>
      </c>
      <c r="I199" s="581" t="inlineStr">
        <is>
          <t>Cammie Malaga</t>
        </is>
      </c>
      <c r="J199" s="575" t="inlineStr">
        <is>
          <t>US-503 312 8749</t>
        </is>
      </c>
      <c r="K199" s="1" t="inlineStr">
        <is>
          <t xml:space="preserve"> </t>
        </is>
      </c>
    </row>
    <row r="200" ht="17.25" customFormat="1" customHeight="1" s="1">
      <c r="A200" s="8" t="inlineStr">
        <is>
          <t>Y 589</t>
        </is>
      </c>
      <c r="B200" s="5" t="n">
        <v>323</v>
      </c>
      <c r="C200" s="6" t="inlineStr">
        <is>
          <t>X</t>
        </is>
      </c>
      <c r="D200" s="5" t="n">
        <v>78</v>
      </c>
      <c r="E200" s="2">
        <f>B200*D200/10000</f>
        <v/>
      </c>
      <c r="F200" s="3">
        <f>B200/30.48</f>
        <v/>
      </c>
      <c r="G200" s="3">
        <f>D200/30.48</f>
        <v/>
      </c>
      <c r="H200" s="568" t="inlineStr">
        <is>
          <t>MCHD-OLD</t>
        </is>
      </c>
      <c r="I200" s="581" t="inlineStr">
        <is>
          <t>Kelly Duncan</t>
        </is>
      </c>
      <c r="J200" s="575" t="inlineStr">
        <is>
          <t>US-832 647 2658</t>
        </is>
      </c>
      <c r="K200" s="1" t="inlineStr">
        <is>
          <t xml:space="preserve"> </t>
        </is>
      </c>
    </row>
    <row r="201" ht="17.25" customFormat="1" customHeight="1" s="1">
      <c r="A201" s="8" t="inlineStr">
        <is>
          <t>C 343</t>
        </is>
      </c>
      <c r="B201" s="5" t="n">
        <v>154</v>
      </c>
      <c r="C201" s="6" t="inlineStr">
        <is>
          <t>X</t>
        </is>
      </c>
      <c r="D201" s="5" t="n">
        <v>88</v>
      </c>
      <c r="E201" s="2">
        <f>B201*D201/10000</f>
        <v/>
      </c>
      <c r="F201" s="3">
        <f>B201/30.48</f>
        <v/>
      </c>
      <c r="G201" s="3">
        <f>D201/30.48</f>
        <v/>
      </c>
      <c r="H201" s="553" t="inlineStr">
        <is>
          <t>MCHD-PAC</t>
        </is>
      </c>
      <c r="I201" s="68" t="inlineStr">
        <is>
          <t>Katherine Martel</t>
        </is>
      </c>
      <c r="J201" s="575" t="n"/>
      <c r="K201" s="1" t="inlineStr">
        <is>
          <t xml:space="preserve"> </t>
        </is>
      </c>
    </row>
    <row r="202" ht="17.25" customFormat="1" customHeight="1" s="1">
      <c r="A202" s="8" t="inlineStr">
        <is>
          <t>C 26</t>
        </is>
      </c>
      <c r="B202" s="5" t="n">
        <v>373</v>
      </c>
      <c r="C202" s="6" t="inlineStr">
        <is>
          <t>X</t>
        </is>
      </c>
      <c r="D202" s="5" t="n">
        <v>286</v>
      </c>
      <c r="E202" s="2">
        <f>B202*D202/10000</f>
        <v/>
      </c>
      <c r="F202" s="3">
        <f>B202/30.48</f>
        <v/>
      </c>
      <c r="G202" s="3">
        <f>D202/30.48</f>
        <v/>
      </c>
      <c r="H202" s="16" t="inlineStr">
        <is>
          <t>MCHD-TR</t>
        </is>
      </c>
      <c r="I202" s="581" t="inlineStr">
        <is>
          <t>Helen Lee</t>
        </is>
      </c>
      <c r="J202" s="575" t="inlineStr">
        <is>
          <t>HK-852 3511 5388</t>
        </is>
      </c>
      <c r="K202" s="1" t="inlineStr">
        <is>
          <t xml:space="preserve"> </t>
        </is>
      </c>
    </row>
    <row r="203" ht="17.25" customFormat="1" customHeight="1" s="1">
      <c r="A203" s="8" t="inlineStr">
        <is>
          <t>C 117</t>
        </is>
      </c>
      <c r="B203" s="5" t="n">
        <v>142</v>
      </c>
      <c r="C203" s="6" t="inlineStr">
        <is>
          <t>X</t>
        </is>
      </c>
      <c r="D203" s="5" t="n">
        <v>77</v>
      </c>
      <c r="E203" s="2">
        <f>B203*D203/10000</f>
        <v/>
      </c>
      <c r="F203" s="3">
        <f>B203/30.48</f>
        <v/>
      </c>
      <c r="G203" s="3">
        <f>D203/30.48</f>
        <v/>
      </c>
      <c r="H203" s="553" t="inlineStr">
        <is>
          <t>MCHD-PAC</t>
        </is>
      </c>
      <c r="I203" s="68" t="inlineStr">
        <is>
          <t>Stacey Nagy</t>
        </is>
      </c>
      <c r="J203" s="575" t="inlineStr">
        <is>
          <t>US-920 321 8560</t>
        </is>
      </c>
      <c r="K203" s="1" t="inlineStr">
        <is>
          <t xml:space="preserve"> </t>
        </is>
      </c>
    </row>
    <row r="204" ht="17.25" customFormat="1" customHeight="1" s="1">
      <c r="A204" s="8" t="inlineStr">
        <is>
          <t>C 100</t>
        </is>
      </c>
      <c r="B204" s="5" t="n">
        <v>222</v>
      </c>
      <c r="C204" s="6" t="inlineStr">
        <is>
          <t>X</t>
        </is>
      </c>
      <c r="D204" s="5" t="n">
        <v>80</v>
      </c>
      <c r="E204" s="2">
        <f>B204*D204/10000</f>
        <v/>
      </c>
      <c r="F204" s="3">
        <f>B204/30.48</f>
        <v/>
      </c>
      <c r="G204" s="3">
        <f>D204/30.48</f>
        <v/>
      </c>
      <c r="H204" s="16" t="inlineStr">
        <is>
          <t>MCHD-TR</t>
        </is>
      </c>
      <c r="I204" s="581" t="inlineStr">
        <is>
          <t>Natalie Micholic</t>
        </is>
      </c>
      <c r="J204" s="575" t="inlineStr">
        <is>
          <t>US-513 520 3767</t>
        </is>
      </c>
      <c r="K204" s="1" t="inlineStr">
        <is>
          <t xml:space="preserve"> </t>
        </is>
      </c>
    </row>
    <row r="205" ht="17.25" customFormat="1" customHeight="1" s="1">
      <c r="A205" s="8" t="inlineStr">
        <is>
          <t>Y 967</t>
        </is>
      </c>
      <c r="B205" s="5" t="n">
        <v>202</v>
      </c>
      <c r="C205" s="6" t="inlineStr">
        <is>
          <t>X</t>
        </is>
      </c>
      <c r="D205" s="5" t="n">
        <v>96</v>
      </c>
      <c r="E205" s="2">
        <f>B205*D205/10000</f>
        <v/>
      </c>
      <c r="F205" s="3">
        <f>B205/30.48</f>
        <v/>
      </c>
      <c r="G205" s="3">
        <f>D205/30.48</f>
        <v/>
      </c>
      <c r="H205" s="553" t="inlineStr">
        <is>
          <t>MCHD-PAC</t>
        </is>
      </c>
      <c r="I205" s="57" t="inlineStr">
        <is>
          <t>Austin Thomas</t>
        </is>
      </c>
      <c r="J205" s="45" t="inlineStr">
        <is>
          <t>US-281 898 8579</t>
        </is>
      </c>
      <c r="K205" s="1" t="inlineStr">
        <is>
          <t xml:space="preserve"> </t>
        </is>
      </c>
    </row>
    <row r="206" ht="17.25" customFormat="1" customHeight="1" s="1">
      <c r="A206" s="8" t="n">
        <v>175</v>
      </c>
      <c r="B206" s="5" t="n">
        <v>210</v>
      </c>
      <c r="C206" s="6" t="inlineStr">
        <is>
          <t>X</t>
        </is>
      </c>
      <c r="D206" s="5" t="n">
        <v>130</v>
      </c>
      <c r="E206" s="2">
        <f>B206*D206/10000</f>
        <v/>
      </c>
      <c r="F206" s="3">
        <f>B206/30.48</f>
        <v/>
      </c>
      <c r="G206" s="3">
        <f>D206/30.48</f>
        <v/>
      </c>
      <c r="H206" s="553" t="inlineStr">
        <is>
          <t>MCHD-PAC</t>
        </is>
      </c>
      <c r="I206" s="581" t="inlineStr">
        <is>
          <t>William Clark</t>
        </is>
      </c>
      <c r="J206" s="575" t="inlineStr">
        <is>
          <t>US-917 679 6248</t>
        </is>
      </c>
      <c r="K206" s="1" t="inlineStr">
        <is>
          <t xml:space="preserve"> </t>
        </is>
      </c>
    </row>
    <row r="207" ht="17.25" customFormat="1" customHeight="1" s="1">
      <c r="A207" s="8" t="inlineStr">
        <is>
          <t>C 173</t>
        </is>
      </c>
      <c r="B207" s="5" t="n">
        <v>167</v>
      </c>
      <c r="C207" s="6" t="inlineStr">
        <is>
          <t>X</t>
        </is>
      </c>
      <c r="D207" s="5" t="n">
        <v>97</v>
      </c>
      <c r="E207" s="2">
        <f>B207*D207/10000</f>
        <v/>
      </c>
      <c r="F207" s="3">
        <f>B207/30.48</f>
        <v/>
      </c>
      <c r="G207" s="3">
        <f>D207/30.48</f>
        <v/>
      </c>
      <c r="H207" s="553" t="inlineStr">
        <is>
          <t>MCHD-PAC</t>
        </is>
      </c>
      <c r="I207" s="693" t="n"/>
      <c r="J207" s="693" t="n"/>
      <c r="K207" s="1" t="inlineStr">
        <is>
          <t xml:space="preserve"> </t>
        </is>
      </c>
    </row>
    <row r="208" ht="17.25" customFormat="1" customHeight="1" s="1">
      <c r="A208" s="8" t="inlineStr">
        <is>
          <t>C 817</t>
        </is>
      </c>
      <c r="B208" s="5" t="n">
        <v>388</v>
      </c>
      <c r="C208" s="6" t="inlineStr">
        <is>
          <t>X</t>
        </is>
      </c>
      <c r="D208" s="5" t="n">
        <v>303</v>
      </c>
      <c r="E208" s="2">
        <f>B208*D208/10000</f>
        <v/>
      </c>
      <c r="F208" s="3">
        <f>B208/30.48</f>
        <v/>
      </c>
      <c r="G208" s="3">
        <f>D208/30.48</f>
        <v/>
      </c>
      <c r="H208" s="16" t="inlineStr">
        <is>
          <t>MCHD-TR</t>
        </is>
      </c>
      <c r="I208" s="576" t="inlineStr">
        <is>
          <t>Catherine Pietsch</t>
        </is>
      </c>
      <c r="J208" s="575" t="inlineStr">
        <is>
          <t>US-515 782 2579</t>
        </is>
      </c>
      <c r="K208" s="1" t="inlineStr">
        <is>
          <t xml:space="preserve"> </t>
        </is>
      </c>
    </row>
    <row r="209" ht="17.25" customFormat="1" customHeight="1" s="1">
      <c r="A209" s="8" t="inlineStr">
        <is>
          <t>C 822</t>
        </is>
      </c>
      <c r="B209" s="5" t="n">
        <v>360</v>
      </c>
      <c r="C209" s="6" t="inlineStr">
        <is>
          <t>X</t>
        </is>
      </c>
      <c r="D209" s="5" t="n">
        <v>296</v>
      </c>
      <c r="E209" s="2">
        <f>B209*D209/10000</f>
        <v/>
      </c>
      <c r="F209" s="3">
        <f>B209/30.48</f>
        <v/>
      </c>
      <c r="G209" s="3">
        <f>D209/30.48</f>
        <v/>
      </c>
      <c r="H209" s="16" t="inlineStr">
        <is>
          <t>MCHD-TR</t>
        </is>
      </c>
      <c r="I209" s="693" t="n"/>
      <c r="J209" s="693" t="n"/>
      <c r="K209" s="1" t="inlineStr">
        <is>
          <t xml:space="preserve"> </t>
        </is>
      </c>
    </row>
    <row r="210" ht="17.25" customFormat="1" customHeight="1" s="1">
      <c r="A210" s="8" t="inlineStr">
        <is>
          <t>Y 307</t>
        </is>
      </c>
      <c r="B210" s="5" t="n">
        <v>393</v>
      </c>
      <c r="C210" s="6" t="inlineStr">
        <is>
          <t>X</t>
        </is>
      </c>
      <c r="D210" s="5" t="n">
        <v>91</v>
      </c>
      <c r="E210" s="2">
        <f>B210*D210/10000</f>
        <v/>
      </c>
      <c r="F210" s="3">
        <f>B210/30.48</f>
        <v/>
      </c>
      <c r="G210" s="3">
        <f>D210/30.48</f>
        <v/>
      </c>
      <c r="H210" s="568" t="inlineStr">
        <is>
          <t>MCHD-OLD</t>
        </is>
      </c>
      <c r="I210" s="57" t="inlineStr">
        <is>
          <t>Chelsea Wallace</t>
        </is>
      </c>
      <c r="J210" s="45" t="inlineStr">
        <is>
          <t>US-760 525 7368</t>
        </is>
      </c>
      <c r="K210" s="1" t="inlineStr">
        <is>
          <t xml:space="preserve"> </t>
        </is>
      </c>
    </row>
    <row r="211" ht="17.25" customFormat="1" customHeight="1" s="1">
      <c r="A211" s="8" t="inlineStr">
        <is>
          <t>C 74</t>
        </is>
      </c>
      <c r="B211" s="5" t="n">
        <v>288</v>
      </c>
      <c r="C211" s="6" t="inlineStr">
        <is>
          <t>X</t>
        </is>
      </c>
      <c r="D211" s="5" t="n">
        <v>168</v>
      </c>
      <c r="E211" s="2">
        <f>B211*D211/10000</f>
        <v/>
      </c>
      <c r="F211" s="3">
        <f>B211/30.48</f>
        <v/>
      </c>
      <c r="G211" s="3">
        <f>D211/30.48</f>
        <v/>
      </c>
      <c r="H211" s="17" t="inlineStr">
        <is>
          <t>MSTF-TH</t>
        </is>
      </c>
      <c r="I211" s="75" t="n"/>
      <c r="J211" s="45" t="n"/>
      <c r="K211" s="1" t="inlineStr">
        <is>
          <t xml:space="preserve"> </t>
        </is>
      </c>
    </row>
    <row r="212" ht="17.25" customFormat="1" customHeight="1" s="1">
      <c r="A212" s="8" t="inlineStr">
        <is>
          <t>C 830</t>
        </is>
      </c>
      <c r="B212" s="5" t="n">
        <v>366</v>
      </c>
      <c r="C212" s="6" t="inlineStr">
        <is>
          <t>X</t>
        </is>
      </c>
      <c r="D212" s="5" t="n">
        <v>284</v>
      </c>
      <c r="E212" s="2">
        <f>B212*D212/10000</f>
        <v/>
      </c>
      <c r="F212" s="3">
        <f>B212/30.48</f>
        <v/>
      </c>
      <c r="G212" s="3">
        <f>D212/30.48</f>
        <v/>
      </c>
      <c r="H212" s="17" t="inlineStr">
        <is>
          <t>MSTF-EFS</t>
        </is>
      </c>
      <c r="I212" s="75" t="n"/>
      <c r="J212" s="45" t="n"/>
      <c r="K212" s="1" t="inlineStr">
        <is>
          <t xml:space="preserve"> </t>
        </is>
      </c>
    </row>
    <row r="213" ht="17.25" customFormat="1" customHeight="1" s="1">
      <c r="A213" s="8" t="n">
        <v>8</v>
      </c>
      <c r="B213" s="5" t="n">
        <v>85</v>
      </c>
      <c r="C213" s="6" t="inlineStr">
        <is>
          <t>X</t>
        </is>
      </c>
      <c r="D213" s="5" t="n">
        <v>45</v>
      </c>
      <c r="E213" s="2">
        <f>B213*D213/10000</f>
        <v/>
      </c>
      <c r="F213" s="3">
        <f>B213/30.48</f>
        <v/>
      </c>
      <c r="G213" s="3">
        <f>D213/30.48</f>
        <v/>
      </c>
      <c r="H213" s="569" t="inlineStr">
        <is>
          <t>MCHD-VR</t>
        </is>
      </c>
      <c r="I213" s="57" t="inlineStr">
        <is>
          <t>Caroline Rolfsen</t>
        </is>
      </c>
      <c r="J213" s="45" t="inlineStr">
        <is>
          <t>US-337 349 1341</t>
        </is>
      </c>
      <c r="K213" s="1" t="inlineStr">
        <is>
          <t xml:space="preserve"> </t>
        </is>
      </c>
    </row>
    <row r="214" ht="17.25" customHeight="1" s="305">
      <c r="A214" s="8" t="inlineStr">
        <is>
          <t>H 121</t>
        </is>
      </c>
      <c r="B214" s="5" t="n">
        <v>97</v>
      </c>
      <c r="C214" s="6" t="inlineStr">
        <is>
          <t>X</t>
        </is>
      </c>
      <c r="D214" s="5" t="n">
        <v>246</v>
      </c>
      <c r="E214" s="2">
        <f>B214*D214/10000</f>
        <v/>
      </c>
      <c r="F214" s="3">
        <f>B214/30.48</f>
        <v/>
      </c>
      <c r="G214" s="3">
        <f>D214/30.48</f>
        <v/>
      </c>
      <c r="H214" s="16" t="inlineStr">
        <is>
          <t>MCHD-TR</t>
        </is>
      </c>
      <c r="I214" s="57" t="inlineStr">
        <is>
          <t>Lisa Sandler</t>
        </is>
      </c>
      <c r="J214" s="45" t="inlineStr">
        <is>
          <t>US-203 710 2666</t>
        </is>
      </c>
      <c r="K214" s="1" t="inlineStr">
        <is>
          <t xml:space="preserve"> </t>
        </is>
      </c>
      <c r="L214" s="1" t="n"/>
    </row>
    <row r="215">
      <c r="A215" s="536" t="inlineStr">
        <is>
          <t>-2022 AĞUSTOS-50</t>
        </is>
      </c>
      <c r="H215" s="62" t="inlineStr">
        <is>
          <t>SATAN-SİTE</t>
        </is>
      </c>
      <c r="I215" s="19" t="inlineStr">
        <is>
          <t>MÜŞTERİ ADI</t>
        </is>
      </c>
      <c r="J215" s="63" t="inlineStr">
        <is>
          <t>MÜŞTERİ İLETİŞİM &amp; ÜLKE</t>
        </is>
      </c>
      <c r="K215" s="1" t="inlineStr">
        <is>
          <t xml:space="preserve"> </t>
        </is>
      </c>
      <c r="L215" s="1" t="n"/>
    </row>
    <row r="216" ht="17.25" customFormat="1" customHeight="1" s="1">
      <c r="A216" s="8" t="n">
        <v>1015</v>
      </c>
      <c r="B216" s="5" t="n">
        <v>92</v>
      </c>
      <c r="C216" s="6" t="inlineStr">
        <is>
          <t>X</t>
        </is>
      </c>
      <c r="D216" s="5" t="n">
        <v>50</v>
      </c>
      <c r="E216" s="2">
        <f>B216*D216/10000</f>
        <v/>
      </c>
      <c r="F216" s="3">
        <f>B216/30.48</f>
        <v/>
      </c>
      <c r="G216" s="3">
        <f>D216/30.48</f>
        <v/>
      </c>
      <c r="H216" s="568" t="inlineStr">
        <is>
          <t>MCHD-OLD</t>
        </is>
      </c>
      <c r="I216" s="581" t="inlineStr">
        <is>
          <t>Anna Clem</t>
        </is>
      </c>
      <c r="J216" s="575" t="n"/>
      <c r="K216" s="1" t="inlineStr">
        <is>
          <t xml:space="preserve"> </t>
        </is>
      </c>
    </row>
    <row r="217" ht="17.25" customFormat="1" customHeight="1" s="1">
      <c r="A217" s="8" t="inlineStr">
        <is>
          <t>Y 897</t>
        </is>
      </c>
      <c r="B217" s="5" t="n">
        <v>182</v>
      </c>
      <c r="C217" s="6" t="inlineStr">
        <is>
          <t>X</t>
        </is>
      </c>
      <c r="D217" s="5" t="n">
        <v>78</v>
      </c>
      <c r="E217" s="2">
        <f>B217*D217/10000</f>
        <v/>
      </c>
      <c r="F217" s="3">
        <f>B217/30.48</f>
        <v/>
      </c>
      <c r="G217" s="3">
        <f>D217/30.48</f>
        <v/>
      </c>
      <c r="H217" s="553" t="inlineStr">
        <is>
          <t>MCHD-PAC</t>
        </is>
      </c>
      <c r="I217" s="581" t="inlineStr">
        <is>
          <t>Jo Dalton</t>
        </is>
      </c>
      <c r="J217" s="60" t="n"/>
      <c r="K217" s="1" t="inlineStr">
        <is>
          <t xml:space="preserve"> </t>
        </is>
      </c>
    </row>
    <row r="218" ht="17.25" customFormat="1" customHeight="1" s="1">
      <c r="A218" s="8" t="inlineStr">
        <is>
          <t>C 827</t>
        </is>
      </c>
      <c r="B218" s="5" t="n">
        <v>385</v>
      </c>
      <c r="C218" s="6" t="inlineStr">
        <is>
          <t>X</t>
        </is>
      </c>
      <c r="D218" s="5" t="n">
        <v>282</v>
      </c>
      <c r="E218" s="2">
        <f>B218*D218/10000</f>
        <v/>
      </c>
      <c r="F218" s="3">
        <f>B218/30.48</f>
        <v/>
      </c>
      <c r="G218" s="3">
        <f>D218/30.48</f>
        <v/>
      </c>
      <c r="H218" s="16" t="inlineStr">
        <is>
          <t>MCHD-TR</t>
        </is>
      </c>
      <c r="I218" s="581" t="inlineStr">
        <is>
          <t>Kimberly Stone</t>
        </is>
      </c>
      <c r="J218" s="575" t="inlineStr">
        <is>
          <t>US-704 906 7564</t>
        </is>
      </c>
      <c r="K218" s="1" t="inlineStr">
        <is>
          <t xml:space="preserve"> </t>
        </is>
      </c>
    </row>
    <row r="219" ht="17.25" customFormat="1" customHeight="1" s="1">
      <c r="A219" s="8" t="n">
        <v>23</v>
      </c>
      <c r="B219" s="5" t="n">
        <v>92</v>
      </c>
      <c r="C219" s="6" t="inlineStr">
        <is>
          <t>X</t>
        </is>
      </c>
      <c r="D219" s="5" t="n">
        <v>43</v>
      </c>
      <c r="E219" s="2">
        <f>B219*D219/10000</f>
        <v/>
      </c>
      <c r="F219" s="3">
        <f>B219/30.48</f>
        <v/>
      </c>
      <c r="G219" s="3">
        <f>D219/30.48</f>
        <v/>
      </c>
      <c r="H219" s="568" t="inlineStr">
        <is>
          <t>MCHD-OLD</t>
        </is>
      </c>
      <c r="I219" s="581" t="inlineStr">
        <is>
          <t>Erica Church</t>
        </is>
      </c>
      <c r="J219" s="54" t="n"/>
      <c r="K219" s="1" t="inlineStr">
        <is>
          <t xml:space="preserve"> </t>
        </is>
      </c>
    </row>
    <row r="220" ht="17.25" customFormat="1" customHeight="1" s="1">
      <c r="A220" s="8" t="inlineStr">
        <is>
          <t>C 198</t>
        </is>
      </c>
      <c r="B220" s="5" t="n">
        <v>295</v>
      </c>
      <c r="C220" s="6" t="inlineStr">
        <is>
          <t>X</t>
        </is>
      </c>
      <c r="D220" s="5" t="n">
        <v>80</v>
      </c>
      <c r="E220" s="2">
        <f>B220*D220/10000</f>
        <v/>
      </c>
      <c r="F220" s="3">
        <f>B220/30.48</f>
        <v/>
      </c>
      <c r="G220" s="3">
        <f>D220/30.48</f>
        <v/>
      </c>
      <c r="H220" s="16" t="inlineStr">
        <is>
          <t>MCHD-TR</t>
        </is>
      </c>
      <c r="I220" s="581" t="inlineStr">
        <is>
          <t>Jacqueline Brown</t>
        </is>
      </c>
      <c r="J220" s="54" t="n"/>
      <c r="K220" s="1" t="inlineStr">
        <is>
          <t xml:space="preserve"> </t>
        </is>
      </c>
    </row>
    <row r="221" ht="17.25" customFormat="1" customHeight="1" s="1">
      <c r="A221" s="8" t="inlineStr">
        <is>
          <t>C 264</t>
        </is>
      </c>
      <c r="B221" s="5" t="n">
        <v>133</v>
      </c>
      <c r="C221" s="6" t="inlineStr">
        <is>
          <t>X</t>
        </is>
      </c>
      <c r="D221" s="5" t="n">
        <v>241</v>
      </c>
      <c r="E221" s="2">
        <f>B221*D221/10000</f>
        <v/>
      </c>
      <c r="F221" s="3">
        <f>B221/30.48</f>
        <v/>
      </c>
      <c r="G221" s="3">
        <f>D221/30.48</f>
        <v/>
      </c>
      <c r="H221" s="16" t="inlineStr">
        <is>
          <t>MCHD-TR</t>
        </is>
      </c>
      <c r="I221" s="581" t="inlineStr">
        <is>
          <t>Katie Grant</t>
        </is>
      </c>
      <c r="J221" s="575" t="inlineStr">
        <is>
          <t>US-404 452 9554</t>
        </is>
      </c>
      <c r="K221" s="1" t="inlineStr">
        <is>
          <t xml:space="preserve"> </t>
        </is>
      </c>
    </row>
    <row r="222" ht="17.25" customFormat="1" customHeight="1" s="1">
      <c r="A222" s="8" t="inlineStr">
        <is>
          <t>H 154-1</t>
        </is>
      </c>
      <c r="B222" s="5" t="n">
        <v>232</v>
      </c>
      <c r="C222" s="6" t="inlineStr">
        <is>
          <t>X</t>
        </is>
      </c>
      <c r="D222" s="5" t="n">
        <v>87</v>
      </c>
      <c r="E222" s="2">
        <f>B222*D222/10000</f>
        <v/>
      </c>
      <c r="F222" s="3">
        <f>B222/30.48</f>
        <v/>
      </c>
      <c r="G222" s="3">
        <f>D222/30.48</f>
        <v/>
      </c>
      <c r="H222" s="17" t="inlineStr">
        <is>
          <t>MSTF-TH</t>
        </is>
      </c>
      <c r="I222" s="76" t="n"/>
      <c r="J222" s="575" t="n"/>
      <c r="K222" s="1" t="inlineStr">
        <is>
          <t xml:space="preserve"> </t>
        </is>
      </c>
    </row>
    <row r="223" ht="17.25" customFormat="1" customHeight="1" s="1">
      <c r="A223" s="8" t="n">
        <v>106</v>
      </c>
      <c r="B223" s="5" t="n">
        <v>80</v>
      </c>
      <c r="C223" s="6" t="inlineStr">
        <is>
          <t>X</t>
        </is>
      </c>
      <c r="D223" s="5" t="n">
        <v>45</v>
      </c>
      <c r="E223" s="2">
        <f>B223*D223/10000</f>
        <v/>
      </c>
      <c r="F223" s="3">
        <f>B223/30.48</f>
        <v/>
      </c>
      <c r="G223" s="3">
        <f>D223/30.48</f>
        <v/>
      </c>
      <c r="H223" s="16" t="inlineStr">
        <is>
          <t>MCHD-TR</t>
        </is>
      </c>
      <c r="I223" s="57" t="inlineStr">
        <is>
          <t>Kylie Simon</t>
        </is>
      </c>
      <c r="J223" s="45" t="inlineStr">
        <is>
          <t>US-260 414 8336</t>
        </is>
      </c>
      <c r="K223" s="1" t="inlineStr">
        <is>
          <t xml:space="preserve"> </t>
        </is>
      </c>
    </row>
    <row r="224" ht="17.25" customFormat="1" customHeight="1" s="1">
      <c r="A224" s="8" t="inlineStr">
        <is>
          <t>C 150</t>
        </is>
      </c>
      <c r="B224" s="5" t="n">
        <v>419</v>
      </c>
      <c r="C224" s="6" t="inlineStr">
        <is>
          <t>X</t>
        </is>
      </c>
      <c r="D224" s="5" t="n">
        <v>82</v>
      </c>
      <c r="E224" s="2">
        <f>B224*D224/10000</f>
        <v/>
      </c>
      <c r="F224" s="3">
        <f>B224/30.48</f>
        <v/>
      </c>
      <c r="G224" s="3">
        <f>D224/30.48</f>
        <v/>
      </c>
      <c r="H224" s="16" t="inlineStr">
        <is>
          <t>MCHD-TR</t>
        </is>
      </c>
      <c r="I224" s="57" t="inlineStr">
        <is>
          <t>Kelsey Ellis</t>
        </is>
      </c>
      <c r="J224" s="45" t="inlineStr">
        <is>
          <t>US-843 810 9551</t>
        </is>
      </c>
      <c r="K224" s="1" t="inlineStr">
        <is>
          <t xml:space="preserve"> </t>
        </is>
      </c>
    </row>
    <row r="225" ht="17.25" customFormat="1" customHeight="1" s="1">
      <c r="A225" s="8" t="inlineStr">
        <is>
          <t>C 207</t>
        </is>
      </c>
      <c r="B225" s="5" t="n">
        <v>291</v>
      </c>
      <c r="C225" s="6" t="inlineStr">
        <is>
          <t>X</t>
        </is>
      </c>
      <c r="D225" s="5" t="n">
        <v>86</v>
      </c>
      <c r="E225" s="2">
        <f>B225*D225/10000</f>
        <v/>
      </c>
      <c r="F225" s="3">
        <f>B225/30.48</f>
        <v/>
      </c>
      <c r="G225" s="3">
        <f>D225/30.48</f>
        <v/>
      </c>
      <c r="H225" s="568" t="inlineStr">
        <is>
          <t>MCHD-OLD</t>
        </is>
      </c>
      <c r="I225" s="581" t="inlineStr">
        <is>
          <t>Barbara Garrett</t>
        </is>
      </c>
      <c r="J225" s="575" t="inlineStr">
        <is>
          <t>US-435 229 3062</t>
        </is>
      </c>
      <c r="K225" s="1" t="inlineStr">
        <is>
          <t xml:space="preserve"> </t>
        </is>
      </c>
    </row>
    <row r="226" ht="17.25" customFormat="1" customHeight="1" s="1">
      <c r="A226" s="8" t="n">
        <v>53</v>
      </c>
      <c r="B226" s="5" t="n">
        <v>100</v>
      </c>
      <c r="C226" s="6" t="inlineStr">
        <is>
          <t>X</t>
        </is>
      </c>
      <c r="D226" s="5" t="n">
        <v>52</v>
      </c>
      <c r="E226" s="2">
        <f>B226*D226/10000</f>
        <v/>
      </c>
      <c r="F226" s="3">
        <f>B226/30.48</f>
        <v/>
      </c>
      <c r="G226" s="3">
        <f>D226/30.48</f>
        <v/>
      </c>
      <c r="H226" s="569" t="inlineStr">
        <is>
          <t>MCHD-VR</t>
        </is>
      </c>
      <c r="I226" s="57" t="inlineStr">
        <is>
          <t>Lacy Gaskill</t>
        </is>
      </c>
      <c r="J226" s="45" t="n"/>
      <c r="K226" s="1" t="inlineStr">
        <is>
          <t xml:space="preserve"> </t>
        </is>
      </c>
    </row>
    <row r="227" ht="17.25" customFormat="1" customHeight="1" s="1">
      <c r="A227" s="8" t="inlineStr">
        <is>
          <t>C 127</t>
        </is>
      </c>
      <c r="B227" s="5" t="n">
        <v>261</v>
      </c>
      <c r="C227" s="6" t="inlineStr">
        <is>
          <t>X</t>
        </is>
      </c>
      <c r="D227" s="5" t="n">
        <v>65</v>
      </c>
      <c r="E227" s="2">
        <f>B227*D227/10000</f>
        <v/>
      </c>
      <c r="F227" s="3">
        <f>B227/30.48</f>
        <v/>
      </c>
      <c r="G227" s="3">
        <f>D227/30.48</f>
        <v/>
      </c>
      <c r="H227" s="569" t="inlineStr">
        <is>
          <t>MCHD-VR</t>
        </is>
      </c>
      <c r="I227" s="57" t="inlineStr">
        <is>
          <t>Kate Stout</t>
        </is>
      </c>
      <c r="J227" s="45" t="inlineStr">
        <is>
          <t>US-615 812 7950</t>
        </is>
      </c>
      <c r="K227" s="1" t="inlineStr">
        <is>
          <t xml:space="preserve"> </t>
        </is>
      </c>
    </row>
    <row r="228" ht="17.25" customFormat="1" customHeight="1" s="1">
      <c r="A228" s="8" t="inlineStr">
        <is>
          <t>Y 879</t>
        </is>
      </c>
      <c r="B228" s="5" t="n">
        <v>253</v>
      </c>
      <c r="C228" s="6" t="inlineStr">
        <is>
          <t>X</t>
        </is>
      </c>
      <c r="D228" s="5" t="n">
        <v>84</v>
      </c>
      <c r="E228" s="2">
        <f>B228*D228/10000</f>
        <v/>
      </c>
      <c r="F228" s="3">
        <f>B228/30.48</f>
        <v/>
      </c>
      <c r="G228" s="3">
        <f>D228/30.48</f>
        <v/>
      </c>
      <c r="H228" s="592" t="inlineStr">
        <is>
          <t>MCHD-PAC</t>
        </is>
      </c>
      <c r="I228" s="57" t="inlineStr">
        <is>
          <t>Maureen Block</t>
        </is>
      </c>
      <c r="J228" s="45" t="n"/>
      <c r="K228" s="1" t="inlineStr">
        <is>
          <t xml:space="preserve"> </t>
        </is>
      </c>
    </row>
    <row r="229" ht="17.25" customFormat="1" customHeight="1" s="1">
      <c r="A229" s="8" t="inlineStr">
        <is>
          <t>C 251</t>
        </is>
      </c>
      <c r="B229" s="5" t="n">
        <v>96</v>
      </c>
      <c r="C229" s="6" t="inlineStr">
        <is>
          <t>X</t>
        </is>
      </c>
      <c r="D229" s="5" t="n">
        <v>157</v>
      </c>
      <c r="E229" s="2">
        <f>B229*D229/10000</f>
        <v/>
      </c>
      <c r="F229" s="3">
        <f>B229/30.48</f>
        <v/>
      </c>
      <c r="G229" s="3">
        <f>D229/30.48</f>
        <v/>
      </c>
      <c r="H229" s="568" t="inlineStr">
        <is>
          <t>MCHD-TR</t>
        </is>
      </c>
      <c r="I229" s="65" t="inlineStr">
        <is>
          <t>Sarah Smith-İade</t>
        </is>
      </c>
      <c r="J229" s="45" t="inlineStr">
        <is>
          <t>US-405 226 5177</t>
        </is>
      </c>
      <c r="K229" s="1" t="inlineStr">
        <is>
          <t xml:space="preserve"> </t>
        </is>
      </c>
    </row>
    <row r="230" ht="17.25" customFormat="1" customHeight="1" s="1">
      <c r="A230" s="8" t="n">
        <v>146</v>
      </c>
      <c r="B230" s="5" t="n">
        <v>77</v>
      </c>
      <c r="C230" s="6" t="inlineStr">
        <is>
          <t>X</t>
        </is>
      </c>
      <c r="D230" s="5" t="n">
        <v>45</v>
      </c>
      <c r="E230" s="2">
        <f>B230*D230/10000</f>
        <v/>
      </c>
      <c r="F230" s="3">
        <f>B230/30.48</f>
        <v/>
      </c>
      <c r="G230" s="3">
        <f>D230/30.48</f>
        <v/>
      </c>
      <c r="H230" s="568" t="inlineStr">
        <is>
          <t>MCHD-OLD</t>
        </is>
      </c>
      <c r="I230" s="581" t="inlineStr">
        <is>
          <t>Alexanndra Ellis</t>
        </is>
      </c>
      <c r="J230" s="575" t="inlineStr">
        <is>
          <t>US-360 550 6861</t>
        </is>
      </c>
      <c r="K230" s="1" t="inlineStr">
        <is>
          <t xml:space="preserve"> </t>
        </is>
      </c>
    </row>
    <row r="231" ht="17.25" customFormat="1" customHeight="1" s="1">
      <c r="A231" s="8" t="inlineStr">
        <is>
          <t>C 301</t>
        </is>
      </c>
      <c r="B231" s="5" t="n">
        <v>165</v>
      </c>
      <c r="C231" s="6" t="inlineStr">
        <is>
          <t>X</t>
        </is>
      </c>
      <c r="D231" s="5" t="n">
        <v>77</v>
      </c>
      <c r="E231" s="2">
        <f>B231*D231/10000</f>
        <v/>
      </c>
      <c r="F231" s="3">
        <f>B231/30.48</f>
        <v/>
      </c>
      <c r="G231" s="3">
        <f>D231/30.48</f>
        <v/>
      </c>
      <c r="H231" s="568" t="inlineStr">
        <is>
          <t>MCHD-TR</t>
        </is>
      </c>
      <c r="I231" s="57" t="inlineStr">
        <is>
          <t>Jennifer Neagle</t>
        </is>
      </c>
      <c r="J231" s="45" t="n"/>
      <c r="K231" s="1" t="inlineStr">
        <is>
          <t xml:space="preserve"> </t>
        </is>
      </c>
    </row>
    <row r="232" ht="17.25" customFormat="1" customHeight="1" s="1">
      <c r="A232" s="8" t="inlineStr">
        <is>
          <t>Y 320</t>
        </is>
      </c>
      <c r="B232" s="5" t="n">
        <v>178</v>
      </c>
      <c r="C232" s="6" t="inlineStr">
        <is>
          <t>X</t>
        </is>
      </c>
      <c r="D232" s="5" t="n">
        <v>72</v>
      </c>
      <c r="E232" s="2">
        <f>B232*D232/10000</f>
        <v/>
      </c>
      <c r="F232" s="3">
        <f>B232/30.48</f>
        <v/>
      </c>
      <c r="G232" s="3">
        <f>D232/30.48</f>
        <v/>
      </c>
      <c r="H232" s="568" t="inlineStr">
        <is>
          <t>MCHD-TR</t>
        </is>
      </c>
      <c r="I232" s="57" t="inlineStr">
        <is>
          <t>Anneliese Pickering</t>
        </is>
      </c>
      <c r="J232" s="45" t="inlineStr">
        <is>
          <t>US-920 222 0260</t>
        </is>
      </c>
      <c r="K232" s="1" t="inlineStr">
        <is>
          <t xml:space="preserve"> </t>
        </is>
      </c>
    </row>
    <row r="233" ht="17.25" customFormat="1" customHeight="1" s="1">
      <c r="A233" s="8" t="n">
        <v>56</v>
      </c>
      <c r="B233" s="5" t="n">
        <v>86</v>
      </c>
      <c r="C233" s="6" t="inlineStr">
        <is>
          <t>X</t>
        </is>
      </c>
      <c r="D233" s="5" t="n">
        <v>51</v>
      </c>
      <c r="E233" s="2">
        <f>B233*D233/10000</f>
        <v/>
      </c>
      <c r="F233" s="3">
        <f>B233/30.48</f>
        <v/>
      </c>
      <c r="G233" s="3">
        <f>D233/30.48</f>
        <v/>
      </c>
      <c r="H233" s="569" t="inlineStr">
        <is>
          <t>MCHD-VR</t>
        </is>
      </c>
      <c r="I233" s="581" t="inlineStr">
        <is>
          <t>Michele Marinelli</t>
        </is>
      </c>
      <c r="J233" s="575" t="inlineStr">
        <is>
          <t>US- 646 662 6546</t>
        </is>
      </c>
      <c r="K233" s="1" t="inlineStr">
        <is>
          <t xml:space="preserve"> </t>
        </is>
      </c>
    </row>
    <row r="234" ht="17.25" customFormat="1" customHeight="1" s="1">
      <c r="A234" s="8" t="n">
        <v>143</v>
      </c>
      <c r="B234" s="5" t="n">
        <v>80</v>
      </c>
      <c r="C234" s="6" t="inlineStr">
        <is>
          <t>X</t>
        </is>
      </c>
      <c r="D234" s="5" t="n">
        <v>49</v>
      </c>
      <c r="E234" s="2">
        <f>B234*D234/10000</f>
        <v/>
      </c>
      <c r="F234" s="3">
        <f>B234/30.48</f>
        <v/>
      </c>
      <c r="G234" s="3">
        <f>D234/30.48</f>
        <v/>
      </c>
      <c r="H234" s="568" t="inlineStr">
        <is>
          <t>MCHD-OLD</t>
        </is>
      </c>
      <c r="I234" s="57" t="inlineStr">
        <is>
          <t>Sara Bruner</t>
        </is>
      </c>
      <c r="J234" s="45" t="inlineStr">
        <is>
          <t>US-210 913 1410</t>
        </is>
      </c>
      <c r="K234" s="1" t="inlineStr">
        <is>
          <t xml:space="preserve"> </t>
        </is>
      </c>
    </row>
    <row r="235" ht="17.25" customFormat="1" customHeight="1" s="1">
      <c r="A235" s="8" t="n">
        <v>23</v>
      </c>
      <c r="B235" s="5" t="n">
        <v>80</v>
      </c>
      <c r="C235" s="6" t="inlineStr">
        <is>
          <t>X</t>
        </is>
      </c>
      <c r="D235" s="5" t="n">
        <v>47</v>
      </c>
      <c r="E235" s="2">
        <f>B235*D235/10000</f>
        <v/>
      </c>
      <c r="F235" s="3">
        <f>B235/30.48</f>
        <v/>
      </c>
      <c r="G235" s="3">
        <f>D235/30.48</f>
        <v/>
      </c>
      <c r="H235" s="569" t="inlineStr">
        <is>
          <t>MCHD-VR</t>
        </is>
      </c>
      <c r="I235" s="57" t="inlineStr">
        <is>
          <t>Cynthia Torres</t>
        </is>
      </c>
      <c r="J235" s="45" t="inlineStr">
        <is>
          <t>US-915 740 2946</t>
        </is>
      </c>
      <c r="K235" s="1" t="inlineStr">
        <is>
          <t xml:space="preserve"> </t>
        </is>
      </c>
    </row>
    <row r="236" ht="17.25" customFormat="1" customHeight="1" s="1">
      <c r="A236" s="8" t="inlineStr">
        <is>
          <t>Y 434</t>
        </is>
      </c>
      <c r="B236" s="5" t="n">
        <v>278</v>
      </c>
      <c r="C236" s="6" t="inlineStr">
        <is>
          <t>X</t>
        </is>
      </c>
      <c r="D236" s="5" t="n">
        <v>179</v>
      </c>
      <c r="E236" s="2">
        <f>B236*D236/10000</f>
        <v/>
      </c>
      <c r="F236" s="3">
        <f>B236/30.48</f>
        <v/>
      </c>
      <c r="G236" s="3">
        <f>D236/30.48</f>
        <v/>
      </c>
      <c r="H236" s="17" t="inlineStr">
        <is>
          <t>MSTF-TH</t>
        </is>
      </c>
      <c r="I236" s="75" t="n"/>
      <c r="J236" s="45" t="n"/>
      <c r="K236" s="1" t="inlineStr">
        <is>
          <t xml:space="preserve"> </t>
        </is>
      </c>
    </row>
    <row r="237" ht="17.25" customFormat="1" customHeight="1" s="1">
      <c r="A237" s="8" t="inlineStr">
        <is>
          <t>C 993</t>
        </is>
      </c>
      <c r="B237" s="5" t="n">
        <v>282</v>
      </c>
      <c r="C237" s="6" t="inlineStr">
        <is>
          <t>X</t>
        </is>
      </c>
      <c r="D237" s="5" t="n">
        <v>375</v>
      </c>
      <c r="E237" s="2">
        <f>B237*D237/10000</f>
        <v/>
      </c>
      <c r="F237" s="3">
        <f>B237/30.48</f>
        <v/>
      </c>
      <c r="G237" s="3">
        <f>D237/30.48</f>
        <v/>
      </c>
      <c r="H237" s="17" t="inlineStr">
        <is>
          <t>MSTF-TH</t>
        </is>
      </c>
      <c r="I237" s="75" t="n"/>
      <c r="J237" s="45" t="n"/>
      <c r="K237" s="1" t="inlineStr">
        <is>
          <t xml:space="preserve"> </t>
        </is>
      </c>
    </row>
    <row r="238" ht="17.25" customFormat="1" customHeight="1" s="1">
      <c r="A238" s="8" t="inlineStr">
        <is>
          <t>C 129</t>
        </is>
      </c>
      <c r="B238" s="5" t="n">
        <v>240</v>
      </c>
      <c r="C238" s="6" t="inlineStr">
        <is>
          <t>X</t>
        </is>
      </c>
      <c r="D238" s="5" t="n">
        <v>86</v>
      </c>
      <c r="E238" s="2">
        <f>B238*D238/10000</f>
        <v/>
      </c>
      <c r="F238" s="3">
        <f>B238/30.48</f>
        <v/>
      </c>
      <c r="G238" s="3">
        <f>D238/30.48</f>
        <v/>
      </c>
      <c r="H238" s="568" t="inlineStr">
        <is>
          <t>MCHD-TR</t>
        </is>
      </c>
      <c r="I238" s="581" t="inlineStr">
        <is>
          <t>Jessica Sylvester</t>
        </is>
      </c>
      <c r="J238" s="575" t="n"/>
      <c r="K238" s="1" t="inlineStr">
        <is>
          <t xml:space="preserve"> </t>
        </is>
      </c>
    </row>
    <row r="239" ht="17.25" customFormat="1" customHeight="1" s="1">
      <c r="A239" s="8" t="inlineStr">
        <is>
          <t>C 378</t>
        </is>
      </c>
      <c r="B239" s="5" t="n">
        <v>74</v>
      </c>
      <c r="C239" s="6" t="inlineStr">
        <is>
          <t>X</t>
        </is>
      </c>
      <c r="D239" s="5" t="n">
        <v>355</v>
      </c>
      <c r="E239" s="2">
        <f>B239*D239/10000</f>
        <v/>
      </c>
      <c r="F239" s="3">
        <f>B239/30.48</f>
        <v/>
      </c>
      <c r="G239" s="3">
        <f>D239/30.48</f>
        <v/>
      </c>
      <c r="H239" s="17" t="inlineStr">
        <is>
          <t>MSTF-TH</t>
        </is>
      </c>
      <c r="I239" s="75" t="n"/>
      <c r="J239" s="45" t="n"/>
      <c r="K239" s="1" t="inlineStr">
        <is>
          <t xml:space="preserve"> </t>
        </is>
      </c>
    </row>
    <row r="240" ht="17.25" customFormat="1" customHeight="1" s="1">
      <c r="A240" s="8" t="n">
        <v>258</v>
      </c>
      <c r="B240" s="5" t="n">
        <v>84</v>
      </c>
      <c r="C240" s="6" t="inlineStr">
        <is>
          <t>X</t>
        </is>
      </c>
      <c r="D240" s="5" t="n">
        <v>48</v>
      </c>
      <c r="E240" s="2">
        <f>B240*D240/10000</f>
        <v/>
      </c>
      <c r="F240" s="3">
        <f>B240/30.48</f>
        <v/>
      </c>
      <c r="G240" s="3">
        <f>D240/30.48</f>
        <v/>
      </c>
      <c r="H240" s="568" t="inlineStr">
        <is>
          <t>MCHD-OLD</t>
        </is>
      </c>
      <c r="I240" s="57" t="inlineStr">
        <is>
          <t>Gina Purdy</t>
        </is>
      </c>
      <c r="J240" s="45" t="n"/>
      <c r="K240" s="1" t="inlineStr">
        <is>
          <t xml:space="preserve"> </t>
        </is>
      </c>
    </row>
    <row r="241" ht="17.25" customFormat="1" customHeight="1" s="1">
      <c r="A241" s="8" t="n">
        <v>158</v>
      </c>
      <c r="B241" s="5" t="n">
        <v>76</v>
      </c>
      <c r="C241" s="6" t="inlineStr">
        <is>
          <t>X</t>
        </is>
      </c>
      <c r="D241" s="5" t="n">
        <v>52</v>
      </c>
      <c r="E241" s="2">
        <f>B241*D241/10000</f>
        <v/>
      </c>
      <c r="F241" s="3">
        <f>B241/30.48</f>
        <v/>
      </c>
      <c r="G241" s="3">
        <f>D241/30.48</f>
        <v/>
      </c>
      <c r="H241" s="16" t="inlineStr">
        <is>
          <t>MCHD-VR</t>
        </is>
      </c>
      <c r="I241" s="581" t="inlineStr">
        <is>
          <t>Katie Tran</t>
        </is>
      </c>
      <c r="J241" s="45" t="n"/>
      <c r="K241" s="1" t="inlineStr">
        <is>
          <t xml:space="preserve"> </t>
        </is>
      </c>
    </row>
    <row r="242" ht="17.25" customFormat="1" customHeight="1" s="1">
      <c r="A242" s="8" t="n">
        <v>229</v>
      </c>
      <c r="B242" s="5" t="n">
        <v>88</v>
      </c>
      <c r="C242" s="6" t="inlineStr">
        <is>
          <t>X</t>
        </is>
      </c>
      <c r="D242" s="5" t="n">
        <v>48</v>
      </c>
      <c r="E242" s="2">
        <f>B242*D242/10000</f>
        <v/>
      </c>
      <c r="F242" s="3">
        <f>B242/30.48</f>
        <v/>
      </c>
      <c r="G242" s="3">
        <f>D242/30.48</f>
        <v/>
      </c>
      <c r="H242" s="694" t="n"/>
      <c r="I242" s="693" t="n"/>
      <c r="J242" s="575" t="n"/>
      <c r="K242" s="1" t="inlineStr">
        <is>
          <t xml:space="preserve"> </t>
        </is>
      </c>
    </row>
    <row r="243" ht="17.25" customFormat="1" customHeight="1" s="1">
      <c r="A243" s="8" t="inlineStr">
        <is>
          <t>Y 820</t>
        </is>
      </c>
      <c r="B243" s="5" t="n">
        <v>253</v>
      </c>
      <c r="C243" s="6" t="inlineStr">
        <is>
          <t>X</t>
        </is>
      </c>
      <c r="D243" s="5" t="n">
        <v>168</v>
      </c>
      <c r="E243" s="2">
        <f>B243*D243/10000</f>
        <v/>
      </c>
      <c r="F243" s="3">
        <f>B243/30.48</f>
        <v/>
      </c>
      <c r="G243" s="3">
        <f>D243/30.48</f>
        <v/>
      </c>
      <c r="H243" s="17" t="inlineStr">
        <is>
          <t>MSTF-TH</t>
        </is>
      </c>
      <c r="I243" s="75" t="n"/>
      <c r="J243" s="45" t="n"/>
      <c r="K243" s="1" t="inlineStr">
        <is>
          <t xml:space="preserve"> </t>
        </is>
      </c>
    </row>
    <row r="244" ht="17.25" customFormat="1" customHeight="1" s="1">
      <c r="A244" s="8" t="inlineStr">
        <is>
          <t>Y 526</t>
        </is>
      </c>
      <c r="B244" s="5" t="n">
        <v>291</v>
      </c>
      <c r="C244" s="6" t="inlineStr">
        <is>
          <t>X</t>
        </is>
      </c>
      <c r="D244" s="5" t="n">
        <v>100</v>
      </c>
      <c r="E244" s="2">
        <f>B244*D244/10000</f>
        <v/>
      </c>
      <c r="F244" s="3">
        <f>B244/30.48</f>
        <v/>
      </c>
      <c r="G244" s="3">
        <f>D244/30.48</f>
        <v/>
      </c>
      <c r="H244" s="592" t="inlineStr">
        <is>
          <t>MCHD-PAC</t>
        </is>
      </c>
      <c r="I244" s="57" t="inlineStr">
        <is>
          <t>Kelsey Ladd</t>
        </is>
      </c>
      <c r="J244" s="45" t="inlineStr">
        <is>
          <t>US-859 213 0365</t>
        </is>
      </c>
      <c r="K244" s="1" t="inlineStr">
        <is>
          <t xml:space="preserve"> </t>
        </is>
      </c>
    </row>
    <row r="245" ht="17.25" customFormat="1" customHeight="1" s="1">
      <c r="A245" s="8" t="inlineStr">
        <is>
          <t>C 759</t>
        </is>
      </c>
      <c r="B245" s="5" t="n">
        <v>368</v>
      </c>
      <c r="C245" s="6" t="inlineStr">
        <is>
          <t>X</t>
        </is>
      </c>
      <c r="D245" s="5" t="n">
        <v>291</v>
      </c>
      <c r="E245" s="2">
        <f>B245*D245/10000</f>
        <v/>
      </c>
      <c r="F245" s="3">
        <f>B245/30.48</f>
        <v/>
      </c>
      <c r="G245" s="3">
        <f>D245/30.48</f>
        <v/>
      </c>
      <c r="H245" s="568" t="inlineStr">
        <is>
          <t>MCHD-OLD</t>
        </is>
      </c>
      <c r="I245" s="57" t="inlineStr">
        <is>
          <t>Chelsea Harwood</t>
        </is>
      </c>
      <c r="J245" s="45" t="inlineStr">
        <is>
          <t>US-423 313 5291</t>
        </is>
      </c>
      <c r="K245" s="1" t="inlineStr">
        <is>
          <t xml:space="preserve"> </t>
        </is>
      </c>
    </row>
    <row r="246" ht="17.25" customFormat="1" customHeight="1" s="1">
      <c r="A246" s="8" t="inlineStr">
        <is>
          <t>C 826</t>
        </is>
      </c>
      <c r="B246" s="5" t="n">
        <v>375</v>
      </c>
      <c r="C246" s="6" t="inlineStr">
        <is>
          <t>X</t>
        </is>
      </c>
      <c r="D246" s="5" t="n">
        <v>299</v>
      </c>
      <c r="E246" s="2">
        <f>B246*D246/10000</f>
        <v/>
      </c>
      <c r="F246" s="3">
        <f>B246/30.48</f>
        <v/>
      </c>
      <c r="G246" s="3">
        <f>D246/30.48</f>
        <v/>
      </c>
      <c r="H246" s="17" t="inlineStr">
        <is>
          <t>MSTF-EFS</t>
        </is>
      </c>
      <c r="I246" s="75" t="n"/>
      <c r="J246" s="45" t="n"/>
      <c r="K246" s="1" t="inlineStr">
        <is>
          <t xml:space="preserve"> </t>
        </is>
      </c>
    </row>
    <row r="247" ht="17.25" customFormat="1" customHeight="1" s="1">
      <c r="A247" s="8" t="n">
        <v>73</v>
      </c>
      <c r="B247" s="5" t="n">
        <v>90</v>
      </c>
      <c r="C247" s="6" t="inlineStr">
        <is>
          <t>X</t>
        </is>
      </c>
      <c r="D247" s="5" t="n">
        <v>54</v>
      </c>
      <c r="E247" s="2">
        <f>B247*D247/10000</f>
        <v/>
      </c>
      <c r="F247" s="3">
        <f>B247/30.48</f>
        <v/>
      </c>
      <c r="G247" s="3">
        <f>D247/30.48</f>
        <v/>
      </c>
      <c r="H247" s="568" t="inlineStr">
        <is>
          <t>MCHD-OLD</t>
        </is>
      </c>
      <c r="I247" s="57" t="inlineStr">
        <is>
          <t>Micah Wark</t>
        </is>
      </c>
      <c r="J247" s="45" t="n"/>
      <c r="K247" s="1" t="inlineStr">
        <is>
          <t xml:space="preserve"> </t>
        </is>
      </c>
    </row>
    <row r="248" ht="17.25" customFormat="1" customHeight="1" s="1">
      <c r="A248" s="8" t="inlineStr">
        <is>
          <t>C 282</t>
        </is>
      </c>
      <c r="B248" s="5" t="n">
        <v>130</v>
      </c>
      <c r="C248" s="6" t="inlineStr">
        <is>
          <t>X</t>
        </is>
      </c>
      <c r="D248" s="5" t="n">
        <v>86</v>
      </c>
      <c r="E248" s="2">
        <f>B248*D248/10000</f>
        <v/>
      </c>
      <c r="F248" s="3">
        <f>B248/30.48</f>
        <v/>
      </c>
      <c r="G248" s="3">
        <f>D248/30.48</f>
        <v/>
      </c>
      <c r="H248" s="17" t="inlineStr">
        <is>
          <t>MSTF-TH</t>
        </is>
      </c>
      <c r="I248" s="76" t="n"/>
      <c r="J248" s="575" t="n"/>
      <c r="K248" s="1" t="inlineStr">
        <is>
          <t xml:space="preserve"> </t>
        </is>
      </c>
    </row>
    <row r="249" ht="17.25" customFormat="1" customHeight="1" s="1">
      <c r="A249" s="8" t="inlineStr">
        <is>
          <t>Y 956</t>
        </is>
      </c>
      <c r="B249" s="5" t="n">
        <v>191</v>
      </c>
      <c r="C249" s="6" t="inlineStr">
        <is>
          <t>X</t>
        </is>
      </c>
      <c r="D249" s="5" t="n">
        <v>103</v>
      </c>
      <c r="E249" s="2">
        <f>B249*D249/10000</f>
        <v/>
      </c>
      <c r="F249" s="3">
        <f>B249/30.48</f>
        <v/>
      </c>
      <c r="G249" s="3">
        <f>D249/30.48</f>
        <v/>
      </c>
      <c r="H249" s="17" t="inlineStr">
        <is>
          <t>MSTF-EFS</t>
        </is>
      </c>
      <c r="I249" s="76" t="n"/>
      <c r="J249" s="575" t="n"/>
      <c r="K249" s="1" t="inlineStr">
        <is>
          <t xml:space="preserve"> </t>
        </is>
      </c>
    </row>
    <row r="250" ht="17.25" customFormat="1" customHeight="1" s="1">
      <c r="A250" s="8" t="inlineStr">
        <is>
          <t>C 230</t>
        </is>
      </c>
      <c r="B250" s="5" t="n">
        <v>402</v>
      </c>
      <c r="C250" s="6" t="inlineStr">
        <is>
          <t>X</t>
        </is>
      </c>
      <c r="D250" s="5" t="n">
        <v>116</v>
      </c>
      <c r="E250" s="2">
        <f>B250*D250/10000</f>
        <v/>
      </c>
      <c r="F250" s="3">
        <f>B250/30.48</f>
        <v/>
      </c>
      <c r="G250" s="3">
        <f>D250/30.48</f>
        <v/>
      </c>
      <c r="H250" s="569" t="inlineStr">
        <is>
          <t>MCHD-VR</t>
        </is>
      </c>
      <c r="I250" s="57" t="inlineStr">
        <is>
          <t>Trisha Edwards</t>
        </is>
      </c>
      <c r="J250" s="45" t="inlineStr">
        <is>
          <t>US-503 473 2777</t>
        </is>
      </c>
      <c r="K250" s="1" t="inlineStr">
        <is>
          <t xml:space="preserve"> </t>
        </is>
      </c>
    </row>
    <row r="251" ht="17.25" customFormat="1" customHeight="1" s="1">
      <c r="A251" s="8" t="inlineStr">
        <is>
          <t>H 133</t>
        </is>
      </c>
      <c r="B251" s="5" t="n">
        <v>333</v>
      </c>
      <c r="C251" s="6" t="inlineStr">
        <is>
          <t>X</t>
        </is>
      </c>
      <c r="D251" s="5" t="n">
        <v>108</v>
      </c>
      <c r="E251" s="2">
        <f>B251*D251/10000</f>
        <v/>
      </c>
      <c r="F251" s="3">
        <f>B251/30.48</f>
        <v/>
      </c>
      <c r="G251" s="3">
        <f>D251/30.48</f>
        <v/>
      </c>
      <c r="H251" s="592" t="inlineStr">
        <is>
          <t>MCHD-PAC</t>
        </is>
      </c>
      <c r="I251" s="57" t="inlineStr">
        <is>
          <t>Courtney Abramovitz</t>
        </is>
      </c>
      <c r="J251" s="45" t="inlineStr">
        <is>
          <t>US-504 432 0159</t>
        </is>
      </c>
      <c r="K251" s="1" t="inlineStr">
        <is>
          <t xml:space="preserve"> </t>
        </is>
      </c>
    </row>
    <row r="252" ht="17.25" customFormat="1" customHeight="1" s="1">
      <c r="A252" s="8" t="inlineStr">
        <is>
          <t>C 767</t>
        </is>
      </c>
      <c r="B252" s="5" t="n">
        <v>338</v>
      </c>
      <c r="C252" s="6" t="inlineStr">
        <is>
          <t>X</t>
        </is>
      </c>
      <c r="D252" s="5" t="n">
        <v>240</v>
      </c>
      <c r="E252" s="2">
        <f>B252*D252/10000</f>
        <v/>
      </c>
      <c r="F252" s="3">
        <f>B252/30.48</f>
        <v/>
      </c>
      <c r="G252" s="3">
        <f>D252/30.48</f>
        <v/>
      </c>
      <c r="H252" s="568" t="inlineStr">
        <is>
          <t>MCHD-TR</t>
        </is>
      </c>
      <c r="I252" s="57" t="inlineStr">
        <is>
          <t>Gregory Bradshaw</t>
        </is>
      </c>
      <c r="J252" s="45" t="n"/>
      <c r="K252" s="1" t="inlineStr">
        <is>
          <t xml:space="preserve"> </t>
        </is>
      </c>
    </row>
    <row r="253" ht="17.25" customFormat="1" customHeight="1" s="1">
      <c r="A253" s="8" t="inlineStr">
        <is>
          <t>C 157</t>
        </is>
      </c>
      <c r="B253" s="5" t="n">
        <v>370</v>
      </c>
      <c r="C253" s="6" t="inlineStr">
        <is>
          <t>X</t>
        </is>
      </c>
      <c r="D253" s="5" t="n">
        <v>254</v>
      </c>
      <c r="E253" s="2">
        <f>B253*D253/10000</f>
        <v/>
      </c>
      <c r="F253" s="3">
        <f>B253/30.48</f>
        <v/>
      </c>
      <c r="G253" s="3">
        <f>D253/30.48</f>
        <v/>
      </c>
      <c r="H253" s="592" t="inlineStr">
        <is>
          <t>MCHD-PAC</t>
        </is>
      </c>
      <c r="I253" s="581" t="inlineStr">
        <is>
          <t>ANNE METTE DE PLACE FILIPPINI</t>
        </is>
      </c>
      <c r="J253" s="575" t="n"/>
      <c r="K253" s="1" t="inlineStr">
        <is>
          <t xml:space="preserve"> </t>
        </is>
      </c>
    </row>
    <row r="254" ht="17.25" customFormat="1" customHeight="1" s="1">
      <c r="A254" s="8" t="inlineStr">
        <is>
          <t>C 317</t>
        </is>
      </c>
      <c r="B254" s="5" t="n">
        <v>75</v>
      </c>
      <c r="C254" s="6" t="inlineStr">
        <is>
          <t>X</t>
        </is>
      </c>
      <c r="D254" s="5" t="n">
        <v>232</v>
      </c>
      <c r="E254" s="2">
        <f>B254*D254/10000</f>
        <v/>
      </c>
      <c r="F254" s="3">
        <f>B254/30.48</f>
        <v/>
      </c>
      <c r="G254" s="3">
        <f>D254/30.48</f>
        <v/>
      </c>
      <c r="H254" s="568" t="inlineStr">
        <is>
          <t>MCHD-TR</t>
        </is>
      </c>
      <c r="I254" s="581" t="inlineStr">
        <is>
          <t>Brittany Poole</t>
        </is>
      </c>
      <c r="J254" s="575" t="inlineStr">
        <is>
          <t>US-770 539 4044</t>
        </is>
      </c>
      <c r="K254" s="1" t="inlineStr">
        <is>
          <t xml:space="preserve"> </t>
        </is>
      </c>
    </row>
    <row r="255" ht="17.25" customFormat="1" customHeight="1" s="1">
      <c r="A255" s="8" t="inlineStr">
        <is>
          <t>C 143</t>
        </is>
      </c>
      <c r="B255" s="5" t="n">
        <v>320</v>
      </c>
      <c r="C255" s="6" t="inlineStr">
        <is>
          <t>X</t>
        </is>
      </c>
      <c r="D255" s="5" t="n">
        <v>108</v>
      </c>
      <c r="E255" s="2">
        <f>B255*D255/10000</f>
        <v/>
      </c>
      <c r="F255" s="3">
        <f>B255/30.48</f>
        <v/>
      </c>
      <c r="G255" s="3">
        <f>D255/30.48</f>
        <v/>
      </c>
      <c r="H255" s="568" t="inlineStr">
        <is>
          <t>MCHD-TR</t>
        </is>
      </c>
      <c r="I255" s="57" t="inlineStr">
        <is>
          <t>Sarah Cummings</t>
        </is>
      </c>
      <c r="J255" s="45" t="inlineStr">
        <is>
          <t>US-206 354 3347</t>
        </is>
      </c>
      <c r="K255" s="1" t="inlineStr">
        <is>
          <t xml:space="preserve"> </t>
        </is>
      </c>
    </row>
    <row r="256" ht="17.25" customFormat="1" customHeight="1" s="1">
      <c r="A256" s="8" t="n">
        <v>13</v>
      </c>
      <c r="B256" s="5" t="n">
        <v>80</v>
      </c>
      <c r="C256" s="6" t="inlineStr">
        <is>
          <t>X</t>
        </is>
      </c>
      <c r="D256" s="5" t="n">
        <v>50</v>
      </c>
      <c r="E256" s="2">
        <f>B256*D256/10000</f>
        <v/>
      </c>
      <c r="F256" s="3">
        <f>B256/30.48</f>
        <v/>
      </c>
      <c r="G256" s="3">
        <f>D256/30.48</f>
        <v/>
      </c>
      <c r="H256" s="568" t="inlineStr">
        <is>
          <t>MCHD-OLD</t>
        </is>
      </c>
      <c r="I256" s="57" t="inlineStr">
        <is>
          <t>Zashary Caro</t>
        </is>
      </c>
      <c r="J256" s="45" t="inlineStr">
        <is>
          <t>US-305 302 3160</t>
        </is>
      </c>
      <c r="K256" s="1" t="inlineStr">
        <is>
          <t xml:space="preserve"> </t>
        </is>
      </c>
    </row>
    <row r="257" ht="17.25" customFormat="1" customHeight="1" s="1">
      <c r="A257" s="8" t="inlineStr">
        <is>
          <t>C 399</t>
        </is>
      </c>
      <c r="B257" s="5" t="n">
        <v>145</v>
      </c>
      <c r="C257" s="6" t="inlineStr">
        <is>
          <t>X</t>
        </is>
      </c>
      <c r="D257" s="5" t="n">
        <v>255</v>
      </c>
      <c r="E257" s="2">
        <f>B257*D257/10000</f>
        <v/>
      </c>
      <c r="F257" s="3">
        <f>B257/30.48</f>
        <v/>
      </c>
      <c r="G257" s="3">
        <f>D257/30.48</f>
        <v/>
      </c>
      <c r="H257" s="592" t="inlineStr">
        <is>
          <t>MCHD-PAC</t>
        </is>
      </c>
      <c r="I257" s="57" t="inlineStr">
        <is>
          <t>Kathryn Dove</t>
        </is>
      </c>
      <c r="J257" s="45" t="n"/>
      <c r="K257" s="1" t="inlineStr">
        <is>
          <t xml:space="preserve"> </t>
        </is>
      </c>
    </row>
    <row r="258" ht="17.25" customFormat="1" customHeight="1" s="1">
      <c r="A258" s="8" t="inlineStr">
        <is>
          <t>C 831</t>
        </is>
      </c>
      <c r="B258" s="5" t="n">
        <v>365</v>
      </c>
      <c r="C258" s="6" t="inlineStr">
        <is>
          <t>X</t>
        </is>
      </c>
      <c r="D258" s="5" t="n">
        <v>265</v>
      </c>
      <c r="E258" s="2">
        <f>B258*D258/10000</f>
        <v/>
      </c>
      <c r="F258" s="3">
        <f>B258/30.48</f>
        <v/>
      </c>
      <c r="G258" s="3">
        <f>D258/30.48</f>
        <v/>
      </c>
      <c r="H258" s="592" t="inlineStr">
        <is>
          <t>MCHD-PAC</t>
        </is>
      </c>
      <c r="I258" s="57" t="inlineStr">
        <is>
          <t>Shelley Pfister</t>
        </is>
      </c>
      <c r="J258" s="45" t="inlineStr">
        <is>
          <t>US-830 252 7276</t>
        </is>
      </c>
      <c r="K258" s="1" t="inlineStr">
        <is>
          <t xml:space="preserve"> </t>
        </is>
      </c>
    </row>
    <row r="259" ht="17.25" customFormat="1" customHeight="1" s="1">
      <c r="A259" s="8" t="inlineStr">
        <is>
          <t>C 832</t>
        </is>
      </c>
      <c r="B259" s="5" t="n">
        <v>386</v>
      </c>
      <c r="C259" s="6" t="inlineStr">
        <is>
          <t>X</t>
        </is>
      </c>
      <c r="D259" s="5" t="n">
        <v>290</v>
      </c>
      <c r="E259" s="2">
        <f>B259*D259/10000</f>
        <v/>
      </c>
      <c r="F259" s="3">
        <f>B259/30.48</f>
        <v/>
      </c>
      <c r="G259" s="3">
        <f>D259/30.48</f>
        <v/>
      </c>
      <c r="H259" s="592" t="inlineStr">
        <is>
          <t>MCHD-PAC</t>
        </is>
      </c>
      <c r="I259" s="57" t="inlineStr">
        <is>
          <t>Eloquence Inc</t>
        </is>
      </c>
      <c r="J259" s="45" t="n"/>
      <c r="K259" s="1" t="inlineStr">
        <is>
          <t xml:space="preserve"> </t>
        </is>
      </c>
    </row>
    <row r="260" ht="17.25" customFormat="1" customHeight="1" s="1">
      <c r="A260" s="8" t="inlineStr">
        <is>
          <t>KN 129</t>
        </is>
      </c>
      <c r="B260" s="5" t="n">
        <v>167</v>
      </c>
      <c r="C260" s="6" t="inlineStr">
        <is>
          <t>X</t>
        </is>
      </c>
      <c r="D260" s="5" t="n">
        <v>246</v>
      </c>
      <c r="E260" s="2">
        <f>B260*D260/10000</f>
        <v/>
      </c>
      <c r="F260" s="3">
        <f>B260/30.48</f>
        <v/>
      </c>
      <c r="G260" s="3">
        <f>D260/30.48</f>
        <v/>
      </c>
      <c r="H260" s="592" t="inlineStr">
        <is>
          <t>MCHD-PAC</t>
        </is>
      </c>
      <c r="I260" s="581" t="inlineStr">
        <is>
          <t>Lisa Gardner</t>
        </is>
      </c>
      <c r="J260" s="575" t="inlineStr">
        <is>
          <t>US-917 282 1415</t>
        </is>
      </c>
      <c r="K260" s="1" t="inlineStr">
        <is>
          <t xml:space="preserve"> </t>
        </is>
      </c>
    </row>
    <row r="261" ht="17.25" customFormat="1" customHeight="1" s="1">
      <c r="A261" s="8" t="inlineStr">
        <is>
          <t>C 391</t>
        </is>
      </c>
      <c r="B261" s="5" t="n">
        <v>91</v>
      </c>
      <c r="C261" s="6" t="inlineStr">
        <is>
          <t>X</t>
        </is>
      </c>
      <c r="D261" s="5" t="n">
        <v>472</v>
      </c>
      <c r="E261" s="2">
        <f>B261*D261/10000</f>
        <v/>
      </c>
      <c r="F261" s="3">
        <f>B261/30.48</f>
        <v/>
      </c>
      <c r="G261" s="3">
        <f>D261/30.48</f>
        <v/>
      </c>
      <c r="H261" s="568" t="inlineStr">
        <is>
          <t>MCHD-TR</t>
        </is>
      </c>
      <c r="I261" s="581" t="inlineStr">
        <is>
          <t>April Tarbutton</t>
        </is>
      </c>
      <c r="J261" s="575" t="inlineStr">
        <is>
          <t>US-405 850 9668</t>
        </is>
      </c>
      <c r="K261" s="1" t="inlineStr">
        <is>
          <t xml:space="preserve"> </t>
        </is>
      </c>
    </row>
    <row r="262" ht="17.25" customFormat="1" customHeight="1" s="1">
      <c r="A262" s="8" t="inlineStr">
        <is>
          <t>C 310</t>
        </is>
      </c>
      <c r="B262" s="5" t="n">
        <v>164</v>
      </c>
      <c r="C262" s="6" t="inlineStr">
        <is>
          <t>X</t>
        </is>
      </c>
      <c r="D262" s="5" t="n">
        <v>253</v>
      </c>
      <c r="E262" s="2">
        <f>B262*D262/10000</f>
        <v/>
      </c>
      <c r="F262" s="3">
        <f>B262/30.48</f>
        <v/>
      </c>
      <c r="G262" s="3">
        <f>D262/30.48</f>
        <v/>
      </c>
      <c r="H262" s="18" t="inlineStr">
        <is>
          <t>MSTF-TH</t>
        </is>
      </c>
      <c r="I262" s="76" t="n"/>
      <c r="J262" s="575" t="n"/>
      <c r="K262" s="1" t="inlineStr">
        <is>
          <t xml:space="preserve"> </t>
        </is>
      </c>
    </row>
    <row r="263" ht="17.25" customFormat="1" customHeight="1" s="1">
      <c r="A263" s="8" t="n">
        <v>39</v>
      </c>
      <c r="B263" s="5" t="n">
        <v>91</v>
      </c>
      <c r="C263" s="6" t="inlineStr">
        <is>
          <t>X</t>
        </is>
      </c>
      <c r="D263" s="5" t="n">
        <v>51</v>
      </c>
      <c r="E263" s="2">
        <f>B263*D263/10000</f>
        <v/>
      </c>
      <c r="F263" s="3">
        <f>B263/30.48</f>
        <v/>
      </c>
      <c r="G263" s="3">
        <f>D263/30.48</f>
        <v/>
      </c>
      <c r="H263" s="568" t="inlineStr">
        <is>
          <t>MCHD-OLD</t>
        </is>
      </c>
      <c r="I263" s="581" t="inlineStr">
        <is>
          <t>Breanna Heinz</t>
        </is>
      </c>
      <c r="J263" s="575" t="inlineStr">
        <is>
          <t>US-303 507 5880</t>
        </is>
      </c>
      <c r="K263" s="1" t="inlineStr">
        <is>
          <t xml:space="preserve"> </t>
        </is>
      </c>
    </row>
    <row r="264" ht="17.25" customFormat="1" customHeight="1" s="1">
      <c r="A264" s="8" t="inlineStr">
        <is>
          <t>C 290</t>
        </is>
      </c>
      <c r="B264" s="5" t="n">
        <v>74</v>
      </c>
      <c r="C264" s="6" t="inlineStr">
        <is>
          <t>X</t>
        </is>
      </c>
      <c r="D264" s="5" t="n">
        <v>153</v>
      </c>
      <c r="E264" s="2">
        <f>B264*D264/10000</f>
        <v/>
      </c>
      <c r="F264" s="3">
        <f>B264/30.48</f>
        <v/>
      </c>
      <c r="G264" s="3">
        <f>D264/30.48</f>
        <v/>
      </c>
      <c r="H264" s="568" t="inlineStr">
        <is>
          <t>MCHD-TR</t>
        </is>
      </c>
      <c r="I264" s="57" t="inlineStr">
        <is>
          <t>Jessica Woodruff</t>
        </is>
      </c>
      <c r="J264" s="45" t="inlineStr">
        <is>
          <t>US-504 491 2008</t>
        </is>
      </c>
      <c r="K264" s="1" t="inlineStr">
        <is>
          <t xml:space="preserve"> </t>
        </is>
      </c>
    </row>
    <row r="265" ht="17.25" customFormat="1" customHeight="1" s="1">
      <c r="A265" s="8" t="inlineStr">
        <is>
          <t>C 342</t>
        </is>
      </c>
      <c r="B265" s="5" t="n">
        <v>213</v>
      </c>
      <c r="C265" s="6" t="inlineStr">
        <is>
          <t>X</t>
        </is>
      </c>
      <c r="D265" s="5" t="n">
        <v>306</v>
      </c>
      <c r="E265" s="2">
        <f>B265*D265/10000</f>
        <v/>
      </c>
      <c r="F265" s="3">
        <f>B265/30.48</f>
        <v/>
      </c>
      <c r="G265" s="3">
        <f>D265/30.48</f>
        <v/>
      </c>
      <c r="H265" s="592" t="inlineStr">
        <is>
          <t>MCHD-PAC</t>
        </is>
      </c>
      <c r="I265" s="57" t="inlineStr">
        <is>
          <t>Dwyer Gunn</t>
        </is>
      </c>
      <c r="J265" s="45" t="inlineStr">
        <is>
          <t>US-847 668 9608</t>
        </is>
      </c>
      <c r="K265" s="1" t="inlineStr">
        <is>
          <t xml:space="preserve"> </t>
        </is>
      </c>
    </row>
    <row r="266">
      <c r="A266" s="536" t="inlineStr">
        <is>
          <t>-2022 EYLÜL-80</t>
        </is>
      </c>
      <c r="H266" s="62" t="inlineStr">
        <is>
          <t>SATAN-SİTE</t>
        </is>
      </c>
      <c r="I266" s="19" t="inlineStr">
        <is>
          <t>MÜŞTERİ ADI</t>
        </is>
      </c>
      <c r="J266" s="63" t="inlineStr">
        <is>
          <t>MÜŞTERİ İLETİŞİM &amp; ÜLKE</t>
        </is>
      </c>
    </row>
    <row r="267" ht="17.25" customFormat="1" customHeight="1" s="1">
      <c r="A267" s="8" t="inlineStr">
        <is>
          <t>C 227</t>
        </is>
      </c>
      <c r="B267" s="5" t="n">
        <v>381</v>
      </c>
      <c r="C267" s="6" t="inlineStr">
        <is>
          <t>X</t>
        </is>
      </c>
      <c r="D267" s="5" t="n">
        <v>103</v>
      </c>
      <c r="E267" s="2">
        <f>B267*D267/10000</f>
        <v/>
      </c>
      <c r="F267" s="3">
        <f>B267/30.48</f>
        <v/>
      </c>
      <c r="G267" s="3">
        <f>D267/30.48</f>
        <v/>
      </c>
      <c r="H267" s="592" t="inlineStr">
        <is>
          <t>MCHD-PAC</t>
        </is>
      </c>
      <c r="I267" s="57" t="inlineStr">
        <is>
          <t>Cyndi Timbs</t>
        </is>
      </c>
      <c r="J267" s="45" t="inlineStr">
        <is>
          <t>US-901 569 4042</t>
        </is>
      </c>
      <c r="K267" s="1" t="inlineStr">
        <is>
          <t xml:space="preserve"> </t>
        </is>
      </c>
    </row>
    <row r="268" ht="17.25" customFormat="1" customHeight="1" s="1">
      <c r="A268" s="8" t="inlineStr">
        <is>
          <t>C 392</t>
        </is>
      </c>
      <c r="B268" s="5" t="n">
        <v>176</v>
      </c>
      <c r="C268" s="6" t="inlineStr">
        <is>
          <t>X</t>
        </is>
      </c>
      <c r="D268" s="5" t="n">
        <v>83</v>
      </c>
      <c r="E268" s="2">
        <f>B268*D268/10000</f>
        <v/>
      </c>
      <c r="F268" s="3">
        <f>B268/30.48</f>
        <v/>
      </c>
      <c r="G268" s="3">
        <f>D268/30.48</f>
        <v/>
      </c>
      <c r="H268" s="568" t="inlineStr">
        <is>
          <t>MCHD-OLD</t>
        </is>
      </c>
      <c r="I268" s="581" t="inlineStr">
        <is>
          <t>Jamie Horton</t>
        </is>
      </c>
      <c r="J268" s="575" t="inlineStr">
        <is>
          <t>US-443 254 1688</t>
        </is>
      </c>
      <c r="K268" s="1" t="inlineStr">
        <is>
          <t xml:space="preserve"> </t>
        </is>
      </c>
    </row>
    <row r="269" ht="17.25" customFormat="1" customHeight="1" s="1">
      <c r="A269" s="8" t="inlineStr">
        <is>
          <t>C 11</t>
        </is>
      </c>
      <c r="B269" s="5" t="n">
        <v>273</v>
      </c>
      <c r="C269" s="6" t="inlineStr">
        <is>
          <t>X</t>
        </is>
      </c>
      <c r="D269" s="5" t="n">
        <v>57</v>
      </c>
      <c r="E269" s="2">
        <f>B269*D269/10000</f>
        <v/>
      </c>
      <c r="F269" s="3">
        <f>B269/30.48</f>
        <v/>
      </c>
      <c r="G269" s="3">
        <f>D269/30.48</f>
        <v/>
      </c>
      <c r="H269" s="568" t="inlineStr">
        <is>
          <t>MCHD-TR</t>
        </is>
      </c>
      <c r="I269" s="57" t="inlineStr">
        <is>
          <t>Amy Francis</t>
        </is>
      </c>
      <c r="J269" s="45" t="inlineStr">
        <is>
          <t>UK-07900 603784</t>
        </is>
      </c>
      <c r="K269" s="1" t="inlineStr">
        <is>
          <t xml:space="preserve"> </t>
        </is>
      </c>
    </row>
    <row r="270" ht="17.25" customHeight="1" s="305">
      <c r="A270" s="8" t="inlineStr">
        <is>
          <t>H 127</t>
        </is>
      </c>
      <c r="B270" s="5" t="n">
        <v>383</v>
      </c>
      <c r="C270" s="6" t="inlineStr">
        <is>
          <t>X</t>
        </is>
      </c>
      <c r="D270" s="5" t="n">
        <v>85</v>
      </c>
      <c r="E270" s="2">
        <f>B270*D270/10000</f>
        <v/>
      </c>
      <c r="F270" s="3">
        <f>B270/30.48</f>
        <v/>
      </c>
      <c r="G270" s="3">
        <f>D270/30.48</f>
        <v/>
      </c>
      <c r="H270" s="568" t="inlineStr">
        <is>
          <t>MCHD-TR</t>
        </is>
      </c>
      <c r="I270" s="581" t="inlineStr">
        <is>
          <t>Clarissa Cruz</t>
        </is>
      </c>
      <c r="J270" s="575" t="inlineStr">
        <is>
          <t>US-678 596 8434</t>
        </is>
      </c>
      <c r="K270" s="1" t="inlineStr">
        <is>
          <t xml:space="preserve"> </t>
        </is>
      </c>
      <c r="L270" s="1" t="n"/>
    </row>
    <row r="271" ht="17.25" customFormat="1" customHeight="1" s="1">
      <c r="A271" s="8" t="inlineStr">
        <is>
          <t>C 176</t>
        </is>
      </c>
      <c r="B271" s="5" t="n">
        <v>198</v>
      </c>
      <c r="C271" s="6" t="inlineStr">
        <is>
          <t>X</t>
        </is>
      </c>
      <c r="D271" s="5" t="n">
        <v>171</v>
      </c>
      <c r="E271" s="2">
        <f>B271*D271/10000</f>
        <v/>
      </c>
      <c r="F271" s="3">
        <f>B271/30.48</f>
        <v/>
      </c>
      <c r="G271" s="3">
        <f>D271/30.48</f>
        <v/>
      </c>
      <c r="H271" s="18" t="inlineStr">
        <is>
          <t>MSTF-EFS</t>
        </is>
      </c>
      <c r="I271" s="75" t="n"/>
      <c r="J271" s="45" t="n"/>
      <c r="K271" s="1" t="inlineStr">
        <is>
          <t xml:space="preserve"> </t>
        </is>
      </c>
    </row>
    <row r="272" ht="17.25" customFormat="1" customHeight="1" s="1">
      <c r="A272" s="8" t="inlineStr">
        <is>
          <t>D 133</t>
        </is>
      </c>
      <c r="B272" s="5" t="n">
        <v>74</v>
      </c>
      <c r="C272" s="6" t="inlineStr">
        <is>
          <t>X</t>
        </is>
      </c>
      <c r="D272" s="5" t="n">
        <v>44</v>
      </c>
      <c r="E272" s="2">
        <f>B272*D272/10000</f>
        <v/>
      </c>
      <c r="F272" s="3">
        <f>B272/30.48</f>
        <v/>
      </c>
      <c r="G272" s="3">
        <f>D272/30.48</f>
        <v/>
      </c>
      <c r="H272" s="16" t="inlineStr">
        <is>
          <t>MCHD-OLD</t>
        </is>
      </c>
      <c r="I272" s="57" t="inlineStr">
        <is>
          <t>Robin Queen</t>
        </is>
      </c>
      <c r="J272" s="45" t="inlineStr">
        <is>
          <t>US-323 377 2598</t>
        </is>
      </c>
      <c r="K272" s="1" t="inlineStr">
        <is>
          <t xml:space="preserve"> </t>
        </is>
      </c>
    </row>
    <row r="273" ht="17.25" customFormat="1" customHeight="1" s="1">
      <c r="A273" s="8" t="n">
        <v>220</v>
      </c>
      <c r="B273" s="5" t="n">
        <v>88</v>
      </c>
      <c r="C273" s="6" t="inlineStr">
        <is>
          <t>X</t>
        </is>
      </c>
      <c r="D273" s="5" t="n">
        <v>46</v>
      </c>
      <c r="E273" s="2">
        <f>B273*D273/10000</f>
        <v/>
      </c>
      <c r="F273" s="3">
        <f>B273/30.48</f>
        <v/>
      </c>
      <c r="G273" s="3">
        <f>D273/30.48</f>
        <v/>
      </c>
      <c r="H273" s="694" t="n"/>
      <c r="I273" s="694" t="n"/>
      <c r="J273" s="694" t="n"/>
      <c r="K273" s="1" t="inlineStr">
        <is>
          <t xml:space="preserve"> </t>
        </is>
      </c>
    </row>
    <row r="274" ht="17.25" customFormat="1" customHeight="1" s="1">
      <c r="A274" s="8" t="inlineStr">
        <is>
          <t>C 234</t>
        </is>
      </c>
      <c r="B274" s="5" t="n">
        <v>280</v>
      </c>
      <c r="C274" s="6" t="inlineStr">
        <is>
          <t>X</t>
        </is>
      </c>
      <c r="D274" s="5" t="n">
        <v>94</v>
      </c>
      <c r="E274" s="2">
        <f>B274*D274/10000</f>
        <v/>
      </c>
      <c r="F274" s="3">
        <f>B274/30.48</f>
        <v/>
      </c>
      <c r="G274" s="3">
        <f>D274/30.48</f>
        <v/>
      </c>
      <c r="H274" s="568" t="inlineStr">
        <is>
          <t>MCHD-OLD</t>
        </is>
      </c>
      <c r="I274" s="581" t="inlineStr">
        <is>
          <t>Lesley Plotke</t>
        </is>
      </c>
      <c r="J274" s="575" t="inlineStr">
        <is>
          <t>US-734 276 5800</t>
        </is>
      </c>
      <c r="K274" s="1" t="inlineStr">
        <is>
          <t xml:space="preserve"> </t>
        </is>
      </c>
    </row>
    <row r="275" ht="17.25" customFormat="1" customHeight="1" s="1">
      <c r="A275" s="8" t="inlineStr">
        <is>
          <t>C 18</t>
        </is>
      </c>
      <c r="B275" s="5" t="n">
        <v>252</v>
      </c>
      <c r="C275" s="6" t="inlineStr">
        <is>
          <t>X</t>
        </is>
      </c>
      <c r="D275" s="5" t="n">
        <v>171</v>
      </c>
      <c r="E275" s="2">
        <f>B275*D275/10000</f>
        <v/>
      </c>
      <c r="F275" s="3">
        <f>B275/30.48</f>
        <v/>
      </c>
      <c r="G275" s="3">
        <f>D275/30.48</f>
        <v/>
      </c>
      <c r="H275" s="568" t="inlineStr">
        <is>
          <t>MCHD-TR</t>
        </is>
      </c>
      <c r="I275" s="57" t="inlineStr">
        <is>
          <t>COURTNEY BELL</t>
        </is>
      </c>
      <c r="J275" s="45" t="n"/>
      <c r="K275" s="1" t="inlineStr">
        <is>
          <t xml:space="preserve"> </t>
        </is>
      </c>
    </row>
    <row r="276" ht="17.25" customFormat="1" customHeight="1" s="1">
      <c r="A276" s="8" t="inlineStr">
        <is>
          <t>C 283</t>
        </is>
      </c>
      <c r="B276" s="5" t="n">
        <v>79</v>
      </c>
      <c r="C276" s="6" t="inlineStr">
        <is>
          <t>X</t>
        </is>
      </c>
      <c r="D276" s="5" t="n">
        <v>154</v>
      </c>
      <c r="E276" s="2">
        <f>B276*D276/10000</f>
        <v/>
      </c>
      <c r="F276" s="3">
        <f>B276/30.48</f>
        <v/>
      </c>
      <c r="G276" s="3">
        <f>D276/30.48</f>
        <v/>
      </c>
      <c r="H276" s="568" t="inlineStr">
        <is>
          <t>MCHD-TR</t>
        </is>
      </c>
      <c r="I276" s="581" t="inlineStr">
        <is>
          <t>Stacie Calad-Thomson</t>
        </is>
      </c>
      <c r="J276" s="575" t="inlineStr">
        <is>
          <t>US-949 413 6696</t>
        </is>
      </c>
      <c r="K276" s="1" t="inlineStr">
        <is>
          <t xml:space="preserve"> </t>
        </is>
      </c>
    </row>
    <row r="277" ht="17.25" customFormat="1" customHeight="1" s="1">
      <c r="A277" s="8" t="inlineStr">
        <is>
          <t>D 2</t>
        </is>
      </c>
      <c r="B277" s="5" t="n">
        <v>208</v>
      </c>
      <c r="C277" s="6" t="inlineStr">
        <is>
          <t>X</t>
        </is>
      </c>
      <c r="D277" s="5" t="n">
        <v>138</v>
      </c>
      <c r="E277" s="2">
        <f>B277*D277/10000</f>
        <v/>
      </c>
      <c r="F277" s="3">
        <f>B277/30.48</f>
        <v/>
      </c>
      <c r="G277" s="3">
        <f>D277/30.48</f>
        <v/>
      </c>
      <c r="H277" s="592" t="inlineStr">
        <is>
          <t>MCHD-PAC</t>
        </is>
      </c>
      <c r="I277" s="581" t="inlineStr">
        <is>
          <t>Prop Department</t>
        </is>
      </c>
      <c r="J277" s="575" t="n"/>
      <c r="K277" s="1" t="inlineStr">
        <is>
          <t xml:space="preserve"> </t>
        </is>
      </c>
    </row>
    <row r="278" ht="17.25" customFormat="1" customHeight="1" s="1">
      <c r="A278" s="8" t="inlineStr">
        <is>
          <t>Y 112</t>
        </is>
      </c>
      <c r="B278" s="5" t="n">
        <v>287</v>
      </c>
      <c r="C278" s="6" t="inlineStr">
        <is>
          <t>X</t>
        </is>
      </c>
      <c r="D278" s="5" t="n">
        <v>204</v>
      </c>
      <c r="E278" s="2">
        <f>B278*D278/10000</f>
        <v/>
      </c>
      <c r="F278" s="3">
        <f>B278/30.48</f>
        <v/>
      </c>
      <c r="G278" s="3">
        <f>D278/30.48</f>
        <v/>
      </c>
      <c r="H278" s="569" t="inlineStr">
        <is>
          <t>MCHD-VR</t>
        </is>
      </c>
      <c r="I278" s="581" t="inlineStr">
        <is>
          <t>Kathryn Chaplow</t>
        </is>
      </c>
      <c r="J278" s="575" t="n"/>
      <c r="K278" s="1" t="inlineStr">
        <is>
          <t xml:space="preserve"> </t>
        </is>
      </c>
    </row>
    <row r="279" ht="17.25" customFormat="1" customHeight="1" s="1">
      <c r="A279" s="8" t="inlineStr">
        <is>
          <t>C 331</t>
        </is>
      </c>
      <c r="B279" s="5" t="n">
        <v>89</v>
      </c>
      <c r="C279" s="6" t="inlineStr">
        <is>
          <t>X</t>
        </is>
      </c>
      <c r="D279" s="5" t="n">
        <v>362</v>
      </c>
      <c r="E279" s="2">
        <f>B279*D279/10000</f>
        <v/>
      </c>
      <c r="F279" s="3">
        <f>B279/30.48</f>
        <v/>
      </c>
      <c r="G279" s="3">
        <f>D279/30.48</f>
        <v/>
      </c>
      <c r="H279" s="568" t="inlineStr">
        <is>
          <t>MCHD-OLD</t>
        </is>
      </c>
      <c r="I279" s="57" t="inlineStr">
        <is>
          <t>Sarah Johnson</t>
        </is>
      </c>
      <c r="J279" s="45" t="inlineStr">
        <is>
          <t>US-802 579 3022</t>
        </is>
      </c>
      <c r="K279" s="1" t="inlineStr">
        <is>
          <t xml:space="preserve"> </t>
        </is>
      </c>
    </row>
    <row r="280" ht="17.25" customHeight="1" s="305">
      <c r="A280" s="8" t="inlineStr">
        <is>
          <t>KN 99</t>
        </is>
      </c>
      <c r="B280" s="5" t="n">
        <v>160</v>
      </c>
      <c r="C280" s="6" t="inlineStr">
        <is>
          <t>X</t>
        </is>
      </c>
      <c r="D280" s="5" t="n">
        <v>335</v>
      </c>
      <c r="E280" s="2">
        <f>B280*D280/10000</f>
        <v/>
      </c>
      <c r="F280" s="3">
        <f>B280/30.48</f>
        <v/>
      </c>
      <c r="G280" s="3">
        <f>D280/30.48</f>
        <v/>
      </c>
      <c r="H280" s="592" t="inlineStr">
        <is>
          <t>MCHD-PAC</t>
        </is>
      </c>
      <c r="I280" s="581" t="inlineStr">
        <is>
          <t>Louise Fabricius-Bjerre</t>
        </is>
      </c>
      <c r="J280" s="575" t="inlineStr">
        <is>
          <t>UK-44737 8837894</t>
        </is>
      </c>
      <c r="K280" s="1" t="inlineStr">
        <is>
          <t xml:space="preserve"> </t>
        </is>
      </c>
      <c r="L280" s="1" t="n"/>
    </row>
    <row r="281" ht="17.25" customFormat="1" customHeight="1" s="1">
      <c r="A281" s="8" t="n">
        <v>48</v>
      </c>
      <c r="B281" s="5" t="n">
        <v>90</v>
      </c>
      <c r="C281" s="6" t="inlineStr">
        <is>
          <t>X</t>
        </is>
      </c>
      <c r="D281" s="5" t="n">
        <v>49</v>
      </c>
      <c r="E281" s="2">
        <f>B281*D281/10000</f>
        <v/>
      </c>
      <c r="F281" s="3">
        <f>B281/30.48</f>
        <v/>
      </c>
      <c r="G281" s="3">
        <f>D281/30.48</f>
        <v/>
      </c>
      <c r="H281" s="568" t="inlineStr">
        <is>
          <t>MCHD-OLD</t>
        </is>
      </c>
      <c r="I281" s="57" t="inlineStr">
        <is>
          <t>Sarah Hildreth</t>
        </is>
      </c>
      <c r="J281" s="45" t="inlineStr">
        <is>
          <t>US-502 341 5507</t>
        </is>
      </c>
      <c r="K281" s="1" t="inlineStr">
        <is>
          <t xml:space="preserve"> </t>
        </is>
      </c>
    </row>
    <row r="282" ht="17.25" customFormat="1" customHeight="1" s="1">
      <c r="A282" s="8" t="n">
        <v>66</v>
      </c>
      <c r="B282" s="5" t="n">
        <v>83</v>
      </c>
      <c r="C282" s="6" t="inlineStr">
        <is>
          <t>X</t>
        </is>
      </c>
      <c r="D282" s="5" t="n">
        <v>48</v>
      </c>
      <c r="E282" s="2">
        <f>B282*D282/10000</f>
        <v/>
      </c>
      <c r="F282" s="3">
        <f>B282/30.48</f>
        <v/>
      </c>
      <c r="G282" s="3">
        <f>D282/30.48</f>
        <v/>
      </c>
      <c r="H282" s="568" t="inlineStr">
        <is>
          <t>MCHD-OLD</t>
        </is>
      </c>
      <c r="I282" s="57" t="inlineStr">
        <is>
          <t>Parinaz Kassemi</t>
        </is>
      </c>
      <c r="J282" s="45" t="n"/>
      <c r="K282" s="1" t="inlineStr">
        <is>
          <t xml:space="preserve"> </t>
        </is>
      </c>
    </row>
    <row r="283" ht="17.25" customFormat="1" customHeight="1" s="1">
      <c r="A283" s="8" t="inlineStr">
        <is>
          <t>C 407</t>
        </is>
      </c>
      <c r="B283" s="5" t="n">
        <v>155</v>
      </c>
      <c r="C283" s="6" t="inlineStr">
        <is>
          <t>X</t>
        </is>
      </c>
      <c r="D283" s="5" t="n">
        <v>235</v>
      </c>
      <c r="E283" s="2">
        <f>B283*D283/10000</f>
        <v/>
      </c>
      <c r="F283" s="3">
        <f>B283/30.48</f>
        <v/>
      </c>
      <c r="G283" s="3">
        <f>D283/30.48</f>
        <v/>
      </c>
      <c r="H283" s="592" t="inlineStr">
        <is>
          <t>MCHD-PAC</t>
        </is>
      </c>
      <c r="I283" s="581" t="inlineStr">
        <is>
          <t>Courtney Astranti</t>
        </is>
      </c>
      <c r="J283" s="575" t="inlineStr">
        <is>
          <t>US-817 980 6848</t>
        </is>
      </c>
      <c r="K283" s="1" t="inlineStr">
        <is>
          <t xml:space="preserve"> </t>
        </is>
      </c>
    </row>
    <row r="284" ht="17.25" customFormat="1" customHeight="1" s="1">
      <c r="A284" s="8" t="inlineStr">
        <is>
          <t>C 411</t>
        </is>
      </c>
      <c r="B284" s="5" t="n">
        <v>98</v>
      </c>
      <c r="C284" s="6" t="inlineStr">
        <is>
          <t>X</t>
        </is>
      </c>
      <c r="D284" s="5" t="n">
        <v>250</v>
      </c>
      <c r="E284" s="2">
        <f>B284*D284/10000</f>
        <v/>
      </c>
      <c r="F284" s="3">
        <f>B284/30.48</f>
        <v/>
      </c>
      <c r="G284" s="3">
        <f>D284/30.48</f>
        <v/>
      </c>
      <c r="H284" s="568" t="inlineStr">
        <is>
          <t>MCHD-TR</t>
        </is>
      </c>
      <c r="I284" s="581" t="inlineStr">
        <is>
          <t>Elise Rosen</t>
        </is>
      </c>
      <c r="J284" s="575" t="inlineStr">
        <is>
          <t>UK-791 225 5156</t>
        </is>
      </c>
      <c r="K284" s="1" t="inlineStr">
        <is>
          <t xml:space="preserve"> </t>
        </is>
      </c>
    </row>
    <row r="285" ht="17.25" customFormat="1" customHeight="1" s="1">
      <c r="A285" s="8" t="inlineStr">
        <is>
          <t>C 327</t>
        </is>
      </c>
      <c r="B285" s="5" t="n">
        <v>458</v>
      </c>
      <c r="C285" s="6" t="inlineStr">
        <is>
          <t>X</t>
        </is>
      </c>
      <c r="D285" s="5" t="n">
        <v>85</v>
      </c>
      <c r="E285" s="2">
        <f>B285*D285/10000</f>
        <v/>
      </c>
      <c r="F285" s="3">
        <f>B285/30.48</f>
        <v/>
      </c>
      <c r="G285" s="3">
        <f>D285/30.48</f>
        <v/>
      </c>
      <c r="H285" s="18" t="inlineStr">
        <is>
          <t>MSTF-TH</t>
        </is>
      </c>
      <c r="I285" s="75" t="n"/>
      <c r="J285" s="45" t="n"/>
      <c r="K285" s="1" t="inlineStr">
        <is>
          <t xml:space="preserve"> </t>
        </is>
      </c>
    </row>
    <row r="286" ht="17.25" customFormat="1" customHeight="1" s="1">
      <c r="A286" s="8" t="inlineStr">
        <is>
          <t>C 431</t>
        </is>
      </c>
      <c r="B286" s="5" t="n">
        <v>71</v>
      </c>
      <c r="C286" s="6" t="inlineStr">
        <is>
          <t>X</t>
        </is>
      </c>
      <c r="D286" s="5" t="n">
        <v>166</v>
      </c>
      <c r="E286" s="2">
        <f>B286*D286/10000</f>
        <v/>
      </c>
      <c r="F286" s="3">
        <f>B286/30.48</f>
        <v/>
      </c>
      <c r="G286" s="3">
        <f>D286/30.48</f>
        <v/>
      </c>
      <c r="H286" s="568" t="inlineStr">
        <is>
          <t>MCHD-TR</t>
        </is>
      </c>
      <c r="I286" s="57" t="inlineStr">
        <is>
          <t>Steve Taylor</t>
        </is>
      </c>
      <c r="J286" s="45" t="n"/>
      <c r="K286" s="1" t="inlineStr">
        <is>
          <t xml:space="preserve"> </t>
        </is>
      </c>
    </row>
    <row r="287" ht="17.25" customFormat="1" customHeight="1" s="1">
      <c r="A287" s="8" t="inlineStr">
        <is>
          <t>C 319</t>
        </is>
      </c>
      <c r="B287" s="5" t="n">
        <v>156</v>
      </c>
      <c r="C287" s="6" t="inlineStr">
        <is>
          <t>X</t>
        </is>
      </c>
      <c r="D287" s="5" t="n">
        <v>74</v>
      </c>
      <c r="E287" s="2">
        <f>B287*D287/10000</f>
        <v/>
      </c>
      <c r="F287" s="3">
        <f>B287/30.48</f>
        <v/>
      </c>
      <c r="G287" s="3">
        <f>D287/30.48</f>
        <v/>
      </c>
      <c r="H287" s="568" t="inlineStr">
        <is>
          <t>MCHD-OLD</t>
        </is>
      </c>
      <c r="I287" s="57" t="inlineStr">
        <is>
          <t>Margaret Brown</t>
        </is>
      </c>
      <c r="J287" s="45" t="inlineStr">
        <is>
          <t>US-512 965 0262</t>
        </is>
      </c>
      <c r="K287" s="1" t="inlineStr">
        <is>
          <t xml:space="preserve"> </t>
        </is>
      </c>
    </row>
    <row r="288" ht="17.25" customFormat="1" customHeight="1" s="1">
      <c r="A288" s="8" t="inlineStr">
        <is>
          <t>C 998</t>
        </is>
      </c>
      <c r="B288" s="5" t="n">
        <v>295</v>
      </c>
      <c r="C288" s="6" t="inlineStr">
        <is>
          <t>X</t>
        </is>
      </c>
      <c r="D288" s="5" t="n">
        <v>364</v>
      </c>
      <c r="E288" s="2">
        <f>B288*D288/10000</f>
        <v/>
      </c>
      <c r="F288" s="3">
        <f>B288/30.48</f>
        <v/>
      </c>
      <c r="G288" s="3">
        <f>D288/30.48</f>
        <v/>
      </c>
      <c r="H288" s="592" t="inlineStr">
        <is>
          <t>MCHD-PAC</t>
        </is>
      </c>
      <c r="I288" s="581" t="inlineStr">
        <is>
          <t>Karen Klein</t>
        </is>
      </c>
      <c r="J288" s="575" t="inlineStr">
        <is>
          <t>US-310 709 9556</t>
        </is>
      </c>
      <c r="K288" s="1" t="inlineStr">
        <is>
          <t xml:space="preserve"> </t>
        </is>
      </c>
    </row>
    <row r="289" ht="17.25" customHeight="1" s="305">
      <c r="A289" s="8" t="inlineStr">
        <is>
          <t>H 122</t>
        </is>
      </c>
      <c r="B289" s="5" t="n">
        <v>92</v>
      </c>
      <c r="C289" s="6" t="inlineStr">
        <is>
          <t>X</t>
        </is>
      </c>
      <c r="D289" s="5" t="n">
        <v>350</v>
      </c>
      <c r="E289" s="2">
        <f>B289*D289/10000</f>
        <v/>
      </c>
      <c r="F289" s="3">
        <f>B289/30.48</f>
        <v/>
      </c>
      <c r="G289" s="3">
        <f>D289/30.48</f>
        <v/>
      </c>
      <c r="H289" s="66" t="inlineStr">
        <is>
          <t>MCHD-TR</t>
        </is>
      </c>
      <c r="I289" s="581" t="inlineStr">
        <is>
          <t>El Sol Logistics BANDD Design</t>
        </is>
      </c>
      <c r="J289" s="575" t="inlineStr">
        <is>
          <t>US-512 888 9313</t>
        </is>
      </c>
      <c r="K289" s="1" t="inlineStr">
        <is>
          <t xml:space="preserve"> </t>
        </is>
      </c>
      <c r="L289" s="1" t="n"/>
      <c r="M289" s="1" t="n"/>
    </row>
    <row r="290" ht="17.25" customFormat="1" customHeight="1" s="1">
      <c r="A290" s="8" t="inlineStr">
        <is>
          <t>Y 635</t>
        </is>
      </c>
      <c r="B290" s="5" t="n">
        <v>288</v>
      </c>
      <c r="C290" s="6" t="inlineStr">
        <is>
          <t>X</t>
        </is>
      </c>
      <c r="D290" s="5" t="n">
        <v>78</v>
      </c>
      <c r="E290" s="2">
        <f>B290*D290/10000</f>
        <v/>
      </c>
      <c r="F290" s="3">
        <f>B290/30.48</f>
        <v/>
      </c>
      <c r="G290" s="3">
        <f>D290/30.48</f>
        <v/>
      </c>
      <c r="H290" s="66" t="inlineStr">
        <is>
          <t>MCHD-TR</t>
        </is>
      </c>
      <c r="I290" s="581" t="inlineStr">
        <is>
          <t>Tracy Bell</t>
        </is>
      </c>
      <c r="J290" s="575" t="inlineStr">
        <is>
          <t>US-813 728 1104</t>
        </is>
      </c>
      <c r="K290" s="1" t="inlineStr">
        <is>
          <t xml:space="preserve"> </t>
        </is>
      </c>
    </row>
    <row r="291" ht="17.25" customFormat="1" customHeight="1" s="1">
      <c r="A291" s="8" t="inlineStr">
        <is>
          <t>C 131</t>
        </is>
      </c>
      <c r="B291" s="5" t="n">
        <v>167</v>
      </c>
      <c r="C291" s="6" t="inlineStr">
        <is>
          <t>X</t>
        </is>
      </c>
      <c r="D291" s="5" t="n">
        <v>102</v>
      </c>
      <c r="E291" s="2">
        <f>B291*D291/10000</f>
        <v/>
      </c>
      <c r="F291" s="3">
        <f>B291/30.48</f>
        <v/>
      </c>
      <c r="G291" s="3">
        <f>D291/30.48</f>
        <v/>
      </c>
      <c r="H291" s="592" t="inlineStr">
        <is>
          <t>MCHD-PAC</t>
        </is>
      </c>
      <c r="I291" s="581" t="inlineStr">
        <is>
          <t>Stephen Young--KYP GNDRİ</t>
        </is>
      </c>
      <c r="J291" s="575" t="inlineStr">
        <is>
          <t>US-817 938 8519</t>
        </is>
      </c>
      <c r="K291" s="1" t="inlineStr">
        <is>
          <t xml:space="preserve"> </t>
        </is>
      </c>
      <c r="R291" s="1" t="inlineStr">
        <is>
          <t xml:space="preserve"> </t>
        </is>
      </c>
    </row>
    <row r="292" ht="17.25" customFormat="1" customHeight="1" s="1">
      <c r="A292" s="8" t="inlineStr">
        <is>
          <t>C 992</t>
        </is>
      </c>
      <c r="B292" s="5" t="n">
        <v>294</v>
      </c>
      <c r="C292" s="6" t="inlineStr">
        <is>
          <t>X</t>
        </is>
      </c>
      <c r="D292" s="5" t="n">
        <v>383</v>
      </c>
      <c r="E292" s="2">
        <f>B292*D292/10000</f>
        <v/>
      </c>
      <c r="F292" s="3">
        <f>B292/30.48</f>
        <v/>
      </c>
      <c r="G292" s="3">
        <f>D292/30.48</f>
        <v/>
      </c>
      <c r="H292" s="592" t="inlineStr">
        <is>
          <t>MCHD-PAC</t>
        </is>
      </c>
      <c r="I292" s="581" t="inlineStr">
        <is>
          <t>Lauren Jacobsen</t>
        </is>
      </c>
      <c r="J292" s="575" t="inlineStr">
        <is>
          <t>US-916 833 1254</t>
        </is>
      </c>
      <c r="K292" s="1" t="inlineStr">
        <is>
          <t xml:space="preserve"> </t>
        </is>
      </c>
    </row>
    <row r="293" ht="17.25" customFormat="1" customHeight="1" s="1">
      <c r="A293" s="8" t="inlineStr">
        <is>
          <t>C 353</t>
        </is>
      </c>
      <c r="B293" s="5" t="n">
        <v>82</v>
      </c>
      <c r="C293" s="6" t="inlineStr">
        <is>
          <t>X</t>
        </is>
      </c>
      <c r="D293" s="5" t="n">
        <v>277</v>
      </c>
      <c r="E293" s="2">
        <f>B293*D293/10000</f>
        <v/>
      </c>
      <c r="F293" s="3">
        <f>B293/30.48</f>
        <v/>
      </c>
      <c r="G293" s="3">
        <f>D293/30.48</f>
        <v/>
      </c>
      <c r="H293" s="18" t="inlineStr">
        <is>
          <t>MSTF-TH</t>
        </is>
      </c>
      <c r="I293" s="75" t="n"/>
      <c r="J293" s="45" t="n"/>
      <c r="K293" s="1" t="inlineStr">
        <is>
          <t xml:space="preserve"> </t>
        </is>
      </c>
    </row>
    <row r="294" ht="17.25" customFormat="1" customHeight="1" s="1">
      <c r="A294" s="8" t="inlineStr">
        <is>
          <t>C 404</t>
        </is>
      </c>
      <c r="B294" s="5" t="n">
        <v>200</v>
      </c>
      <c r="C294" s="6" t="inlineStr">
        <is>
          <t>X</t>
        </is>
      </c>
      <c r="D294" s="5" t="n">
        <v>134</v>
      </c>
      <c r="E294" s="2">
        <f>B294*D294/10000</f>
        <v/>
      </c>
      <c r="F294" s="3">
        <f>B294/30.48</f>
        <v/>
      </c>
      <c r="G294" s="3">
        <f>D294/30.48</f>
        <v/>
      </c>
      <c r="H294" s="18" t="inlineStr">
        <is>
          <t>MSTF-TH</t>
        </is>
      </c>
      <c r="I294" s="75" t="n"/>
      <c r="J294" s="45" t="n"/>
      <c r="K294" s="1" t="inlineStr">
        <is>
          <t xml:space="preserve"> </t>
        </is>
      </c>
    </row>
    <row r="295" ht="17.25" customFormat="1" customHeight="1" s="1">
      <c r="A295" s="8" t="inlineStr">
        <is>
          <t>C 436</t>
        </is>
      </c>
      <c r="B295" s="5" t="n">
        <v>86</v>
      </c>
      <c r="C295" s="6" t="inlineStr">
        <is>
          <t>X</t>
        </is>
      </c>
      <c r="D295" s="5" t="n">
        <v>331</v>
      </c>
      <c r="E295" s="2">
        <f>B295*D295/10000</f>
        <v/>
      </c>
      <c r="F295" s="3">
        <f>B295/30.48</f>
        <v/>
      </c>
      <c r="G295" s="3">
        <f>D295/30.48</f>
        <v/>
      </c>
      <c r="H295" s="35" t="inlineStr">
        <is>
          <t>MSTF-EFS</t>
        </is>
      </c>
      <c r="I295" s="76" t="n"/>
      <c r="J295" s="575" t="n"/>
      <c r="K295" s="1" t="inlineStr">
        <is>
          <t xml:space="preserve"> </t>
        </is>
      </c>
    </row>
    <row r="296" ht="17.25" customHeight="1" s="305">
      <c r="A296" s="8" t="inlineStr">
        <is>
          <t>KN 89</t>
        </is>
      </c>
      <c r="B296" s="5" t="n">
        <v>206</v>
      </c>
      <c r="C296" s="6" t="inlineStr">
        <is>
          <t>X</t>
        </is>
      </c>
      <c r="D296" s="5" t="n">
        <v>253</v>
      </c>
      <c r="E296" s="2">
        <f>B296*D296/10000</f>
        <v/>
      </c>
      <c r="F296" s="3">
        <f>B296/30.48</f>
        <v/>
      </c>
      <c r="G296" s="3">
        <f>D296/30.48</f>
        <v/>
      </c>
      <c r="H296" s="37" t="inlineStr">
        <is>
          <t>MCHD-PAC</t>
        </is>
      </c>
      <c r="I296" s="581" t="inlineStr">
        <is>
          <t>Cecilia Jondell</t>
        </is>
      </c>
      <c r="J296" s="518" t="n"/>
      <c r="K296" s="1" t="inlineStr">
        <is>
          <t xml:space="preserve"> </t>
        </is>
      </c>
      <c r="L296" s="1" t="n"/>
    </row>
    <row r="297" ht="17.25" customFormat="1" customHeight="1" s="1">
      <c r="A297" s="8" t="inlineStr">
        <is>
          <t>C 373</t>
        </is>
      </c>
      <c r="B297" s="5" t="n">
        <v>90</v>
      </c>
      <c r="C297" s="6" t="inlineStr">
        <is>
          <t>X</t>
        </is>
      </c>
      <c r="D297" s="5" t="n">
        <v>340</v>
      </c>
      <c r="E297" s="2">
        <f>B297*D297/10000</f>
        <v/>
      </c>
      <c r="F297" s="3">
        <f>B297/30.48</f>
        <v/>
      </c>
      <c r="G297" s="3">
        <f>D297/30.48</f>
        <v/>
      </c>
      <c r="H297" s="35" t="inlineStr">
        <is>
          <t>MSTF-EFS</t>
        </is>
      </c>
      <c r="I297" s="75" t="n"/>
      <c r="J297" s="45" t="n"/>
      <c r="K297" s="1" t="inlineStr">
        <is>
          <t xml:space="preserve"> </t>
        </is>
      </c>
    </row>
    <row r="298" ht="17.25" customFormat="1" customHeight="1" s="1">
      <c r="A298" s="8" t="inlineStr">
        <is>
          <t>C 316</t>
        </is>
      </c>
      <c r="B298" s="5" t="n">
        <v>77</v>
      </c>
      <c r="C298" s="6" t="inlineStr">
        <is>
          <t>X</t>
        </is>
      </c>
      <c r="D298" s="5" t="n">
        <v>223</v>
      </c>
      <c r="E298" s="2">
        <f>B298*D298/10000</f>
        <v/>
      </c>
      <c r="F298" s="3">
        <f>B298/30.48</f>
        <v/>
      </c>
      <c r="G298" s="3">
        <f>D298/30.48</f>
        <v/>
      </c>
      <c r="H298" s="66" t="inlineStr">
        <is>
          <t>MCHD-TR</t>
        </is>
      </c>
      <c r="I298" s="57" t="inlineStr">
        <is>
          <t>Tia Zoldan</t>
        </is>
      </c>
      <c r="J298" s="45" t="inlineStr">
        <is>
          <t>US-310 989 9975</t>
        </is>
      </c>
      <c r="K298" s="1" t="inlineStr">
        <is>
          <t xml:space="preserve"> </t>
        </is>
      </c>
    </row>
    <row r="299" ht="17.25" customFormat="1" customHeight="1" s="1">
      <c r="A299" s="8" t="inlineStr">
        <is>
          <t>K 161</t>
        </is>
      </c>
      <c r="B299" s="5" t="n">
        <v>306</v>
      </c>
      <c r="C299" s="6" t="inlineStr">
        <is>
          <t>X</t>
        </is>
      </c>
      <c r="D299" s="5" t="n">
        <v>73</v>
      </c>
      <c r="E299" s="2">
        <f>B299*D299/10000</f>
        <v/>
      </c>
      <c r="F299" s="3">
        <f>B299/30.48</f>
        <v/>
      </c>
      <c r="G299" s="3">
        <f>D299/30.48</f>
        <v/>
      </c>
      <c r="H299" s="37" t="inlineStr">
        <is>
          <t>MCHD-PAC</t>
        </is>
      </c>
      <c r="I299" s="581" t="inlineStr">
        <is>
          <t>Katie Jury</t>
        </is>
      </c>
      <c r="J299" s="575" t="n"/>
      <c r="K299" s="1" t="inlineStr">
        <is>
          <t xml:space="preserve"> </t>
        </is>
      </c>
    </row>
    <row r="300" ht="17.25" customFormat="1" customHeight="1" s="1">
      <c r="A300" s="8" t="inlineStr">
        <is>
          <t>C 55</t>
        </is>
      </c>
      <c r="B300" s="5" t="n">
        <v>322</v>
      </c>
      <c r="C300" s="6" t="inlineStr">
        <is>
          <t>X</t>
        </is>
      </c>
      <c r="D300" s="5" t="n">
        <v>84</v>
      </c>
      <c r="E300" s="2">
        <f>B300*D300/10000</f>
        <v/>
      </c>
      <c r="F300" s="3">
        <f>B300/30.48</f>
        <v/>
      </c>
      <c r="G300" s="3">
        <f>D300/30.48</f>
        <v/>
      </c>
      <c r="H300" s="37" t="inlineStr">
        <is>
          <t>MCHD-PAC</t>
        </is>
      </c>
      <c r="I300" s="581" t="inlineStr">
        <is>
          <t>Kelly Petro</t>
        </is>
      </c>
      <c r="J300" s="575" t="inlineStr">
        <is>
          <t>US-205 937 0366</t>
        </is>
      </c>
      <c r="K300" s="1" t="inlineStr">
        <is>
          <t xml:space="preserve"> </t>
        </is>
      </c>
    </row>
    <row r="301" ht="17.25" customFormat="1" customHeight="1" s="1">
      <c r="A301" s="8" t="inlineStr">
        <is>
          <t>C 362</t>
        </is>
      </c>
      <c r="B301" s="5" t="n">
        <v>102</v>
      </c>
      <c r="C301" s="6" t="inlineStr">
        <is>
          <t>X</t>
        </is>
      </c>
      <c r="D301" s="5" t="n">
        <v>329</v>
      </c>
      <c r="E301" s="2">
        <f>B301*D301/10000</f>
        <v/>
      </c>
      <c r="F301" s="3">
        <f>B301/30.48</f>
        <v/>
      </c>
      <c r="G301" s="3">
        <f>D301/30.48</f>
        <v/>
      </c>
      <c r="H301" s="66" t="inlineStr">
        <is>
          <t>MCHD-TR</t>
        </is>
      </c>
      <c r="I301" s="57" t="inlineStr">
        <is>
          <t>Rachel Fogarty</t>
        </is>
      </c>
      <c r="J301" s="45" t="inlineStr">
        <is>
          <t>US-515 782 2579</t>
        </is>
      </c>
      <c r="K301" s="1" t="inlineStr">
        <is>
          <t xml:space="preserve"> </t>
        </is>
      </c>
    </row>
    <row r="302" ht="17.25" customFormat="1" customHeight="1" s="1">
      <c r="A302" s="8" t="inlineStr">
        <is>
          <t>C 389</t>
        </is>
      </c>
      <c r="B302" s="5" t="n">
        <v>126</v>
      </c>
      <c r="C302" s="6" t="inlineStr">
        <is>
          <t>X</t>
        </is>
      </c>
      <c r="D302" s="5" t="n">
        <v>190</v>
      </c>
      <c r="E302" s="2">
        <f>B302*D302/10000</f>
        <v/>
      </c>
      <c r="F302" s="3">
        <f>B302/30.48</f>
        <v/>
      </c>
      <c r="G302" s="3">
        <f>D302/30.48</f>
        <v/>
      </c>
      <c r="H302" s="66" t="inlineStr">
        <is>
          <t>MCHD-TR</t>
        </is>
      </c>
      <c r="I302" s="693" t="n"/>
      <c r="J302" s="693" t="n"/>
      <c r="K302" s="1" t="inlineStr">
        <is>
          <t xml:space="preserve"> </t>
        </is>
      </c>
    </row>
    <row r="303" ht="17.25" customFormat="1" customHeight="1" s="1">
      <c r="A303" s="8" t="inlineStr">
        <is>
          <t>C 419</t>
        </is>
      </c>
      <c r="B303" s="5" t="n">
        <v>157</v>
      </c>
      <c r="C303" s="6" t="inlineStr">
        <is>
          <t>X</t>
        </is>
      </c>
      <c r="D303" s="5" t="n">
        <v>226</v>
      </c>
      <c r="E303" s="2">
        <f>B303*D303/10000</f>
        <v/>
      </c>
      <c r="F303" s="3">
        <f>B303/30.48</f>
        <v/>
      </c>
      <c r="G303" s="3">
        <f>D303/30.48</f>
        <v/>
      </c>
      <c r="H303" s="66" t="inlineStr">
        <is>
          <t>MCHD-TR</t>
        </is>
      </c>
      <c r="I303" s="693" t="n"/>
      <c r="J303" s="693" t="n"/>
      <c r="K303" s="1" t="inlineStr">
        <is>
          <t xml:space="preserve"> </t>
        </is>
      </c>
    </row>
    <row r="304" ht="17.25" customFormat="1" customHeight="1" s="1">
      <c r="A304" s="8" t="inlineStr">
        <is>
          <t>C 123</t>
        </is>
      </c>
      <c r="B304" s="5" t="n">
        <v>176</v>
      </c>
      <c r="C304" s="6" t="inlineStr">
        <is>
          <t>X</t>
        </is>
      </c>
      <c r="D304" s="5" t="n">
        <v>102</v>
      </c>
      <c r="E304" s="2">
        <f>B304*D304/10000</f>
        <v/>
      </c>
      <c r="F304" s="3">
        <f>B304/30.48</f>
        <v/>
      </c>
      <c r="G304" s="3">
        <f>D304/30.48</f>
        <v/>
      </c>
      <c r="H304" s="66" t="inlineStr">
        <is>
          <t>MCHD-TR</t>
        </is>
      </c>
      <c r="I304" s="693" t="n"/>
      <c r="J304" s="693" t="n"/>
      <c r="K304" s="1" t="inlineStr">
        <is>
          <t xml:space="preserve"> </t>
        </is>
      </c>
    </row>
    <row r="305" ht="17.25" customFormat="1" customHeight="1" s="1">
      <c r="A305" s="8" t="inlineStr">
        <is>
          <t>C 375</t>
        </is>
      </c>
      <c r="B305" s="5" t="n">
        <v>140</v>
      </c>
      <c r="C305" s="6" t="inlineStr">
        <is>
          <t>X</t>
        </is>
      </c>
      <c r="D305" s="5" t="n">
        <v>91</v>
      </c>
      <c r="E305" s="2">
        <f>B305*D305/10000</f>
        <v/>
      </c>
      <c r="F305" s="3">
        <f>B305/30.48</f>
        <v/>
      </c>
      <c r="G305" s="3">
        <f>D305/30.48</f>
        <v/>
      </c>
      <c r="H305" s="66" t="inlineStr">
        <is>
          <t>MCHD-TR</t>
        </is>
      </c>
      <c r="I305" s="694" t="n"/>
      <c r="J305" s="694" t="n"/>
      <c r="K305" s="1" t="inlineStr">
        <is>
          <t xml:space="preserve"> </t>
        </is>
      </c>
    </row>
    <row r="306" ht="17.25" customFormat="1" customHeight="1" s="1">
      <c r="A306" s="8" t="inlineStr">
        <is>
          <t>C 222</t>
        </is>
      </c>
      <c r="B306" s="5" t="n">
        <v>244</v>
      </c>
      <c r="C306" s="6" t="inlineStr">
        <is>
          <t>X</t>
        </is>
      </c>
      <c r="D306" s="5" t="n">
        <v>80</v>
      </c>
      <c r="E306" s="2">
        <f>B306*D306/10000</f>
        <v/>
      </c>
      <c r="F306" s="3">
        <f>B306/30.48</f>
        <v/>
      </c>
      <c r="G306" s="3">
        <f>D306/30.48</f>
        <v/>
      </c>
      <c r="H306" s="568" t="inlineStr">
        <is>
          <t>MCHD-OLD</t>
        </is>
      </c>
      <c r="I306" s="581" t="inlineStr">
        <is>
          <t>Dan Atherton</t>
        </is>
      </c>
      <c r="J306" s="45" t="inlineStr">
        <is>
          <t>US-919 201 3037</t>
        </is>
      </c>
    </row>
    <row r="307" ht="18" customFormat="1" customHeight="1" s="1">
      <c r="A307" s="8" t="inlineStr">
        <is>
          <t>C 253</t>
        </is>
      </c>
      <c r="B307" s="5" t="n">
        <v>92</v>
      </c>
      <c r="C307" s="6" t="inlineStr">
        <is>
          <t>X</t>
        </is>
      </c>
      <c r="D307" s="5" t="n">
        <v>344</v>
      </c>
      <c r="E307" s="2">
        <f>B307*D307/10000</f>
        <v/>
      </c>
      <c r="F307" s="3">
        <f>B307/30.48</f>
        <v/>
      </c>
      <c r="G307" s="3">
        <f>D307/30.48</f>
        <v/>
      </c>
      <c r="H307" s="37" t="inlineStr">
        <is>
          <t>MCHD-PAC</t>
        </is>
      </c>
      <c r="I307" s="695" t="inlineStr">
        <is>
          <t>Whitney Brush
35 Airport Road Vineyard Haven
MA United States 02568
Mail: 
whitney@vineyarddecorators.com</t>
        </is>
      </c>
      <c r="J307" s="696" t="inlineStr">
        <is>
          <t>US-508 274 5835</t>
        </is>
      </c>
      <c r="K307" s="1" t="inlineStr">
        <is>
          <t xml:space="preserve"> </t>
        </is>
      </c>
    </row>
    <row r="308" ht="17.25" customFormat="1" customHeight="1" s="1">
      <c r="A308" s="8" t="inlineStr">
        <is>
          <t>C 997</t>
        </is>
      </c>
      <c r="B308" s="5" t="n">
        <v>198</v>
      </c>
      <c r="C308" s="6" t="inlineStr">
        <is>
          <t>X</t>
        </is>
      </c>
      <c r="D308" s="5" t="n">
        <v>272</v>
      </c>
      <c r="E308" s="2">
        <f>B308*D308/10000</f>
        <v/>
      </c>
      <c r="F308" s="3">
        <f>B308/30.48</f>
        <v/>
      </c>
      <c r="G308" s="3">
        <f>D308/30.48</f>
        <v/>
      </c>
      <c r="H308" s="693" t="n"/>
      <c r="I308" s="693" t="n"/>
      <c r="J308" s="697" t="n"/>
    </row>
    <row r="309" ht="17.25" customFormat="1" customHeight="1" s="1">
      <c r="A309" s="8" t="inlineStr">
        <is>
          <t>C 263</t>
        </is>
      </c>
      <c r="B309" s="5" t="n">
        <v>93</v>
      </c>
      <c r="C309" s="6" t="inlineStr">
        <is>
          <t>X</t>
        </is>
      </c>
      <c r="D309" s="5" t="n">
        <v>342</v>
      </c>
      <c r="E309" s="2">
        <f>B309*D309/10000</f>
        <v/>
      </c>
      <c r="F309" s="3">
        <f>B309/30.48</f>
        <v/>
      </c>
      <c r="G309" s="3">
        <f>D309/30.48</f>
        <v/>
      </c>
      <c r="H309" s="693" t="n"/>
      <c r="I309" s="693" t="n"/>
      <c r="J309" s="697" t="n"/>
      <c r="K309" s="1" t="inlineStr">
        <is>
          <t xml:space="preserve"> </t>
        </is>
      </c>
    </row>
    <row r="310" ht="17.25" customFormat="1" customHeight="1" s="1">
      <c r="A310" s="8" t="inlineStr">
        <is>
          <t>C 256</t>
        </is>
      </c>
      <c r="B310" s="5" t="n">
        <v>86</v>
      </c>
      <c r="C310" s="6" t="inlineStr">
        <is>
          <t>X</t>
        </is>
      </c>
      <c r="D310" s="5" t="n">
        <v>196</v>
      </c>
      <c r="E310" s="2">
        <f>B310*D310/10000</f>
        <v/>
      </c>
      <c r="F310" s="3">
        <f>B310/30.48</f>
        <v/>
      </c>
      <c r="G310" s="3">
        <f>D310/30.48</f>
        <v/>
      </c>
      <c r="H310" s="693" t="n"/>
      <c r="I310" s="693" t="n"/>
      <c r="J310" s="697" t="n"/>
    </row>
    <row r="311" ht="17.25" customFormat="1" customHeight="1" s="1">
      <c r="A311" s="8" t="inlineStr">
        <is>
          <t>C 610</t>
        </is>
      </c>
      <c r="B311" s="5" t="n">
        <v>169</v>
      </c>
      <c r="C311" s="6" t="inlineStr">
        <is>
          <t>X</t>
        </is>
      </c>
      <c r="D311" s="5" t="n">
        <v>269</v>
      </c>
      <c r="E311" s="2">
        <f>B311*D311/10000</f>
        <v/>
      </c>
      <c r="F311" s="3">
        <f>B311/30.48</f>
        <v/>
      </c>
      <c r="G311" s="3">
        <f>D311/30.48</f>
        <v/>
      </c>
      <c r="H311" s="693" t="n"/>
      <c r="I311" s="693" t="n"/>
      <c r="J311" s="697" t="n"/>
      <c r="K311" s="1" t="inlineStr">
        <is>
          <t xml:space="preserve"> </t>
        </is>
      </c>
    </row>
    <row r="312" ht="17.25" customFormat="1" customHeight="1" s="1">
      <c r="A312" s="8" t="inlineStr">
        <is>
          <t>C 448</t>
        </is>
      </c>
      <c r="B312" s="5" t="n">
        <v>137</v>
      </c>
      <c r="C312" s="6" t="inlineStr">
        <is>
          <t>X</t>
        </is>
      </c>
      <c r="D312" s="5" t="n">
        <v>246</v>
      </c>
      <c r="E312" s="2">
        <f>B312*D312/10000</f>
        <v/>
      </c>
      <c r="F312" s="3">
        <f>B312/30.48</f>
        <v/>
      </c>
      <c r="G312" s="3">
        <f>D312/30.48</f>
        <v/>
      </c>
      <c r="H312" s="693" t="n"/>
      <c r="I312" s="693" t="n"/>
      <c r="J312" s="697" t="n"/>
      <c r="N312" s="1" t="inlineStr">
        <is>
          <t xml:space="preserve"> </t>
        </is>
      </c>
    </row>
    <row r="313" ht="17.25" customFormat="1" customHeight="1" s="1">
      <c r="A313" s="8" t="inlineStr">
        <is>
          <t>C 803</t>
        </is>
      </c>
      <c r="B313" s="5" t="n">
        <v>74</v>
      </c>
      <c r="C313" s="6" t="inlineStr">
        <is>
          <t>X</t>
        </is>
      </c>
      <c r="D313" s="5" t="n">
        <v>334</v>
      </c>
      <c r="E313" s="2">
        <f>B313*D313/10000</f>
        <v/>
      </c>
      <c r="F313" s="3">
        <f>B313/30.48</f>
        <v/>
      </c>
      <c r="G313" s="3">
        <f>D313/30.48</f>
        <v/>
      </c>
      <c r="H313" s="693" t="n"/>
      <c r="I313" s="693" t="n"/>
      <c r="J313" s="697" t="n"/>
      <c r="K313" s="1" t="inlineStr">
        <is>
          <t xml:space="preserve"> </t>
        </is>
      </c>
    </row>
    <row r="314" ht="17.25" customFormat="1" customHeight="1" s="1">
      <c r="A314" s="8" t="inlineStr">
        <is>
          <t>C 396</t>
        </is>
      </c>
      <c r="B314" s="5" t="n">
        <v>97</v>
      </c>
      <c r="C314" s="6" t="inlineStr">
        <is>
          <t>X</t>
        </is>
      </c>
      <c r="D314" s="5" t="n">
        <v>407</v>
      </c>
      <c r="E314" s="2">
        <f>B314*D314/10000</f>
        <v/>
      </c>
      <c r="F314" s="3">
        <f>B314/30.48</f>
        <v/>
      </c>
      <c r="G314" s="3">
        <f>D314/30.48</f>
        <v/>
      </c>
      <c r="H314" s="693" t="n"/>
      <c r="I314" s="693" t="n"/>
      <c r="J314" s="697" t="n"/>
    </row>
    <row r="315" ht="17.25" customFormat="1" customHeight="1" s="1">
      <c r="A315" s="8" t="inlineStr">
        <is>
          <t>C 329</t>
        </is>
      </c>
      <c r="B315" s="5" t="n">
        <v>78</v>
      </c>
      <c r="C315" s="6" t="inlineStr">
        <is>
          <t>X</t>
        </is>
      </c>
      <c r="D315" s="5" t="n">
        <v>274</v>
      </c>
      <c r="E315" s="2">
        <f>B315*D315/10000</f>
        <v/>
      </c>
      <c r="F315" s="3">
        <f>B315/30.48</f>
        <v/>
      </c>
      <c r="G315" s="3">
        <f>D315/30.48</f>
        <v/>
      </c>
      <c r="H315" s="693" t="n"/>
      <c r="I315" s="693" t="n"/>
      <c r="J315" s="697" t="n"/>
      <c r="K315" s="1" t="inlineStr">
        <is>
          <t xml:space="preserve"> </t>
        </is>
      </c>
    </row>
    <row r="316" ht="17.25" customFormat="1" customHeight="1" s="1">
      <c r="A316" s="8" t="inlineStr">
        <is>
          <t>C 384</t>
        </is>
      </c>
      <c r="B316" s="5" t="n">
        <v>100</v>
      </c>
      <c r="C316" s="6" t="inlineStr">
        <is>
          <t>X</t>
        </is>
      </c>
      <c r="D316" s="5" t="n">
        <v>348</v>
      </c>
      <c r="E316" s="2">
        <f>B316*D316/10000</f>
        <v/>
      </c>
      <c r="F316" s="3">
        <f>B316/30.48</f>
        <v/>
      </c>
      <c r="G316" s="3">
        <f>D316/30.48</f>
        <v/>
      </c>
      <c r="H316" s="693" t="n"/>
      <c r="I316" s="693" t="n"/>
      <c r="J316" s="697" t="n"/>
    </row>
    <row r="317" ht="17.25" customFormat="1" customHeight="1" s="1">
      <c r="A317" s="8" t="inlineStr">
        <is>
          <t>C 788</t>
        </is>
      </c>
      <c r="B317" s="5" t="n">
        <v>92</v>
      </c>
      <c r="C317" s="6" t="inlineStr">
        <is>
          <t>X</t>
        </is>
      </c>
      <c r="D317" s="5" t="n">
        <v>338</v>
      </c>
      <c r="E317" s="2">
        <f>B317*D317/10000</f>
        <v/>
      </c>
      <c r="F317" s="3">
        <f>B317/30.48</f>
        <v/>
      </c>
      <c r="G317" s="3">
        <f>D317/30.48</f>
        <v/>
      </c>
      <c r="H317" s="693" t="n"/>
      <c r="I317" s="693" t="n"/>
      <c r="J317" s="697" t="n"/>
      <c r="K317" s="1" t="inlineStr">
        <is>
          <t xml:space="preserve"> </t>
        </is>
      </c>
    </row>
    <row r="318" ht="17.25" customFormat="1" customHeight="1" s="1">
      <c r="A318" s="8" t="inlineStr">
        <is>
          <t>Y 881</t>
        </is>
      </c>
      <c r="B318" s="5" t="n">
        <v>354</v>
      </c>
      <c r="C318" s="6" t="inlineStr">
        <is>
          <t>X</t>
        </is>
      </c>
      <c r="D318" s="5" t="n">
        <v>109</v>
      </c>
      <c r="E318" s="2">
        <f>B318*D318/10000</f>
        <v/>
      </c>
      <c r="F318" s="3">
        <f>B318/30.48</f>
        <v/>
      </c>
      <c r="G318" s="3">
        <f>D318/30.48</f>
        <v/>
      </c>
      <c r="H318" s="693" t="n"/>
      <c r="I318" s="693" t="n"/>
      <c r="J318" s="697" t="n"/>
    </row>
    <row r="319" ht="17.25" customFormat="1" customHeight="1" s="1">
      <c r="A319" s="8" t="inlineStr">
        <is>
          <t>Y 421</t>
        </is>
      </c>
      <c r="B319" s="5" t="n">
        <v>317</v>
      </c>
      <c r="C319" s="6" t="inlineStr">
        <is>
          <t>X</t>
        </is>
      </c>
      <c r="D319" s="5" t="n">
        <v>114</v>
      </c>
      <c r="E319" s="2">
        <f>B319*D319/10000</f>
        <v/>
      </c>
      <c r="F319" s="3">
        <f>B319/30.48</f>
        <v/>
      </c>
      <c r="G319" s="3">
        <f>D319/30.48</f>
        <v/>
      </c>
      <c r="H319" s="693" t="n"/>
      <c r="I319" s="693" t="n"/>
      <c r="J319" s="697" t="n"/>
      <c r="K319" s="1" t="inlineStr">
        <is>
          <t xml:space="preserve"> </t>
        </is>
      </c>
    </row>
    <row r="320" ht="17.25" customFormat="1" customHeight="1" s="1">
      <c r="A320" s="8" t="inlineStr">
        <is>
          <t>Y 231</t>
        </is>
      </c>
      <c r="B320" s="5" t="n">
        <v>344</v>
      </c>
      <c r="C320" s="6" t="inlineStr">
        <is>
          <t>X</t>
        </is>
      </c>
      <c r="D320" s="5" t="n">
        <v>122</v>
      </c>
      <c r="E320" s="2">
        <f>B320*D320/10000</f>
        <v/>
      </c>
      <c r="F320" s="3">
        <f>B320/30.48</f>
        <v/>
      </c>
      <c r="G320" s="3">
        <f>D320/30.48</f>
        <v/>
      </c>
      <c r="H320" s="693" t="n"/>
      <c r="I320" s="693" t="n"/>
      <c r="J320" s="697" t="n"/>
    </row>
    <row r="321" ht="17.25" customFormat="1" customHeight="1" s="1">
      <c r="A321" s="8" t="n">
        <v>4</v>
      </c>
      <c r="B321" s="5" t="n">
        <v>94</v>
      </c>
      <c r="C321" s="6" t="inlineStr">
        <is>
          <t>X</t>
        </is>
      </c>
      <c r="D321" s="5" t="n">
        <v>327</v>
      </c>
      <c r="E321" s="2">
        <f>B321*D321/10000</f>
        <v/>
      </c>
      <c r="F321" s="3">
        <f>B321/30.48</f>
        <v/>
      </c>
      <c r="G321" s="3">
        <f>D321/30.48</f>
        <v/>
      </c>
      <c r="H321" s="693" t="n"/>
      <c r="I321" s="693" t="n"/>
      <c r="J321" s="697" t="n"/>
      <c r="K321" s="1" t="inlineStr">
        <is>
          <t xml:space="preserve"> </t>
        </is>
      </c>
    </row>
    <row r="322" ht="17.25" customFormat="1" customHeight="1" s="1">
      <c r="A322" s="8" t="inlineStr">
        <is>
          <t>H 197</t>
        </is>
      </c>
      <c r="B322" s="5" t="n">
        <v>91</v>
      </c>
      <c r="C322" s="6" t="inlineStr">
        <is>
          <t>X</t>
        </is>
      </c>
      <c r="D322" s="5" t="n">
        <v>530</v>
      </c>
      <c r="E322" s="2">
        <f>B322*D322/10000</f>
        <v/>
      </c>
      <c r="F322" s="3">
        <f>B322/30.48</f>
        <v/>
      </c>
      <c r="G322" s="3">
        <f>D322/30.48</f>
        <v/>
      </c>
      <c r="H322" s="693" t="n"/>
      <c r="I322" s="693" t="n"/>
      <c r="J322" s="697" t="n"/>
    </row>
    <row r="323" ht="17.25" customFormat="1" customHeight="1" s="1">
      <c r="A323" s="8" t="inlineStr">
        <is>
          <t>H 206</t>
        </is>
      </c>
      <c r="B323" s="5" t="n">
        <v>103</v>
      </c>
      <c r="C323" s="6" t="inlineStr">
        <is>
          <t>X</t>
        </is>
      </c>
      <c r="D323" s="5" t="n">
        <v>349</v>
      </c>
      <c r="E323" s="2">
        <f>B323*D323/10000</f>
        <v/>
      </c>
      <c r="F323" s="3">
        <f>B323/30.48</f>
        <v/>
      </c>
      <c r="G323" s="3">
        <f>D323/30.48</f>
        <v/>
      </c>
      <c r="H323" s="693" t="n"/>
      <c r="I323" s="693" t="n"/>
      <c r="J323" s="697" t="n"/>
      <c r="K323" s="1" t="inlineStr">
        <is>
          <t xml:space="preserve"> </t>
        </is>
      </c>
    </row>
    <row r="324" ht="17.25" customFormat="1" customHeight="1" s="1">
      <c r="A324" s="8" t="inlineStr">
        <is>
          <t>H 162</t>
        </is>
      </c>
      <c r="B324" s="5" t="n">
        <v>351</v>
      </c>
      <c r="C324" s="6" t="inlineStr">
        <is>
          <t>X</t>
        </is>
      </c>
      <c r="D324" s="5" t="n">
        <v>104</v>
      </c>
      <c r="E324" s="2">
        <f>B324*D324/10000</f>
        <v/>
      </c>
      <c r="F324" s="3">
        <f>B324/30.48</f>
        <v/>
      </c>
      <c r="G324" s="3">
        <f>D324/30.48</f>
        <v/>
      </c>
      <c r="H324" s="693" t="n"/>
      <c r="I324" s="693" t="n"/>
      <c r="J324" s="697" t="n"/>
    </row>
    <row r="325" ht="17.25" customFormat="1" customHeight="1" s="1">
      <c r="A325" s="8" t="n">
        <v>6</v>
      </c>
      <c r="B325" s="5" t="n">
        <v>94</v>
      </c>
      <c r="C325" s="6" t="inlineStr">
        <is>
          <t>X</t>
        </is>
      </c>
      <c r="D325" s="5" t="n">
        <v>359</v>
      </c>
      <c r="E325" s="2">
        <f>B325*D325/10000</f>
        <v/>
      </c>
      <c r="F325" s="3">
        <f>B325/30.48</f>
        <v/>
      </c>
      <c r="G325" s="3">
        <f>D325/30.48</f>
        <v/>
      </c>
      <c r="H325" s="693" t="n"/>
      <c r="I325" s="693" t="n"/>
      <c r="J325" s="697" t="n"/>
      <c r="K325" s="1" t="inlineStr">
        <is>
          <t xml:space="preserve"> </t>
        </is>
      </c>
    </row>
    <row r="326" ht="17.25" customFormat="1" customHeight="1" s="1">
      <c r="A326" s="8" t="inlineStr">
        <is>
          <t>H 169</t>
        </is>
      </c>
      <c r="B326" s="5" t="n">
        <v>308</v>
      </c>
      <c r="C326" s="6" t="inlineStr">
        <is>
          <t>X</t>
        </is>
      </c>
      <c r="D326" s="5" t="n">
        <v>102</v>
      </c>
      <c r="E326" s="2">
        <f>B326*D326/10000</f>
        <v/>
      </c>
      <c r="F326" s="3">
        <f>B326/30.48</f>
        <v/>
      </c>
      <c r="G326" s="3">
        <f>D326/30.48</f>
        <v/>
      </c>
      <c r="H326" s="693" t="n"/>
      <c r="I326" s="693" t="n"/>
      <c r="J326" s="697" t="n"/>
    </row>
    <row r="327" ht="17.25" customFormat="1" customHeight="1" s="1">
      <c r="A327" s="8" t="inlineStr">
        <is>
          <t>H 174</t>
        </is>
      </c>
      <c r="B327" s="5" t="n">
        <v>367</v>
      </c>
      <c r="C327" s="6" t="inlineStr">
        <is>
          <t>X</t>
        </is>
      </c>
      <c r="D327" s="5" t="n">
        <v>84</v>
      </c>
      <c r="E327" s="2">
        <f>B327*D327/10000</f>
        <v/>
      </c>
      <c r="F327" s="3">
        <f>B327/30.48</f>
        <v/>
      </c>
      <c r="G327" s="3">
        <f>D327/30.48</f>
        <v/>
      </c>
      <c r="H327" s="693" t="n"/>
      <c r="I327" s="693" t="n"/>
      <c r="J327" s="697" t="n"/>
      <c r="K327" s="1" t="inlineStr">
        <is>
          <t xml:space="preserve"> </t>
        </is>
      </c>
    </row>
    <row r="328" ht="17.25" customFormat="1" customHeight="1" s="1">
      <c r="A328" s="8" t="inlineStr">
        <is>
          <t>H 198</t>
        </is>
      </c>
      <c r="B328" s="5" t="n">
        <v>107</v>
      </c>
      <c r="C328" s="6" t="inlineStr">
        <is>
          <t>X</t>
        </is>
      </c>
      <c r="D328" s="5" t="n">
        <v>368</v>
      </c>
      <c r="E328" s="2">
        <f>B328*D328/10000</f>
        <v/>
      </c>
      <c r="F328" s="3">
        <f>B328/30.48</f>
        <v/>
      </c>
      <c r="G328" s="3">
        <f>D328/30.48</f>
        <v/>
      </c>
      <c r="H328" s="693" t="n"/>
      <c r="I328" s="693" t="n"/>
      <c r="J328" s="697" t="n"/>
    </row>
    <row r="329" ht="17.25" customFormat="1" customHeight="1" s="1">
      <c r="A329" s="8" t="inlineStr">
        <is>
          <t>H 140</t>
        </is>
      </c>
      <c r="B329" s="5" t="n">
        <v>377</v>
      </c>
      <c r="C329" s="6" t="inlineStr">
        <is>
          <t>X</t>
        </is>
      </c>
      <c r="D329" s="5" t="n">
        <v>88</v>
      </c>
      <c r="E329" s="2">
        <f>B329*D329/10000</f>
        <v/>
      </c>
      <c r="F329" s="3">
        <f>B329/30.48</f>
        <v/>
      </c>
      <c r="G329" s="3">
        <f>D329/30.48</f>
        <v/>
      </c>
      <c r="H329" s="693" t="n"/>
      <c r="I329" s="693" t="n"/>
      <c r="J329" s="697" t="n"/>
      <c r="K329" s="1" t="inlineStr">
        <is>
          <t xml:space="preserve"> </t>
        </is>
      </c>
    </row>
    <row r="330" ht="17.25" customFormat="1" customHeight="1" s="1">
      <c r="A330" s="8" t="inlineStr">
        <is>
          <t>H 190</t>
        </is>
      </c>
      <c r="B330" s="5" t="n">
        <v>90</v>
      </c>
      <c r="C330" s="6" t="inlineStr">
        <is>
          <t>X</t>
        </is>
      </c>
      <c r="D330" s="5" t="n">
        <v>238</v>
      </c>
      <c r="E330" s="2">
        <f>B330*D330/10000</f>
        <v/>
      </c>
      <c r="F330" s="3">
        <f>B330/30.48</f>
        <v/>
      </c>
      <c r="G330" s="3">
        <f>D330/30.48</f>
        <v/>
      </c>
      <c r="H330" s="693" t="n"/>
      <c r="I330" s="693" t="n"/>
      <c r="J330" s="697" t="n"/>
    </row>
    <row r="331" ht="17.25" customHeight="1" s="305">
      <c r="A331" s="8" t="inlineStr">
        <is>
          <t>H 93</t>
        </is>
      </c>
      <c r="B331" s="5" t="n">
        <v>89</v>
      </c>
      <c r="C331" s="6" t="inlineStr">
        <is>
          <t>X</t>
        </is>
      </c>
      <c r="D331" s="5" t="n">
        <v>372</v>
      </c>
      <c r="E331" s="2">
        <f>B331*D331/10000</f>
        <v/>
      </c>
      <c r="F331" s="3">
        <f>B331/30.48</f>
        <v/>
      </c>
      <c r="G331" s="3">
        <f>D331/30.48</f>
        <v/>
      </c>
      <c r="H331" s="694" t="n"/>
      <c r="I331" s="694" t="n"/>
      <c r="J331" s="698" t="n"/>
      <c r="K331" s="1" t="inlineStr">
        <is>
          <t xml:space="preserve"> </t>
        </is>
      </c>
      <c r="L331" s="1" t="n"/>
    </row>
    <row r="332" ht="17.25" customFormat="1" customHeight="1" s="1">
      <c r="A332" s="8" t="inlineStr">
        <is>
          <t>C 393</t>
        </is>
      </c>
      <c r="B332" s="5" t="n">
        <v>150</v>
      </c>
      <c r="C332" s="6" t="inlineStr">
        <is>
          <t>X</t>
        </is>
      </c>
      <c r="D332" s="5" t="n">
        <v>229</v>
      </c>
      <c r="E332" s="2">
        <f>B332*D332/10000</f>
        <v/>
      </c>
      <c r="F332" s="3">
        <f>B332/30.48</f>
        <v/>
      </c>
      <c r="G332" s="3">
        <f>D332/30.48</f>
        <v/>
      </c>
      <c r="H332" s="37" t="inlineStr">
        <is>
          <t>MCHD-PAC</t>
        </is>
      </c>
      <c r="I332" s="57" t="inlineStr">
        <is>
          <t>Kate Pearson</t>
        </is>
      </c>
      <c r="J332" s="45" t="inlineStr">
        <is>
          <t>US-615 609 0028</t>
        </is>
      </c>
    </row>
    <row r="333" ht="17.25" customFormat="1" customHeight="1" s="1">
      <c r="A333" s="8" t="inlineStr">
        <is>
          <t>C 229</t>
        </is>
      </c>
      <c r="B333" s="5" t="n">
        <v>254</v>
      </c>
      <c r="C333" s="6" t="inlineStr">
        <is>
          <t>X</t>
        </is>
      </c>
      <c r="D333" s="5" t="n">
        <v>93</v>
      </c>
      <c r="E333" s="2">
        <f>B333*D333/10000</f>
        <v/>
      </c>
      <c r="F333" s="3">
        <f>B333/30.48</f>
        <v/>
      </c>
      <c r="G333" s="3">
        <f>D333/30.48</f>
        <v/>
      </c>
      <c r="H333" s="569" t="inlineStr">
        <is>
          <t>MCHD-VR</t>
        </is>
      </c>
      <c r="I333" s="57" t="inlineStr">
        <is>
          <t>Lura Beth Rhodenbaugh</t>
        </is>
      </c>
      <c r="J333" s="45" t="inlineStr">
        <is>
          <t>US-513 255 7908</t>
        </is>
      </c>
      <c r="K333" s="1" t="inlineStr">
        <is>
          <t xml:space="preserve"> </t>
        </is>
      </c>
    </row>
    <row r="334" ht="17.25" customFormat="1" customHeight="1" s="1">
      <c r="A334" s="8" t="n">
        <v>494</v>
      </c>
      <c r="B334" s="5" t="n">
        <v>167</v>
      </c>
      <c r="C334" s="6" t="inlineStr">
        <is>
          <t>X</t>
        </is>
      </c>
      <c r="D334" s="5" t="n">
        <v>129</v>
      </c>
      <c r="E334" s="2">
        <f>B334*D334/10000</f>
        <v/>
      </c>
      <c r="F334" s="3">
        <f>B334/30.48</f>
        <v/>
      </c>
      <c r="G334" s="3">
        <f>D334/30.48</f>
        <v/>
      </c>
      <c r="H334" s="568" t="inlineStr">
        <is>
          <t>MCHD-OLD</t>
        </is>
      </c>
      <c r="I334" s="57" t="inlineStr">
        <is>
          <t>Molly Sandvick</t>
        </is>
      </c>
      <c r="J334" s="45" t="inlineStr">
        <is>
          <t>US-206 714 7052</t>
        </is>
      </c>
    </row>
    <row r="335" ht="17.25" customFormat="1" customHeight="1" s="1">
      <c r="A335" s="8" t="inlineStr">
        <is>
          <t>Y 367</t>
        </is>
      </c>
      <c r="B335" s="5" t="n">
        <v>181</v>
      </c>
      <c r="C335" s="6" t="inlineStr">
        <is>
          <t>X</t>
        </is>
      </c>
      <c r="D335" s="5" t="n">
        <v>178</v>
      </c>
      <c r="E335" s="2">
        <f>B335*D335/10000</f>
        <v/>
      </c>
      <c r="F335" s="3">
        <f>B335/30.48</f>
        <v/>
      </c>
      <c r="G335" s="3">
        <f>D335/30.48</f>
        <v/>
      </c>
      <c r="H335" s="18" t="inlineStr">
        <is>
          <t>MSTF-TH</t>
        </is>
      </c>
      <c r="I335" s="76" t="n"/>
      <c r="J335" s="575" t="n"/>
      <c r="K335" s="1" t="inlineStr">
        <is>
          <t xml:space="preserve"> </t>
        </is>
      </c>
    </row>
    <row r="336" ht="17.25" customFormat="1" customHeight="1" s="1">
      <c r="A336" s="8" t="inlineStr">
        <is>
          <t>C 616</t>
        </is>
      </c>
      <c r="B336" s="5" t="n">
        <v>74</v>
      </c>
      <c r="C336" s="6" t="inlineStr">
        <is>
          <t>X</t>
        </is>
      </c>
      <c r="D336" s="5" t="n">
        <v>169</v>
      </c>
      <c r="E336" s="2">
        <f>B336*D336/10000</f>
        <v/>
      </c>
      <c r="F336" s="3">
        <f>B336/30.48</f>
        <v/>
      </c>
      <c r="G336" s="3">
        <f>D336/30.48</f>
        <v/>
      </c>
      <c r="H336" s="37" t="inlineStr">
        <is>
          <t>MCHD-PAC</t>
        </is>
      </c>
      <c r="I336" s="57" t="inlineStr">
        <is>
          <t>Heyward McDaniel</t>
        </is>
      </c>
      <c r="J336" s="45" t="inlineStr">
        <is>
          <t>US-704 451 3953</t>
        </is>
      </c>
    </row>
    <row r="337" ht="17.25" customFormat="1" customHeight="1" s="1">
      <c r="A337" s="8" t="inlineStr">
        <is>
          <t>C 762</t>
        </is>
      </c>
      <c r="B337" s="5" t="n">
        <v>361</v>
      </c>
      <c r="C337" s="6" t="inlineStr">
        <is>
          <t>X</t>
        </is>
      </c>
      <c r="D337" s="5" t="n">
        <v>283</v>
      </c>
      <c r="E337" s="2">
        <f>B337*D337/10000</f>
        <v/>
      </c>
      <c r="F337" s="3">
        <f>B337/30.48</f>
        <v/>
      </c>
      <c r="G337" s="3">
        <f>D337/30.48</f>
        <v/>
      </c>
      <c r="H337" s="37" t="inlineStr">
        <is>
          <t>MCHD-PAC</t>
        </is>
      </c>
      <c r="I337" s="581" t="inlineStr">
        <is>
          <t>Robert Bos</t>
        </is>
      </c>
      <c r="J337" s="575" t="inlineStr">
        <is>
          <t>US-917 215 4200</t>
        </is>
      </c>
    </row>
    <row r="338" ht="17.25" customFormat="1" customHeight="1" s="1">
      <c r="A338" s="8" t="inlineStr">
        <is>
          <t>C 460</t>
        </is>
      </c>
      <c r="B338" s="5" t="n">
        <v>390</v>
      </c>
      <c r="C338" s="6" t="inlineStr">
        <is>
          <t>X</t>
        </is>
      </c>
      <c r="D338" s="5" t="n">
        <v>110</v>
      </c>
      <c r="E338" s="2">
        <f>B338*D338/10000</f>
        <v/>
      </c>
      <c r="F338" s="3">
        <f>B338/30.48</f>
        <v/>
      </c>
      <c r="G338" s="3">
        <f>D338/30.48</f>
        <v/>
      </c>
      <c r="H338" s="568" t="inlineStr">
        <is>
          <t>MCHD-OLD</t>
        </is>
      </c>
      <c r="I338" s="57" t="inlineStr">
        <is>
          <t>Catherine Earle</t>
        </is>
      </c>
      <c r="J338" s="45" t="inlineStr">
        <is>
          <t>US-208 255 7027</t>
        </is>
      </c>
    </row>
    <row r="339" ht="17.25" customFormat="1" customHeight="1" s="1">
      <c r="A339" s="8" t="inlineStr">
        <is>
          <t>H 160</t>
        </is>
      </c>
      <c r="B339" s="5" t="n">
        <v>351</v>
      </c>
      <c r="C339" s="6" t="inlineStr">
        <is>
          <t>X</t>
        </is>
      </c>
      <c r="D339" s="5" t="n">
        <v>83</v>
      </c>
      <c r="E339" s="2">
        <f>B339*D339/10000</f>
        <v/>
      </c>
      <c r="F339" s="3">
        <f>B339/30.48</f>
        <v/>
      </c>
      <c r="G339" s="3">
        <f>D339/30.48</f>
        <v/>
      </c>
      <c r="H339" s="568" t="inlineStr">
        <is>
          <t>MCHD-OLD</t>
        </is>
      </c>
      <c r="I339" s="581" t="inlineStr">
        <is>
          <t>Lindsay Cranek</t>
        </is>
      </c>
      <c r="J339" s="575" t="inlineStr">
        <is>
          <t>US-325 450 7760</t>
        </is>
      </c>
    </row>
    <row r="340" ht="17.25" customFormat="1" customHeight="1" s="1">
      <c r="A340" s="8" t="n">
        <v>222</v>
      </c>
      <c r="B340" s="5" t="n">
        <v>78</v>
      </c>
      <c r="C340" s="6" t="inlineStr">
        <is>
          <t>X</t>
        </is>
      </c>
      <c r="D340" s="5" t="n">
        <v>46</v>
      </c>
      <c r="E340" s="2">
        <f>B340*D340/10000</f>
        <v/>
      </c>
      <c r="F340" s="3">
        <f>B340/30.48</f>
        <v/>
      </c>
      <c r="G340" s="3">
        <f>D340/30.48</f>
        <v/>
      </c>
      <c r="H340" s="568" t="inlineStr">
        <is>
          <t>MCHD-OLD</t>
        </is>
      </c>
      <c r="I340" s="57" t="inlineStr">
        <is>
          <t>Lisa Meyer</t>
        </is>
      </c>
      <c r="J340" s="45" t="n"/>
    </row>
    <row r="341" ht="17.25" customFormat="1" customHeight="1" s="1">
      <c r="A341" s="8" t="inlineStr">
        <is>
          <t>C 463</t>
        </is>
      </c>
      <c r="B341" s="5" t="n">
        <v>259</v>
      </c>
      <c r="C341" s="6" t="inlineStr">
        <is>
          <t>X</t>
        </is>
      </c>
      <c r="D341" s="5" t="n">
        <v>85</v>
      </c>
      <c r="E341" s="2">
        <f>B341*D341/10000</f>
        <v/>
      </c>
      <c r="F341" s="3">
        <f>B341/30.48</f>
        <v/>
      </c>
      <c r="G341" s="3">
        <f>D341/30.48</f>
        <v/>
      </c>
      <c r="H341" s="35" t="inlineStr">
        <is>
          <t>MSTF-EFS</t>
        </is>
      </c>
      <c r="I341" s="76" t="n"/>
      <c r="J341" s="575" t="n"/>
    </row>
    <row r="342" ht="17.25" customFormat="1" customHeight="1" s="1">
      <c r="A342" s="8" t="n">
        <v>33</v>
      </c>
      <c r="B342" s="5" t="n">
        <v>92</v>
      </c>
      <c r="C342" s="6" t="inlineStr">
        <is>
          <t>X</t>
        </is>
      </c>
      <c r="D342" s="5" t="n">
        <v>48</v>
      </c>
      <c r="E342" s="2">
        <f>B342*D342/10000</f>
        <v/>
      </c>
      <c r="F342" s="3">
        <f>B342/30.48</f>
        <v/>
      </c>
      <c r="G342" s="3">
        <f>D342/30.48</f>
        <v/>
      </c>
      <c r="H342" s="568" t="inlineStr">
        <is>
          <t>MCHD-OLD</t>
        </is>
      </c>
      <c r="I342" s="581" t="inlineStr">
        <is>
          <t>Melissa Pruette</t>
        </is>
      </c>
      <c r="J342" s="575" t="inlineStr">
        <is>
          <t>US-904 514 1775</t>
        </is>
      </c>
    </row>
    <row r="343" ht="17.25" customFormat="1" customHeight="1" s="1">
      <c r="A343" s="8" t="inlineStr">
        <is>
          <t>C 482</t>
        </is>
      </c>
      <c r="B343" s="5" t="n">
        <v>153</v>
      </c>
      <c r="C343" s="6" t="inlineStr">
        <is>
          <t>X</t>
        </is>
      </c>
      <c r="D343" s="5" t="n">
        <v>204</v>
      </c>
      <c r="E343" s="2">
        <f>B343*D343/10000</f>
        <v/>
      </c>
      <c r="F343" s="3">
        <f>B343/30.48</f>
        <v/>
      </c>
      <c r="G343" s="3">
        <f>D343/30.48</f>
        <v/>
      </c>
      <c r="H343" s="568" t="inlineStr">
        <is>
          <t>MCHD-OLD</t>
        </is>
      </c>
      <c r="I343" s="581" t="inlineStr">
        <is>
          <t>Sheyla Conforte</t>
        </is>
      </c>
      <c r="J343" s="575" t="inlineStr">
        <is>
          <t>US-312 896 1115</t>
        </is>
      </c>
    </row>
    <row r="344" ht="17.25" customFormat="1" customHeight="1" s="1">
      <c r="A344" s="8" t="inlineStr">
        <is>
          <t>C 212</t>
        </is>
      </c>
      <c r="B344" s="5" t="n">
        <v>280</v>
      </c>
      <c r="C344" s="6" t="inlineStr">
        <is>
          <t>X</t>
        </is>
      </c>
      <c r="D344" s="5" t="n">
        <v>212</v>
      </c>
      <c r="E344" s="2">
        <f>B344*D344/10000</f>
        <v/>
      </c>
      <c r="F344" s="3">
        <f>B344/30.48</f>
        <v/>
      </c>
      <c r="G344" s="3">
        <f>D344/30.48</f>
        <v/>
      </c>
      <c r="H344" s="35" t="inlineStr">
        <is>
          <t>MSTF-EFS</t>
        </is>
      </c>
      <c r="I344" s="75" t="n"/>
      <c r="J344" s="45" t="n"/>
    </row>
    <row r="345" ht="17.25" customFormat="1" customHeight="1" s="1">
      <c r="A345" s="8" t="inlineStr">
        <is>
          <t>C 49</t>
        </is>
      </c>
      <c r="B345" s="5" t="n">
        <v>354</v>
      </c>
      <c r="C345" s="6" t="inlineStr">
        <is>
          <t>X</t>
        </is>
      </c>
      <c r="D345" s="5" t="n">
        <v>82</v>
      </c>
      <c r="E345" s="2">
        <f>B345*D345/10000</f>
        <v/>
      </c>
      <c r="F345" s="3">
        <f>B345/30.48</f>
        <v/>
      </c>
      <c r="G345" s="3">
        <f>D345/30.48</f>
        <v/>
      </c>
      <c r="H345" s="69" t="inlineStr">
        <is>
          <t>MCHD-TR</t>
        </is>
      </c>
      <c r="I345" s="57" t="inlineStr">
        <is>
          <t>Candace Dyas</t>
        </is>
      </c>
      <c r="J345" s="45" t="inlineStr">
        <is>
          <t>US-540 454 2793</t>
        </is>
      </c>
    </row>
    <row r="346" ht="17.25" customFormat="1" customHeight="1" s="1">
      <c r="A346" s="8" t="inlineStr">
        <is>
          <t>C 356</t>
        </is>
      </c>
      <c r="B346" s="5" t="n">
        <v>268</v>
      </c>
      <c r="C346" s="6" t="inlineStr">
        <is>
          <t>X</t>
        </is>
      </c>
      <c r="D346" s="5" t="n">
        <v>140</v>
      </c>
      <c r="E346" s="2">
        <f>B346*D346/10000</f>
        <v/>
      </c>
      <c r="F346" s="3">
        <f>B346/30.48</f>
        <v/>
      </c>
      <c r="G346" s="3">
        <f>D346/30.48</f>
        <v/>
      </c>
      <c r="H346" s="36" t="inlineStr">
        <is>
          <t>MCHD-PAC</t>
        </is>
      </c>
      <c r="I346" s="57" t="inlineStr">
        <is>
          <t>Ellerbe Somers/CharlestonWC</t>
        </is>
      </c>
      <c r="J346" s="45" t="inlineStr">
        <is>
          <t>US-843 547 0322</t>
        </is>
      </c>
    </row>
    <row r="347">
      <c r="A347" s="536" t="inlineStr">
        <is>
          <t>-2022 EKİM-54</t>
        </is>
      </c>
      <c r="H347" s="62" t="inlineStr">
        <is>
          <t>SATAN-SİTE</t>
        </is>
      </c>
      <c r="I347" s="19" t="inlineStr">
        <is>
          <t>MÜŞTERİ ADI</t>
        </is>
      </c>
      <c r="J347" s="63" t="inlineStr">
        <is>
          <t>MÜŞTERİ İLETİŞİM &amp; ÜLKE</t>
        </is>
      </c>
    </row>
    <row r="348" ht="17.25" customFormat="1" customHeight="1" s="1">
      <c r="A348" s="8" t="n">
        <v>245</v>
      </c>
      <c r="B348" s="5" t="n">
        <v>220</v>
      </c>
      <c r="C348" s="6" t="inlineStr">
        <is>
          <t>X</t>
        </is>
      </c>
      <c r="D348" s="5" t="n">
        <v>138</v>
      </c>
      <c r="E348" s="2">
        <f>B348*D348/10000</f>
        <v/>
      </c>
      <c r="F348" s="3">
        <f>B348/30.48</f>
        <v/>
      </c>
      <c r="G348" s="3">
        <f>D348/30.48</f>
        <v/>
      </c>
      <c r="H348" s="17" t="inlineStr">
        <is>
          <t>MSTF-TH</t>
        </is>
      </c>
      <c r="I348" s="78" t="n"/>
      <c r="J348" s="45" t="n"/>
    </row>
    <row r="349" ht="17.25" customFormat="1" customHeight="1" s="1">
      <c r="A349" s="8" t="inlineStr">
        <is>
          <t>A 2</t>
        </is>
      </c>
      <c r="B349" s="5" t="n">
        <v>285</v>
      </c>
      <c r="C349" s="6" t="inlineStr">
        <is>
          <t>X</t>
        </is>
      </c>
      <c r="D349" s="5" t="n">
        <v>380</v>
      </c>
      <c r="E349" s="2">
        <f>B349*D349/10000</f>
        <v/>
      </c>
      <c r="F349" s="3">
        <f>B349/30.48</f>
        <v/>
      </c>
      <c r="G349" s="3">
        <f>D349/30.48</f>
        <v/>
      </c>
      <c r="H349" s="37" t="inlineStr">
        <is>
          <t>MCHD-PAC</t>
        </is>
      </c>
      <c r="I349" s="70" t="inlineStr">
        <is>
          <t>Summer Layton</t>
        </is>
      </c>
      <c r="J349" s="45" t="inlineStr">
        <is>
          <t>US-804 615 3677</t>
        </is>
      </c>
    </row>
    <row r="350" ht="17.25" customFormat="1" customHeight="1" s="1">
      <c r="A350" s="8" t="inlineStr">
        <is>
          <t>C 775</t>
        </is>
      </c>
      <c r="B350" s="5" t="n">
        <v>382</v>
      </c>
      <c r="C350" s="6" t="inlineStr">
        <is>
          <t>X</t>
        </is>
      </c>
      <c r="D350" s="5" t="n">
        <v>264</v>
      </c>
      <c r="E350" s="2">
        <f>B350*D350/10000</f>
        <v/>
      </c>
      <c r="F350" s="3">
        <f>B350/30.48</f>
        <v/>
      </c>
      <c r="G350" s="3">
        <f>D350/30.48</f>
        <v/>
      </c>
      <c r="H350" s="37" t="inlineStr">
        <is>
          <t>MCHD-PAC</t>
        </is>
      </c>
      <c r="I350" s="70" t="inlineStr">
        <is>
          <t>Ainslie Kellas</t>
        </is>
      </c>
      <c r="J350" s="45" t="inlineStr">
        <is>
          <t>US-425 281 0606</t>
        </is>
      </c>
    </row>
    <row r="351" ht="17.25" customFormat="1" customHeight="1" s="1">
      <c r="A351" s="8" t="inlineStr">
        <is>
          <t>Y 424</t>
        </is>
      </c>
      <c r="B351" s="5" t="n">
        <v>389</v>
      </c>
      <c r="C351" s="6" t="inlineStr">
        <is>
          <t>X</t>
        </is>
      </c>
      <c r="D351" s="5" t="n">
        <v>132</v>
      </c>
      <c r="E351" s="2">
        <f>B351*D351/10000</f>
        <v/>
      </c>
      <c r="F351" s="3">
        <f>B351/30.48</f>
        <v/>
      </c>
      <c r="G351" s="3">
        <f>D351/30.48</f>
        <v/>
      </c>
      <c r="H351" s="37" t="inlineStr">
        <is>
          <t>MCHD-PAC</t>
        </is>
      </c>
      <c r="I351" s="59" t="inlineStr">
        <is>
          <t>Margaret Dellegrotti</t>
        </is>
      </c>
      <c r="J351" s="575" t="inlineStr">
        <is>
          <t>US-925 548 6218</t>
        </is>
      </c>
    </row>
    <row r="352" ht="17.25" customFormat="1" customHeight="1" s="1">
      <c r="A352" s="8" t="inlineStr">
        <is>
          <t>A 1</t>
        </is>
      </c>
      <c r="B352" s="5" t="n">
        <v>300</v>
      </c>
      <c r="C352" s="6" t="inlineStr">
        <is>
          <t>X</t>
        </is>
      </c>
      <c r="D352" s="5" t="n">
        <v>386</v>
      </c>
      <c r="E352" s="2">
        <f>B352*D352/10000</f>
        <v/>
      </c>
      <c r="F352" s="3">
        <f>B352/30.48</f>
        <v/>
      </c>
      <c r="G352" s="3">
        <f>D352/30.48</f>
        <v/>
      </c>
      <c r="H352" s="37" t="inlineStr">
        <is>
          <t>MCHD-PAC</t>
        </is>
      </c>
      <c r="I352" s="581" t="inlineStr">
        <is>
          <t>Teresa Parrish/ Feather Your Nest</t>
        </is>
      </c>
      <c r="J352" s="575" t="n"/>
    </row>
    <row r="353" ht="17.25" customFormat="1" customHeight="1" s="1">
      <c r="A353" s="8" t="inlineStr">
        <is>
          <t>C 484</t>
        </is>
      </c>
      <c r="B353" s="5" t="n">
        <v>109</v>
      </c>
      <c r="C353" s="6" t="inlineStr">
        <is>
          <t>X</t>
        </is>
      </c>
      <c r="D353" s="5" t="n">
        <v>358</v>
      </c>
      <c r="E353" s="2">
        <f>B353*D353/10000</f>
        <v/>
      </c>
      <c r="F353" s="3">
        <f>B353/30.48</f>
        <v/>
      </c>
      <c r="G353" s="3">
        <f>D353/30.48</f>
        <v/>
      </c>
      <c r="H353" s="17" t="inlineStr">
        <is>
          <t>MSTF-TH</t>
        </is>
      </c>
      <c r="I353" s="75" t="n"/>
      <c r="J353" s="45" t="n"/>
    </row>
    <row r="354" ht="17.25" customFormat="1" customHeight="1" s="1">
      <c r="A354" s="8" t="inlineStr">
        <is>
          <t>C 439</t>
        </is>
      </c>
      <c r="B354" s="5" t="n">
        <v>137</v>
      </c>
      <c r="C354" s="6" t="inlineStr">
        <is>
          <t>X</t>
        </is>
      </c>
      <c r="D354" s="5" t="n">
        <v>2</v>
      </c>
      <c r="E354" s="2">
        <f>B354*D354/10000</f>
        <v/>
      </c>
      <c r="F354" s="3">
        <f>B354/30.48</f>
        <v/>
      </c>
      <c r="G354" s="3">
        <f>D354/30.48</f>
        <v/>
      </c>
      <c r="H354" s="69" t="inlineStr">
        <is>
          <t>MCHD-TR</t>
        </is>
      </c>
      <c r="I354" s="581" t="inlineStr">
        <is>
          <t>Elizabeth Bolognino</t>
        </is>
      </c>
      <c r="J354" s="575" t="n"/>
    </row>
    <row r="355" ht="17.25" customFormat="1" customHeight="1" s="1">
      <c r="A355" s="8" t="inlineStr">
        <is>
          <t>C 823</t>
        </is>
      </c>
      <c r="B355" s="5" t="n">
        <v>378</v>
      </c>
      <c r="C355" s="6" t="inlineStr">
        <is>
          <t>X</t>
        </is>
      </c>
      <c r="D355" s="5" t="n">
        <v>276</v>
      </c>
      <c r="E355" s="2">
        <f>B355*D355/10000</f>
        <v/>
      </c>
      <c r="F355" s="3">
        <f>B355/30.48</f>
        <v/>
      </c>
      <c r="G355" s="3">
        <f>D355/30.48</f>
        <v/>
      </c>
      <c r="H355" s="37" t="inlineStr">
        <is>
          <t>MCHD-PAC</t>
        </is>
      </c>
      <c r="I355" s="581" t="inlineStr">
        <is>
          <t>Lauren Jacobsen</t>
        </is>
      </c>
      <c r="J355" s="575" t="inlineStr">
        <is>
          <t>US-916 833 1254</t>
        </is>
      </c>
    </row>
    <row r="356" ht="17.25" customFormat="1" customHeight="1" s="1">
      <c r="A356" s="8" t="n">
        <v>123</v>
      </c>
      <c r="B356" s="5" t="n">
        <v>85</v>
      </c>
      <c r="C356" s="6" t="inlineStr">
        <is>
          <t>X</t>
        </is>
      </c>
      <c r="D356" s="5" t="n">
        <v>47</v>
      </c>
      <c r="E356" s="2">
        <f>B356*D356/10000</f>
        <v/>
      </c>
      <c r="F356" s="3">
        <f>B356/30.48</f>
        <v/>
      </c>
      <c r="G356" s="3">
        <f>D356/30.48</f>
        <v/>
      </c>
      <c r="H356" s="569" t="inlineStr">
        <is>
          <t>MCHD-OLD</t>
        </is>
      </c>
      <c r="I356" s="581" t="inlineStr">
        <is>
          <t>Nina Davis</t>
        </is>
      </c>
      <c r="J356" s="575" t="n"/>
    </row>
    <row r="357" ht="17.25" customFormat="1" customHeight="1" s="1">
      <c r="A357" s="8" t="inlineStr">
        <is>
          <t>C 501</t>
        </is>
      </c>
      <c r="B357" s="5" t="n">
        <v>92</v>
      </c>
      <c r="C357" s="6" t="inlineStr">
        <is>
          <t>X</t>
        </is>
      </c>
      <c r="D357" s="5" t="n">
        <v>164</v>
      </c>
      <c r="E357" s="2">
        <f>B357*D357/10000</f>
        <v/>
      </c>
      <c r="F357" s="3">
        <f>B357/30.48</f>
        <v/>
      </c>
      <c r="G357" s="3">
        <f>D357/30.48</f>
        <v/>
      </c>
      <c r="H357" s="17" t="inlineStr">
        <is>
          <t>MSTF-EFS</t>
        </is>
      </c>
      <c r="I357" s="77" t="n"/>
      <c r="J357" s="575" t="n"/>
    </row>
    <row r="358" ht="17.25" customFormat="1" customHeight="1" s="1">
      <c r="A358" s="8" t="inlineStr">
        <is>
          <t>Y 832</t>
        </is>
      </c>
      <c r="B358" s="5" t="n">
        <v>186</v>
      </c>
      <c r="C358" s="6" t="inlineStr">
        <is>
          <t>X</t>
        </is>
      </c>
      <c r="D358" s="5" t="n">
        <v>424</v>
      </c>
      <c r="E358" s="2">
        <f>B358*D358/10000</f>
        <v/>
      </c>
      <c r="F358" s="3">
        <f>B358/30.48</f>
        <v/>
      </c>
      <c r="G358" s="3">
        <f>D358/30.48</f>
        <v/>
      </c>
      <c r="H358" s="18" t="inlineStr">
        <is>
          <t>MSTF-TH</t>
        </is>
      </c>
      <c r="I358" s="76" t="n"/>
      <c r="J358" s="575" t="n"/>
    </row>
    <row r="359" ht="17.25" customFormat="1" customHeight="1" s="1">
      <c r="A359" s="8" t="inlineStr">
        <is>
          <t>C 363</t>
        </is>
      </c>
      <c r="B359" s="5" t="n">
        <v>303</v>
      </c>
      <c r="C359" s="6" t="inlineStr">
        <is>
          <t>X</t>
        </is>
      </c>
      <c r="D359" s="5" t="n">
        <v>109</v>
      </c>
      <c r="E359" s="2">
        <f>B359*D359/10000</f>
        <v/>
      </c>
      <c r="F359" s="3">
        <f>B359/30.48</f>
        <v/>
      </c>
      <c r="G359" s="3">
        <f>D359/30.48</f>
        <v/>
      </c>
      <c r="H359" s="569" t="inlineStr">
        <is>
          <t>MCHD-OLD</t>
        </is>
      </c>
      <c r="I359" s="57" t="inlineStr">
        <is>
          <t>Chelsea Kimrey</t>
        </is>
      </c>
      <c r="J359" s="45" t="n"/>
    </row>
    <row r="360" ht="17.25" customFormat="1" customHeight="1" s="1">
      <c r="A360" s="8" t="inlineStr">
        <is>
          <t>C 408</t>
        </is>
      </c>
      <c r="B360" s="5" t="n">
        <v>119</v>
      </c>
      <c r="C360" s="6" t="inlineStr">
        <is>
          <t>X</t>
        </is>
      </c>
      <c r="D360" s="5" t="n">
        <v>196</v>
      </c>
      <c r="E360" s="2">
        <f>B360*D360/10000</f>
        <v/>
      </c>
      <c r="F360" s="3">
        <f>B360/30.48</f>
        <v/>
      </c>
      <c r="G360" s="3">
        <f>D360/30.48</f>
        <v/>
      </c>
      <c r="H360" s="69" t="inlineStr">
        <is>
          <t>MCHD-TR</t>
        </is>
      </c>
      <c r="I360" s="57" t="inlineStr">
        <is>
          <t>Sarah Baker</t>
        </is>
      </c>
      <c r="J360" s="45" t="inlineStr">
        <is>
          <t>US-610 505 2701</t>
        </is>
      </c>
    </row>
    <row r="361" ht="17.25" customFormat="1" customHeight="1" s="1">
      <c r="A361" s="8" t="inlineStr">
        <is>
          <t>C 435</t>
        </is>
      </c>
      <c r="B361" s="5" t="n">
        <v>97</v>
      </c>
      <c r="C361" s="6" t="inlineStr">
        <is>
          <t>X</t>
        </is>
      </c>
      <c r="D361" s="5" t="n">
        <v>305</v>
      </c>
      <c r="E361" s="2">
        <f>B361*D361/10000</f>
        <v/>
      </c>
      <c r="F361" s="3">
        <f>B361/30.48</f>
        <v/>
      </c>
      <c r="G361" s="3">
        <f>D361/30.48</f>
        <v/>
      </c>
      <c r="H361" s="69" t="inlineStr">
        <is>
          <t>MCHD-TR</t>
        </is>
      </c>
      <c r="I361" s="57" t="inlineStr">
        <is>
          <t>Elizabeth Scholtens</t>
        </is>
      </c>
      <c r="J361" s="45" t="inlineStr">
        <is>
          <t>US-616 262 7734</t>
        </is>
      </c>
    </row>
    <row r="362" ht="17.25" customFormat="1" customHeight="1" s="1">
      <c r="A362" s="8" t="inlineStr">
        <is>
          <t>C 595</t>
        </is>
      </c>
      <c r="B362" s="5" t="n">
        <v>137</v>
      </c>
      <c r="C362" s="6" t="inlineStr">
        <is>
          <t>X</t>
        </is>
      </c>
      <c r="D362" s="5" t="n">
        <v>270</v>
      </c>
      <c r="E362" s="2">
        <f>B362*D362/10000</f>
        <v/>
      </c>
      <c r="F362" s="3">
        <f>B362/30.48</f>
        <v/>
      </c>
      <c r="G362" s="3">
        <f>D362/30.48</f>
        <v/>
      </c>
      <c r="H362" s="69" t="inlineStr">
        <is>
          <t>MCHD-TR</t>
        </is>
      </c>
      <c r="I362" s="581" t="inlineStr">
        <is>
          <t>Sheila Ballases</t>
        </is>
      </c>
      <c r="J362" s="575" t="n"/>
    </row>
    <row r="363" ht="17.25" customFormat="1" customHeight="1" s="1">
      <c r="A363" s="8" t="inlineStr">
        <is>
          <t>Y 496</t>
        </is>
      </c>
      <c r="B363" s="5" t="n">
        <v>106</v>
      </c>
      <c r="C363" s="6" t="inlineStr">
        <is>
          <t>X</t>
        </is>
      </c>
      <c r="D363" s="5" t="n">
        <v>78</v>
      </c>
      <c r="E363" s="2">
        <f>B363*D363/10000</f>
        <v/>
      </c>
      <c r="F363" s="3">
        <f>B363/30.48</f>
        <v/>
      </c>
      <c r="G363" s="3">
        <f>D363/30.48</f>
        <v/>
      </c>
      <c r="H363" s="569" t="inlineStr">
        <is>
          <t>MCHD-VR</t>
        </is>
      </c>
      <c r="I363" s="581" t="inlineStr">
        <is>
          <t>Jackie Foster</t>
        </is>
      </c>
      <c r="J363" s="575" t="n"/>
    </row>
    <row r="364" ht="17.25" customFormat="1" customHeight="1" s="1">
      <c r="A364" s="8" t="inlineStr">
        <is>
          <t>C 774</t>
        </is>
      </c>
      <c r="B364" s="5" t="n">
        <v>374</v>
      </c>
      <c r="C364" s="6" t="inlineStr">
        <is>
          <t>X</t>
        </is>
      </c>
      <c r="D364" s="5" t="n">
        <v>278</v>
      </c>
      <c r="E364" s="2">
        <f>B364*D364/10000</f>
        <v/>
      </c>
      <c r="F364" s="3">
        <f>B364/30.48</f>
        <v/>
      </c>
      <c r="G364" s="3">
        <f>D364/30.48</f>
        <v/>
      </c>
      <c r="H364" s="37" t="inlineStr">
        <is>
          <t>MCHD-PAC</t>
        </is>
      </c>
      <c r="I364" s="581" t="inlineStr">
        <is>
          <t>Liza Lamar-Farrell, HonemyHome</t>
        </is>
      </c>
      <c r="J364" s="575" t="inlineStr">
        <is>
          <t>UK-0044 7870 266407</t>
        </is>
      </c>
    </row>
    <row r="365" ht="17.25" customFormat="1" customHeight="1" s="1">
      <c r="A365" s="8" t="inlineStr">
        <is>
          <t>C 557</t>
        </is>
      </c>
      <c r="B365" s="5" t="n">
        <v>107</v>
      </c>
      <c r="C365" s="6" t="inlineStr">
        <is>
          <t>X</t>
        </is>
      </c>
      <c r="D365" s="5" t="n">
        <v>171</v>
      </c>
      <c r="E365" s="2">
        <f>B365*D365/10000</f>
        <v/>
      </c>
      <c r="F365" s="3">
        <f>B365/30.48</f>
        <v/>
      </c>
      <c r="G365" s="3">
        <f>D365/30.48</f>
        <v/>
      </c>
      <c r="H365" s="36" t="inlineStr">
        <is>
          <t>MCHD-PAC</t>
        </is>
      </c>
      <c r="I365" s="581" t="inlineStr">
        <is>
          <t>Hannah Leitner</t>
        </is>
      </c>
      <c r="J365" s="575" t="inlineStr">
        <is>
          <t>US-704 608 2228</t>
        </is>
      </c>
    </row>
    <row r="366" ht="17.25" customFormat="1" customHeight="1" s="1">
      <c r="A366" s="8" t="inlineStr">
        <is>
          <t>C 367</t>
        </is>
      </c>
      <c r="B366" s="5" t="n">
        <v>90</v>
      </c>
      <c r="C366" s="6" t="inlineStr">
        <is>
          <t>X</t>
        </is>
      </c>
      <c r="D366" s="5" t="n">
        <v>353</v>
      </c>
      <c r="E366" s="2">
        <f>B366*D366/10000</f>
        <v/>
      </c>
      <c r="F366" s="3">
        <f>B366/30.48</f>
        <v/>
      </c>
      <c r="G366" s="3">
        <f>D366/30.48</f>
        <v/>
      </c>
      <c r="H366" s="35" t="inlineStr">
        <is>
          <t>MSTF-EFS</t>
        </is>
      </c>
      <c r="I366" s="76" t="n"/>
      <c r="J366" s="575" t="n"/>
    </row>
    <row r="367" ht="17.25" customFormat="1" customHeight="1" s="1">
      <c r="A367" s="8" t="inlineStr">
        <is>
          <t>C 698</t>
        </is>
      </c>
      <c r="B367" s="5" t="n">
        <v>72</v>
      </c>
      <c r="C367" s="6" t="inlineStr">
        <is>
          <t>X</t>
        </is>
      </c>
      <c r="D367" s="5" t="n">
        <v>171</v>
      </c>
      <c r="E367" s="2">
        <f>B367*D367/10000</f>
        <v/>
      </c>
      <c r="F367" s="3">
        <f>B367/30.48</f>
        <v/>
      </c>
      <c r="G367" s="3">
        <f>D367/30.48</f>
        <v/>
      </c>
      <c r="H367" s="36" t="inlineStr">
        <is>
          <t>MCHD-PAC</t>
        </is>
      </c>
      <c r="I367" s="57" t="inlineStr">
        <is>
          <t>Shawnessy O'Connell</t>
        </is>
      </c>
      <c r="J367" s="45" t="inlineStr">
        <is>
          <t>US-508 733 6748</t>
        </is>
      </c>
    </row>
    <row r="368" ht="17.25" customFormat="1" customHeight="1" s="1">
      <c r="A368" s="8" t="inlineStr">
        <is>
          <t>C 590</t>
        </is>
      </c>
      <c r="B368" s="5" t="n">
        <v>79</v>
      </c>
      <c r="C368" s="6" t="inlineStr">
        <is>
          <t>X</t>
        </is>
      </c>
      <c r="D368" s="5" t="n">
        <v>237</v>
      </c>
      <c r="E368" s="2">
        <f>B368*D368/10000</f>
        <v/>
      </c>
      <c r="F368" s="3">
        <f>B368/30.48</f>
        <v/>
      </c>
      <c r="G368" s="3">
        <f>D368/30.48</f>
        <v/>
      </c>
      <c r="H368" s="69" t="inlineStr">
        <is>
          <t>MCHD-TR</t>
        </is>
      </c>
      <c r="I368" s="581" t="inlineStr">
        <is>
          <t>Emily Pruett</t>
        </is>
      </c>
      <c r="J368" s="575" t="n"/>
    </row>
    <row r="369" ht="17.25" customFormat="1" customHeight="1" s="1">
      <c r="A369" s="8" t="inlineStr">
        <is>
          <t>Y 698</t>
        </is>
      </c>
      <c r="B369" s="5" t="n">
        <v>259</v>
      </c>
      <c r="C369" s="6" t="inlineStr">
        <is>
          <t>X</t>
        </is>
      </c>
      <c r="D369" s="5" t="n">
        <v>144</v>
      </c>
      <c r="E369" s="2">
        <f>B369*D369/10000</f>
        <v/>
      </c>
      <c r="F369" s="3">
        <f>B369/30.48</f>
        <v/>
      </c>
      <c r="G369" s="3">
        <f>D369/30.48</f>
        <v/>
      </c>
      <c r="H369" s="69" t="inlineStr">
        <is>
          <t>MCHD-TR</t>
        </is>
      </c>
      <c r="I369" s="57" t="inlineStr">
        <is>
          <t>Sarah Snowden</t>
        </is>
      </c>
      <c r="J369" s="45" t="inlineStr">
        <is>
          <t>US-513 888 7438</t>
        </is>
      </c>
    </row>
    <row r="370" ht="17.25" customFormat="1" customHeight="1" s="1">
      <c r="A370" s="8" t="inlineStr">
        <is>
          <t>C 531</t>
        </is>
      </c>
      <c r="B370" s="5" t="n">
        <v>81</v>
      </c>
      <c r="C370" s="6" t="inlineStr">
        <is>
          <t>X</t>
        </is>
      </c>
      <c r="D370" s="5" t="n">
        <v>208</v>
      </c>
      <c r="E370" s="2">
        <f>B370*D370/10000</f>
        <v/>
      </c>
      <c r="F370" s="3">
        <f>B370/30.48</f>
        <v/>
      </c>
      <c r="G370" s="3">
        <f>D370/30.48</f>
        <v/>
      </c>
      <c r="H370" s="569" t="inlineStr">
        <is>
          <t>MCHD-VR</t>
        </is>
      </c>
      <c r="I370" s="581" t="inlineStr">
        <is>
          <t>Annie Jones</t>
        </is>
      </c>
      <c r="J370" s="575" t="inlineStr">
        <is>
          <t>US-404 353 5902</t>
        </is>
      </c>
    </row>
    <row r="371" ht="17.25" customFormat="1" customHeight="1" s="1">
      <c r="A371" s="8" t="inlineStr">
        <is>
          <t>C 479</t>
        </is>
      </c>
      <c r="B371" s="5" t="n">
        <v>127</v>
      </c>
      <c r="C371" s="6" t="inlineStr">
        <is>
          <t>X</t>
        </is>
      </c>
      <c r="D371" s="5" t="n">
        <v>445</v>
      </c>
      <c r="E371" s="2">
        <f>B371*D371/10000</f>
        <v/>
      </c>
      <c r="F371" s="3">
        <f>B371/30.48</f>
        <v/>
      </c>
      <c r="G371" s="3">
        <f>D371/30.48</f>
        <v/>
      </c>
      <c r="H371" s="569" t="inlineStr">
        <is>
          <t>MCHD-OLD</t>
        </is>
      </c>
      <c r="I371" s="581" t="inlineStr">
        <is>
          <t>Amanda Snow</t>
        </is>
      </c>
      <c r="J371" s="575" t="n"/>
    </row>
    <row r="372" ht="17.25" customFormat="1" customHeight="1" s="1">
      <c r="A372" s="8" t="inlineStr">
        <is>
          <t>C 669</t>
        </is>
      </c>
      <c r="B372" s="5" t="n">
        <v>80</v>
      </c>
      <c r="C372" s="6" t="inlineStr">
        <is>
          <t>X</t>
        </is>
      </c>
      <c r="D372" s="5" t="n">
        <v>130</v>
      </c>
      <c r="E372" s="2">
        <f>B372*D372/10000</f>
        <v/>
      </c>
      <c r="F372" s="3">
        <f>B372/30.48</f>
        <v/>
      </c>
      <c r="G372" s="3">
        <f>D372/30.48</f>
        <v/>
      </c>
      <c r="H372" s="36" t="inlineStr">
        <is>
          <t>MCHD-PAC</t>
        </is>
      </c>
      <c r="I372" s="581" t="inlineStr">
        <is>
          <t>Gabi Trinkaus</t>
        </is>
      </c>
      <c r="J372" s="575" t="inlineStr">
        <is>
          <t>AU-0043 699 11037765</t>
        </is>
      </c>
    </row>
    <row r="373" ht="17.25" customFormat="1" customHeight="1" s="1">
      <c r="A373" s="8" t="inlineStr">
        <is>
          <t>C 465</t>
        </is>
      </c>
      <c r="B373" s="5" t="n">
        <v>114</v>
      </c>
      <c r="C373" s="6" t="inlineStr">
        <is>
          <t>X</t>
        </is>
      </c>
      <c r="D373" s="5" t="n">
        <v>372</v>
      </c>
      <c r="E373" s="2">
        <f>B373*D373/10000</f>
        <v/>
      </c>
      <c r="F373" s="3">
        <f>B373/30.48</f>
        <v/>
      </c>
      <c r="G373" s="3">
        <f>D373/30.48</f>
        <v/>
      </c>
      <c r="H373" s="17" t="inlineStr">
        <is>
          <t>MSTF-EFS</t>
        </is>
      </c>
      <c r="I373" s="76" t="n"/>
      <c r="J373" s="575" t="n"/>
    </row>
    <row r="374" ht="17.25" customFormat="1" customHeight="1" s="1">
      <c r="A374" s="8" t="inlineStr">
        <is>
          <t>Y 422</t>
        </is>
      </c>
      <c r="B374" s="5" t="n">
        <v>383</v>
      </c>
      <c r="C374" s="6" t="inlineStr">
        <is>
          <t>X</t>
        </is>
      </c>
      <c r="D374" s="5" t="n">
        <v>84</v>
      </c>
      <c r="E374" s="2">
        <f>B374*D374/10000</f>
        <v/>
      </c>
      <c r="F374" s="3">
        <f>B374/30.48</f>
        <v/>
      </c>
      <c r="G374" s="3">
        <f>D374/30.48</f>
        <v/>
      </c>
      <c r="H374" s="36" t="inlineStr">
        <is>
          <t>MCHD-PAC</t>
        </is>
      </c>
      <c r="I374" s="57" t="inlineStr">
        <is>
          <t>LEISA MACINTOSH</t>
        </is>
      </c>
      <c r="J374" s="45" t="inlineStr">
        <is>
          <t>CA-902 301 5000</t>
        </is>
      </c>
    </row>
    <row r="375" ht="17.25" customFormat="1" customHeight="1" s="1">
      <c r="A375" s="8" t="inlineStr">
        <is>
          <t>Y 788</t>
        </is>
      </c>
      <c r="B375" s="5" t="n">
        <v>268</v>
      </c>
      <c r="C375" s="6" t="inlineStr">
        <is>
          <t>X</t>
        </is>
      </c>
      <c r="D375" s="5" t="n">
        <v>169</v>
      </c>
      <c r="E375" s="2">
        <f>B375*D375/10000</f>
        <v/>
      </c>
      <c r="F375" s="3">
        <f>B375/30.48</f>
        <v/>
      </c>
      <c r="G375" s="3">
        <f>D375/30.48</f>
        <v/>
      </c>
      <c r="H375" s="569" t="inlineStr">
        <is>
          <t>MCHD-OLD</t>
        </is>
      </c>
      <c r="I375" s="57" t="inlineStr">
        <is>
          <t>Sloan Swieso</t>
        </is>
      </c>
      <c r="J375" s="45" t="inlineStr">
        <is>
          <t>US-916 502 5048</t>
        </is>
      </c>
    </row>
    <row r="376" ht="17.25" customFormat="1" customHeight="1" s="1">
      <c r="A376" s="8" t="inlineStr">
        <is>
          <t>C 58</t>
        </is>
      </c>
      <c r="B376" s="5" t="n">
        <v>307</v>
      </c>
      <c r="C376" s="6" t="inlineStr">
        <is>
          <t>X</t>
        </is>
      </c>
      <c r="D376" s="5" t="n">
        <v>77</v>
      </c>
      <c r="E376" s="2">
        <f>B376*D376/10000</f>
        <v/>
      </c>
      <c r="F376" s="3">
        <f>B376/30.48</f>
        <v/>
      </c>
      <c r="G376" s="3">
        <f>D376/30.48</f>
        <v/>
      </c>
      <c r="H376" s="36" t="inlineStr">
        <is>
          <t>MCHD-PAC</t>
        </is>
      </c>
      <c r="I376" s="581" t="inlineStr">
        <is>
          <t>Hannah Fellers</t>
        </is>
      </c>
      <c r="J376" s="575" t="inlineStr">
        <is>
          <t>US-704 953 9275</t>
        </is>
      </c>
    </row>
    <row r="377" ht="17.25" customFormat="1" customHeight="1" s="1">
      <c r="A377" s="8" t="n">
        <v>74</v>
      </c>
      <c r="B377" s="5" t="n">
        <v>89</v>
      </c>
      <c r="C377" s="6" t="inlineStr">
        <is>
          <t>X</t>
        </is>
      </c>
      <c r="D377" s="5" t="n">
        <v>49</v>
      </c>
      <c r="E377" s="2">
        <f>B377*D377/10000</f>
        <v/>
      </c>
      <c r="F377" s="3">
        <f>B377/30.48</f>
        <v/>
      </c>
      <c r="G377" s="3">
        <f>D377/30.48</f>
        <v/>
      </c>
      <c r="H377" s="569" t="inlineStr">
        <is>
          <t>MCHD-OLD</t>
        </is>
      </c>
      <c r="I377" s="581" t="inlineStr">
        <is>
          <t>Hannah Pringle</t>
        </is>
      </c>
      <c r="J377" s="575" t="n"/>
    </row>
    <row r="378" ht="17.25" customFormat="1" customHeight="1" s="1">
      <c r="A378" s="8" t="inlineStr">
        <is>
          <t>Y 190</t>
        </is>
      </c>
      <c r="B378" s="5" t="n">
        <v>162</v>
      </c>
      <c r="C378" s="6" t="inlineStr">
        <is>
          <t>X</t>
        </is>
      </c>
      <c r="D378" s="5" t="n">
        <v>86</v>
      </c>
      <c r="E378" s="2">
        <f>B378*D378/10000</f>
        <v/>
      </c>
      <c r="F378" s="3">
        <f>B378/30.48</f>
        <v/>
      </c>
      <c r="G378" s="3">
        <f>D378/30.48</f>
        <v/>
      </c>
      <c r="H378" s="16" t="inlineStr">
        <is>
          <t>MCHD-VR</t>
        </is>
      </c>
      <c r="I378" s="57" t="inlineStr">
        <is>
          <t>Mariana Montes</t>
        </is>
      </c>
      <c r="J378" s="45" t="inlineStr">
        <is>
          <t>US-502 235 6766</t>
        </is>
      </c>
    </row>
    <row r="379" ht="17.25" customHeight="1" s="305">
      <c r="A379" s="8" t="inlineStr">
        <is>
          <t>KN 83</t>
        </is>
      </c>
      <c r="B379" s="5" t="n">
        <v>135</v>
      </c>
      <c r="C379" s="6" t="inlineStr">
        <is>
          <t>X</t>
        </is>
      </c>
      <c r="D379" s="5" t="n">
        <v>374</v>
      </c>
      <c r="E379" s="2">
        <f>B379*D379/10000</f>
        <v/>
      </c>
      <c r="F379" s="3">
        <f>B379/30.48</f>
        <v/>
      </c>
      <c r="G379" s="3">
        <f>D379/30.48</f>
        <v/>
      </c>
      <c r="H379" s="37" t="inlineStr">
        <is>
          <t>MCHD-PAC</t>
        </is>
      </c>
      <c r="I379" s="57" t="inlineStr">
        <is>
          <t>Kevin King</t>
        </is>
      </c>
      <c r="J379" s="9" t="inlineStr">
        <is>
          <t>US-562 448 4419</t>
        </is>
      </c>
    </row>
    <row r="380" ht="17.25" customHeight="1" s="305">
      <c r="A380" s="8" t="inlineStr">
        <is>
          <t>KN 160</t>
        </is>
      </c>
      <c r="B380" s="5" t="n">
        <v>180</v>
      </c>
      <c r="C380" s="6" t="inlineStr">
        <is>
          <t>X</t>
        </is>
      </c>
      <c r="D380" s="5" t="n">
        <v>380</v>
      </c>
      <c r="E380" s="2">
        <f>B380*D380/10000</f>
        <v/>
      </c>
      <c r="F380" s="3">
        <f>B380/30.48</f>
        <v/>
      </c>
      <c r="G380" s="3">
        <f>D380/30.48</f>
        <v/>
      </c>
      <c r="H380" s="37" t="inlineStr">
        <is>
          <t>MCHD-PAC</t>
        </is>
      </c>
      <c r="I380" s="581" t="inlineStr">
        <is>
          <t>CAROLINE WILDING</t>
        </is>
      </c>
      <c r="J380" s="518" t="inlineStr">
        <is>
          <t>US-303 945 1520</t>
        </is>
      </c>
    </row>
    <row r="381" ht="17.25" customFormat="1" customHeight="1" s="1">
      <c r="A381" s="8" t="inlineStr">
        <is>
          <t>C 226</t>
        </is>
      </c>
      <c r="B381" s="5" t="n">
        <v>257</v>
      </c>
      <c r="C381" s="6" t="inlineStr">
        <is>
          <t>X</t>
        </is>
      </c>
      <c r="D381" s="5" t="n">
        <v>124</v>
      </c>
      <c r="E381" s="2">
        <f>B381*D381/10000</f>
        <v/>
      </c>
      <c r="F381" s="3">
        <f>B381/30.48</f>
        <v/>
      </c>
      <c r="G381" s="3">
        <f>D381/30.48</f>
        <v/>
      </c>
      <c r="H381" s="569" t="inlineStr">
        <is>
          <t>MCHD-OLD</t>
        </is>
      </c>
      <c r="I381" s="57" t="inlineStr">
        <is>
          <t>Deborah Hartline</t>
        </is>
      </c>
      <c r="J381" s="45" t="n"/>
    </row>
    <row r="382" ht="17.25" customFormat="1" customHeight="1" s="1">
      <c r="A382" s="8" t="inlineStr">
        <is>
          <t>C 588</t>
        </is>
      </c>
      <c r="B382" s="5" t="n">
        <v>96</v>
      </c>
      <c r="C382" s="6" t="inlineStr">
        <is>
          <t>X</t>
        </is>
      </c>
      <c r="D382" s="5" t="n">
        <v>203</v>
      </c>
      <c r="E382" s="2">
        <f>B382*D382/10000</f>
        <v/>
      </c>
      <c r="F382" s="3">
        <f>B382/30.48</f>
        <v/>
      </c>
      <c r="G382" s="3">
        <f>D382/30.48</f>
        <v/>
      </c>
      <c r="H382" s="69" t="inlineStr">
        <is>
          <t>MCHD-TR</t>
        </is>
      </c>
      <c r="I382" s="57" t="inlineStr">
        <is>
          <t>Missy Lewis</t>
        </is>
      </c>
      <c r="J382" s="45" t="inlineStr">
        <is>
          <t>US-314 835 7884</t>
        </is>
      </c>
    </row>
    <row r="383" ht="17.25" customFormat="1" customHeight="1" s="1">
      <c r="A383" s="8" t="inlineStr">
        <is>
          <t>C 630</t>
        </is>
      </c>
      <c r="B383" s="5" t="n">
        <v>63</v>
      </c>
      <c r="C383" s="6" t="inlineStr">
        <is>
          <t>X</t>
        </is>
      </c>
      <c r="D383" s="5" t="n">
        <v>260</v>
      </c>
      <c r="E383" s="2">
        <f>B383*D383/10000</f>
        <v/>
      </c>
      <c r="F383" s="3">
        <f>B383/30.48</f>
        <v/>
      </c>
      <c r="G383" s="3">
        <f>D383/30.48</f>
        <v/>
      </c>
      <c r="H383" s="69" t="inlineStr">
        <is>
          <t>MCHD-TR</t>
        </is>
      </c>
      <c r="I383" s="57" t="inlineStr">
        <is>
          <t>Marisa Stockwood</t>
        </is>
      </c>
      <c r="J383" s="45" t="n"/>
    </row>
    <row r="384" ht="17.25" customFormat="1" customHeight="1" s="1">
      <c r="A384" s="8" t="inlineStr">
        <is>
          <t>C 873</t>
        </is>
      </c>
      <c r="B384" s="5" t="n">
        <v>65</v>
      </c>
      <c r="C384" s="6" t="inlineStr">
        <is>
          <t>X</t>
        </is>
      </c>
      <c r="D384" s="5" t="n">
        <v>294</v>
      </c>
      <c r="E384" s="2">
        <f>B384*D384/10000</f>
        <v/>
      </c>
      <c r="F384" s="3">
        <f>B384/30.48</f>
        <v/>
      </c>
      <c r="G384" s="3">
        <f>D384/30.48</f>
        <v/>
      </c>
      <c r="H384" s="37" t="inlineStr">
        <is>
          <t>MCHD-PAC</t>
        </is>
      </c>
      <c r="I384" s="581" t="inlineStr">
        <is>
          <t>Molly Johnson Ragu</t>
        </is>
      </c>
      <c r="J384" s="575" t="inlineStr">
        <is>
          <t>US-973 634 7094</t>
        </is>
      </c>
    </row>
    <row r="385" ht="17.25" customFormat="1" customHeight="1" s="1">
      <c r="A385" s="8" t="inlineStr">
        <is>
          <t>Y 335</t>
        </is>
      </c>
      <c r="B385" s="5" t="n">
        <v>302</v>
      </c>
      <c r="C385" s="6" t="inlineStr">
        <is>
          <t>X</t>
        </is>
      </c>
      <c r="D385" s="5" t="n">
        <v>200</v>
      </c>
      <c r="E385" s="2">
        <f>B385*D385/10000</f>
        <v/>
      </c>
      <c r="F385" s="3">
        <f>B385/30.48</f>
        <v/>
      </c>
      <c r="G385" s="3">
        <f>D385/30.48</f>
        <v/>
      </c>
      <c r="H385" s="569" t="inlineStr">
        <is>
          <t>MCHD-OLD</t>
        </is>
      </c>
      <c r="I385" s="57" t="inlineStr">
        <is>
          <t>Autumn Muldowney/Ellington and co</t>
        </is>
      </c>
      <c r="J385" s="45" t="n"/>
    </row>
    <row r="386" ht="17.25" customFormat="1" customHeight="1" s="1">
      <c r="A386" s="8" t="inlineStr">
        <is>
          <t>C 963</t>
        </is>
      </c>
      <c r="B386" s="5" t="n">
        <v>62</v>
      </c>
      <c r="C386" s="6" t="inlineStr">
        <is>
          <t>X</t>
        </is>
      </c>
      <c r="D386" s="5" t="n">
        <v>185</v>
      </c>
      <c r="E386" s="2">
        <f>B386*D386/10000</f>
        <v/>
      </c>
      <c r="F386" s="3">
        <f>B386/30.48</f>
        <v/>
      </c>
      <c r="G386" s="3">
        <f>D386/30.48</f>
        <v/>
      </c>
      <c r="H386" s="37" t="inlineStr">
        <is>
          <t>MCHD-PAC</t>
        </is>
      </c>
      <c r="I386" s="581" t="inlineStr">
        <is>
          <t>Samantha Cummings</t>
        </is>
      </c>
      <c r="J386" s="575" t="n"/>
    </row>
    <row r="387" ht="17.25" customFormat="1" customHeight="1" s="1">
      <c r="A387" s="8" t="inlineStr">
        <is>
          <t>C 116</t>
        </is>
      </c>
      <c r="B387" s="5" t="n">
        <v>315</v>
      </c>
      <c r="C387" s="6" t="inlineStr">
        <is>
          <t>X</t>
        </is>
      </c>
      <c r="D387" s="5" t="n">
        <v>244</v>
      </c>
      <c r="E387" s="2">
        <f>B387*D387/10000</f>
        <v/>
      </c>
      <c r="F387" s="3">
        <f>B387/30.48</f>
        <v/>
      </c>
      <c r="G387" s="3">
        <f>D387/30.48</f>
        <v/>
      </c>
      <c r="H387" s="37" t="inlineStr">
        <is>
          <t>MCHD-PAC</t>
        </is>
      </c>
      <c r="I387" s="57" t="inlineStr">
        <is>
          <t>Shine Design HOME Brooks</t>
        </is>
      </c>
      <c r="J387" s="45" t="n"/>
    </row>
    <row r="388" ht="17.25" customFormat="1" customHeight="1" s="1">
      <c r="A388" s="8" t="inlineStr">
        <is>
          <t>C 846</t>
        </is>
      </c>
      <c r="B388" s="5" t="n">
        <v>85</v>
      </c>
      <c r="C388" s="6" t="inlineStr">
        <is>
          <t>X</t>
        </is>
      </c>
      <c r="D388" s="5" t="n">
        <v>337</v>
      </c>
      <c r="E388" s="2">
        <f>B388*D388/10000</f>
        <v/>
      </c>
      <c r="F388" s="3">
        <f>B388/30.48</f>
        <v/>
      </c>
      <c r="G388" s="3">
        <f>D388/30.48</f>
        <v/>
      </c>
      <c r="H388" s="569" t="inlineStr">
        <is>
          <t>MCHD-OLD</t>
        </is>
      </c>
      <c r="I388" s="57" t="inlineStr">
        <is>
          <t>Eryn Appell</t>
        </is>
      </c>
      <c r="J388" s="45" t="n"/>
    </row>
    <row r="389" ht="17.25" customFormat="1" customHeight="1" s="1">
      <c r="A389" s="8" t="inlineStr">
        <is>
          <t>Y 373</t>
        </is>
      </c>
      <c r="B389" s="5" t="n">
        <v>138</v>
      </c>
      <c r="C389" s="6" t="inlineStr">
        <is>
          <t>X</t>
        </is>
      </c>
      <c r="D389" s="5" t="n">
        <v>77</v>
      </c>
      <c r="E389" s="2">
        <f>B389*D389/10000</f>
        <v/>
      </c>
      <c r="F389" s="3">
        <f>B389/30.48</f>
        <v/>
      </c>
      <c r="G389" s="3">
        <f>D389/30.48</f>
        <v/>
      </c>
      <c r="H389" s="569" t="inlineStr">
        <is>
          <t>MCHD-OLD</t>
        </is>
      </c>
      <c r="I389" s="57" t="inlineStr">
        <is>
          <t>Emily Seiple</t>
        </is>
      </c>
      <c r="J389" s="45" t="inlineStr">
        <is>
          <t>US-508 688 9635</t>
        </is>
      </c>
    </row>
    <row r="390" ht="17.25" customFormat="1" customHeight="1" s="1">
      <c r="A390" s="8" t="inlineStr">
        <is>
          <t>Y 120</t>
        </is>
      </c>
      <c r="B390" s="5" t="n">
        <v>228</v>
      </c>
      <c r="C390" s="6" t="inlineStr">
        <is>
          <t>X</t>
        </is>
      </c>
      <c r="D390" s="5" t="n">
        <v>141</v>
      </c>
      <c r="E390" s="2">
        <f>B390*D390/10000</f>
        <v/>
      </c>
      <c r="F390" s="3">
        <f>B390/30.48</f>
        <v/>
      </c>
      <c r="G390" s="3">
        <f>D390/30.48</f>
        <v/>
      </c>
      <c r="H390" s="37" t="inlineStr">
        <is>
          <t>MCHD-PAC</t>
        </is>
      </c>
      <c r="I390" s="57" t="inlineStr">
        <is>
          <t>Andrea Prickett</t>
        </is>
      </c>
      <c r="J390" s="45" t="inlineStr">
        <is>
          <t>US-478 636 0221</t>
        </is>
      </c>
    </row>
    <row r="391" ht="17.25" customFormat="1" customHeight="1" s="1">
      <c r="A391" s="8" t="inlineStr">
        <is>
          <t>Y 376</t>
        </is>
      </c>
      <c r="B391" s="5" t="n">
        <v>274</v>
      </c>
      <c r="C391" s="6" t="inlineStr">
        <is>
          <t>X</t>
        </is>
      </c>
      <c r="D391" s="5" t="n">
        <v>159</v>
      </c>
      <c r="E391" s="2">
        <f>B391*D391/10000</f>
        <v/>
      </c>
      <c r="F391" s="3">
        <f>B391/30.48</f>
        <v/>
      </c>
      <c r="G391" s="3">
        <f>D391/30.48</f>
        <v/>
      </c>
      <c r="H391" s="18" t="inlineStr">
        <is>
          <t>MSTF-TH</t>
        </is>
      </c>
      <c r="I391" s="75" t="n"/>
      <c r="J391" s="45" t="n"/>
    </row>
    <row r="392" ht="17.25" customFormat="1" customHeight="1" s="1">
      <c r="A392" s="8" t="inlineStr">
        <is>
          <t>C 472</t>
        </is>
      </c>
      <c r="B392" s="5" t="n">
        <v>93</v>
      </c>
      <c r="C392" s="6" t="inlineStr">
        <is>
          <t>X</t>
        </is>
      </c>
      <c r="D392" s="5" t="n">
        <v>216</v>
      </c>
      <c r="E392" s="2">
        <f>B392*D392/10000</f>
        <v/>
      </c>
      <c r="F392" s="3">
        <f>B392/30.48</f>
        <v/>
      </c>
      <c r="G392" s="3">
        <f>D392/30.48</f>
        <v/>
      </c>
      <c r="H392" s="18" t="inlineStr">
        <is>
          <t>MSTF-TH</t>
        </is>
      </c>
      <c r="I392" s="75" t="n"/>
      <c r="J392" s="45" t="n"/>
      <c r="O392" s="1" t="inlineStr">
        <is>
          <t xml:space="preserve"> </t>
        </is>
      </c>
    </row>
    <row r="393" ht="17.25" customFormat="1" customHeight="1" s="1">
      <c r="A393" s="8" t="inlineStr">
        <is>
          <t>A 184</t>
        </is>
      </c>
      <c r="B393" s="5" t="n">
        <v>301</v>
      </c>
      <c r="C393" s="6" t="inlineStr">
        <is>
          <t>X</t>
        </is>
      </c>
      <c r="D393" s="5" t="n">
        <v>375</v>
      </c>
      <c r="E393" s="2">
        <f>B393*D393/10000</f>
        <v/>
      </c>
      <c r="F393" s="3">
        <f>B393/30.48</f>
        <v/>
      </c>
      <c r="G393" s="3">
        <f>D393/30.48</f>
        <v/>
      </c>
      <c r="H393" s="37" t="inlineStr">
        <is>
          <t>MCHD-PAC</t>
        </is>
      </c>
      <c r="I393" s="57" t="inlineStr">
        <is>
          <t>ALLISON WILLSON</t>
        </is>
      </c>
      <c r="J393" s="45" t="inlineStr">
        <is>
          <t>US-416 707 9547</t>
        </is>
      </c>
    </row>
    <row r="394" ht="17.25" customFormat="1" customHeight="1" s="1">
      <c r="A394" s="8" t="inlineStr">
        <is>
          <t>C 466</t>
        </is>
      </c>
      <c r="B394" s="5" t="n">
        <v>66</v>
      </c>
      <c r="C394" s="6" t="inlineStr">
        <is>
          <t>X</t>
        </is>
      </c>
      <c r="D394" s="5" t="n">
        <v>293</v>
      </c>
      <c r="E394" s="2">
        <f>B394*D394/10000</f>
        <v/>
      </c>
      <c r="F394" s="3">
        <f>B394/30.48</f>
        <v/>
      </c>
      <c r="G394" s="3">
        <f>D394/30.48</f>
        <v/>
      </c>
      <c r="H394" s="569" t="inlineStr">
        <is>
          <t>MCHD-OLD</t>
        </is>
      </c>
      <c r="I394" s="581" t="inlineStr">
        <is>
          <t>Dr. Patricia Noel</t>
        </is>
      </c>
      <c r="J394" s="575" t="n"/>
    </row>
    <row r="395" ht="17.25" customFormat="1" customHeight="1" s="1">
      <c r="A395" s="8" t="inlineStr">
        <is>
          <t>C 926</t>
        </is>
      </c>
      <c r="B395" s="5" t="n">
        <v>72</v>
      </c>
      <c r="C395" s="6" t="inlineStr">
        <is>
          <t>X</t>
        </is>
      </c>
      <c r="D395" s="5" t="n">
        <v>180</v>
      </c>
      <c r="E395" s="2">
        <f>B395*D395/10000</f>
        <v/>
      </c>
      <c r="F395" s="3">
        <f>B395/30.48</f>
        <v/>
      </c>
      <c r="G395" s="3">
        <f>D395/30.48</f>
        <v/>
      </c>
      <c r="H395" s="37" t="inlineStr">
        <is>
          <t>MCHD-PAC</t>
        </is>
      </c>
      <c r="I395" s="57" t="inlineStr">
        <is>
          <t>Amy Hurley</t>
        </is>
      </c>
      <c r="J395" s="45" t="inlineStr">
        <is>
          <t>US-914 260 6498</t>
        </is>
      </c>
    </row>
    <row r="396" ht="17.25" customFormat="1" customHeight="1" s="1">
      <c r="A396" s="8" t="inlineStr">
        <is>
          <t>C 218</t>
        </is>
      </c>
      <c r="B396" s="5" t="n">
        <v>214</v>
      </c>
      <c r="C396" s="6" t="inlineStr">
        <is>
          <t>X</t>
        </is>
      </c>
      <c r="D396" s="5" t="n">
        <v>164</v>
      </c>
      <c r="E396" s="2">
        <f>B396*D396/10000</f>
        <v/>
      </c>
      <c r="F396" s="3">
        <f>B396/30.48</f>
        <v/>
      </c>
      <c r="G396" s="3">
        <f>D396/30.48</f>
        <v/>
      </c>
      <c r="H396" s="18" t="inlineStr">
        <is>
          <t>MSTF-TH</t>
        </is>
      </c>
      <c r="I396" s="75" t="n"/>
      <c r="J396" s="45" t="n"/>
    </row>
    <row r="397" ht="17.25" customFormat="1" customHeight="1" s="1">
      <c r="A397" s="8" t="inlineStr">
        <is>
          <t>C 761</t>
        </is>
      </c>
      <c r="B397" s="5" t="n">
        <v>321</v>
      </c>
      <c r="C397" s="6" t="inlineStr">
        <is>
          <t>X</t>
        </is>
      </c>
      <c r="D397" s="5" t="n">
        <v>214</v>
      </c>
      <c r="E397" s="2">
        <f>B397*D397/10000</f>
        <v/>
      </c>
      <c r="F397" s="3">
        <f>B397/30.48</f>
        <v/>
      </c>
      <c r="G397" s="3">
        <f>D397/30.48</f>
        <v/>
      </c>
      <c r="H397" s="37" t="inlineStr">
        <is>
          <t>MCHD-PAC</t>
        </is>
      </c>
      <c r="I397" s="57" t="inlineStr">
        <is>
          <t>Richard Wylie</t>
        </is>
      </c>
      <c r="J397" s="45" t="inlineStr">
        <is>
          <t>UK-44 759 502 0701</t>
        </is>
      </c>
    </row>
    <row r="398" ht="17.25" customFormat="1" customHeight="1" s="1">
      <c r="A398" s="8" t="inlineStr">
        <is>
          <t>C 352</t>
        </is>
      </c>
      <c r="B398" s="5" t="n">
        <v>376</v>
      </c>
      <c r="C398" s="6" t="inlineStr">
        <is>
          <t>X</t>
        </is>
      </c>
      <c r="D398" s="5" t="n">
        <v>96</v>
      </c>
      <c r="E398" s="2">
        <f>B398*D398/10000</f>
        <v/>
      </c>
      <c r="F398" s="3">
        <f>B398/30.48</f>
        <v/>
      </c>
      <c r="G398" s="3">
        <f>D398/30.48</f>
        <v/>
      </c>
      <c r="H398" s="69" t="inlineStr">
        <is>
          <t>MCHD-TR</t>
        </is>
      </c>
      <c r="I398" s="57" t="inlineStr">
        <is>
          <t>Nena Capozza</t>
        </is>
      </c>
      <c r="J398" s="45" t="inlineStr">
        <is>
          <t>US-858 699 7239</t>
        </is>
      </c>
    </row>
    <row r="399" ht="17.25" customFormat="1" customHeight="1" s="1">
      <c r="A399" s="8" t="inlineStr">
        <is>
          <t>Y 251</t>
        </is>
      </c>
      <c r="B399" s="5" t="n">
        <v>263</v>
      </c>
      <c r="C399" s="6" t="inlineStr">
        <is>
          <t>X</t>
        </is>
      </c>
      <c r="D399" s="5" t="n">
        <v>183</v>
      </c>
      <c r="E399" s="2">
        <f>B399*D399/10000</f>
        <v/>
      </c>
      <c r="F399" s="3">
        <f>B399/30.48</f>
        <v/>
      </c>
      <c r="G399" s="3">
        <f>D399/30.48</f>
        <v/>
      </c>
      <c r="H399" s="69" t="inlineStr">
        <is>
          <t>MCHD-TR</t>
        </is>
      </c>
      <c r="I399" s="581" t="inlineStr">
        <is>
          <t>Andrea Ambrose Lobato</t>
        </is>
      </c>
      <c r="J399" s="575" t="n"/>
    </row>
    <row r="400" ht="17.25" customFormat="1" customHeight="1" s="1">
      <c r="A400" s="8" t="inlineStr">
        <is>
          <t>A 185</t>
        </is>
      </c>
      <c r="B400" s="5" t="n">
        <v>303</v>
      </c>
      <c r="C400" s="6" t="inlineStr">
        <is>
          <t>X</t>
        </is>
      </c>
      <c r="D400" s="5" t="n">
        <v>387</v>
      </c>
      <c r="E400" s="2">
        <f>B400*D400/10000</f>
        <v/>
      </c>
      <c r="F400" s="3">
        <f>B400/30.48</f>
        <v/>
      </c>
      <c r="G400" s="3">
        <f>D400/30.48</f>
        <v/>
      </c>
      <c r="H400" s="37" t="inlineStr">
        <is>
          <t>MCHD-PAC</t>
        </is>
      </c>
      <c r="I400" s="57" t="inlineStr">
        <is>
          <t>Saadia Omer</t>
        </is>
      </c>
      <c r="J400" s="45" t="inlineStr">
        <is>
          <t>US-901 212 8388</t>
        </is>
      </c>
    </row>
    <row r="401" ht="17.25" customFormat="1" customHeight="1" s="1">
      <c r="A401" s="8" t="n">
        <v>170</v>
      </c>
      <c r="B401" s="5" t="n">
        <v>85</v>
      </c>
      <c r="C401" s="6" t="inlineStr">
        <is>
          <t>X</t>
        </is>
      </c>
      <c r="D401" s="5" t="n">
        <v>49</v>
      </c>
      <c r="E401" s="2">
        <f>B401*D401/10000</f>
        <v/>
      </c>
      <c r="F401" s="3">
        <f>B401/30.48</f>
        <v/>
      </c>
      <c r="G401" s="3">
        <f>D401/30.48</f>
        <v/>
      </c>
      <c r="H401" s="569" t="inlineStr">
        <is>
          <t>MCHD-OLD</t>
        </is>
      </c>
      <c r="I401" s="57" t="inlineStr">
        <is>
          <t>Shari Krueger</t>
        </is>
      </c>
      <c r="J401" s="45" t="inlineStr">
        <is>
          <t>US-214 738 2700</t>
        </is>
      </c>
    </row>
    <row r="402">
      <c r="A402" s="536" t="inlineStr">
        <is>
          <t>-2022 KASIM-73</t>
        </is>
      </c>
      <c r="H402" s="62" t="inlineStr">
        <is>
          <t>SATAN-SİTE</t>
        </is>
      </c>
      <c r="I402" s="19" t="inlineStr">
        <is>
          <t>MÜŞTERİ ADI</t>
        </is>
      </c>
      <c r="J402" s="63" t="inlineStr">
        <is>
          <t>MÜŞTERİ İLETİŞİM &amp; ÜLKE</t>
        </is>
      </c>
    </row>
    <row r="403" ht="17.25" customFormat="1" customHeight="1" s="1">
      <c r="A403" s="8" t="inlineStr">
        <is>
          <t>C 668</t>
        </is>
      </c>
      <c r="B403" s="5" t="n">
        <v>73</v>
      </c>
      <c r="C403" s="6" t="inlineStr">
        <is>
          <t>X</t>
        </is>
      </c>
      <c r="D403" s="5" t="n">
        <v>156</v>
      </c>
      <c r="E403" s="2">
        <f>B403*D403/10000</f>
        <v/>
      </c>
      <c r="F403" s="3">
        <f>B403/30.48</f>
        <v/>
      </c>
      <c r="G403" s="3">
        <f>D403/30.48</f>
        <v/>
      </c>
      <c r="H403" s="37" t="inlineStr">
        <is>
          <t>MCHD-PAC</t>
        </is>
      </c>
      <c r="I403" s="581" t="inlineStr">
        <is>
          <t>Roslyn Johns</t>
        </is>
      </c>
      <c r="J403" s="575" t="inlineStr">
        <is>
          <t>US-607 765 0272</t>
        </is>
      </c>
    </row>
    <row r="404" ht="17.25" customFormat="1" customHeight="1" s="1">
      <c r="A404" s="8" t="inlineStr">
        <is>
          <t>C 332</t>
        </is>
      </c>
      <c r="B404" s="5" t="n">
        <v>152</v>
      </c>
      <c r="C404" s="6" t="inlineStr">
        <is>
          <t>X</t>
        </is>
      </c>
      <c r="D404" s="5" t="n">
        <v>313</v>
      </c>
      <c r="E404" s="2">
        <f>B404*D404/10000</f>
        <v/>
      </c>
      <c r="F404" s="3">
        <f>B404/30.48</f>
        <v/>
      </c>
      <c r="G404" s="3">
        <f>D404/30.48</f>
        <v/>
      </c>
      <c r="H404" s="17" t="inlineStr">
        <is>
          <t>MSTF-EFS</t>
        </is>
      </c>
      <c r="I404" s="75" t="n"/>
      <c r="J404" s="45" t="n"/>
    </row>
    <row r="405" ht="17.25" customFormat="1" customHeight="1" s="1">
      <c r="A405" s="8" t="inlineStr">
        <is>
          <t>C 556</t>
        </is>
      </c>
      <c r="B405" s="5" t="n">
        <v>110</v>
      </c>
      <c r="C405" s="6" t="inlineStr">
        <is>
          <t>X</t>
        </is>
      </c>
      <c r="D405" s="5" t="n">
        <v>160</v>
      </c>
      <c r="E405" s="2">
        <f>B405*D405/10000</f>
        <v/>
      </c>
      <c r="F405" s="3">
        <f>B405/30.48</f>
        <v/>
      </c>
      <c r="G405" s="3">
        <f>D405/30.48</f>
        <v/>
      </c>
      <c r="H405" s="18" t="inlineStr">
        <is>
          <t>MSTF-TH</t>
        </is>
      </c>
      <c r="I405" s="75" t="n"/>
      <c r="J405" s="45" t="n"/>
    </row>
    <row r="406" ht="17.25" customFormat="1" customHeight="1" s="1">
      <c r="A406" s="8" t="inlineStr">
        <is>
          <t>C 139</t>
        </is>
      </c>
      <c r="B406" s="5" t="n">
        <v>343</v>
      </c>
      <c r="C406" s="6" t="inlineStr">
        <is>
          <t>X</t>
        </is>
      </c>
      <c r="D406" s="5" t="n">
        <v>90</v>
      </c>
      <c r="E406" s="2">
        <f>B406*D406/10000</f>
        <v/>
      </c>
      <c r="F406" s="3">
        <f>B406/30.48</f>
        <v/>
      </c>
      <c r="G406" s="3">
        <f>D406/30.48</f>
        <v/>
      </c>
      <c r="H406" s="569" t="inlineStr">
        <is>
          <t>MCHD-OLD</t>
        </is>
      </c>
      <c r="I406" s="581" t="inlineStr">
        <is>
          <t>MELIS LANOUE</t>
        </is>
      </c>
      <c r="J406" s="575" t="inlineStr">
        <is>
          <t>US-647 782 9443</t>
        </is>
      </c>
    </row>
    <row r="407" ht="17.25" customFormat="1" customHeight="1" s="1">
      <c r="A407" s="8" t="inlineStr">
        <is>
          <t>A 177</t>
        </is>
      </c>
      <c r="B407" s="5" t="n">
        <v>290</v>
      </c>
      <c r="C407" s="6" t="inlineStr">
        <is>
          <t>X</t>
        </is>
      </c>
      <c r="D407" s="5" t="n">
        <v>366</v>
      </c>
      <c r="E407" s="2">
        <f>B407*D407/10000</f>
        <v/>
      </c>
      <c r="F407" s="3">
        <f>B407/30.48</f>
        <v/>
      </c>
      <c r="G407" s="3">
        <f>D407/30.48</f>
        <v/>
      </c>
      <c r="H407" s="37" t="inlineStr">
        <is>
          <t>MCHD-PAC</t>
        </is>
      </c>
      <c r="I407" s="57" t="inlineStr">
        <is>
          <t>Ashley C Hughes</t>
        </is>
      </c>
      <c r="J407" s="45" t="inlineStr">
        <is>
          <t>US-574 370 1197</t>
        </is>
      </c>
    </row>
    <row r="408" ht="17.25" customFormat="1" customHeight="1" s="1">
      <c r="A408" s="8" t="inlineStr">
        <is>
          <t>C 900</t>
        </is>
      </c>
      <c r="B408" s="5" t="n">
        <v>194</v>
      </c>
      <c r="C408" s="6" t="inlineStr">
        <is>
          <t>X</t>
        </is>
      </c>
      <c r="D408" s="5" t="n">
        <v>261</v>
      </c>
      <c r="E408" s="2">
        <f>B408*D408/10000</f>
        <v/>
      </c>
      <c r="F408" s="3">
        <f>B408/30.48</f>
        <v/>
      </c>
      <c r="G408" s="3">
        <f>D408/30.48</f>
        <v/>
      </c>
      <c r="H408" s="37" t="inlineStr">
        <is>
          <t>MCHD-PAC</t>
        </is>
      </c>
      <c r="I408" s="581" t="inlineStr">
        <is>
          <t>Amy Dorsey</t>
        </is>
      </c>
      <c r="J408" s="575" t="inlineStr">
        <is>
          <t>US-303 519 6484</t>
        </is>
      </c>
    </row>
    <row r="409" ht="17.25" customFormat="1" customHeight="1" s="1">
      <c r="A409" s="8" t="inlineStr">
        <is>
          <t>C 857</t>
        </is>
      </c>
      <c r="B409" s="5" t="n">
        <v>79</v>
      </c>
      <c r="C409" s="6" t="inlineStr">
        <is>
          <t>X</t>
        </is>
      </c>
      <c r="D409" s="5" t="n">
        <v>305</v>
      </c>
      <c r="E409" s="2">
        <f>B409*D409/10000</f>
        <v/>
      </c>
      <c r="F409" s="3">
        <f>B409/30.48</f>
        <v/>
      </c>
      <c r="G409" s="3">
        <f>D409/30.48</f>
        <v/>
      </c>
      <c r="H409" s="69" t="inlineStr">
        <is>
          <t>MCHD-TR</t>
        </is>
      </c>
      <c r="I409" s="57" t="inlineStr">
        <is>
          <t>Megan Harman</t>
        </is>
      </c>
      <c r="J409" s="45" t="inlineStr">
        <is>
          <t>US-757 409 8100</t>
        </is>
      </c>
    </row>
    <row r="410" ht="17.25" customFormat="1" customHeight="1" s="1">
      <c r="A410" s="8" t="inlineStr">
        <is>
          <t>C 304</t>
        </is>
      </c>
      <c r="B410" s="5" t="n">
        <v>104</v>
      </c>
      <c r="C410" s="6" t="inlineStr">
        <is>
          <t>X</t>
        </is>
      </c>
      <c r="D410" s="5" t="n">
        <v>358</v>
      </c>
      <c r="E410" s="2">
        <f>B410*D410/10000</f>
        <v/>
      </c>
      <c r="F410" s="3">
        <f>B410/30.48</f>
        <v/>
      </c>
      <c r="G410" s="3">
        <f>D410/30.48</f>
        <v/>
      </c>
      <c r="H410" s="17" t="inlineStr">
        <is>
          <t>MSTF-EFS</t>
        </is>
      </c>
      <c r="I410" s="75" t="n"/>
      <c r="J410" s="45" t="n"/>
    </row>
    <row r="411" ht="17.25" customFormat="1" customHeight="1" s="1">
      <c r="A411" s="8" t="n">
        <v>131</v>
      </c>
      <c r="B411" s="5" t="n">
        <v>92</v>
      </c>
      <c r="C411" s="6" t="inlineStr">
        <is>
          <t>X</t>
        </is>
      </c>
      <c r="D411" s="5" t="n">
        <v>42</v>
      </c>
      <c r="E411" s="2">
        <f>B411*D411/10000</f>
        <v/>
      </c>
      <c r="F411" s="3">
        <f>B411/30.48</f>
        <v/>
      </c>
      <c r="G411" s="3">
        <f>D411/30.48</f>
        <v/>
      </c>
      <c r="H411" s="569" t="inlineStr">
        <is>
          <t>MCHD-OLD</t>
        </is>
      </c>
      <c r="I411" s="581" t="inlineStr">
        <is>
          <t>Daniel Cohen Sabban</t>
        </is>
      </c>
      <c r="J411" s="575" t="n"/>
    </row>
    <row r="412" ht="17.25" customFormat="1" customHeight="1" s="1">
      <c r="A412" s="8" t="inlineStr">
        <is>
          <t>C 620</t>
        </is>
      </c>
      <c r="B412" s="5" t="n">
        <v>72</v>
      </c>
      <c r="C412" s="6" t="inlineStr">
        <is>
          <t>X</t>
        </is>
      </c>
      <c r="D412" s="5" t="n">
        <v>292</v>
      </c>
      <c r="E412" s="2">
        <f>B412*D412/10000</f>
        <v/>
      </c>
      <c r="F412" s="3">
        <f>B412/30.48</f>
        <v/>
      </c>
      <c r="G412" s="3">
        <f>D412/30.48</f>
        <v/>
      </c>
      <c r="H412" s="69" t="inlineStr">
        <is>
          <t>MCHD-TR</t>
        </is>
      </c>
      <c r="I412" s="57" t="inlineStr">
        <is>
          <t>Stefanie Ross</t>
        </is>
      </c>
      <c r="J412" s="45" t="n"/>
    </row>
    <row r="413" ht="17.25" customFormat="1" customHeight="1" s="1">
      <c r="A413" s="8" t="inlineStr">
        <is>
          <t>C 451</t>
        </is>
      </c>
      <c r="B413" s="5" t="n">
        <v>130</v>
      </c>
      <c r="C413" s="6" t="inlineStr">
        <is>
          <t>X</t>
        </is>
      </c>
      <c r="D413" s="5" t="n">
        <v>170</v>
      </c>
      <c r="E413" s="2">
        <f>B413*D413/10000</f>
        <v/>
      </c>
      <c r="F413" s="3">
        <f>B413/30.48</f>
        <v/>
      </c>
      <c r="G413" s="3">
        <f>D413/30.48</f>
        <v/>
      </c>
      <c r="H413" s="569" t="inlineStr">
        <is>
          <t>MCHD-OLD</t>
        </is>
      </c>
      <c r="I413" s="581" t="inlineStr">
        <is>
          <t>Kate Cunningham</t>
        </is>
      </c>
      <c r="J413" s="575" t="inlineStr">
        <is>
          <t>US-513 617 8920</t>
        </is>
      </c>
    </row>
    <row r="414" ht="17.25" customFormat="1" customHeight="1" s="1">
      <c r="A414" s="8" t="inlineStr">
        <is>
          <t>A 196</t>
        </is>
      </c>
      <c r="B414" s="5" t="n">
        <v>300</v>
      </c>
      <c r="C414" s="6" t="inlineStr">
        <is>
          <t>X</t>
        </is>
      </c>
      <c r="D414" s="5" t="n">
        <v>418</v>
      </c>
      <c r="E414" s="2">
        <f>B414*D414/10000</f>
        <v/>
      </c>
      <c r="F414" s="3">
        <f>B414/30.48</f>
        <v/>
      </c>
      <c r="G414" s="3">
        <f>D414/30.48</f>
        <v/>
      </c>
      <c r="H414" s="17" t="inlineStr">
        <is>
          <t>MSTF-EFS</t>
        </is>
      </c>
      <c r="I414" s="75" t="n"/>
      <c r="J414" s="45" t="n"/>
    </row>
    <row r="415" ht="17.25" customFormat="1" customHeight="1" s="1">
      <c r="A415" s="8" t="inlineStr">
        <is>
          <t>C 799</t>
        </is>
      </c>
      <c r="B415" s="5" t="n">
        <v>90</v>
      </c>
      <c r="C415" s="6" t="inlineStr">
        <is>
          <t>X</t>
        </is>
      </c>
      <c r="D415" s="5" t="n">
        <v>400</v>
      </c>
      <c r="E415" s="2">
        <f>B415*D415/10000</f>
        <v/>
      </c>
      <c r="F415" s="3">
        <f>B415/30.48</f>
        <v/>
      </c>
      <c r="G415" s="3">
        <f>D415/30.48</f>
        <v/>
      </c>
      <c r="H415" s="569" t="inlineStr">
        <is>
          <t>MCHD-OLD</t>
        </is>
      </c>
      <c r="I415" s="57" t="inlineStr">
        <is>
          <t>Amanda Noles</t>
        </is>
      </c>
      <c r="J415" s="45" t="inlineStr">
        <is>
          <t>US-512 808 6738</t>
        </is>
      </c>
    </row>
    <row r="416" ht="17.25" customFormat="1" customHeight="1" s="1">
      <c r="A416" s="8" t="inlineStr">
        <is>
          <t>C 871</t>
        </is>
      </c>
      <c r="B416" s="5" t="n">
        <v>85</v>
      </c>
      <c r="C416" s="6" t="inlineStr">
        <is>
          <t>X</t>
        </is>
      </c>
      <c r="D416" s="5" t="n">
        <v>358</v>
      </c>
      <c r="E416" s="2">
        <f>B416*D416/10000</f>
        <v/>
      </c>
      <c r="F416" s="3">
        <f>B416/30.48</f>
        <v/>
      </c>
      <c r="G416" s="3">
        <f>D416/30.48</f>
        <v/>
      </c>
      <c r="H416" s="37" t="inlineStr">
        <is>
          <t>MCHD-PAC</t>
        </is>
      </c>
      <c r="I416" s="581" t="inlineStr">
        <is>
          <t>Tyler Bondy</t>
        </is>
      </c>
      <c r="J416" s="575" t="n"/>
    </row>
    <row r="417" ht="17.25" customFormat="1" customHeight="1" s="1">
      <c r="A417" s="8" t="inlineStr">
        <is>
          <t>C 889</t>
        </is>
      </c>
      <c r="B417" s="5" t="n">
        <v>89</v>
      </c>
      <c r="C417" s="6" t="inlineStr">
        <is>
          <t>X</t>
        </is>
      </c>
      <c r="D417" s="5" t="n">
        <v>330</v>
      </c>
      <c r="E417" s="2">
        <f>B417*D417/10000</f>
        <v/>
      </c>
      <c r="F417" s="3">
        <f>B417/30.48</f>
        <v/>
      </c>
      <c r="G417" s="3">
        <f>D417/30.48</f>
        <v/>
      </c>
      <c r="H417" s="69" t="inlineStr">
        <is>
          <t>MCHD-TR</t>
        </is>
      </c>
      <c r="I417" s="57" t="inlineStr">
        <is>
          <t>Brenna O'Brien</t>
        </is>
      </c>
      <c r="J417" s="45" t="n"/>
    </row>
    <row r="418" ht="17.25" customFormat="1" customHeight="1" s="1">
      <c r="A418" s="8" t="inlineStr">
        <is>
          <t>C 7</t>
        </is>
      </c>
      <c r="B418" s="5" t="n">
        <v>181</v>
      </c>
      <c r="C418" s="6" t="inlineStr">
        <is>
          <t>X</t>
        </is>
      </c>
      <c r="D418" s="5" t="n">
        <v>77</v>
      </c>
      <c r="E418" s="2">
        <f>B418*D418/10000</f>
        <v/>
      </c>
      <c r="F418" s="3">
        <f>B418/30.48</f>
        <v/>
      </c>
      <c r="G418" s="3">
        <f>D418/30.48</f>
        <v/>
      </c>
      <c r="H418" s="37" t="inlineStr">
        <is>
          <t>MCHD-PAC</t>
        </is>
      </c>
      <c r="I418" s="57" t="inlineStr">
        <is>
          <t>Bailey Hefner</t>
        </is>
      </c>
      <c r="J418" s="45" t="inlineStr">
        <is>
          <t>US-850 974 9900</t>
        </is>
      </c>
    </row>
    <row r="419" ht="17.25" customFormat="1" customHeight="1" s="1">
      <c r="A419" s="8" t="inlineStr">
        <is>
          <t>Y 637</t>
        </is>
      </c>
      <c r="B419" s="5" t="n">
        <v>295</v>
      </c>
      <c r="C419" s="6" t="inlineStr">
        <is>
          <t>X</t>
        </is>
      </c>
      <c r="D419" s="5" t="n">
        <v>170</v>
      </c>
      <c r="E419" s="2">
        <f>B419*D419/10000</f>
        <v/>
      </c>
      <c r="F419" s="3">
        <f>B419/30.48</f>
        <v/>
      </c>
      <c r="G419" s="3">
        <f>D419/30.48</f>
        <v/>
      </c>
      <c r="H419" s="37" t="inlineStr">
        <is>
          <t>MCHD-PAC</t>
        </is>
      </c>
      <c r="I419" s="57" t="inlineStr">
        <is>
          <t>Holly Chinnici</t>
        </is>
      </c>
      <c r="J419" s="45" t="inlineStr">
        <is>
          <t>US-440 836 2001</t>
        </is>
      </c>
    </row>
    <row r="420" ht="17.25" customFormat="1" customHeight="1" s="1">
      <c r="A420" s="8" t="inlineStr">
        <is>
          <t>C 278</t>
        </is>
      </c>
      <c r="B420" s="5" t="n">
        <v>158</v>
      </c>
      <c r="C420" s="6" t="inlineStr">
        <is>
          <t>X</t>
        </is>
      </c>
      <c r="D420" s="5" t="n">
        <v>291</v>
      </c>
      <c r="E420" s="2">
        <f>B420*D420/10000</f>
        <v/>
      </c>
      <c r="F420" s="3">
        <f>B420/30.48</f>
        <v/>
      </c>
      <c r="G420" s="3">
        <f>D420/30.48</f>
        <v/>
      </c>
      <c r="H420" s="69" t="inlineStr">
        <is>
          <t>MCHD-TR</t>
        </is>
      </c>
      <c r="I420" s="57" t="inlineStr">
        <is>
          <t>Kaye Kikuchi</t>
        </is>
      </c>
      <c r="J420" s="45" t="inlineStr">
        <is>
          <t>US-510 499 4726</t>
        </is>
      </c>
    </row>
    <row r="421" ht="17.25" customFormat="1" customHeight="1" s="1">
      <c r="A421" s="8" t="inlineStr">
        <is>
          <t>C 839</t>
        </is>
      </c>
      <c r="B421" s="5" t="n">
        <v>89</v>
      </c>
      <c r="C421" s="6" t="inlineStr">
        <is>
          <t>X</t>
        </is>
      </c>
      <c r="D421" s="5" t="n">
        <v>266</v>
      </c>
      <c r="E421" s="2">
        <f>B421*D421/10000</f>
        <v/>
      </c>
      <c r="F421" s="3">
        <f>B421/30.48</f>
        <v/>
      </c>
      <c r="G421" s="3">
        <f>D421/30.48</f>
        <v/>
      </c>
      <c r="H421" s="69" t="inlineStr">
        <is>
          <t>MCHD-TR</t>
        </is>
      </c>
      <c r="I421" s="57" t="inlineStr">
        <is>
          <t>Emily Cline</t>
        </is>
      </c>
      <c r="J421" s="45" t="inlineStr">
        <is>
          <t>US-206 285 6560</t>
        </is>
      </c>
    </row>
    <row r="422" ht="17.25" customFormat="1" customHeight="1" s="1">
      <c r="A422" s="8" t="inlineStr">
        <is>
          <t>C 458</t>
        </is>
      </c>
      <c r="B422" s="5" t="n">
        <v>144</v>
      </c>
      <c r="C422" s="6" t="inlineStr">
        <is>
          <t>X</t>
        </is>
      </c>
      <c r="D422" s="5" t="n">
        <v>223</v>
      </c>
      <c r="E422" s="2">
        <f>B422*D422/10000</f>
        <v/>
      </c>
      <c r="F422" s="3">
        <f>B422/30.48</f>
        <v/>
      </c>
      <c r="G422" s="3">
        <f>D422/30.48</f>
        <v/>
      </c>
      <c r="H422" s="18" t="inlineStr">
        <is>
          <t>MSTF-TH</t>
        </is>
      </c>
      <c r="I422" s="75" t="n"/>
      <c r="J422" s="45" t="n"/>
    </row>
    <row r="423" ht="17.25" customFormat="1" customHeight="1" s="1">
      <c r="A423" s="8" t="inlineStr">
        <is>
          <t>C 387</t>
        </is>
      </c>
      <c r="B423" s="5" t="n">
        <v>78</v>
      </c>
      <c r="C423" s="6" t="inlineStr">
        <is>
          <t>X</t>
        </is>
      </c>
      <c r="D423" s="5" t="n">
        <v>357</v>
      </c>
      <c r="E423" s="2">
        <f>B423*D423/10000</f>
        <v/>
      </c>
      <c r="F423" s="3">
        <f>B423/30.48</f>
        <v/>
      </c>
      <c r="G423" s="3">
        <f>D423/30.48</f>
        <v/>
      </c>
      <c r="H423" s="18" t="inlineStr">
        <is>
          <t>MSTF-TH</t>
        </is>
      </c>
      <c r="I423" s="75" t="n"/>
      <c r="J423" s="45" t="n"/>
    </row>
    <row r="424" ht="17.25" customFormat="1" customHeight="1" s="1">
      <c r="A424" s="8" t="inlineStr">
        <is>
          <t>C 500</t>
        </is>
      </c>
      <c r="B424" s="5" t="n">
        <v>91</v>
      </c>
      <c r="C424" s="6" t="inlineStr">
        <is>
          <t>X</t>
        </is>
      </c>
      <c r="D424" s="5" t="n">
        <v>168</v>
      </c>
      <c r="E424" s="2">
        <f>B424*D424/10000</f>
        <v/>
      </c>
      <c r="F424" s="3">
        <f>B424/30.48</f>
        <v/>
      </c>
      <c r="G424" s="3">
        <f>D424/30.48</f>
        <v/>
      </c>
      <c r="H424" s="17" t="inlineStr">
        <is>
          <t>MSTF-EFS</t>
        </is>
      </c>
      <c r="I424" s="76" t="n"/>
      <c r="J424" s="575" t="n"/>
    </row>
    <row r="425" ht="17.25" customFormat="1" customHeight="1" s="1">
      <c r="A425" s="8" t="inlineStr">
        <is>
          <t>H 142</t>
        </is>
      </c>
      <c r="B425" s="5" t="n">
        <v>430</v>
      </c>
      <c r="C425" s="6" t="inlineStr">
        <is>
          <t>X</t>
        </is>
      </c>
      <c r="D425" s="5" t="n">
        <v>96</v>
      </c>
      <c r="E425" s="2">
        <f>B425*D425/10000</f>
        <v/>
      </c>
      <c r="F425" s="3">
        <f>B425/30.48</f>
        <v/>
      </c>
      <c r="G425" s="3">
        <f>D425/30.48</f>
        <v/>
      </c>
      <c r="H425" s="17" t="inlineStr">
        <is>
          <t>MSTF-EFS</t>
        </is>
      </c>
      <c r="I425" s="75" t="n"/>
      <c r="J425" s="45" t="n"/>
    </row>
    <row r="426" ht="17.25" customFormat="1" customHeight="1" s="1">
      <c r="A426" s="8" t="n">
        <v>149</v>
      </c>
      <c r="B426" s="5" t="n">
        <v>97</v>
      </c>
      <c r="C426" s="6" t="inlineStr">
        <is>
          <t>X</t>
        </is>
      </c>
      <c r="D426" s="5" t="n">
        <v>53</v>
      </c>
      <c r="E426" s="2">
        <f>B426*D426/10000</f>
        <v/>
      </c>
      <c r="F426" s="3">
        <f>B426/30.48</f>
        <v/>
      </c>
      <c r="G426" s="3">
        <f>D426/30.48</f>
        <v/>
      </c>
      <c r="H426" s="569" t="inlineStr">
        <is>
          <t>MCHD-OLD</t>
        </is>
      </c>
      <c r="I426" s="581" t="inlineStr">
        <is>
          <t>Vanessa Andrade</t>
        </is>
      </c>
      <c r="J426" s="575" t="inlineStr">
        <is>
          <t>US-210 872 4516</t>
        </is>
      </c>
    </row>
    <row r="427" ht="17.25" customFormat="1" customHeight="1" s="1">
      <c r="A427" s="8" t="inlineStr">
        <is>
          <t>C 697</t>
        </is>
      </c>
      <c r="B427" s="5" t="n">
        <v>77</v>
      </c>
      <c r="C427" s="6" t="inlineStr">
        <is>
          <t>X</t>
        </is>
      </c>
      <c r="D427" s="5" t="n">
        <v>165</v>
      </c>
      <c r="E427" s="2">
        <f>B427*D427/10000</f>
        <v/>
      </c>
      <c r="F427" s="3">
        <f>B427/30.48</f>
        <v/>
      </c>
      <c r="G427" s="3">
        <f>D427/30.48</f>
        <v/>
      </c>
      <c r="H427" s="37" t="inlineStr">
        <is>
          <t>MCHD-PAC</t>
        </is>
      </c>
      <c r="I427" s="581" t="inlineStr">
        <is>
          <t>Jenna Pavelec</t>
        </is>
      </c>
      <c r="J427" s="575" t="n"/>
    </row>
    <row r="428" ht="17.25" customFormat="1" customHeight="1" s="1">
      <c r="A428" s="8" t="inlineStr">
        <is>
          <t>K 141</t>
        </is>
      </c>
      <c r="B428" s="5" t="n">
        <v>356</v>
      </c>
      <c r="C428" s="6" t="inlineStr">
        <is>
          <t>X</t>
        </is>
      </c>
      <c r="D428" s="5" t="n">
        <v>98</v>
      </c>
      <c r="E428" s="2">
        <f>B428*D428/10000</f>
        <v/>
      </c>
      <c r="F428" s="3">
        <f>B428/30.48</f>
        <v/>
      </c>
      <c r="G428" s="3">
        <f>D428/30.48</f>
        <v/>
      </c>
      <c r="H428" s="37" t="inlineStr">
        <is>
          <t>MCHD-PAC</t>
        </is>
      </c>
      <c r="I428" s="80" t="inlineStr">
        <is>
          <t>Elise Agne</t>
        </is>
      </c>
      <c r="J428" s="45" t="inlineStr">
        <is>
          <t>US-618 398 5924</t>
        </is>
      </c>
    </row>
    <row r="429" ht="17.25" customFormat="1" customHeight="1" s="1">
      <c r="A429" s="8" t="inlineStr">
        <is>
          <t>Y 372</t>
        </is>
      </c>
      <c r="B429" s="5" t="n">
        <v>360</v>
      </c>
      <c r="C429" s="6" t="inlineStr">
        <is>
          <t>X</t>
        </is>
      </c>
      <c r="D429" s="5" t="n">
        <v>64</v>
      </c>
      <c r="E429" s="2">
        <f>B429*D429/10000</f>
        <v/>
      </c>
      <c r="F429" s="3">
        <f>B429/30.48</f>
        <v/>
      </c>
      <c r="G429" s="3">
        <f>D429/30.48</f>
        <v/>
      </c>
      <c r="H429" s="37" t="inlineStr">
        <is>
          <t>MCHD-PAC</t>
        </is>
      </c>
      <c r="I429" s="57" t="inlineStr">
        <is>
          <t>Gina Anthony</t>
        </is>
      </c>
      <c r="J429" s="45" t="inlineStr">
        <is>
          <t>US-602 571 6504</t>
        </is>
      </c>
    </row>
    <row r="430" ht="17.25" customFormat="1" customHeight="1" s="1">
      <c r="A430" s="8" t="inlineStr">
        <is>
          <t>Y 462</t>
        </is>
      </c>
      <c r="B430" s="5" t="n">
        <v>222</v>
      </c>
      <c r="C430" s="6" t="inlineStr">
        <is>
          <t>X</t>
        </is>
      </c>
      <c r="D430" s="5" t="n">
        <v>135</v>
      </c>
      <c r="E430" s="2">
        <f>B430*D430/10000</f>
        <v/>
      </c>
      <c r="F430" s="3">
        <f>B430/30.48</f>
        <v/>
      </c>
      <c r="G430" s="3">
        <f>D430/30.48</f>
        <v/>
      </c>
      <c r="H430" s="37" t="inlineStr">
        <is>
          <t>MCHD-PAC</t>
        </is>
      </c>
      <c r="I430" s="57" t="inlineStr">
        <is>
          <t>Anna Twomey</t>
        </is>
      </c>
      <c r="J430" s="45" t="inlineStr">
        <is>
          <t>UK-0044 771 161 5139</t>
        </is>
      </c>
    </row>
    <row r="431" ht="17.25" customFormat="1" customHeight="1" s="1">
      <c r="A431" s="8" t="inlineStr">
        <is>
          <t>Y 752</t>
        </is>
      </c>
      <c r="B431" s="5" t="n">
        <v>205</v>
      </c>
      <c r="C431" s="6" t="inlineStr">
        <is>
          <t>X</t>
        </is>
      </c>
      <c r="D431" s="5" t="n">
        <v>120</v>
      </c>
      <c r="E431" s="2">
        <f>B431*D431/10000</f>
        <v/>
      </c>
      <c r="F431" s="3">
        <f>B431/30.48</f>
        <v/>
      </c>
      <c r="G431" s="3">
        <f>D431/30.48</f>
        <v/>
      </c>
      <c r="H431" s="37" t="inlineStr">
        <is>
          <t>MCHD-PAC</t>
        </is>
      </c>
      <c r="I431" s="57" t="inlineStr">
        <is>
          <t>Carlisle Beggerly</t>
        </is>
      </c>
      <c r="J431" s="45" t="inlineStr">
        <is>
          <t>US-662 275 2753</t>
        </is>
      </c>
    </row>
    <row r="432" ht="17.25" customFormat="1" customHeight="1" s="1">
      <c r="A432" s="8" t="inlineStr">
        <is>
          <t>C 866</t>
        </is>
      </c>
      <c r="B432" s="5" t="n">
        <v>92</v>
      </c>
      <c r="C432" s="6" t="inlineStr">
        <is>
          <t>X</t>
        </is>
      </c>
      <c r="D432" s="5" t="n">
        <v>435</v>
      </c>
      <c r="E432" s="2">
        <f>B432*D432/10000</f>
        <v/>
      </c>
      <c r="F432" s="3">
        <f>B432/30.48</f>
        <v/>
      </c>
      <c r="G432" s="3">
        <f>D432/30.48</f>
        <v/>
      </c>
      <c r="H432" s="37" t="inlineStr">
        <is>
          <t>MCHD-PAC</t>
        </is>
      </c>
      <c r="I432" s="57" t="inlineStr">
        <is>
          <t>Katharine Barthelme</t>
        </is>
      </c>
      <c r="J432" s="45" t="n"/>
    </row>
    <row r="433" ht="17.25" customFormat="1" customHeight="1" s="1">
      <c r="A433" s="8" t="inlineStr">
        <is>
          <t>C 862</t>
        </is>
      </c>
      <c r="B433" s="5" t="n">
        <v>75</v>
      </c>
      <c r="C433" s="6" t="inlineStr">
        <is>
          <t>X</t>
        </is>
      </c>
      <c r="D433" s="5" t="n">
        <v>151</v>
      </c>
      <c r="E433" s="2">
        <f>B433*D433/10000</f>
        <v/>
      </c>
      <c r="F433" s="3">
        <f>B433/30.48</f>
        <v/>
      </c>
      <c r="G433" s="3">
        <f>D433/30.48</f>
        <v/>
      </c>
      <c r="H433" s="569" t="inlineStr">
        <is>
          <t>MCHD-OLD</t>
        </is>
      </c>
      <c r="I433" s="57" t="inlineStr">
        <is>
          <t>Kristen Landry</t>
        </is>
      </c>
      <c r="J433" s="45" t="inlineStr">
        <is>
          <t>US-252 917 4450</t>
        </is>
      </c>
    </row>
    <row r="434" ht="17.25" customFormat="1" customHeight="1" s="1">
      <c r="A434" s="8" t="inlineStr">
        <is>
          <t>C 919</t>
        </is>
      </c>
      <c r="B434" s="5" t="n">
        <v>74</v>
      </c>
      <c r="C434" s="6" t="inlineStr">
        <is>
          <t>X</t>
        </is>
      </c>
      <c r="D434" s="5" t="n">
        <v>147</v>
      </c>
      <c r="E434" s="2">
        <f>B434*D434/10000</f>
        <v/>
      </c>
      <c r="F434" s="3">
        <f>B434/30.48</f>
        <v/>
      </c>
      <c r="G434" s="3">
        <f>D434/30.48</f>
        <v/>
      </c>
      <c r="H434" s="69" t="inlineStr">
        <is>
          <t>MCHD-TR</t>
        </is>
      </c>
      <c r="I434" s="57" t="inlineStr">
        <is>
          <t>Kasey Smith</t>
        </is>
      </c>
      <c r="J434" s="45" t="inlineStr">
        <is>
          <t>US-919 418 0492</t>
        </is>
      </c>
    </row>
    <row r="435" ht="17.25" customFormat="1" customHeight="1" s="1">
      <c r="A435" s="8" t="inlineStr">
        <is>
          <t>C 576</t>
        </is>
      </c>
      <c r="B435" s="5" t="n">
        <v>97</v>
      </c>
      <c r="C435" s="6" t="inlineStr">
        <is>
          <t>X</t>
        </is>
      </c>
      <c r="D435" s="5" t="n">
        <v>191</v>
      </c>
      <c r="E435" s="2">
        <f>B435*D435/10000</f>
        <v/>
      </c>
      <c r="F435" s="3">
        <f>B435/30.48</f>
        <v/>
      </c>
      <c r="G435" s="3">
        <f>D435/30.48</f>
        <v/>
      </c>
      <c r="H435" s="69" t="inlineStr">
        <is>
          <t>MCHD-TR</t>
        </is>
      </c>
      <c r="I435" s="80" t="inlineStr">
        <is>
          <t>Jenrette Fowler</t>
        </is>
      </c>
      <c r="J435" s="45" t="inlineStr">
        <is>
          <t>US-678 677 5897</t>
        </is>
      </c>
    </row>
    <row r="436" ht="17.25" customFormat="1" customHeight="1" s="1">
      <c r="A436" s="8" t="inlineStr">
        <is>
          <t>Y 791</t>
        </is>
      </c>
      <c r="B436" s="5" t="n">
        <v>210</v>
      </c>
      <c r="C436" s="6" t="inlineStr">
        <is>
          <t>X</t>
        </is>
      </c>
      <c r="D436" s="5" t="n">
        <v>100</v>
      </c>
      <c r="E436" s="2">
        <f>B436*D436/10000</f>
        <v/>
      </c>
      <c r="F436" s="3">
        <f>B436/30.48</f>
        <v/>
      </c>
      <c r="G436" s="3">
        <f>D436/30.48</f>
        <v/>
      </c>
      <c r="H436" s="16" t="inlineStr">
        <is>
          <t>MCHD-VR</t>
        </is>
      </c>
      <c r="I436" s="57" t="inlineStr">
        <is>
          <t>Kaycee Weeter</t>
        </is>
      </c>
      <c r="J436" s="45" t="inlineStr">
        <is>
          <t>US-865 621 8691</t>
        </is>
      </c>
    </row>
    <row r="437" ht="17.25" customFormat="1" customHeight="1" s="1">
      <c r="A437" s="8" t="inlineStr">
        <is>
          <t>A 50</t>
        </is>
      </c>
      <c r="B437" s="5" t="n">
        <v>109</v>
      </c>
      <c r="C437" s="6" t="inlineStr">
        <is>
          <t>X</t>
        </is>
      </c>
      <c r="D437" s="5" t="n">
        <v>185</v>
      </c>
      <c r="E437" s="2">
        <f>B437*D437/10000</f>
        <v/>
      </c>
      <c r="F437" s="3">
        <f>B437/30.48</f>
        <v/>
      </c>
      <c r="G437" s="3">
        <f>D437/30.48</f>
        <v/>
      </c>
      <c r="H437" s="16" t="inlineStr">
        <is>
          <t>MCHD-VR</t>
        </is>
      </c>
      <c r="I437" s="80" t="inlineStr">
        <is>
          <t>Margaret Smith</t>
        </is>
      </c>
      <c r="J437" s="45" t="inlineStr">
        <is>
          <t>US-971 242 9346</t>
        </is>
      </c>
    </row>
    <row r="438" ht="17.25" customFormat="1" customHeight="1" s="1">
      <c r="A438" s="8" t="inlineStr">
        <is>
          <t>C 395</t>
        </is>
      </c>
      <c r="B438" s="5" t="n">
        <v>91</v>
      </c>
      <c r="C438" s="6" t="inlineStr">
        <is>
          <t>X</t>
        </is>
      </c>
      <c r="D438" s="5" t="n">
        <v>310</v>
      </c>
      <c r="E438" s="2">
        <f>B438*D438/10000</f>
        <v/>
      </c>
      <c r="F438" s="3">
        <f>B438/30.48</f>
        <v/>
      </c>
      <c r="G438" s="3">
        <f>D438/30.48</f>
        <v/>
      </c>
      <c r="H438" s="569" t="inlineStr">
        <is>
          <t>MCHD-OLD</t>
        </is>
      </c>
      <c r="I438" s="505" t="inlineStr">
        <is>
          <t>Sarah Fugate</t>
        </is>
      </c>
      <c r="J438" s="575" t="inlineStr">
        <is>
          <t>US-845 551 0736</t>
        </is>
      </c>
    </row>
    <row r="439" ht="17.25" customFormat="1" customHeight="1" s="1">
      <c r="A439" s="8" t="inlineStr">
        <is>
          <t>A 62</t>
        </is>
      </c>
      <c r="B439" s="5" t="n">
        <v>70</v>
      </c>
      <c r="C439" s="6" t="inlineStr">
        <is>
          <t>X</t>
        </is>
      </c>
      <c r="D439" s="5" t="n">
        <v>127</v>
      </c>
      <c r="E439" s="2">
        <f>B439*D439/10000</f>
        <v/>
      </c>
      <c r="F439" s="3">
        <f>B439/30.48</f>
        <v/>
      </c>
      <c r="G439" s="3">
        <f>D439/30.48</f>
        <v/>
      </c>
      <c r="H439" s="18" t="inlineStr">
        <is>
          <t>MSTF-TH</t>
        </is>
      </c>
      <c r="I439" s="75" t="n"/>
      <c r="J439" s="45" t="n"/>
    </row>
    <row r="440" ht="17.25" customFormat="1" customHeight="1" s="1">
      <c r="A440" s="8" t="inlineStr">
        <is>
          <t>C 97</t>
        </is>
      </c>
      <c r="B440" s="5" t="n">
        <v>340</v>
      </c>
      <c r="C440" s="6" t="inlineStr">
        <is>
          <t>X</t>
        </is>
      </c>
      <c r="D440" s="5" t="n">
        <v>96</v>
      </c>
      <c r="E440" s="2">
        <f>B440*D440/10000</f>
        <v/>
      </c>
      <c r="F440" s="3">
        <f>B440/30.48</f>
        <v/>
      </c>
      <c r="G440" s="3">
        <f>D440/30.48</f>
        <v/>
      </c>
      <c r="H440" s="69" t="inlineStr">
        <is>
          <t>MCHD-TR</t>
        </is>
      </c>
      <c r="I440" s="80" t="inlineStr">
        <is>
          <t>Holly Chinnici</t>
        </is>
      </c>
      <c r="J440" s="45" t="inlineStr">
        <is>
          <t>US-440 836 2001</t>
        </is>
      </c>
    </row>
    <row r="441" ht="17.25" customFormat="1" customHeight="1" s="1">
      <c r="A441" s="8" t="inlineStr">
        <is>
          <t>A 169</t>
        </is>
      </c>
      <c r="B441" s="5" t="n">
        <v>88</v>
      </c>
      <c r="C441" s="6" t="inlineStr">
        <is>
          <t>X</t>
        </is>
      </c>
      <c r="D441" s="5" t="n">
        <v>259</v>
      </c>
      <c r="E441" s="2">
        <f>B441*D441/10000</f>
        <v/>
      </c>
      <c r="F441" s="3">
        <f>B441/30.48</f>
        <v/>
      </c>
      <c r="G441" s="3">
        <f>D441/30.48</f>
        <v/>
      </c>
      <c r="H441" s="69" t="inlineStr">
        <is>
          <t>MCHD-TR</t>
        </is>
      </c>
      <c r="I441" s="505" t="inlineStr">
        <is>
          <t>Grace Start</t>
        </is>
      </c>
      <c r="J441" s="575" t="n"/>
    </row>
    <row r="442" ht="17.25" customFormat="1" customHeight="1" s="1">
      <c r="A442" s="8" t="inlineStr">
        <is>
          <t>A 182</t>
        </is>
      </c>
      <c r="B442" s="5" t="n">
        <v>291</v>
      </c>
      <c r="C442" s="6" t="inlineStr">
        <is>
          <t>X</t>
        </is>
      </c>
      <c r="D442" s="5" t="n">
        <v>379</v>
      </c>
      <c r="E442" s="2">
        <f>B442*D442/10000</f>
        <v/>
      </c>
      <c r="F442" s="3">
        <f>B442/30.48</f>
        <v/>
      </c>
      <c r="G442" s="3">
        <f>D442/30.48</f>
        <v/>
      </c>
      <c r="H442" s="18" t="inlineStr">
        <is>
          <t>MSTF-TH</t>
        </is>
      </c>
      <c r="I442" s="75" t="n"/>
      <c r="J442" s="45" t="n"/>
    </row>
    <row r="443" ht="17.25" customFormat="1" customHeight="1" s="1">
      <c r="A443" s="8" t="inlineStr">
        <is>
          <t>A 197</t>
        </is>
      </c>
      <c r="B443" s="5" t="n">
        <v>241</v>
      </c>
      <c r="C443" s="6" t="inlineStr">
        <is>
          <t>X</t>
        </is>
      </c>
      <c r="D443" s="5" t="n">
        <v>318</v>
      </c>
      <c r="E443" s="2">
        <f>B443*D443/10000</f>
        <v/>
      </c>
      <c r="F443" s="3">
        <f>B443/30.48</f>
        <v/>
      </c>
      <c r="G443" s="3">
        <f>D443/30.48</f>
        <v/>
      </c>
      <c r="H443" s="36" t="inlineStr">
        <is>
          <t>MCHD-PAC</t>
        </is>
      </c>
      <c r="I443" s="80" t="inlineStr">
        <is>
          <t>KMD RE</t>
        </is>
      </c>
      <c r="J443" s="45" t="inlineStr">
        <is>
          <t>US-480 283 7989</t>
        </is>
      </c>
    </row>
    <row r="444" ht="17.25" customFormat="1" customHeight="1" s="1">
      <c r="A444" s="8" t="inlineStr">
        <is>
          <t>Y 916</t>
        </is>
      </c>
      <c r="B444" s="5" t="n">
        <v>171</v>
      </c>
      <c r="C444" s="6" t="inlineStr">
        <is>
          <t>X</t>
        </is>
      </c>
      <c r="D444" s="5" t="n">
        <v>97</v>
      </c>
      <c r="E444" s="2">
        <f>B444*D444/10000</f>
        <v/>
      </c>
      <c r="F444" s="3">
        <f>B444/30.48</f>
        <v/>
      </c>
      <c r="G444" s="3">
        <f>D444/30.48</f>
        <v/>
      </c>
      <c r="H444" s="36" t="inlineStr">
        <is>
          <t>MCHD-PAC</t>
        </is>
      </c>
      <c r="I444" s="80" t="inlineStr">
        <is>
          <t>Heidi</t>
        </is>
      </c>
      <c r="J444" s="45" t="n"/>
    </row>
    <row r="445" ht="17.25" customFormat="1" customHeight="1" s="1">
      <c r="A445" s="8" t="inlineStr">
        <is>
          <t>C 842</t>
        </is>
      </c>
      <c r="B445" s="5" t="n">
        <v>90</v>
      </c>
      <c r="C445" s="6" t="inlineStr">
        <is>
          <t>X</t>
        </is>
      </c>
      <c r="D445" s="5" t="n">
        <v>371</v>
      </c>
      <c r="E445" s="2">
        <f>B445*D445/10000</f>
        <v/>
      </c>
      <c r="F445" s="3">
        <f>B445/30.48</f>
        <v/>
      </c>
      <c r="G445" s="3">
        <f>D445/30.48</f>
        <v/>
      </c>
      <c r="H445" s="36" t="inlineStr">
        <is>
          <t>MCHD-PAC</t>
        </is>
      </c>
      <c r="I445" s="80" t="inlineStr">
        <is>
          <t>Jeffrey Kimbell</t>
        </is>
      </c>
      <c r="J445" s="45" t="n"/>
    </row>
    <row r="446" ht="17.25" customFormat="1" customHeight="1" s="1">
      <c r="A446" s="8" t="inlineStr">
        <is>
          <t>C 948</t>
        </is>
      </c>
      <c r="B446" s="5" t="n">
        <v>88</v>
      </c>
      <c r="C446" s="6" t="inlineStr">
        <is>
          <t>X</t>
        </is>
      </c>
      <c r="D446" s="5" t="n">
        <v>367</v>
      </c>
      <c r="E446" s="2">
        <f>B446*D446/10000</f>
        <v/>
      </c>
      <c r="F446" s="3">
        <f>B446/30.48</f>
        <v/>
      </c>
      <c r="G446" s="3">
        <f>D446/30.48</f>
        <v/>
      </c>
      <c r="H446" s="36" t="inlineStr">
        <is>
          <t>MCHD-PAC</t>
        </is>
      </c>
      <c r="I446" s="80" t="inlineStr">
        <is>
          <t>Mary Cummings</t>
        </is>
      </c>
      <c r="J446" s="45" t="n"/>
    </row>
    <row r="447" ht="17.25" customFormat="1" customHeight="1" s="1">
      <c r="A447" s="8" t="inlineStr">
        <is>
          <t>C 406</t>
        </is>
      </c>
      <c r="B447" s="5" t="n">
        <v>92</v>
      </c>
      <c r="C447" s="6" t="inlineStr">
        <is>
          <t>X</t>
        </is>
      </c>
      <c r="D447" s="5" t="n">
        <v>363</v>
      </c>
      <c r="E447" s="2">
        <f>B447*D447/10000</f>
        <v/>
      </c>
      <c r="F447" s="3">
        <f>B447/30.48</f>
        <v/>
      </c>
      <c r="G447" s="3">
        <f>D447/30.48</f>
        <v/>
      </c>
      <c r="H447" s="36" t="inlineStr">
        <is>
          <t>MCHD-PAC</t>
        </is>
      </c>
      <c r="I447" s="505" t="inlineStr">
        <is>
          <t>Barbara</t>
        </is>
      </c>
      <c r="J447" s="575" t="n"/>
    </row>
    <row r="448" ht="17.25" customFormat="1" customHeight="1" s="1">
      <c r="A448" s="8" t="inlineStr">
        <is>
          <t>C 870</t>
        </is>
      </c>
      <c r="B448" s="5" t="n">
        <v>90</v>
      </c>
      <c r="C448" s="6" t="inlineStr">
        <is>
          <t>X</t>
        </is>
      </c>
      <c r="D448" s="5" t="n">
        <v>404</v>
      </c>
      <c r="E448" s="2">
        <f>B448*D448/10000</f>
        <v/>
      </c>
      <c r="F448" s="3">
        <f>B448/30.48</f>
        <v/>
      </c>
      <c r="G448" s="3">
        <f>D448/30.48</f>
        <v/>
      </c>
      <c r="H448" s="36" t="inlineStr">
        <is>
          <t>MCHD-PAC</t>
        </is>
      </c>
      <c r="I448" s="80" t="inlineStr">
        <is>
          <t>ATI / DUCHENE GIRL</t>
        </is>
      </c>
      <c r="J448" s="45" t="inlineStr">
        <is>
          <t>US-951 707 8888</t>
        </is>
      </c>
    </row>
    <row r="449" ht="17.25" customFormat="1" customHeight="1" s="1">
      <c r="A449" s="8" t="inlineStr">
        <is>
          <t>C 951</t>
        </is>
      </c>
      <c r="B449" s="5" t="n">
        <v>62</v>
      </c>
      <c r="C449" s="6" t="inlineStr">
        <is>
          <t>X</t>
        </is>
      </c>
      <c r="D449" s="5" t="n">
        <v>144</v>
      </c>
      <c r="E449" s="2">
        <f>B449*D449/10000</f>
        <v/>
      </c>
      <c r="F449" s="3">
        <f>B449/30.48</f>
        <v/>
      </c>
      <c r="G449" s="3">
        <f>D449/30.48</f>
        <v/>
      </c>
      <c r="H449" s="36" t="inlineStr">
        <is>
          <t>MCHD-PAC</t>
        </is>
      </c>
      <c r="I449" s="80" t="inlineStr">
        <is>
          <t>John Francis Murphy</t>
        </is>
      </c>
      <c r="J449" s="45" t="inlineStr">
        <is>
          <t>US-630 988 7355</t>
        </is>
      </c>
    </row>
    <row r="450" ht="17.25" customFormat="1" customHeight="1" s="1">
      <c r="A450" s="8" t="inlineStr">
        <is>
          <t>Y 790</t>
        </is>
      </c>
      <c r="B450" s="5" t="n">
        <v>301</v>
      </c>
      <c r="C450" s="6" t="inlineStr">
        <is>
          <t>X</t>
        </is>
      </c>
      <c r="D450" s="5" t="n">
        <v>209</v>
      </c>
      <c r="E450" s="2">
        <f>B450*D450/10000</f>
        <v/>
      </c>
      <c r="F450" s="3">
        <f>B450/30.48</f>
        <v/>
      </c>
      <c r="G450" s="3">
        <f>D450/30.48</f>
        <v/>
      </c>
      <c r="H450" s="36" t="inlineStr">
        <is>
          <t>MCHD-PAC</t>
        </is>
      </c>
      <c r="I450" s="80" t="inlineStr">
        <is>
          <t>Karlien Jones</t>
        </is>
      </c>
      <c r="J450" s="45" t="inlineStr">
        <is>
          <t>UK-0044 799 001 8038</t>
        </is>
      </c>
    </row>
    <row r="451" ht="17.25" customFormat="1" customHeight="1" s="1">
      <c r="A451" s="8" t="inlineStr">
        <is>
          <t>C 322</t>
        </is>
      </c>
      <c r="B451" s="5" t="n">
        <v>157</v>
      </c>
      <c r="C451" s="6" t="inlineStr">
        <is>
          <t>X</t>
        </is>
      </c>
      <c r="D451" s="5" t="n">
        <v>306</v>
      </c>
      <c r="E451" s="2">
        <f>B451*D451/10000</f>
        <v/>
      </c>
      <c r="F451" s="3">
        <f>B451/30.48</f>
        <v/>
      </c>
      <c r="G451" s="3">
        <f>D451/30.48</f>
        <v/>
      </c>
      <c r="H451" s="17" t="inlineStr">
        <is>
          <t>MSTF-EFS</t>
        </is>
      </c>
      <c r="I451" s="76" t="n"/>
      <c r="J451" s="575" t="n"/>
    </row>
    <row r="452" ht="17.25" customFormat="1" customHeight="1" s="1">
      <c r="A452" s="8" t="inlineStr">
        <is>
          <t>C 577</t>
        </is>
      </c>
      <c r="B452" s="5" t="n">
        <v>93</v>
      </c>
      <c r="C452" s="6" t="inlineStr">
        <is>
          <t>X</t>
        </is>
      </c>
      <c r="D452" s="5" t="n">
        <v>155</v>
      </c>
      <c r="E452" s="2">
        <f>B452*D452/10000</f>
        <v/>
      </c>
      <c r="F452" s="3">
        <f>B452/30.48</f>
        <v/>
      </c>
      <c r="G452" s="3">
        <f>D452/30.48</f>
        <v/>
      </c>
      <c r="H452" s="569" t="inlineStr">
        <is>
          <t>MCHD-OLD</t>
        </is>
      </c>
      <c r="I452" s="65" t="inlineStr">
        <is>
          <t>MARA-ETSY İADE ETTİ(210)</t>
        </is>
      </c>
      <c r="J452" s="45" t="inlineStr">
        <is>
          <t>US-416 786 4081</t>
        </is>
      </c>
    </row>
    <row r="453" ht="17.25" customFormat="1" customHeight="1" s="1">
      <c r="A453" s="8" t="inlineStr">
        <is>
          <t>C 445</t>
        </is>
      </c>
      <c r="B453" s="5" t="n">
        <v>76</v>
      </c>
      <c r="C453" s="6" t="inlineStr">
        <is>
          <t>X</t>
        </is>
      </c>
      <c r="D453" s="5" t="n">
        <v>170</v>
      </c>
      <c r="E453" s="2">
        <f>B453*D453/10000</f>
        <v/>
      </c>
      <c r="F453" s="3">
        <f>B453/30.48</f>
        <v/>
      </c>
      <c r="G453" s="3">
        <f>D453/30.48</f>
        <v/>
      </c>
      <c r="H453" s="569" t="inlineStr">
        <is>
          <t>MCHD-OLD</t>
        </is>
      </c>
      <c r="I453" s="80" t="inlineStr">
        <is>
          <t>Virginia McMaster</t>
        </is>
      </c>
      <c r="J453" s="575" t="inlineStr">
        <is>
          <t>US-803 238 6493</t>
        </is>
      </c>
    </row>
    <row r="454" ht="17.25" customFormat="1" customHeight="1" s="1">
      <c r="A454" s="8" t="inlineStr">
        <is>
          <t>Y 817</t>
        </is>
      </c>
      <c r="B454" s="5" t="n">
        <v>374</v>
      </c>
      <c r="C454" s="6" t="inlineStr">
        <is>
          <t>X</t>
        </is>
      </c>
      <c r="D454" s="5" t="n">
        <v>85</v>
      </c>
      <c r="E454" s="2">
        <f>B454*D454/10000</f>
        <v/>
      </c>
      <c r="F454" s="3">
        <f>B454/30.48</f>
        <v/>
      </c>
      <c r="G454" s="3">
        <f>D454/30.48</f>
        <v/>
      </c>
      <c r="H454" s="17" t="inlineStr">
        <is>
          <t>MSTF-EFS</t>
        </is>
      </c>
      <c r="I454" s="79" t="n"/>
      <c r="J454" s="53" t="n"/>
    </row>
    <row r="455" ht="17.25" customFormat="1" customHeight="1" s="1">
      <c r="A455" s="8" t="inlineStr">
        <is>
          <t>C 294</t>
        </is>
      </c>
      <c r="B455" s="5" t="n">
        <v>103</v>
      </c>
      <c r="C455" s="6" t="inlineStr">
        <is>
          <t>X</t>
        </is>
      </c>
      <c r="D455" s="5" t="n">
        <v>298</v>
      </c>
      <c r="E455" s="2">
        <f>B455*D455/10000</f>
        <v/>
      </c>
      <c r="F455" s="3">
        <f>B455/30.48</f>
        <v/>
      </c>
      <c r="G455" s="3">
        <f>D455/30.48</f>
        <v/>
      </c>
      <c r="H455" s="36" t="inlineStr">
        <is>
          <t>MCHD-PAC</t>
        </is>
      </c>
      <c r="I455" s="80" t="inlineStr">
        <is>
          <t>Jessica Titko</t>
        </is>
      </c>
      <c r="J455" s="565" t="inlineStr">
        <is>
          <t>US-972 839 0415</t>
        </is>
      </c>
    </row>
    <row r="456" ht="17.25" customFormat="1" customHeight="1" s="1">
      <c r="A456" s="8" t="inlineStr">
        <is>
          <t>C 777</t>
        </is>
      </c>
      <c r="B456" s="5" t="n">
        <v>385</v>
      </c>
      <c r="C456" s="6" t="inlineStr">
        <is>
          <t>X</t>
        </is>
      </c>
      <c r="D456" s="5" t="n">
        <v>293</v>
      </c>
      <c r="E456" s="2">
        <f>B456*D456/10000</f>
        <v/>
      </c>
      <c r="F456" s="3">
        <f>B456/30.48</f>
        <v/>
      </c>
      <c r="G456" s="3">
        <f>D456/30.48</f>
        <v/>
      </c>
      <c r="H456" s="36" t="inlineStr">
        <is>
          <t>MCHD-PAC</t>
        </is>
      </c>
      <c r="I456" s="80" t="inlineStr">
        <is>
          <t>Brittany Alwerud</t>
        </is>
      </c>
      <c r="J456" s="45" t="inlineStr">
        <is>
          <t>US-951 538 5200</t>
        </is>
      </c>
    </row>
    <row r="457" ht="17.25" customFormat="1" customHeight="1" s="1">
      <c r="A457" s="8" t="inlineStr">
        <is>
          <t>C 477</t>
        </is>
      </c>
      <c r="B457" s="5" t="n">
        <v>132</v>
      </c>
      <c r="C457" s="6" t="inlineStr">
        <is>
          <t>X</t>
        </is>
      </c>
      <c r="D457" s="5" t="n">
        <v>236</v>
      </c>
      <c r="E457" s="2">
        <f>B457*D457/10000</f>
        <v/>
      </c>
      <c r="F457" s="3">
        <f>B457/30.48</f>
        <v/>
      </c>
      <c r="G457" s="3">
        <f>D457/30.48</f>
        <v/>
      </c>
      <c r="H457" s="36" t="inlineStr">
        <is>
          <t>MCHD-PAC</t>
        </is>
      </c>
      <c r="I457" s="80" t="inlineStr">
        <is>
          <t>Lisa Brown</t>
        </is>
      </c>
      <c r="J457" s="45" t="inlineStr">
        <is>
          <t>US-734 644 6746</t>
        </is>
      </c>
    </row>
    <row r="458" ht="17.25" customFormat="1" customHeight="1" s="1">
      <c r="A458" s="8" t="inlineStr">
        <is>
          <t>C 655</t>
        </is>
      </c>
      <c r="B458" s="5" t="n">
        <v>96</v>
      </c>
      <c r="C458" s="6" t="inlineStr">
        <is>
          <t>X</t>
        </is>
      </c>
      <c r="D458" s="5" t="n">
        <v>304</v>
      </c>
      <c r="E458" s="2">
        <f>B458*D458/10000</f>
        <v/>
      </c>
      <c r="F458" s="3">
        <f>B458/30.48</f>
        <v/>
      </c>
      <c r="G458" s="3">
        <f>D458/30.48</f>
        <v/>
      </c>
      <c r="H458" s="69" t="inlineStr">
        <is>
          <t>MCHD-TR</t>
        </is>
      </c>
      <c r="I458" s="80" t="inlineStr">
        <is>
          <t>Wendy Pryce Lewis</t>
        </is>
      </c>
      <c r="J458" s="45" t="n"/>
    </row>
    <row r="459" ht="17.25" customFormat="1" customHeight="1" s="1">
      <c r="A459" s="8" t="inlineStr">
        <is>
          <t>C 646</t>
        </is>
      </c>
      <c r="B459" s="5" t="n">
        <v>81</v>
      </c>
      <c r="C459" s="6" t="inlineStr">
        <is>
          <t>X</t>
        </is>
      </c>
      <c r="D459" s="5" t="n">
        <v>354</v>
      </c>
      <c r="E459" s="2">
        <f>B459*D459/10000</f>
        <v/>
      </c>
      <c r="F459" s="3">
        <f>B459/30.48</f>
        <v/>
      </c>
      <c r="G459" s="3">
        <f>D459/30.48</f>
        <v/>
      </c>
      <c r="H459" s="69" t="inlineStr">
        <is>
          <t>MCHD-TR</t>
        </is>
      </c>
      <c r="I459" s="80" t="inlineStr">
        <is>
          <t>Laura Kelley</t>
        </is>
      </c>
      <c r="J459" s="575" t="n"/>
    </row>
    <row r="460" ht="17.25" customFormat="1" customHeight="1" s="1">
      <c r="A460" s="8" t="inlineStr">
        <is>
          <t>A 58</t>
        </is>
      </c>
      <c r="B460" s="5" t="n">
        <v>97</v>
      </c>
      <c r="C460" s="6" t="inlineStr">
        <is>
          <t>X</t>
        </is>
      </c>
      <c r="D460" s="5" t="n">
        <v>348</v>
      </c>
      <c r="E460" s="2">
        <f>B460*D460/10000</f>
        <v/>
      </c>
      <c r="F460" s="3">
        <f>B460/30.48</f>
        <v/>
      </c>
      <c r="G460" s="3">
        <f>D460/30.48</f>
        <v/>
      </c>
      <c r="H460" s="503" t="inlineStr">
        <is>
          <t>MCHD-VR</t>
        </is>
      </c>
      <c r="I460" s="315" t="inlineStr">
        <is>
          <t>Mike Karlsven</t>
        </is>
      </c>
      <c r="J460" s="557" t="inlineStr">
        <is>
          <t>US-801 318 4754</t>
        </is>
      </c>
    </row>
    <row r="461" ht="17.25" customFormat="1" customHeight="1" s="1">
      <c r="A461" s="8" t="inlineStr">
        <is>
          <t>C 285</t>
        </is>
      </c>
      <c r="B461" s="5" t="n">
        <v>86</v>
      </c>
      <c r="C461" s="6" t="inlineStr">
        <is>
          <t>X</t>
        </is>
      </c>
      <c r="D461" s="5" t="n">
        <v>252</v>
      </c>
      <c r="E461" s="2">
        <f>B461*D461/10000</f>
        <v/>
      </c>
      <c r="F461" s="3">
        <f>B461/30.48</f>
        <v/>
      </c>
      <c r="G461" s="3">
        <f>D461/30.48</f>
        <v/>
      </c>
      <c r="H461" s="66" t="inlineStr">
        <is>
          <t>MCHD-TR</t>
        </is>
      </c>
      <c r="I461" s="570" t="inlineStr">
        <is>
          <t>Tiffany Levine</t>
        </is>
      </c>
      <c r="J461" s="322" t="inlineStr">
        <is>
          <t>US-310 729 0510</t>
        </is>
      </c>
    </row>
    <row r="462" ht="17.25" customFormat="1" customHeight="1" s="1">
      <c r="A462" s="8" t="inlineStr">
        <is>
          <t>C 872</t>
        </is>
      </c>
      <c r="B462" s="5" t="n">
        <v>90</v>
      </c>
      <c r="C462" s="6" t="inlineStr">
        <is>
          <t>X</t>
        </is>
      </c>
      <c r="D462" s="5" t="n">
        <v>338</v>
      </c>
      <c r="E462" s="2">
        <f>B462*D462/10000</f>
        <v/>
      </c>
      <c r="F462" s="3">
        <f>B462/30.48</f>
        <v/>
      </c>
      <c r="G462" s="3">
        <f>D462/30.48</f>
        <v/>
      </c>
      <c r="H462" s="37" t="inlineStr">
        <is>
          <t>MCHD-PAC</t>
        </is>
      </c>
      <c r="I462" s="570" t="inlineStr">
        <is>
          <t>Steven Minden</t>
        </is>
      </c>
      <c r="J462" s="322" t="n"/>
    </row>
    <row r="463" ht="17.25" customFormat="1" customHeight="1" s="1">
      <c r="A463" s="8" t="inlineStr">
        <is>
          <t>C 307</t>
        </is>
      </c>
      <c r="B463" s="5" t="n">
        <v>83</v>
      </c>
      <c r="C463" s="6" t="inlineStr">
        <is>
          <t>X</t>
        </is>
      </c>
      <c r="D463" s="5" t="n">
        <v>148</v>
      </c>
      <c r="E463" s="2">
        <f>B463*D463/10000</f>
        <v/>
      </c>
      <c r="F463" s="3">
        <f>B463/30.48</f>
        <v/>
      </c>
      <c r="G463" s="3">
        <f>D463/30.48</f>
        <v/>
      </c>
      <c r="H463" s="37" t="inlineStr">
        <is>
          <t>MCHD-PAC</t>
        </is>
      </c>
      <c r="I463" s="570" t="inlineStr">
        <is>
          <t>Kymberly Konty</t>
        </is>
      </c>
      <c r="J463" s="322" t="n">
        <v>3585</v>
      </c>
    </row>
    <row r="464" ht="17.25" customFormat="1" customHeight="1" s="1">
      <c r="A464" s="8" t="inlineStr">
        <is>
          <t>A 107</t>
        </is>
      </c>
      <c r="B464" s="5" t="n">
        <v>76</v>
      </c>
      <c r="C464" s="6" t="inlineStr">
        <is>
          <t>X</t>
        </is>
      </c>
      <c r="D464" s="5" t="n">
        <v>237</v>
      </c>
      <c r="E464" s="2">
        <f>B464*D464/10000</f>
        <v/>
      </c>
      <c r="F464" s="3">
        <f>B464/30.48</f>
        <v/>
      </c>
      <c r="G464" s="3">
        <f>D464/30.48</f>
        <v/>
      </c>
      <c r="H464" s="16" t="inlineStr">
        <is>
          <t>MCHD-VR</t>
        </is>
      </c>
      <c r="I464" s="570" t="inlineStr">
        <is>
          <t>Peggy Green</t>
        </is>
      </c>
      <c r="J464" s="322" t="inlineStr">
        <is>
          <t>US-713 301 1980</t>
        </is>
      </c>
    </row>
    <row r="465" ht="17.25" customFormat="1" customHeight="1" s="1">
      <c r="A465" s="8" t="inlineStr">
        <is>
          <t>C 851</t>
        </is>
      </c>
      <c r="B465" s="5" t="n">
        <v>81</v>
      </c>
      <c r="C465" s="6" t="inlineStr">
        <is>
          <t>X</t>
        </is>
      </c>
      <c r="D465" s="5" t="n">
        <v>377</v>
      </c>
      <c r="E465" s="2">
        <f>B465*D465/10000</f>
        <v/>
      </c>
      <c r="F465" s="3">
        <f>B465/30.48</f>
        <v/>
      </c>
      <c r="G465" s="3">
        <f>D465/30.48</f>
        <v/>
      </c>
      <c r="H465" s="37" t="inlineStr">
        <is>
          <t>MCHD-PAC</t>
        </is>
      </c>
      <c r="I465" s="534" t="inlineStr">
        <is>
          <t>Mallory Thorburn</t>
        </is>
      </c>
      <c r="J465" s="571" t="n"/>
    </row>
    <row r="466" ht="17.25" customFormat="1" customHeight="1" s="1">
      <c r="A466" s="8" t="inlineStr">
        <is>
          <t>C 824</t>
        </is>
      </c>
      <c r="B466" s="5" t="n">
        <v>341</v>
      </c>
      <c r="C466" s="6" t="inlineStr">
        <is>
          <t>X</t>
        </is>
      </c>
      <c r="D466" s="5" t="n">
        <v>255</v>
      </c>
      <c r="E466" s="2">
        <f>B466*D466/10000</f>
        <v/>
      </c>
      <c r="F466" s="3">
        <f>B466/30.48</f>
        <v/>
      </c>
      <c r="G466" s="3">
        <f>D466/30.48</f>
        <v/>
      </c>
      <c r="H466" s="37" t="inlineStr">
        <is>
          <t>MCHD-PAC</t>
        </is>
      </c>
      <c r="I466" s="534" t="inlineStr">
        <is>
          <t>Ellen Minden</t>
        </is>
      </c>
      <c r="J466" s="545" t="inlineStr">
        <is>
          <t>US-561 414 6639</t>
        </is>
      </c>
    </row>
    <row r="467" ht="17.25" customFormat="1" customHeight="1" s="1">
      <c r="A467" s="8" t="inlineStr">
        <is>
          <t>C 254</t>
        </is>
      </c>
      <c r="B467" s="5" t="n">
        <v>72</v>
      </c>
      <c r="C467" s="6" t="inlineStr">
        <is>
          <t>X</t>
        </is>
      </c>
      <c r="D467" s="5" t="n">
        <v>198</v>
      </c>
      <c r="E467" s="2">
        <f>B467*D467/10000</f>
        <v/>
      </c>
      <c r="F467" s="3">
        <f>B467/30.48</f>
        <v/>
      </c>
      <c r="G467" s="3">
        <f>D467/30.48</f>
        <v/>
      </c>
      <c r="H467" s="36" t="inlineStr">
        <is>
          <t>MCHD-PAC</t>
        </is>
      </c>
      <c r="I467" s="570" t="inlineStr">
        <is>
          <t>Julia Mennella</t>
        </is>
      </c>
      <c r="J467" s="557" t="inlineStr">
        <is>
          <t>US-215 592 0689</t>
        </is>
      </c>
    </row>
    <row r="468" ht="17.25" customFormat="1" customHeight="1" s="1">
      <c r="A468" s="8" t="inlineStr">
        <is>
          <t>C 780</t>
        </is>
      </c>
      <c r="B468" s="5" t="n">
        <v>81</v>
      </c>
      <c r="C468" s="6" t="inlineStr">
        <is>
          <t>X</t>
        </is>
      </c>
      <c r="D468" s="5" t="n">
        <v>243</v>
      </c>
      <c r="E468" s="2">
        <f>B468*D468/10000</f>
        <v/>
      </c>
      <c r="F468" s="3">
        <f>B468/30.48</f>
        <v/>
      </c>
      <c r="G468" s="3">
        <f>D468/30.48</f>
        <v/>
      </c>
      <c r="H468" s="69" t="inlineStr">
        <is>
          <t>MCHD-TR</t>
        </is>
      </c>
      <c r="I468" s="570" t="inlineStr">
        <is>
          <t>Christine Finck</t>
        </is>
      </c>
      <c r="J468" s="557" t="inlineStr">
        <is>
          <t>US-309 310 6397</t>
        </is>
      </c>
    </row>
    <row r="469" ht="17.25" customFormat="1" customHeight="1" s="1">
      <c r="A469" s="8" t="inlineStr">
        <is>
          <t>A 180</t>
        </is>
      </c>
      <c r="B469" s="5" t="n">
        <v>327</v>
      </c>
      <c r="C469" s="6" t="inlineStr">
        <is>
          <t>X</t>
        </is>
      </c>
      <c r="D469" s="5" t="n">
        <v>522</v>
      </c>
      <c r="E469" s="2">
        <f>B469*D469/10000</f>
        <v/>
      </c>
      <c r="F469" s="3">
        <f>B469/30.48</f>
        <v/>
      </c>
      <c r="G469" s="3">
        <f>D469/30.48</f>
        <v/>
      </c>
      <c r="H469" s="36" t="inlineStr">
        <is>
          <t>MCHD-PAC</t>
        </is>
      </c>
      <c r="I469" s="570" t="inlineStr">
        <is>
          <t>Brian Sherwinski</t>
        </is>
      </c>
      <c r="J469" s="557" t="inlineStr">
        <is>
          <t>US-312 351 4792</t>
        </is>
      </c>
    </row>
    <row r="470" ht="17.25" customFormat="1" customHeight="1" s="1">
      <c r="A470" s="8" t="inlineStr">
        <is>
          <t>A 181</t>
        </is>
      </c>
      <c r="B470" s="5" t="n">
        <v>242</v>
      </c>
      <c r="C470" s="6" t="inlineStr">
        <is>
          <t>X</t>
        </is>
      </c>
      <c r="D470" s="5" t="n">
        <v>335</v>
      </c>
      <c r="E470" s="2">
        <f>B470*D470/10000</f>
        <v/>
      </c>
      <c r="F470" s="3">
        <f>B470/30.48</f>
        <v/>
      </c>
      <c r="G470" s="3">
        <f>D470/30.48</f>
        <v/>
      </c>
      <c r="H470" s="36" t="inlineStr">
        <is>
          <t>MCHD-PAC</t>
        </is>
      </c>
      <c r="I470" s="570" t="inlineStr">
        <is>
          <t>Lauren Rampello</t>
        </is>
      </c>
      <c r="J470" s="557" t="n"/>
    </row>
    <row r="471" ht="17.25" customFormat="1" customHeight="1" s="1">
      <c r="A471" s="8" t="inlineStr">
        <is>
          <t>A 183</t>
        </is>
      </c>
      <c r="B471" s="5" t="n">
        <v>298</v>
      </c>
      <c r="C471" s="6" t="inlineStr">
        <is>
          <t>X</t>
        </is>
      </c>
      <c r="D471" s="5" t="n">
        <v>372</v>
      </c>
      <c r="E471" s="2">
        <f>B471*D471/10000</f>
        <v/>
      </c>
      <c r="F471" s="3">
        <f>B471/30.48</f>
        <v/>
      </c>
      <c r="G471" s="3">
        <f>D471/30.48</f>
        <v/>
      </c>
      <c r="H471" s="36" t="inlineStr">
        <is>
          <t>MCHD-PAC</t>
        </is>
      </c>
      <c r="I471" s="534" t="inlineStr">
        <is>
          <t>Elli McAdams</t>
        </is>
      </c>
      <c r="J471" s="545" t="inlineStr">
        <is>
          <t>US-704 909 9002</t>
        </is>
      </c>
    </row>
    <row r="472" ht="17.25" customFormat="1" customHeight="1" s="1">
      <c r="A472" s="8" t="inlineStr">
        <is>
          <t>A 86</t>
        </is>
      </c>
      <c r="B472" s="5" t="n">
        <v>96</v>
      </c>
      <c r="C472" s="72" t="inlineStr">
        <is>
          <t>X</t>
        </is>
      </c>
      <c r="D472" s="5" t="n">
        <v>140</v>
      </c>
      <c r="E472" s="73">
        <f>B472*D472/10000</f>
        <v/>
      </c>
      <c r="F472" s="74">
        <f>B472/30.48</f>
        <v/>
      </c>
      <c r="G472" s="74">
        <f>D472/30.48</f>
        <v/>
      </c>
      <c r="H472" s="16" t="inlineStr">
        <is>
          <t>MCHD-VR</t>
        </is>
      </c>
      <c r="I472" s="570" t="inlineStr">
        <is>
          <t>Abby Bridell</t>
        </is>
      </c>
      <c r="J472" s="557" t="inlineStr">
        <is>
          <t>US-401 440 4660</t>
        </is>
      </c>
    </row>
    <row r="473" ht="17.25" customFormat="1" customHeight="1" s="1">
      <c r="A473" s="8" t="inlineStr">
        <is>
          <t>C 913</t>
        </is>
      </c>
      <c r="B473" s="5" t="n">
        <v>89</v>
      </c>
      <c r="C473" s="6" t="inlineStr">
        <is>
          <t>X</t>
        </is>
      </c>
      <c r="D473" s="5" t="n">
        <v>456</v>
      </c>
      <c r="E473" s="2">
        <f>B473*D473/10000</f>
        <v/>
      </c>
      <c r="F473" s="3">
        <f>B473/30.48</f>
        <v/>
      </c>
      <c r="G473" s="3">
        <f>D473/30.48</f>
        <v/>
      </c>
      <c r="H473" s="36" t="inlineStr">
        <is>
          <t>MCHD-PAC</t>
        </is>
      </c>
      <c r="I473" s="570" t="inlineStr">
        <is>
          <t>WILL HOLLINGSWORTH</t>
        </is>
      </c>
      <c r="J473" s="557" t="inlineStr">
        <is>
          <t>US-505 699 9575</t>
        </is>
      </c>
    </row>
    <row r="474" ht="17.25" customFormat="1" customHeight="1" s="1">
      <c r="A474" s="8" t="inlineStr">
        <is>
          <t>A 215</t>
        </is>
      </c>
      <c r="B474" s="5" t="n">
        <v>308</v>
      </c>
      <c r="C474" s="6" t="inlineStr">
        <is>
          <t>X</t>
        </is>
      </c>
      <c r="D474" s="5" t="n">
        <v>392</v>
      </c>
      <c r="E474" s="2">
        <f>B474*D474/10000</f>
        <v/>
      </c>
      <c r="F474" s="3">
        <f>B474/30.48</f>
        <v/>
      </c>
      <c r="G474" s="3">
        <f>D474/30.48</f>
        <v/>
      </c>
      <c r="H474" s="36" t="inlineStr">
        <is>
          <t>MCHD-PAC</t>
        </is>
      </c>
      <c r="I474" s="570" t="inlineStr">
        <is>
          <t>Becky Ouellette</t>
        </is>
      </c>
      <c r="J474" s="557" t="inlineStr">
        <is>
          <t>US-770 634 3651</t>
        </is>
      </c>
    </row>
    <row r="475" ht="17.25" customFormat="1" customHeight="1" s="1">
      <c r="A475" s="8" t="inlineStr">
        <is>
          <t>H 135</t>
        </is>
      </c>
      <c r="B475" s="5" t="n">
        <v>336</v>
      </c>
      <c r="C475" s="6" t="inlineStr">
        <is>
          <t>X</t>
        </is>
      </c>
      <c r="D475" s="5" t="n">
        <v>97</v>
      </c>
      <c r="E475" s="2">
        <f>B475*D475/10000</f>
        <v/>
      </c>
      <c r="F475" s="3">
        <f>B475/30.48</f>
        <v/>
      </c>
      <c r="G475" s="3">
        <f>D475/30.48</f>
        <v/>
      </c>
      <c r="H475" s="36" t="inlineStr">
        <is>
          <t>MCHD-PAC</t>
        </is>
      </c>
      <c r="I475" s="570" t="inlineStr">
        <is>
          <t>Kate Craft</t>
        </is>
      </c>
      <c r="J475" s="557" t="inlineStr">
        <is>
          <t>US-650 823 2271</t>
        </is>
      </c>
    </row>
    <row r="476">
      <c r="A476" s="536" t="inlineStr">
        <is>
          <t>-2022 ARALIK-69</t>
        </is>
      </c>
      <c r="H476" s="62" t="inlineStr">
        <is>
          <t>SATAN-SİTE</t>
        </is>
      </c>
      <c r="I476" s="19" t="inlineStr">
        <is>
          <t>MÜŞTERİ ADI</t>
        </is>
      </c>
      <c r="J476" s="63" t="inlineStr">
        <is>
          <t>MÜŞTERİ İLETİŞİM &amp; ÜLKE</t>
        </is>
      </c>
    </row>
    <row r="477" ht="17.25" customFormat="1" customHeight="1" s="1">
      <c r="A477" s="8" t="inlineStr">
        <is>
          <t>A 203</t>
        </is>
      </c>
      <c r="B477" s="5" t="n">
        <v>293</v>
      </c>
      <c r="C477" s="6" t="inlineStr">
        <is>
          <t>X</t>
        </is>
      </c>
      <c r="D477" s="5" t="n">
        <v>363</v>
      </c>
      <c r="E477" s="2">
        <f>B477*D477/10000</f>
        <v/>
      </c>
      <c r="F477" s="3">
        <f>B477/30.48</f>
        <v/>
      </c>
      <c r="G477" s="3">
        <f>D477/30.48</f>
        <v/>
      </c>
      <c r="H477" s="36" t="inlineStr">
        <is>
          <t>MCHD-PAC</t>
        </is>
      </c>
      <c r="I477" s="570" t="inlineStr">
        <is>
          <t>Abby Robinson</t>
        </is>
      </c>
      <c r="J477" s="557" t="inlineStr">
        <is>
          <t>US-609 790 5662</t>
        </is>
      </c>
    </row>
    <row r="478" ht="17.25" customFormat="1" customHeight="1" s="1">
      <c r="A478" s="8" t="inlineStr">
        <is>
          <t>H 178</t>
        </is>
      </c>
      <c r="B478" s="5" t="n">
        <v>340</v>
      </c>
      <c r="C478" s="6" t="inlineStr">
        <is>
          <t>X</t>
        </is>
      </c>
      <c r="D478" s="5" t="n">
        <v>87</v>
      </c>
      <c r="E478" s="2">
        <f>B478*D478/10000</f>
        <v/>
      </c>
      <c r="F478" s="3">
        <f>B478/30.48</f>
        <v/>
      </c>
      <c r="G478" s="3">
        <f>D478/30.48</f>
        <v/>
      </c>
      <c r="H478" s="16" t="inlineStr">
        <is>
          <t>MCHD-VR</t>
        </is>
      </c>
      <c r="I478" s="570" t="inlineStr">
        <is>
          <t>Sherri Maclean</t>
        </is>
      </c>
      <c r="J478" s="557" t="inlineStr">
        <is>
          <t>US-469 360 1987</t>
        </is>
      </c>
    </row>
    <row r="479" ht="17.25" customFormat="1" customHeight="1" s="1">
      <c r="A479" s="8" t="inlineStr">
        <is>
          <t>C 400</t>
        </is>
      </c>
      <c r="B479" s="5" t="n">
        <v>338</v>
      </c>
      <c r="C479" s="6" t="inlineStr">
        <is>
          <t>X</t>
        </is>
      </c>
      <c r="D479" s="5" t="n">
        <v>241</v>
      </c>
      <c r="E479" s="2">
        <f>B479*D479/10000</f>
        <v/>
      </c>
      <c r="F479" s="3">
        <f>B479/30.48</f>
        <v/>
      </c>
      <c r="G479" s="3">
        <f>D479/30.48</f>
        <v/>
      </c>
      <c r="H479" s="17" t="inlineStr">
        <is>
          <t>MCHD-EFS</t>
        </is>
      </c>
      <c r="I479" s="570" t="inlineStr">
        <is>
          <t>ALIX MCGREGOR</t>
        </is>
      </c>
      <c r="J479" s="557" t="inlineStr">
        <is>
          <t>US-519 498 8249</t>
        </is>
      </c>
    </row>
    <row r="480" ht="17.25" customFormat="1" customHeight="1" s="1">
      <c r="A480" s="8" t="inlineStr">
        <is>
          <t>C 902</t>
        </is>
      </c>
      <c r="B480" s="5" t="n">
        <v>123</v>
      </c>
      <c r="C480" s="6" t="inlineStr">
        <is>
          <t>X</t>
        </is>
      </c>
      <c r="D480" s="5" t="n">
        <v>180</v>
      </c>
      <c r="E480" s="2">
        <f>B480*D480/10000</f>
        <v/>
      </c>
      <c r="F480" s="3">
        <f>B480/30.48</f>
        <v/>
      </c>
      <c r="G480" s="3">
        <f>D480/30.48</f>
        <v/>
      </c>
      <c r="H480" s="69" t="inlineStr">
        <is>
          <t>MCHD-TR</t>
        </is>
      </c>
      <c r="I480" s="534" t="inlineStr">
        <is>
          <t>elizabeth Serrano</t>
        </is>
      </c>
      <c r="J480" s="545" t="inlineStr">
        <is>
          <t>US-951 704 6802</t>
        </is>
      </c>
    </row>
    <row r="481" ht="17.25" customFormat="1" customHeight="1" s="1">
      <c r="A481" s="8" t="inlineStr">
        <is>
          <t>K 109</t>
        </is>
      </c>
      <c r="B481" s="5" t="n">
        <v>340</v>
      </c>
      <c r="C481" s="6" t="inlineStr">
        <is>
          <t>X</t>
        </is>
      </c>
      <c r="D481" s="5" t="n">
        <v>173</v>
      </c>
      <c r="E481" s="2">
        <f>B481*D481/10000</f>
        <v/>
      </c>
      <c r="F481" s="3">
        <f>B481/30.48</f>
        <v/>
      </c>
      <c r="G481" s="3">
        <f>D481/30.48</f>
        <v/>
      </c>
      <c r="H481" s="69" t="inlineStr">
        <is>
          <t>MCHD-TR</t>
        </is>
      </c>
      <c r="I481" s="570" t="inlineStr">
        <is>
          <t>Carrie Taylor</t>
        </is>
      </c>
      <c r="J481" s="557" t="inlineStr">
        <is>
          <t>US-205 835 8069</t>
        </is>
      </c>
    </row>
    <row r="482" ht="17.25" customFormat="1" customHeight="1" s="1">
      <c r="A482" s="8" t="inlineStr">
        <is>
          <t>C 330</t>
        </is>
      </c>
      <c r="B482" s="5" t="n">
        <v>85</v>
      </c>
      <c r="C482" s="6" t="inlineStr">
        <is>
          <t>X</t>
        </is>
      </c>
      <c r="D482" s="5" t="n">
        <v>264</v>
      </c>
      <c r="E482" s="2">
        <f>B482*D482/10000</f>
        <v/>
      </c>
      <c r="F482" s="3">
        <f>B482/30.48</f>
        <v/>
      </c>
      <c r="G482" s="3">
        <f>D482/30.48</f>
        <v/>
      </c>
      <c r="H482" s="69" t="inlineStr">
        <is>
          <t>MCHD-TR</t>
        </is>
      </c>
      <c r="I482" s="570" t="inlineStr">
        <is>
          <t>April Parker Hersh</t>
        </is>
      </c>
      <c r="J482" s="557" t="inlineStr">
        <is>
          <t>US-415 388 0630</t>
        </is>
      </c>
    </row>
    <row r="483" ht="17.25" customFormat="1" customHeight="1" s="1">
      <c r="A483" s="8" t="inlineStr">
        <is>
          <t>C 334</t>
        </is>
      </c>
      <c r="B483" s="5" t="n">
        <v>225</v>
      </c>
      <c r="C483" s="6" t="inlineStr">
        <is>
          <t>X</t>
        </is>
      </c>
      <c r="D483" s="5" t="n">
        <v>79</v>
      </c>
      <c r="E483" s="2">
        <f>B483*D483/10000</f>
        <v/>
      </c>
      <c r="F483" s="3">
        <f>B483/30.48</f>
        <v/>
      </c>
      <c r="G483" s="3">
        <f>D483/30.48</f>
        <v/>
      </c>
      <c r="H483" s="16" t="inlineStr">
        <is>
          <t>MCHD-VR</t>
        </is>
      </c>
      <c r="I483" s="534" t="inlineStr">
        <is>
          <t>Elizabeth Albulov</t>
        </is>
      </c>
      <c r="J483" s="545" t="inlineStr">
        <is>
          <t>US-248 761 7757</t>
        </is>
      </c>
    </row>
    <row r="484" ht="17.25" customFormat="1" customHeight="1" s="1">
      <c r="A484" s="8" t="inlineStr">
        <is>
          <t>A 212</t>
        </is>
      </c>
      <c r="B484" s="5" t="n">
        <v>308</v>
      </c>
      <c r="C484" s="6" t="inlineStr">
        <is>
          <t>X</t>
        </is>
      </c>
      <c r="D484" s="5" t="n">
        <v>406</v>
      </c>
      <c r="E484" s="2">
        <f>B484*D484/10000</f>
        <v/>
      </c>
      <c r="F484" s="3">
        <f>B484/30.48</f>
        <v/>
      </c>
      <c r="G484" s="3">
        <f>D484/30.48</f>
        <v/>
      </c>
      <c r="H484" s="36" t="inlineStr">
        <is>
          <t>MCHD-PAC</t>
        </is>
      </c>
      <c r="I484" s="570" t="inlineStr">
        <is>
          <t>Jessica Cull</t>
        </is>
      </c>
      <c r="J484" s="557" t="n"/>
    </row>
    <row r="485" ht="17.25" customFormat="1" customHeight="1" s="1">
      <c r="A485" s="8" t="inlineStr">
        <is>
          <t>A 79</t>
        </is>
      </c>
      <c r="B485" s="5" t="n">
        <v>80</v>
      </c>
      <c r="C485" s="6" t="inlineStr">
        <is>
          <t>X</t>
        </is>
      </c>
      <c r="D485" s="5" t="n">
        <v>259</v>
      </c>
      <c r="E485" s="2">
        <f>B485*D485/10000</f>
        <v/>
      </c>
      <c r="F485" s="3">
        <f>B485/30.48</f>
        <v/>
      </c>
      <c r="G485" s="3">
        <f>D485/30.48</f>
        <v/>
      </c>
      <c r="H485" s="69" t="inlineStr">
        <is>
          <t>MCHD-TR</t>
        </is>
      </c>
      <c r="I485" s="570" t="inlineStr">
        <is>
          <t>emily cline</t>
        </is>
      </c>
      <c r="J485" s="557" t="inlineStr">
        <is>
          <t>US-206 285 6560</t>
        </is>
      </c>
    </row>
    <row r="486" ht="17.25" customFormat="1" customHeight="1" s="1">
      <c r="A486" s="8" t="inlineStr">
        <is>
          <t>C 917</t>
        </is>
      </c>
      <c r="B486" s="5" t="n">
        <v>86</v>
      </c>
      <c r="C486" s="6" t="inlineStr">
        <is>
          <t>X</t>
        </is>
      </c>
      <c r="D486" s="5" t="n">
        <v>247</v>
      </c>
      <c r="E486" s="2">
        <f>B486*D486/10000</f>
        <v/>
      </c>
      <c r="F486" s="3">
        <f>B486/30.48</f>
        <v/>
      </c>
      <c r="G486" s="3">
        <f>D486/30.48</f>
        <v/>
      </c>
      <c r="H486" s="69" t="inlineStr">
        <is>
          <t>MCHD-TR</t>
        </is>
      </c>
      <c r="I486" s="570" t="inlineStr">
        <is>
          <t>Hannah Jones</t>
        </is>
      </c>
      <c r="J486" s="557" t="n"/>
    </row>
    <row r="487" ht="17.25" customFormat="1" customHeight="1" s="1">
      <c r="A487" s="8" t="inlineStr">
        <is>
          <t>Y 828</t>
        </is>
      </c>
      <c r="B487" s="5" t="n">
        <v>404</v>
      </c>
      <c r="C487" s="6" t="inlineStr">
        <is>
          <t>X</t>
        </is>
      </c>
      <c r="D487" s="5" t="n">
        <v>86</v>
      </c>
      <c r="E487" s="2">
        <f>B487*D487/10000</f>
        <v/>
      </c>
      <c r="F487" s="3">
        <f>B487/30.48</f>
        <v/>
      </c>
      <c r="G487" s="3">
        <f>D487/30.48</f>
        <v/>
      </c>
      <c r="H487" s="69" t="inlineStr">
        <is>
          <t>MCHD-TR</t>
        </is>
      </c>
      <c r="I487" s="534" t="inlineStr">
        <is>
          <t>Christy Childress</t>
        </is>
      </c>
      <c r="J487" s="545" t="inlineStr">
        <is>
          <t>US-601 672 8344</t>
        </is>
      </c>
    </row>
    <row r="488" ht="17.25" customFormat="1" customHeight="1" s="1">
      <c r="A488" s="8" t="inlineStr">
        <is>
          <t>A 161</t>
        </is>
      </c>
      <c r="B488" s="5" t="n">
        <v>94</v>
      </c>
      <c r="C488" s="72" t="inlineStr">
        <is>
          <t>X</t>
        </is>
      </c>
      <c r="D488" s="5" t="n">
        <v>308</v>
      </c>
      <c r="E488" s="73">
        <f>B488*D488/10000</f>
        <v/>
      </c>
      <c r="F488" s="74">
        <f>B488/30.48</f>
        <v/>
      </c>
      <c r="G488" s="74">
        <f>D488/30.48</f>
        <v/>
      </c>
      <c r="H488" s="69" t="inlineStr">
        <is>
          <t>MCHD-TR</t>
        </is>
      </c>
      <c r="I488" s="570" t="inlineStr">
        <is>
          <t>Kristin Sinoway</t>
        </is>
      </c>
      <c r="J488" s="557" t="inlineStr">
        <is>
          <t>US-347 448 1268</t>
        </is>
      </c>
    </row>
    <row r="489" ht="17.25" customFormat="1" customHeight="1" s="1">
      <c r="A489" s="8" t="inlineStr">
        <is>
          <t>C 511</t>
        </is>
      </c>
      <c r="B489" s="5" t="n">
        <v>136</v>
      </c>
      <c r="C489" s="6" t="inlineStr">
        <is>
          <t>X</t>
        </is>
      </c>
      <c r="D489" s="5" t="n">
        <v>207</v>
      </c>
      <c r="E489" s="2">
        <f>B489*D489/10000</f>
        <v/>
      </c>
      <c r="F489" s="3">
        <f>B489/30.48</f>
        <v/>
      </c>
      <c r="G489" s="3">
        <f>D489/30.48</f>
        <v/>
      </c>
      <c r="H489" s="69" t="inlineStr">
        <is>
          <t>MCHD-TR</t>
        </is>
      </c>
      <c r="I489" s="534" t="inlineStr">
        <is>
          <t>Insuk</t>
        </is>
      </c>
      <c r="J489" s="545" t="inlineStr">
        <is>
          <t>US-860 334 2130</t>
        </is>
      </c>
    </row>
    <row r="490" ht="17.25" customFormat="1" customHeight="1" s="1">
      <c r="A490" s="8" t="inlineStr">
        <is>
          <t>C 601</t>
        </is>
      </c>
      <c r="B490" s="5" t="n">
        <v>68</v>
      </c>
      <c r="C490" s="6" t="inlineStr">
        <is>
          <t>X</t>
        </is>
      </c>
      <c r="D490" s="5" t="n">
        <v>315</v>
      </c>
      <c r="E490" s="2">
        <f>B490*D490/10000</f>
        <v/>
      </c>
      <c r="F490" s="3">
        <f>B490/30.48</f>
        <v/>
      </c>
      <c r="G490" s="3">
        <f>D490/30.48</f>
        <v/>
      </c>
      <c r="H490" s="37" t="inlineStr">
        <is>
          <t>MCHD-PAC</t>
        </is>
      </c>
      <c r="I490" s="570" t="inlineStr">
        <is>
          <t>Marissa Welsh</t>
        </is>
      </c>
      <c r="J490" s="557" t="inlineStr">
        <is>
          <t>US-615 403 0306</t>
        </is>
      </c>
    </row>
    <row r="491" ht="17.25" customFormat="1" customHeight="1" s="1">
      <c r="A491" s="8" t="inlineStr">
        <is>
          <t>C 793</t>
        </is>
      </c>
      <c r="B491" s="5" t="n">
        <v>80</v>
      </c>
      <c r="C491" s="6" t="inlineStr">
        <is>
          <t>X</t>
        </is>
      </c>
      <c r="D491" s="5" t="n">
        <v>193</v>
      </c>
      <c r="E491" s="2">
        <f>B491*D491/10000</f>
        <v/>
      </c>
      <c r="F491" s="3">
        <f>B491/30.48</f>
        <v/>
      </c>
      <c r="G491" s="3">
        <f>D491/30.48</f>
        <v/>
      </c>
      <c r="H491" s="694" t="n"/>
      <c r="I491" s="694" t="n"/>
      <c r="J491" s="694" t="n"/>
    </row>
    <row r="492" ht="17.25" customFormat="1" customHeight="1" s="1">
      <c r="A492" s="8" t="inlineStr">
        <is>
          <t>C 942</t>
        </is>
      </c>
      <c r="B492" s="5" t="n">
        <v>61</v>
      </c>
      <c r="C492" s="6" t="inlineStr">
        <is>
          <t>X</t>
        </is>
      </c>
      <c r="D492" s="5" t="n">
        <v>144</v>
      </c>
      <c r="E492" s="2">
        <f>B492*D492/10000</f>
        <v/>
      </c>
      <c r="F492" s="3">
        <f>B492/30.48</f>
        <v/>
      </c>
      <c r="G492" s="3">
        <f>D492/30.48</f>
        <v/>
      </c>
      <c r="H492" s="569" t="inlineStr">
        <is>
          <t>MCHD-OLD</t>
        </is>
      </c>
      <c r="I492" s="570" t="inlineStr">
        <is>
          <t>Kimberly Huebner</t>
        </is>
      </c>
      <c r="J492" s="557" t="inlineStr">
        <is>
          <t>US-917 364 6727</t>
        </is>
      </c>
    </row>
    <row r="493" ht="17.25" customFormat="1" customHeight="1" s="1">
      <c r="A493" s="8" t="inlineStr">
        <is>
          <t>C 573</t>
        </is>
      </c>
      <c r="B493" s="5" t="n">
        <v>93</v>
      </c>
      <c r="C493" s="6" t="inlineStr">
        <is>
          <t>X</t>
        </is>
      </c>
      <c r="D493" s="5" t="n">
        <v>154</v>
      </c>
      <c r="E493" s="2">
        <f>B493*D493/10000</f>
        <v/>
      </c>
      <c r="F493" s="3">
        <f>B493/30.48</f>
        <v/>
      </c>
      <c r="G493" s="3">
        <f>D493/30.48</f>
        <v/>
      </c>
      <c r="H493" s="69" t="inlineStr">
        <is>
          <t>MCHD-TR</t>
        </is>
      </c>
      <c r="I493" s="570" t="inlineStr">
        <is>
          <t>Katherine Edmiston</t>
        </is>
      </c>
      <c r="J493" s="557" t="inlineStr">
        <is>
          <t>US-919 931 1848</t>
        </is>
      </c>
    </row>
    <row r="494" ht="17.25" customFormat="1" customHeight="1" s="1">
      <c r="A494" s="8" t="inlineStr">
        <is>
          <t>Y 404</t>
        </is>
      </c>
      <c r="B494" s="5" t="n">
        <v>200</v>
      </c>
      <c r="C494" s="6" t="inlineStr">
        <is>
          <t>X</t>
        </is>
      </c>
      <c r="D494" s="5" t="n">
        <v>108</v>
      </c>
      <c r="E494" s="2">
        <f>B494*D494/10000</f>
        <v/>
      </c>
      <c r="F494" s="3">
        <f>B494/30.48</f>
        <v/>
      </c>
      <c r="G494" s="3">
        <f>D494/30.48</f>
        <v/>
      </c>
      <c r="H494" s="18" t="inlineStr">
        <is>
          <t>MCHD-TH</t>
        </is>
      </c>
      <c r="I494" s="534" t="inlineStr">
        <is>
          <t>Gregg Irby</t>
        </is>
      </c>
      <c r="J494" s="545" t="n"/>
    </row>
    <row r="495" ht="17.25" customFormat="1" customHeight="1" s="1">
      <c r="A495" s="8" t="inlineStr">
        <is>
          <t>A 47</t>
        </is>
      </c>
      <c r="B495" s="5" t="n">
        <v>84</v>
      </c>
      <c r="C495" s="6" t="inlineStr">
        <is>
          <t>X</t>
        </is>
      </c>
      <c r="D495" s="5" t="n">
        <v>317</v>
      </c>
      <c r="E495" s="2">
        <f>B495*D495/10000</f>
        <v/>
      </c>
      <c r="F495" s="3">
        <f>B495/30.48</f>
        <v/>
      </c>
      <c r="G495" s="3">
        <f>D495/30.48</f>
        <v/>
      </c>
      <c r="H495" s="69" t="inlineStr">
        <is>
          <t>MCHD-TR</t>
        </is>
      </c>
      <c r="I495" s="570" t="inlineStr">
        <is>
          <t>Elizabeth Lally</t>
        </is>
      </c>
      <c r="J495" s="557" t="inlineStr">
        <is>
          <t>US-919 649 7202</t>
        </is>
      </c>
    </row>
    <row r="496" ht="17.25" customFormat="1" customHeight="1" s="1">
      <c r="A496" s="8" t="inlineStr">
        <is>
          <t>C 277</t>
        </is>
      </c>
      <c r="B496" s="5" t="n">
        <v>125</v>
      </c>
      <c r="C496" s="6" t="inlineStr">
        <is>
          <t>X</t>
        </is>
      </c>
      <c r="D496" s="5" t="n">
        <v>240</v>
      </c>
      <c r="E496" s="2">
        <f>B496*D496/10000</f>
        <v/>
      </c>
      <c r="F496" s="3">
        <f>B496/30.48</f>
        <v/>
      </c>
      <c r="G496" s="3">
        <f>D496/30.48</f>
        <v/>
      </c>
      <c r="H496" s="69" t="inlineStr">
        <is>
          <t>MCHD-TR</t>
        </is>
      </c>
      <c r="I496" s="534" t="inlineStr">
        <is>
          <t>Jessica Rera</t>
        </is>
      </c>
      <c r="J496" s="545" t="n"/>
    </row>
    <row r="497" ht="17.25" customFormat="1" customHeight="1" s="1">
      <c r="A497" s="8" t="inlineStr">
        <is>
          <t>A 193</t>
        </is>
      </c>
      <c r="B497" s="5" t="n">
        <v>298</v>
      </c>
      <c r="C497" s="6" t="inlineStr">
        <is>
          <t>X</t>
        </is>
      </c>
      <c r="D497" s="5" t="n">
        <v>388</v>
      </c>
      <c r="E497" s="2">
        <f>B497*D497/10000</f>
        <v/>
      </c>
      <c r="F497" s="3">
        <f>B497/30.48</f>
        <v/>
      </c>
      <c r="G497" s="3">
        <f>D497/30.48</f>
        <v/>
      </c>
      <c r="H497" s="36" t="inlineStr">
        <is>
          <t>MCHD-PAC</t>
        </is>
      </c>
      <c r="I497" s="570" t="inlineStr">
        <is>
          <t>Denise Taylor</t>
        </is>
      </c>
      <c r="J497" s="557" t="n"/>
    </row>
    <row r="498" ht="17.25" customFormat="1" customHeight="1" s="1">
      <c r="A498" s="8" t="inlineStr">
        <is>
          <t>A 190</t>
        </is>
      </c>
      <c r="B498" s="5" t="n">
        <v>291</v>
      </c>
      <c r="C498" s="6" t="inlineStr">
        <is>
          <t>X</t>
        </is>
      </c>
      <c r="D498" s="5" t="n">
        <v>391</v>
      </c>
      <c r="E498" s="2">
        <f>B498*D498/10000</f>
        <v/>
      </c>
      <c r="F498" s="3">
        <f>B498/30.48</f>
        <v/>
      </c>
      <c r="G498" s="3">
        <f>D498/30.48</f>
        <v/>
      </c>
      <c r="H498" s="36" t="inlineStr">
        <is>
          <t>MCHD-PAC</t>
        </is>
      </c>
      <c r="I498" s="570" t="inlineStr">
        <is>
          <t>Ivy Vick</t>
        </is>
      </c>
      <c r="J498" s="557" t="inlineStr">
        <is>
          <t>US-615 485 0963</t>
        </is>
      </c>
    </row>
    <row r="499" ht="17.25" customFormat="1" customHeight="1" s="1">
      <c r="A499" s="8" t="inlineStr">
        <is>
          <t>C 905</t>
        </is>
      </c>
      <c r="B499" s="5" t="n">
        <v>134</v>
      </c>
      <c r="C499" s="6" t="inlineStr">
        <is>
          <t>X</t>
        </is>
      </c>
      <c r="D499" s="5" t="n">
        <v>309</v>
      </c>
      <c r="E499" s="2">
        <f>B499*D499/10000</f>
        <v/>
      </c>
      <c r="F499" s="3">
        <f>B499/30.48</f>
        <v/>
      </c>
      <c r="G499" s="3">
        <f>D499/30.48</f>
        <v/>
      </c>
      <c r="H499" s="569" t="inlineStr">
        <is>
          <t>MCHD-OLD</t>
        </is>
      </c>
      <c r="I499" s="570" t="inlineStr">
        <is>
          <t>Valentinas Joksas</t>
        </is>
      </c>
      <c r="J499" s="557" t="inlineStr">
        <is>
          <t>US-615 587 0834</t>
        </is>
      </c>
    </row>
    <row r="500" ht="17.25" customFormat="1" customHeight="1" s="1">
      <c r="A500" s="8" t="inlineStr">
        <is>
          <t>C 503</t>
        </is>
      </c>
      <c r="B500" s="5" t="n">
        <v>206</v>
      </c>
      <c r="C500" s="6" t="inlineStr">
        <is>
          <t>X</t>
        </is>
      </c>
      <c r="D500" s="5" t="n">
        <v>283</v>
      </c>
      <c r="E500" s="2">
        <f>B500*D500/10000</f>
        <v/>
      </c>
      <c r="F500" s="3">
        <f>B500/30.48</f>
        <v/>
      </c>
      <c r="G500" s="3">
        <f>D500/30.48</f>
        <v/>
      </c>
      <c r="H500" s="16" t="inlineStr">
        <is>
          <t>MCHD-VR</t>
        </is>
      </c>
      <c r="I500" s="570" t="inlineStr">
        <is>
          <t>Kathryn Lee Symington</t>
        </is>
      </c>
      <c r="J500" s="557" t="n"/>
    </row>
    <row r="501" ht="17.25" customFormat="1" customHeight="1" s="1">
      <c r="A501" s="8" t="inlineStr">
        <is>
          <t>C 932</t>
        </is>
      </c>
      <c r="B501" s="5" t="n">
        <v>86</v>
      </c>
      <c r="C501" s="6" t="inlineStr">
        <is>
          <t>X</t>
        </is>
      </c>
      <c r="D501" s="5" t="n">
        <v>277</v>
      </c>
      <c r="E501" s="2">
        <f>B501*D501/10000</f>
        <v/>
      </c>
      <c r="F501" s="3">
        <f>B501/30.48</f>
        <v/>
      </c>
      <c r="G501" s="3">
        <f>D501/30.48</f>
        <v/>
      </c>
      <c r="H501" s="36" t="inlineStr">
        <is>
          <t>MCHD-PAC</t>
        </is>
      </c>
      <c r="I501" s="534" t="inlineStr">
        <is>
          <t>Melissa Coleman</t>
        </is>
      </c>
      <c r="J501" s="545" t="inlineStr">
        <is>
          <t>US-504 344 2072</t>
        </is>
      </c>
    </row>
    <row r="502" ht="17.25" customFormat="1" customHeight="1" s="1">
      <c r="A502" s="8" t="inlineStr">
        <is>
          <t>C 834</t>
        </is>
      </c>
      <c r="B502" s="5" t="n">
        <v>285</v>
      </c>
      <c r="C502" s="6" t="inlineStr">
        <is>
          <t>X</t>
        </is>
      </c>
      <c r="D502" s="5" t="n">
        <v>405</v>
      </c>
      <c r="E502" s="2">
        <f>B502*D502/10000</f>
        <v/>
      </c>
      <c r="F502" s="3">
        <f>B502/30.48</f>
        <v/>
      </c>
      <c r="G502" s="3">
        <f>D502/30.48</f>
        <v/>
      </c>
      <c r="H502" s="36" t="inlineStr">
        <is>
          <t>MCHD-PAC</t>
        </is>
      </c>
      <c r="I502" s="570" t="inlineStr">
        <is>
          <t>White Glove</t>
        </is>
      </c>
      <c r="J502" s="557" t="n"/>
    </row>
    <row r="503" ht="17.25" customFormat="1" customHeight="1" s="1">
      <c r="A503" s="8" t="inlineStr">
        <is>
          <t>C 292</t>
        </is>
      </c>
      <c r="B503" s="5" t="n">
        <v>69</v>
      </c>
      <c r="C503" s="6" t="inlineStr">
        <is>
          <t>X</t>
        </is>
      </c>
      <c r="D503" s="5" t="n">
        <v>154</v>
      </c>
      <c r="E503" s="2">
        <f>B503*D503/10000</f>
        <v/>
      </c>
      <c r="F503" s="3">
        <f>B503/30.48</f>
        <v/>
      </c>
      <c r="G503" s="3">
        <f>D503/30.48</f>
        <v/>
      </c>
      <c r="H503" s="69" t="inlineStr">
        <is>
          <t>MCHD-TR</t>
        </is>
      </c>
      <c r="I503" s="570" t="inlineStr">
        <is>
          <t>Heather Goss</t>
        </is>
      </c>
      <c r="J503" s="557" t="n"/>
    </row>
    <row r="504" ht="17.25" customFormat="1" customHeight="1" s="1">
      <c r="A504" s="8" t="inlineStr">
        <is>
          <t>C 644</t>
        </is>
      </c>
      <c r="B504" s="5" t="n">
        <v>70</v>
      </c>
      <c r="C504" s="6" t="inlineStr">
        <is>
          <t>X</t>
        </is>
      </c>
      <c r="D504" s="5" t="n">
        <v>246</v>
      </c>
      <c r="E504" s="2">
        <f>B504*D504/10000</f>
        <v/>
      </c>
      <c r="F504" s="3">
        <f>B504/30.48</f>
        <v/>
      </c>
      <c r="G504" s="3">
        <f>D504/30.48</f>
        <v/>
      </c>
      <c r="H504" s="16" t="inlineStr">
        <is>
          <t>MCHD-VR</t>
        </is>
      </c>
      <c r="I504" s="570" t="inlineStr">
        <is>
          <t>Erin Sisto</t>
        </is>
      </c>
      <c r="J504" s="557" t="inlineStr">
        <is>
          <t>US-352 220 8352</t>
        </is>
      </c>
    </row>
    <row r="505" ht="17.25" customFormat="1" customHeight="1" s="1">
      <c r="A505" s="8" t="inlineStr">
        <is>
          <t>C 568</t>
        </is>
      </c>
      <c r="B505" s="5" t="n">
        <v>396</v>
      </c>
      <c r="C505" s="6" t="inlineStr">
        <is>
          <t>X</t>
        </is>
      </c>
      <c r="D505" s="5" t="n">
        <v>94</v>
      </c>
      <c r="E505" s="2">
        <f>B505*D505/10000</f>
        <v/>
      </c>
      <c r="F505" s="3">
        <f>B505/30.48</f>
        <v/>
      </c>
      <c r="G505" s="3">
        <f>D505/30.48</f>
        <v/>
      </c>
      <c r="H505" s="16" t="inlineStr">
        <is>
          <t>MCHD-VR</t>
        </is>
      </c>
      <c r="I505" s="570" t="inlineStr">
        <is>
          <t>Lane Golden</t>
        </is>
      </c>
      <c r="J505" s="557" t="n"/>
    </row>
    <row r="506" ht="17.25" customFormat="1" customHeight="1" s="1">
      <c r="A506" s="8" t="inlineStr">
        <is>
          <t>Y 977</t>
        </is>
      </c>
      <c r="B506" s="5" t="n">
        <v>318</v>
      </c>
      <c r="C506" s="6" t="inlineStr">
        <is>
          <t>X</t>
        </is>
      </c>
      <c r="D506" s="5" t="n">
        <v>95</v>
      </c>
      <c r="E506" s="2">
        <f>B506*D506/10000</f>
        <v/>
      </c>
      <c r="F506" s="3">
        <f>B506/30.48</f>
        <v/>
      </c>
      <c r="G506" s="3">
        <f>D506/30.48</f>
        <v/>
      </c>
      <c r="H506" s="69" t="inlineStr">
        <is>
          <t>MCHD-TR</t>
        </is>
      </c>
      <c r="I506" s="534" t="inlineStr">
        <is>
          <t>Heather B. Oakes</t>
        </is>
      </c>
      <c r="J506" s="545" t="inlineStr">
        <is>
          <t>US-901 871 3722</t>
        </is>
      </c>
    </row>
    <row r="507" ht="17.25" customFormat="1" customHeight="1" s="1">
      <c r="A507" s="8" t="n">
        <v>241</v>
      </c>
      <c r="B507" s="5" t="n">
        <v>87</v>
      </c>
      <c r="C507" s="6" t="inlineStr">
        <is>
          <t>X</t>
        </is>
      </c>
      <c r="D507" s="5" t="n">
        <v>51</v>
      </c>
      <c r="E507" s="2">
        <f>B507*D507/10000</f>
        <v/>
      </c>
      <c r="F507" s="3">
        <f>B507/30.48</f>
        <v/>
      </c>
      <c r="G507" s="3">
        <f>D507/30.48</f>
        <v/>
      </c>
      <c r="H507" s="568" t="inlineStr">
        <is>
          <t>MCHD-VR</t>
        </is>
      </c>
      <c r="I507" s="570" t="inlineStr">
        <is>
          <t>Holly Weddle</t>
        </is>
      </c>
      <c r="J507" s="557" t="n"/>
    </row>
    <row r="508" ht="17.25" customFormat="1" customHeight="1" s="1">
      <c r="A508" s="8" t="inlineStr">
        <is>
          <t>C 16</t>
        </is>
      </c>
      <c r="B508" s="5" t="n">
        <v>295</v>
      </c>
      <c r="C508" s="6" t="inlineStr">
        <is>
          <t>X</t>
        </is>
      </c>
      <c r="D508" s="5" t="n">
        <v>83</v>
      </c>
      <c r="E508" s="2">
        <f>B508*D508/10000</f>
        <v/>
      </c>
      <c r="F508" s="3">
        <f>B508/30.48</f>
        <v/>
      </c>
      <c r="G508" s="3">
        <f>D508/30.48</f>
        <v/>
      </c>
      <c r="H508" s="569" t="inlineStr">
        <is>
          <t>MCHD-OLD</t>
        </is>
      </c>
      <c r="I508" s="570" t="inlineStr">
        <is>
          <t>Lawrence Kevin McKnight</t>
        </is>
      </c>
      <c r="J508" s="557" t="n"/>
    </row>
    <row r="509" ht="17.25" customFormat="1" customHeight="1" s="1">
      <c r="A509" s="8" t="inlineStr">
        <is>
          <t>C 659</t>
        </is>
      </c>
      <c r="B509" s="5" t="n">
        <v>89</v>
      </c>
      <c r="C509" s="6" t="inlineStr">
        <is>
          <t>X</t>
        </is>
      </c>
      <c r="D509" s="5" t="n">
        <v>201</v>
      </c>
      <c r="E509" s="2">
        <f>B509*D509/10000</f>
        <v/>
      </c>
      <c r="F509" s="3">
        <f>B509/30.48</f>
        <v/>
      </c>
      <c r="G509" s="3">
        <f>D509/30.48</f>
        <v/>
      </c>
      <c r="H509" s="69" t="inlineStr">
        <is>
          <t>MCHD-TR</t>
        </is>
      </c>
      <c r="I509" s="570" t="inlineStr">
        <is>
          <t>Molly Edmunds</t>
        </is>
      </c>
      <c r="J509" s="557" t="n"/>
    </row>
    <row r="510" ht="17.25" customFormat="1" customHeight="1" s="1">
      <c r="A510" s="8" t="inlineStr">
        <is>
          <t>A 115</t>
        </is>
      </c>
      <c r="B510" s="5" t="n">
        <v>124</v>
      </c>
      <c r="C510" s="6" t="inlineStr">
        <is>
          <t>X</t>
        </is>
      </c>
      <c r="D510" s="5" t="n">
        <v>245</v>
      </c>
      <c r="E510" s="2">
        <f>B510*D510/10000</f>
        <v/>
      </c>
      <c r="F510" s="3">
        <f>B510/30.48</f>
        <v/>
      </c>
      <c r="G510" s="3">
        <f>D510/30.48</f>
        <v/>
      </c>
      <c r="H510" s="69" t="inlineStr">
        <is>
          <t>MCHD-TR</t>
        </is>
      </c>
      <c r="I510" s="570" t="inlineStr">
        <is>
          <t>Taylor Goss</t>
        </is>
      </c>
      <c r="J510" s="557" t="inlineStr">
        <is>
          <t>US-717 994 7703</t>
        </is>
      </c>
    </row>
    <row r="511" ht="17.25" customFormat="1" customHeight="1" s="1">
      <c r="A511" s="8" t="inlineStr">
        <is>
          <t>C 480</t>
        </is>
      </c>
      <c r="B511" s="5" t="n">
        <v>105</v>
      </c>
      <c r="C511" s="6" t="inlineStr">
        <is>
          <t>X</t>
        </is>
      </c>
      <c r="D511" s="5" t="n">
        <v>498</v>
      </c>
      <c r="E511" s="2">
        <f>B511*D511/10000</f>
        <v/>
      </c>
      <c r="F511" s="3">
        <f>B511/30.48</f>
        <v/>
      </c>
      <c r="G511" s="3">
        <f>D511/30.48</f>
        <v/>
      </c>
      <c r="H511" s="36" t="inlineStr">
        <is>
          <t>MCHD-PAC</t>
        </is>
      </c>
      <c r="I511" s="570" t="inlineStr">
        <is>
          <t>ALEXANDRA GILLESPIE</t>
        </is>
      </c>
      <c r="J511" s="557" t="n"/>
    </row>
    <row r="512" ht="17.25" customFormat="1" customHeight="1" s="1">
      <c r="A512" s="8" t="inlineStr">
        <is>
          <t>C 773</t>
        </is>
      </c>
      <c r="B512" s="5" t="n">
        <v>367</v>
      </c>
      <c r="C512" s="6" t="inlineStr">
        <is>
          <t>X</t>
        </is>
      </c>
      <c r="D512" s="5" t="n">
        <v>287</v>
      </c>
      <c r="E512" s="2">
        <f>B512*D512/10000</f>
        <v/>
      </c>
      <c r="F512" s="3">
        <f>B512/30.48</f>
        <v/>
      </c>
      <c r="G512" s="3">
        <f>D512/30.48</f>
        <v/>
      </c>
      <c r="H512" s="36" t="inlineStr">
        <is>
          <t>MCHD-PAC</t>
        </is>
      </c>
      <c r="I512" s="570" t="inlineStr">
        <is>
          <t>Holly Rutherford</t>
        </is>
      </c>
      <c r="J512" s="557" t="n"/>
    </row>
    <row r="513" ht="17.25" customFormat="1" customHeight="1" s="1">
      <c r="A513" s="8" t="inlineStr">
        <is>
          <t>C 815</t>
        </is>
      </c>
      <c r="B513" s="5" t="n">
        <v>168</v>
      </c>
      <c r="C513" s="6" t="inlineStr">
        <is>
          <t>X</t>
        </is>
      </c>
      <c r="D513" s="5" t="n">
        <v>252</v>
      </c>
      <c r="E513" s="2">
        <f>B513*D513/10000</f>
        <v/>
      </c>
      <c r="F513" s="3">
        <f>B513/30.48</f>
        <v/>
      </c>
      <c r="G513" s="3">
        <f>D513/30.48</f>
        <v/>
      </c>
      <c r="H513" s="36" t="inlineStr">
        <is>
          <t>MCHD-PAC</t>
        </is>
      </c>
      <c r="I513" s="534" t="inlineStr">
        <is>
          <t>Lindsay Redman</t>
        </is>
      </c>
      <c r="J513" s="545" t="n"/>
    </row>
    <row r="514" ht="17.25" customFormat="1" customHeight="1" s="1">
      <c r="A514" s="8" t="inlineStr">
        <is>
          <t>A 84</t>
        </is>
      </c>
      <c r="B514" s="5" t="n">
        <v>71</v>
      </c>
      <c r="C514" s="72" t="inlineStr">
        <is>
          <t>X</t>
        </is>
      </c>
      <c r="D514" s="5" t="n">
        <v>181</v>
      </c>
      <c r="E514" s="73">
        <f>B514*D514/10000</f>
        <v/>
      </c>
      <c r="F514" s="74">
        <f>B514/30.48</f>
        <v/>
      </c>
      <c r="G514" s="74">
        <f>D514/30.48</f>
        <v/>
      </c>
      <c r="H514" s="568" t="inlineStr">
        <is>
          <t>MCHD-VR</t>
        </is>
      </c>
      <c r="I514" s="534" t="inlineStr">
        <is>
          <t>Kelsey Cole</t>
        </is>
      </c>
      <c r="J514" s="545" t="inlineStr">
        <is>
          <t>US-970 390 3340</t>
        </is>
      </c>
    </row>
    <row r="515" ht="17.25" customFormat="1" customHeight="1" s="1">
      <c r="A515" s="8" t="inlineStr">
        <is>
          <t>C 289</t>
        </is>
      </c>
      <c r="B515" s="5" t="n">
        <v>67</v>
      </c>
      <c r="C515" s="6" t="inlineStr">
        <is>
          <t>X</t>
        </is>
      </c>
      <c r="D515" s="5" t="n">
        <v>165</v>
      </c>
      <c r="E515" s="2">
        <f>B515*D515/10000</f>
        <v/>
      </c>
      <c r="F515" s="3">
        <f>B515/30.48</f>
        <v/>
      </c>
      <c r="G515" s="3">
        <f>D515/30.48</f>
        <v/>
      </c>
      <c r="H515" s="37" t="inlineStr">
        <is>
          <t>MCHD-PAC</t>
        </is>
      </c>
      <c r="I515" s="611" t="inlineStr">
        <is>
          <t>Rachel Fogarty
5346 Anchorage Dr Nashville 
TN 37220
United States</t>
        </is>
      </c>
      <c r="J515" s="545" t="inlineStr">
        <is>
          <t>US-515 782 2579</t>
        </is>
      </c>
    </row>
    <row r="516" ht="17.25" customFormat="1" customHeight="1" s="1">
      <c r="A516" s="8" t="inlineStr">
        <is>
          <t>C 312</t>
        </is>
      </c>
      <c r="B516" s="5" t="n">
        <v>66</v>
      </c>
      <c r="C516" s="6" t="inlineStr">
        <is>
          <t>X</t>
        </is>
      </c>
      <c r="D516" s="5" t="n">
        <v>270</v>
      </c>
      <c r="E516" s="2">
        <f>B516*D516/10000</f>
        <v/>
      </c>
      <c r="F516" s="3">
        <f>B516/30.48</f>
        <v/>
      </c>
      <c r="G516" s="3">
        <f>D516/30.48</f>
        <v/>
      </c>
      <c r="H516" s="693" t="n"/>
      <c r="I516" s="693" t="n"/>
      <c r="J516" s="693" t="n"/>
    </row>
    <row r="517" ht="17.25" customFormat="1" customHeight="1" s="1">
      <c r="A517" s="8" t="inlineStr">
        <is>
          <t>C 299</t>
        </is>
      </c>
      <c r="B517" s="5" t="n">
        <v>106</v>
      </c>
      <c r="C517" s="6" t="inlineStr">
        <is>
          <t>X</t>
        </is>
      </c>
      <c r="D517" s="5" t="n">
        <v>329</v>
      </c>
      <c r="E517" s="2">
        <f>B517*D517/10000</f>
        <v/>
      </c>
      <c r="F517" s="3">
        <f>B517/30.48</f>
        <v/>
      </c>
      <c r="G517" s="3">
        <f>D517/30.48</f>
        <v/>
      </c>
      <c r="H517" s="693" t="n"/>
      <c r="I517" s="693" t="n"/>
      <c r="J517" s="693" t="n"/>
    </row>
    <row r="518" ht="17.25" customFormat="1" customHeight="1" s="1">
      <c r="A518" s="8" t="inlineStr">
        <is>
          <t>C 650</t>
        </is>
      </c>
      <c r="B518" s="5" t="n">
        <v>91</v>
      </c>
      <c r="C518" s="6" t="inlineStr">
        <is>
          <t>X</t>
        </is>
      </c>
      <c r="D518" s="5" t="n">
        <v>362</v>
      </c>
      <c r="E518" s="2">
        <f>B518*D518/10000</f>
        <v/>
      </c>
      <c r="F518" s="3">
        <f>B518/30.48</f>
        <v/>
      </c>
      <c r="G518" s="3">
        <f>D518/30.48</f>
        <v/>
      </c>
      <c r="H518" s="693" t="n"/>
      <c r="I518" s="693" t="n"/>
      <c r="J518" s="693" t="n"/>
    </row>
    <row r="519" ht="17.25" customFormat="1" customHeight="1" s="1">
      <c r="A519" s="8" t="inlineStr">
        <is>
          <t>C 893</t>
        </is>
      </c>
      <c r="B519" s="5" t="n">
        <v>69</v>
      </c>
      <c r="C519" s="6" t="inlineStr">
        <is>
          <t>X</t>
        </is>
      </c>
      <c r="D519" s="5" t="n">
        <v>304</v>
      </c>
      <c r="E519" s="2">
        <f>B519*D519/10000</f>
        <v/>
      </c>
      <c r="F519" s="3">
        <f>B519/30.48</f>
        <v/>
      </c>
      <c r="G519" s="3">
        <f>D519/30.48</f>
        <v/>
      </c>
      <c r="H519" s="693" t="n"/>
      <c r="I519" s="693" t="n"/>
      <c r="J519" s="693" t="n"/>
    </row>
    <row r="520" ht="17.25" customFormat="1" customHeight="1" s="1">
      <c r="A520" s="8" t="inlineStr">
        <is>
          <t>C 923</t>
        </is>
      </c>
      <c r="B520" s="5" t="n">
        <v>92</v>
      </c>
      <c r="C520" s="6" t="inlineStr">
        <is>
          <t>X</t>
        </is>
      </c>
      <c r="D520" s="5" t="n">
        <v>396</v>
      </c>
      <c r="E520" s="2">
        <f>B520*D520/10000</f>
        <v/>
      </c>
      <c r="F520" s="3">
        <f>B520/30.48</f>
        <v/>
      </c>
      <c r="G520" s="3">
        <f>D520/30.48</f>
        <v/>
      </c>
      <c r="H520" s="694" t="n"/>
      <c r="I520" s="693" t="n"/>
      <c r="J520" s="693" t="n"/>
    </row>
    <row r="521" ht="17.25" customFormat="1" customHeight="1" s="1">
      <c r="A521" s="8" t="inlineStr">
        <is>
          <t>A 42</t>
        </is>
      </c>
      <c r="B521" s="5" t="n">
        <v>86</v>
      </c>
      <c r="C521" s="6" t="inlineStr">
        <is>
          <t>X</t>
        </is>
      </c>
      <c r="D521" s="5" t="n">
        <v>388</v>
      </c>
      <c r="E521" s="2">
        <f>B521*D521/10000</f>
        <v/>
      </c>
      <c r="F521" s="3">
        <f>B521/30.48</f>
        <v/>
      </c>
      <c r="G521" s="3">
        <f>D521/30.48</f>
        <v/>
      </c>
      <c r="H521" s="66" t="inlineStr">
        <is>
          <t>MCHD-TR</t>
        </is>
      </c>
      <c r="I521" s="693" t="n"/>
      <c r="J521" s="693" t="n"/>
    </row>
    <row r="522" ht="17.25" customFormat="1" customHeight="1" s="1">
      <c r="A522" s="8" t="inlineStr">
        <is>
          <t>A 103</t>
        </is>
      </c>
      <c r="B522" s="5" t="n">
        <v>85</v>
      </c>
      <c r="C522" s="6" t="inlineStr">
        <is>
          <t>X</t>
        </is>
      </c>
      <c r="D522" s="5" t="n">
        <v>267</v>
      </c>
      <c r="E522" s="2">
        <f>B522*D522/10000</f>
        <v/>
      </c>
      <c r="F522" s="3">
        <f>B522/30.48</f>
        <v/>
      </c>
      <c r="G522" s="3">
        <f>D522/30.48</f>
        <v/>
      </c>
      <c r="H522" s="694" t="n"/>
      <c r="I522" s="693" t="n"/>
      <c r="J522" s="693" t="n"/>
    </row>
    <row r="523" ht="17.25" customFormat="1" customHeight="1" s="1">
      <c r="A523" s="8" t="inlineStr">
        <is>
          <t>A 202</t>
        </is>
      </c>
      <c r="B523" s="5" t="n">
        <v>299</v>
      </c>
      <c r="C523" s="6" t="inlineStr">
        <is>
          <t>X</t>
        </is>
      </c>
      <c r="D523" s="5" t="n">
        <v>466</v>
      </c>
      <c r="E523" s="2">
        <f>B523*D523/10000</f>
        <v/>
      </c>
      <c r="F523" s="3">
        <f>B523/30.48</f>
        <v/>
      </c>
      <c r="G523" s="3">
        <f>D523/30.48</f>
        <v/>
      </c>
      <c r="H523" s="17" t="inlineStr">
        <is>
          <t>MCHD-EFS</t>
        </is>
      </c>
      <c r="I523" s="570" t="inlineStr">
        <is>
          <t>Gerald Clifton</t>
        </is>
      </c>
      <c r="J523" s="557" t="inlineStr">
        <is>
          <t>US-713 895 8686</t>
        </is>
      </c>
    </row>
    <row r="524" ht="17.25" customFormat="1" customHeight="1" s="1">
      <c r="A524" s="8" t="inlineStr">
        <is>
          <t>A 13</t>
        </is>
      </c>
      <c r="B524" s="5" t="n">
        <v>100</v>
      </c>
      <c r="C524" s="6" t="inlineStr">
        <is>
          <t>X</t>
        </is>
      </c>
      <c r="D524" s="5" t="n">
        <v>140</v>
      </c>
      <c r="E524" s="2">
        <f>B524*D524/10000</f>
        <v/>
      </c>
      <c r="F524" s="3">
        <f>B524/30.48</f>
        <v/>
      </c>
      <c r="G524" s="3">
        <f>D524/30.48</f>
        <v/>
      </c>
      <c r="H524" s="69" t="inlineStr">
        <is>
          <t>MCHD-TR</t>
        </is>
      </c>
      <c r="I524" s="551" t="inlineStr">
        <is>
          <t>Julie Thornton</t>
        </is>
      </c>
      <c r="J524" s="552" t="inlineStr">
        <is>
          <t>US-310 849 8105</t>
        </is>
      </c>
    </row>
    <row r="525" ht="17.25" customFormat="1" customHeight="1" s="1">
      <c r="A525" s="8" t="inlineStr">
        <is>
          <t>C 638</t>
        </is>
      </c>
      <c r="B525" s="5" t="n">
        <v>140</v>
      </c>
      <c r="C525" s="6" t="inlineStr">
        <is>
          <t>X</t>
        </is>
      </c>
      <c r="D525" s="5" t="n">
        <v>265</v>
      </c>
      <c r="E525" s="2">
        <f>B525*D525/10000</f>
        <v/>
      </c>
      <c r="F525" s="3">
        <f>B525/30.48</f>
        <v/>
      </c>
      <c r="G525" s="3">
        <f>D525/30.48</f>
        <v/>
      </c>
      <c r="H525" s="69" t="inlineStr">
        <is>
          <t>MCHD-TR</t>
        </is>
      </c>
      <c r="I525" s="534" t="inlineStr">
        <is>
          <t>HouseMill Design - FALK</t>
        </is>
      </c>
      <c r="J525" s="545" t="n"/>
    </row>
    <row r="526" ht="17.25" customFormat="1" customHeight="1" s="1">
      <c r="A526" s="8" t="inlineStr">
        <is>
          <t>A 131</t>
        </is>
      </c>
      <c r="B526" s="5" t="n">
        <v>86</v>
      </c>
      <c r="C526" s="6" t="inlineStr">
        <is>
          <t>X</t>
        </is>
      </c>
      <c r="D526" s="5" t="n">
        <v>410</v>
      </c>
      <c r="E526" s="2">
        <f>B526*D526/10000</f>
        <v/>
      </c>
      <c r="F526" s="3">
        <f>B526/30.48</f>
        <v/>
      </c>
      <c r="G526" s="3">
        <f>D526/30.48</f>
        <v/>
      </c>
      <c r="H526" s="568" t="inlineStr">
        <is>
          <t>MCHD-VR</t>
        </is>
      </c>
      <c r="I526" s="570" t="inlineStr">
        <is>
          <t>Alison Healey</t>
        </is>
      </c>
      <c r="J526" s="557" t="inlineStr">
        <is>
          <t>UK-0770 823 9209</t>
        </is>
      </c>
    </row>
    <row r="527" ht="17.25" customFormat="1" customHeight="1" s="1">
      <c r="A527" s="8" t="inlineStr">
        <is>
          <t>A 66</t>
        </is>
      </c>
      <c r="B527" s="5" t="n">
        <v>145</v>
      </c>
      <c r="C527" s="6" t="inlineStr">
        <is>
          <t>X</t>
        </is>
      </c>
      <c r="D527" s="5" t="n">
        <v>246</v>
      </c>
      <c r="E527" s="2">
        <f>B527*D527/10000</f>
        <v/>
      </c>
      <c r="F527" s="3">
        <f>B527/30.48</f>
        <v/>
      </c>
      <c r="G527" s="3">
        <f>D527/30.48</f>
        <v/>
      </c>
      <c r="H527" s="69" t="inlineStr">
        <is>
          <t>MCHD-TR</t>
        </is>
      </c>
      <c r="I527" s="570" t="inlineStr">
        <is>
          <t>Michael Hilal</t>
        </is>
      </c>
      <c r="J527" s="557" t="n"/>
    </row>
    <row r="528" ht="17.25" customFormat="1" customHeight="1" s="1">
      <c r="A528" s="8" t="inlineStr">
        <is>
          <t>A 205</t>
        </is>
      </c>
      <c r="B528" s="5" t="n">
        <v>298</v>
      </c>
      <c r="C528" s="6" t="inlineStr">
        <is>
          <t>X</t>
        </is>
      </c>
      <c r="D528" s="5" t="n">
        <v>384</v>
      </c>
      <c r="E528" s="2">
        <f>B528*D528/10000</f>
        <v/>
      </c>
      <c r="F528" s="3">
        <f>B528/30.48</f>
        <v/>
      </c>
      <c r="G528" s="3">
        <f>D528/30.48</f>
        <v/>
      </c>
      <c r="H528" s="36" t="inlineStr">
        <is>
          <t>MCHD-PAC</t>
        </is>
      </c>
      <c r="I528" s="570" t="inlineStr">
        <is>
          <t>Jen Smith (Craft)</t>
        </is>
      </c>
      <c r="J528" s="557" t="n"/>
    </row>
    <row r="529" ht="17.25" customFormat="1" customHeight="1" s="1">
      <c r="A529" s="8" t="inlineStr">
        <is>
          <t>A 214</t>
        </is>
      </c>
      <c r="B529" s="5" t="n">
        <v>300</v>
      </c>
      <c r="C529" s="6" t="inlineStr">
        <is>
          <t>X</t>
        </is>
      </c>
      <c r="D529" s="5" t="n">
        <v>388</v>
      </c>
      <c r="E529" s="2">
        <f>B529*D529/10000</f>
        <v/>
      </c>
      <c r="F529" s="3">
        <f>B529/30.48</f>
        <v/>
      </c>
      <c r="G529" s="3">
        <f>D529/30.48</f>
        <v/>
      </c>
      <c r="H529" s="36" t="inlineStr">
        <is>
          <t>MCHD-PAC</t>
        </is>
      </c>
      <c r="I529" s="534" t="inlineStr">
        <is>
          <t>Andrew Stainback</t>
        </is>
      </c>
      <c r="J529" s="545" t="inlineStr">
        <is>
          <t>US-662 299 8361</t>
        </is>
      </c>
    </row>
    <row r="530" ht="17.25" customFormat="1" customHeight="1" s="1">
      <c r="A530" s="8" t="inlineStr">
        <is>
          <t>Y 617</t>
        </is>
      </c>
      <c r="B530" s="5" t="n">
        <v>170</v>
      </c>
      <c r="C530" s="6" t="inlineStr">
        <is>
          <t>X</t>
        </is>
      </c>
      <c r="D530" s="5" t="n">
        <v>48</v>
      </c>
      <c r="E530" s="2">
        <f>B530*D530/10000</f>
        <v/>
      </c>
      <c r="F530" s="3">
        <f>B530/30.48</f>
        <v/>
      </c>
      <c r="G530" s="3">
        <f>D530/30.48</f>
        <v/>
      </c>
      <c r="H530" s="568" t="inlineStr">
        <is>
          <t>MCHD-VR</t>
        </is>
      </c>
      <c r="I530" s="570" t="inlineStr">
        <is>
          <t>Wilson Ng</t>
        </is>
      </c>
      <c r="J530" s="557" t="inlineStr">
        <is>
          <t>HK-8 529 750 0880</t>
        </is>
      </c>
    </row>
    <row r="531" ht="17.25" customFormat="1" customHeight="1" s="1">
      <c r="A531" s="8" t="inlineStr">
        <is>
          <t>A 82</t>
        </is>
      </c>
      <c r="B531" s="5" t="n">
        <v>75</v>
      </c>
      <c r="C531" s="6" t="inlineStr">
        <is>
          <t>X</t>
        </is>
      </c>
      <c r="D531" s="5" t="n">
        <v>282</v>
      </c>
      <c r="E531" s="2">
        <f>B531*D531/10000</f>
        <v/>
      </c>
      <c r="F531" s="3">
        <f>B531/30.48</f>
        <v/>
      </c>
      <c r="G531" s="3">
        <f>D531/30.48</f>
        <v/>
      </c>
      <c r="H531" s="69" t="inlineStr">
        <is>
          <t>MCHD-TR</t>
        </is>
      </c>
      <c r="I531" s="534" t="inlineStr">
        <is>
          <t>Stephanie Keimig</t>
        </is>
      </c>
      <c r="J531" s="545" t="inlineStr">
        <is>
          <t>US-425 239 6805</t>
        </is>
      </c>
    </row>
    <row r="532" ht="17.25" customFormat="1" customHeight="1" s="1">
      <c r="A532" s="8" t="inlineStr">
        <is>
          <t>C 677</t>
        </is>
      </c>
      <c r="B532" s="5" t="n">
        <v>85</v>
      </c>
      <c r="C532" s="6" t="inlineStr">
        <is>
          <t>X</t>
        </is>
      </c>
      <c r="D532" s="5" t="n">
        <v>229</v>
      </c>
      <c r="E532" s="2">
        <f>B532*D532/10000</f>
        <v/>
      </c>
      <c r="F532" s="3">
        <f>B532/30.48</f>
        <v/>
      </c>
      <c r="G532" s="3">
        <f>D532/30.48</f>
        <v/>
      </c>
      <c r="H532" s="69" t="inlineStr">
        <is>
          <t>MCHD-TR</t>
        </is>
      </c>
      <c r="I532" s="534" t="inlineStr">
        <is>
          <t>Jennifer Rose Tanksley</t>
        </is>
      </c>
      <c r="J532" s="545" t="n"/>
    </row>
    <row r="533" ht="17.25" customFormat="1" customHeight="1" s="1">
      <c r="A533" s="8" t="inlineStr">
        <is>
          <t>A 110</t>
        </is>
      </c>
      <c r="B533" s="5" t="n">
        <v>70</v>
      </c>
      <c r="C533" s="6" t="inlineStr">
        <is>
          <t>X</t>
        </is>
      </c>
      <c r="D533" s="5" t="n">
        <v>224</v>
      </c>
      <c r="E533" s="2">
        <f>B533*D533/10000</f>
        <v/>
      </c>
      <c r="F533" s="3">
        <f>B533/30.48</f>
        <v/>
      </c>
      <c r="G533" s="3">
        <f>D533/30.48</f>
        <v/>
      </c>
      <c r="H533" s="568" t="inlineStr">
        <is>
          <t>MCHD-VR</t>
        </is>
      </c>
      <c r="I533" s="570" t="inlineStr">
        <is>
          <t>Kathleen Slack</t>
        </is>
      </c>
      <c r="J533" s="557" t="inlineStr">
        <is>
          <t>US-336 259 4847</t>
        </is>
      </c>
    </row>
    <row r="534" ht="17.25" customFormat="1" customHeight="1" s="1">
      <c r="A534" s="8" t="inlineStr">
        <is>
          <t>C 845</t>
        </is>
      </c>
      <c r="B534" s="5" t="n">
        <v>99</v>
      </c>
      <c r="C534" s="6" t="inlineStr">
        <is>
          <t>X</t>
        </is>
      </c>
      <c r="D534" s="5" t="n">
        <v>160</v>
      </c>
      <c r="E534" s="2">
        <f>B534*D534/10000</f>
        <v/>
      </c>
      <c r="F534" s="3">
        <f>B534/30.48</f>
        <v/>
      </c>
      <c r="G534" s="3">
        <f>D534/30.48</f>
        <v/>
      </c>
      <c r="H534" s="69" t="inlineStr">
        <is>
          <t>MCHD-TR</t>
        </is>
      </c>
      <c r="I534" s="570" t="inlineStr">
        <is>
          <t>Liz Cooper</t>
        </is>
      </c>
      <c r="J534" s="557" t="n"/>
    </row>
    <row r="535" ht="17.25" customFormat="1" customHeight="1" s="1">
      <c r="A535" s="8" t="inlineStr">
        <is>
          <t>Y 163</t>
        </is>
      </c>
      <c r="B535" s="5" t="n">
        <v>258</v>
      </c>
      <c r="C535" s="6" t="inlineStr">
        <is>
          <t>X</t>
        </is>
      </c>
      <c r="D535" s="5" t="n">
        <v>194</v>
      </c>
      <c r="E535" s="2">
        <f>B535*D535/10000</f>
        <v/>
      </c>
      <c r="F535" s="3">
        <f>B535/30.48</f>
        <v/>
      </c>
      <c r="G535" s="3">
        <f>D535/30.48</f>
        <v/>
      </c>
      <c r="H535" s="18" t="inlineStr">
        <is>
          <t>MCHD-TH</t>
        </is>
      </c>
      <c r="I535" s="534" t="inlineStr">
        <is>
          <t>Alize Carrere</t>
        </is>
      </c>
      <c r="J535" s="545" t="n"/>
    </row>
    <row r="536" ht="17.25" customFormat="1" customHeight="1" s="1">
      <c r="A536" s="8" t="inlineStr">
        <is>
          <t>A 194</t>
        </is>
      </c>
      <c r="B536" s="5" t="n">
        <v>281</v>
      </c>
      <c r="C536" s="6" t="inlineStr">
        <is>
          <t>X</t>
        </is>
      </c>
      <c r="D536" s="5" t="n">
        <v>361</v>
      </c>
      <c r="E536" s="2">
        <f>B536*D536/10000</f>
        <v/>
      </c>
      <c r="F536" s="3">
        <f>B536/30.48</f>
        <v/>
      </c>
      <c r="G536" s="3">
        <f>D536/30.48</f>
        <v/>
      </c>
      <c r="H536" s="36" t="inlineStr">
        <is>
          <t>MCHD-PAC</t>
        </is>
      </c>
      <c r="I536" s="534" t="inlineStr">
        <is>
          <t>Loan Tran</t>
        </is>
      </c>
      <c r="J536" s="545" t="inlineStr">
        <is>
          <t>US-912 604 8636</t>
        </is>
      </c>
    </row>
    <row r="537" ht="17.25" customFormat="1" customHeight="1" s="1">
      <c r="A537" s="8" t="inlineStr">
        <is>
          <t>C 802</t>
        </is>
      </c>
      <c r="B537" s="5" t="n">
        <v>68</v>
      </c>
      <c r="C537" s="6" t="inlineStr">
        <is>
          <t>X</t>
        </is>
      </c>
      <c r="D537" s="5" t="n">
        <v>203</v>
      </c>
      <c r="E537" s="2">
        <f>B537*D537/10000</f>
        <v/>
      </c>
      <c r="F537" s="3">
        <f>B537/30.48</f>
        <v/>
      </c>
      <c r="G537" s="3">
        <f>D537/30.48</f>
        <v/>
      </c>
      <c r="H537" s="569" t="inlineStr">
        <is>
          <t>MCHD-OLD</t>
        </is>
      </c>
      <c r="I537" s="570" t="inlineStr">
        <is>
          <t>Mandy Butter</t>
        </is>
      </c>
      <c r="J537" s="557" t="n"/>
    </row>
    <row r="538" ht="17.25" customFormat="1" customHeight="1" s="1">
      <c r="A538" s="8" t="inlineStr">
        <is>
          <t>C 892</t>
        </is>
      </c>
      <c r="B538" s="5" t="n">
        <v>76</v>
      </c>
      <c r="C538" s="6" t="inlineStr">
        <is>
          <t>X</t>
        </is>
      </c>
      <c r="D538" s="5" t="n">
        <v>250</v>
      </c>
      <c r="E538" s="2">
        <f>B538*D538/10000</f>
        <v/>
      </c>
      <c r="F538" s="3">
        <f>B538/30.48</f>
        <v/>
      </c>
      <c r="G538" s="3">
        <f>D538/30.48</f>
        <v/>
      </c>
      <c r="H538" s="69" t="inlineStr">
        <is>
          <t>MCHD-TR</t>
        </is>
      </c>
      <c r="I538" s="570" t="inlineStr">
        <is>
          <t>Jane Cooper</t>
        </is>
      </c>
      <c r="J538" s="557" t="inlineStr">
        <is>
          <t>US-205 616 4916</t>
        </is>
      </c>
    </row>
    <row r="539" ht="17.25" customFormat="1" customHeight="1" s="1">
      <c r="A539" s="8" t="inlineStr">
        <is>
          <t>C 203</t>
        </is>
      </c>
      <c r="B539" s="5" t="n">
        <v>141</v>
      </c>
      <c r="C539" s="6" t="inlineStr">
        <is>
          <t>X</t>
        </is>
      </c>
      <c r="D539" s="5" t="n">
        <v>61</v>
      </c>
      <c r="E539" s="2">
        <f>B539*D539/10000</f>
        <v/>
      </c>
      <c r="F539" s="3">
        <f>B539/30.48</f>
        <v/>
      </c>
      <c r="G539" s="3">
        <f>D539/30.48</f>
        <v/>
      </c>
      <c r="H539" s="36" t="inlineStr">
        <is>
          <t>MCHD-PAC</t>
        </is>
      </c>
      <c r="I539" s="570" t="inlineStr">
        <is>
          <t>Jenn Baker</t>
        </is>
      </c>
      <c r="J539" s="557" t="inlineStr">
        <is>
          <t>US-303 818 2485</t>
        </is>
      </c>
    </row>
    <row r="540" ht="17.25" customFormat="1" customHeight="1" s="1">
      <c r="A540" s="8" t="inlineStr">
        <is>
          <t>C 977</t>
        </is>
      </c>
      <c r="B540" s="5" t="n">
        <v>74</v>
      </c>
      <c r="C540" s="6" t="inlineStr">
        <is>
          <t>X</t>
        </is>
      </c>
      <c r="D540" s="5" t="n">
        <v>270</v>
      </c>
      <c r="E540" s="2">
        <f>B540*D540/10000</f>
        <v/>
      </c>
      <c r="F540" s="3">
        <f>B540/30.48</f>
        <v/>
      </c>
      <c r="G540" s="3">
        <f>D540/30.48</f>
        <v/>
      </c>
      <c r="H540" s="69" t="inlineStr">
        <is>
          <t>MCHD-TR</t>
        </is>
      </c>
      <c r="I540" s="534" t="inlineStr">
        <is>
          <t>Molly Bailey</t>
        </is>
      </c>
      <c r="J540" s="545" t="n"/>
    </row>
    <row r="541" ht="17.25" customFormat="1" customHeight="1" s="1">
      <c r="A541" s="8" t="n">
        <v>55</v>
      </c>
      <c r="B541" s="5" t="n">
        <v>87</v>
      </c>
      <c r="C541" s="6" t="inlineStr">
        <is>
          <t>X</t>
        </is>
      </c>
      <c r="D541" s="5" t="n">
        <v>53</v>
      </c>
      <c r="E541" s="2">
        <f>B541*D541/10000</f>
        <v/>
      </c>
      <c r="F541" s="3">
        <f>B541/30.48</f>
        <v/>
      </c>
      <c r="G541" s="3">
        <f>D541/30.48</f>
        <v/>
      </c>
      <c r="H541" s="569" t="inlineStr">
        <is>
          <t>MCHD-OLD</t>
        </is>
      </c>
      <c r="I541" s="534" t="inlineStr">
        <is>
          <t>MARINA BROSCHOFSKY</t>
        </is>
      </c>
      <c r="J541" s="545" t="inlineStr">
        <is>
          <t>US-208 788 9075</t>
        </is>
      </c>
    </row>
    <row r="542" ht="17.25" customFormat="1" customHeight="1" s="1">
      <c r="A542" s="8" t="inlineStr">
        <is>
          <t>C 693</t>
        </is>
      </c>
      <c r="B542" s="5" t="n">
        <v>93</v>
      </c>
      <c r="C542" s="6" t="inlineStr">
        <is>
          <t>X</t>
        </is>
      </c>
      <c r="D542" s="5" t="n">
        <v>310</v>
      </c>
      <c r="E542" s="2">
        <f>B542*D542/10000</f>
        <v/>
      </c>
      <c r="F542" s="3">
        <f>B542/30.48</f>
        <v/>
      </c>
      <c r="G542" s="3">
        <f>D542/30.48</f>
        <v/>
      </c>
      <c r="H542" s="69" t="inlineStr">
        <is>
          <t>MCHD-TR</t>
        </is>
      </c>
      <c r="I542" s="693" t="n"/>
      <c r="J542" s="693" t="n"/>
    </row>
    <row r="543" ht="17.25" customFormat="1" customHeight="1" s="1">
      <c r="A543" s="8" t="inlineStr">
        <is>
          <t>C 674</t>
        </is>
      </c>
      <c r="B543" s="5" t="n">
        <v>81</v>
      </c>
      <c r="C543" s="6" t="inlineStr">
        <is>
          <t>X</t>
        </is>
      </c>
      <c r="D543" s="5" t="n">
        <v>310</v>
      </c>
      <c r="E543" s="2">
        <f>B543*D543/10000</f>
        <v/>
      </c>
      <c r="F543" s="3">
        <f>B543/30.48</f>
        <v/>
      </c>
      <c r="G543" s="3">
        <f>D543/30.48</f>
        <v/>
      </c>
      <c r="H543" s="568" t="inlineStr">
        <is>
          <t>MCHD-VR</t>
        </is>
      </c>
      <c r="I543" s="570" t="inlineStr">
        <is>
          <t>Shauna Aguilar</t>
        </is>
      </c>
      <c r="J543" s="557" t="n"/>
    </row>
    <row r="544" ht="17.25" customFormat="1" customHeight="1" s="1">
      <c r="A544" s="8" t="inlineStr">
        <is>
          <t>A 155</t>
        </is>
      </c>
      <c r="B544" s="5" t="n">
        <v>90</v>
      </c>
      <c r="C544" s="72" t="inlineStr">
        <is>
          <t>X</t>
        </is>
      </c>
      <c r="D544" s="5" t="n">
        <v>379</v>
      </c>
      <c r="E544" s="73">
        <f>B544*D544/10000</f>
        <v/>
      </c>
      <c r="F544" s="74">
        <f>B544/30.48</f>
        <v/>
      </c>
      <c r="G544" s="74">
        <f>D544/30.48</f>
        <v/>
      </c>
      <c r="H544" s="69" t="inlineStr">
        <is>
          <t>MCHD-TR</t>
        </is>
      </c>
      <c r="I544" s="570" t="inlineStr">
        <is>
          <t>Lisa Forbes</t>
        </is>
      </c>
      <c r="J544" s="557" t="inlineStr">
        <is>
          <t>US-210 317 4424</t>
        </is>
      </c>
    </row>
    <row r="545" ht="17.25" customFormat="1" customHeight="1" s="1">
      <c r="A545" s="8" t="inlineStr">
        <is>
          <t>C 938</t>
        </is>
      </c>
      <c r="B545" s="5" t="n">
        <v>88</v>
      </c>
      <c r="C545" s="6" t="inlineStr">
        <is>
          <t>X</t>
        </is>
      </c>
      <c r="D545" s="5" t="n">
        <v>277</v>
      </c>
      <c r="E545" s="2">
        <f>B545*D545/10000</f>
        <v/>
      </c>
      <c r="F545" s="3">
        <f>B545/30.48</f>
        <v/>
      </c>
      <c r="G545" s="3">
        <f>D545/30.48</f>
        <v/>
      </c>
      <c r="H545" s="69" t="inlineStr">
        <is>
          <t>MCHD-TR</t>
        </is>
      </c>
      <c r="I545" s="570" t="inlineStr">
        <is>
          <t>Kinna Russomanno</t>
        </is>
      </c>
      <c r="J545" s="557" t="inlineStr">
        <is>
          <t>US-305 775 4641</t>
        </is>
      </c>
    </row>
    <row r="546">
      <c r="A546" s="536" t="inlineStr">
        <is>
          <t>-2023 OCAK-64</t>
        </is>
      </c>
      <c r="H546" s="62" t="inlineStr">
        <is>
          <t>SATAN-SİTE</t>
        </is>
      </c>
      <c r="I546" s="19" t="inlineStr">
        <is>
          <t>MÜŞTERİ ADI</t>
        </is>
      </c>
      <c r="J546" s="63" t="inlineStr">
        <is>
          <t>MÜŞTERİ İLETİŞİM &amp; ÜLKE</t>
        </is>
      </c>
    </row>
    <row r="547" ht="17.25" customFormat="1" customHeight="1" s="1">
      <c r="A547" s="8" t="inlineStr">
        <is>
          <t>A 150</t>
        </is>
      </c>
      <c r="B547" s="5" t="n">
        <v>172</v>
      </c>
      <c r="C547" s="6" t="inlineStr">
        <is>
          <t>X</t>
        </is>
      </c>
      <c r="D547" s="5" t="n">
        <v>280</v>
      </c>
      <c r="E547" s="2">
        <f>B547*D547/10000</f>
        <v/>
      </c>
      <c r="F547" s="3">
        <f>B547/30.48</f>
        <v/>
      </c>
      <c r="G547" s="3">
        <f>D547/30.48</f>
        <v/>
      </c>
      <c r="H547" s="69" t="inlineStr">
        <is>
          <t>MCHD-TR</t>
        </is>
      </c>
      <c r="I547" s="534" t="inlineStr">
        <is>
          <t>Melissa Davis</t>
        </is>
      </c>
      <c r="J547" s="545" t="n"/>
    </row>
    <row r="548" ht="17.25" customFormat="1" customHeight="1" s="1">
      <c r="A548" s="8" t="inlineStr">
        <is>
          <t>C 844</t>
        </is>
      </c>
      <c r="B548" s="5" t="n">
        <v>77</v>
      </c>
      <c r="C548" s="6" t="inlineStr">
        <is>
          <t>X</t>
        </is>
      </c>
      <c r="D548" s="5" t="n">
        <v>283</v>
      </c>
      <c r="E548" s="2">
        <f>B548*D548/10000</f>
        <v/>
      </c>
      <c r="F548" s="3">
        <f>B548/30.48</f>
        <v/>
      </c>
      <c r="G548" s="3">
        <f>D548/30.48</f>
        <v/>
      </c>
      <c r="H548" s="69" t="inlineStr">
        <is>
          <t>MCHD-TR</t>
        </is>
      </c>
      <c r="I548" s="534" t="inlineStr">
        <is>
          <t>Brittany Cohen</t>
        </is>
      </c>
      <c r="J548" s="545" t="n"/>
    </row>
    <row r="549" ht="17.25" customFormat="1" customHeight="1" s="1">
      <c r="A549" s="8" t="inlineStr">
        <is>
          <t>C 908</t>
        </is>
      </c>
      <c r="B549" s="5" t="n">
        <v>99</v>
      </c>
      <c r="C549" s="6" t="inlineStr">
        <is>
          <t>X</t>
        </is>
      </c>
      <c r="D549" s="5" t="n">
        <v>175</v>
      </c>
      <c r="E549" s="2">
        <f>B549*D549/10000</f>
        <v/>
      </c>
      <c r="F549" s="3">
        <f>B549/30.48</f>
        <v/>
      </c>
      <c r="G549" s="3">
        <f>D549/30.48</f>
        <v/>
      </c>
      <c r="H549" s="69" t="inlineStr">
        <is>
          <t>MCHD-TR</t>
        </is>
      </c>
      <c r="I549" s="570" t="inlineStr">
        <is>
          <t>Laura Macko</t>
        </is>
      </c>
      <c r="J549" s="557" t="inlineStr">
        <is>
          <t>US-281 682 8874</t>
        </is>
      </c>
    </row>
    <row r="550" ht="17.25" customFormat="1" customHeight="1" s="1">
      <c r="A550" s="8" t="inlineStr">
        <is>
          <t>C 485</t>
        </is>
      </c>
      <c r="B550" s="5" t="n">
        <v>67</v>
      </c>
      <c r="C550" s="6" t="inlineStr">
        <is>
          <t>X</t>
        </is>
      </c>
      <c r="D550" s="5" t="n">
        <v>402</v>
      </c>
      <c r="E550" s="2">
        <f>B550*D550/10000</f>
        <v/>
      </c>
      <c r="F550" s="3">
        <f>B550/30.48</f>
        <v/>
      </c>
      <c r="G550" s="3">
        <f>D550/30.48</f>
        <v/>
      </c>
      <c r="H550" s="69" t="inlineStr">
        <is>
          <t>MCHD-TR</t>
        </is>
      </c>
      <c r="I550" s="534" t="inlineStr">
        <is>
          <t>Kim Kosek</t>
        </is>
      </c>
      <c r="J550" s="545" t="inlineStr">
        <is>
          <t>US-256 656 4252</t>
        </is>
      </c>
    </row>
    <row r="551" ht="17.25" customFormat="1" customHeight="1" s="1">
      <c r="A551" s="8" t="inlineStr">
        <is>
          <t>C 795</t>
        </is>
      </c>
      <c r="B551" s="5" t="n">
        <v>77</v>
      </c>
      <c r="C551" s="6" t="inlineStr">
        <is>
          <t>X</t>
        </is>
      </c>
      <c r="D551" s="5" t="n">
        <v>214</v>
      </c>
      <c r="E551" s="2">
        <f>B551*D551/10000</f>
        <v/>
      </c>
      <c r="F551" s="3">
        <f>B551/30.48</f>
        <v/>
      </c>
      <c r="G551" s="3">
        <f>D551/30.48</f>
        <v/>
      </c>
      <c r="H551" s="36" t="inlineStr">
        <is>
          <t>MCHD-PAC</t>
        </is>
      </c>
      <c r="I551" s="570" t="inlineStr">
        <is>
          <t>Lauren Young</t>
        </is>
      </c>
      <c r="J551" s="557" t="inlineStr">
        <is>
          <t>US-602 930 3690</t>
        </is>
      </c>
    </row>
    <row r="552" ht="17.25" customFormat="1" customHeight="1" s="1">
      <c r="A552" s="8" t="inlineStr">
        <is>
          <t>C 734</t>
        </is>
      </c>
      <c r="B552" s="5" t="n">
        <v>92</v>
      </c>
      <c r="C552" s="6" t="inlineStr">
        <is>
          <t>X</t>
        </is>
      </c>
      <c r="D552" s="5" t="n">
        <v>234</v>
      </c>
      <c r="E552" s="2">
        <f>B552*D552/10000</f>
        <v/>
      </c>
      <c r="F552" s="3">
        <f>B552/30.48</f>
        <v/>
      </c>
      <c r="G552" s="3">
        <f>D552/30.48</f>
        <v/>
      </c>
      <c r="H552" s="69" t="inlineStr">
        <is>
          <t>MCHD-TR</t>
        </is>
      </c>
      <c r="I552" s="694" t="n"/>
      <c r="J552" s="694" t="n"/>
    </row>
    <row r="553" ht="17.25" customFormat="1" customHeight="1" s="1">
      <c r="A553" s="8" t="inlineStr">
        <is>
          <t>A 24</t>
        </is>
      </c>
      <c r="B553" s="5" t="n">
        <v>62</v>
      </c>
      <c r="C553" s="6" t="inlineStr">
        <is>
          <t>X</t>
        </is>
      </c>
      <c r="D553" s="5" t="n">
        <v>177</v>
      </c>
      <c r="E553" s="2">
        <f>B553*D553/10000</f>
        <v/>
      </c>
      <c r="F553" s="3">
        <f>B553/30.48</f>
        <v/>
      </c>
      <c r="G553" s="3">
        <f>D553/30.48</f>
        <v/>
      </c>
      <c r="H553" s="69" t="inlineStr">
        <is>
          <t>MCHD-TR</t>
        </is>
      </c>
      <c r="I553" s="534" t="inlineStr">
        <is>
          <t>Taylor Goss</t>
        </is>
      </c>
      <c r="J553" s="545" t="inlineStr">
        <is>
          <t>US-717 904 7703</t>
        </is>
      </c>
    </row>
    <row r="554" ht="17.25" customFormat="1" customHeight="1" s="1">
      <c r="A554" s="8" t="inlineStr">
        <is>
          <t>K 23</t>
        </is>
      </c>
      <c r="B554" s="5" t="n">
        <v>116</v>
      </c>
      <c r="C554" s="6" t="inlineStr">
        <is>
          <t>X</t>
        </is>
      </c>
      <c r="D554" s="5" t="n">
        <v>172</v>
      </c>
      <c r="E554" s="2">
        <f>B554*D554/10000</f>
        <v/>
      </c>
      <c r="F554" s="3">
        <f>B554/30.48</f>
        <v/>
      </c>
      <c r="G554" s="3">
        <f>D554/30.48</f>
        <v/>
      </c>
      <c r="H554" s="36" t="inlineStr">
        <is>
          <t>MCHD-PAC</t>
        </is>
      </c>
      <c r="I554" s="570" t="inlineStr">
        <is>
          <t>Antono T Ronan</t>
        </is>
      </c>
      <c r="J554" s="557" t="n"/>
    </row>
    <row r="555" ht="17.25" customFormat="1" customHeight="1" s="1">
      <c r="A555" s="8" t="inlineStr">
        <is>
          <t>C 925</t>
        </is>
      </c>
      <c r="B555" s="5" t="n">
        <v>76</v>
      </c>
      <c r="C555" s="6" t="inlineStr">
        <is>
          <t>X</t>
        </is>
      </c>
      <c r="D555" s="5" t="n">
        <v>220</v>
      </c>
      <c r="E555" s="2">
        <f>B555*D555/10000</f>
        <v/>
      </c>
      <c r="F555" s="3">
        <f>B555/30.48</f>
        <v/>
      </c>
      <c r="G555" s="3">
        <f>D555/30.48</f>
        <v/>
      </c>
      <c r="H555" s="569" t="inlineStr">
        <is>
          <t>MCHD-OLD</t>
        </is>
      </c>
      <c r="I555" s="570" t="inlineStr">
        <is>
          <t>Abbe Oden Design, LLC</t>
        </is>
      </c>
      <c r="J555" s="557" t="n"/>
    </row>
    <row r="556" ht="17.25" customFormat="1" customHeight="1" s="1">
      <c r="A556" s="8" t="inlineStr">
        <is>
          <t>C 467</t>
        </is>
      </c>
      <c r="B556" s="5" t="n">
        <v>315</v>
      </c>
      <c r="C556" s="6" t="inlineStr">
        <is>
          <t>X</t>
        </is>
      </c>
      <c r="D556" s="5" t="n">
        <v>101</v>
      </c>
      <c r="E556" s="2">
        <f>B556*D556/10000</f>
        <v/>
      </c>
      <c r="F556" s="3">
        <f>B556/30.48</f>
        <v/>
      </c>
      <c r="G556" s="3">
        <f>D556/30.48</f>
        <v/>
      </c>
      <c r="H556" s="36" t="inlineStr">
        <is>
          <t>MCHD-PAC</t>
        </is>
      </c>
      <c r="I556" s="534" t="inlineStr">
        <is>
          <t>Ashley Bingham</t>
        </is>
      </c>
      <c r="J556" s="545" t="n"/>
    </row>
    <row r="557" ht="17.25" customFormat="1" customHeight="1" s="1">
      <c r="A557" s="8" t="inlineStr">
        <is>
          <t>C 961</t>
        </is>
      </c>
      <c r="B557" s="5" t="n">
        <v>69</v>
      </c>
      <c r="C557" s="6" t="inlineStr">
        <is>
          <t>X</t>
        </is>
      </c>
      <c r="D557" s="5" t="n">
        <v>112</v>
      </c>
      <c r="E557" s="2">
        <f>B557*D557/10000</f>
        <v/>
      </c>
      <c r="F557" s="3">
        <f>B557/30.48</f>
        <v/>
      </c>
      <c r="G557" s="3">
        <f>D557/30.48</f>
        <v/>
      </c>
      <c r="H557" s="66" t="inlineStr">
        <is>
          <t>MCHD-TR</t>
        </is>
      </c>
      <c r="I557" s="570" t="inlineStr">
        <is>
          <t>Jane Cooper</t>
        </is>
      </c>
      <c r="J557" s="557" t="inlineStr">
        <is>
          <t>US-205 616 4916</t>
        </is>
      </c>
    </row>
    <row r="558" ht="17.25" customFormat="1" customHeight="1" s="1">
      <c r="A558" s="8" t="inlineStr">
        <is>
          <t>A 145</t>
        </is>
      </c>
      <c r="B558" s="5" t="n">
        <v>85</v>
      </c>
      <c r="C558" s="6" t="inlineStr">
        <is>
          <t>X</t>
        </is>
      </c>
      <c r="D558" s="5" t="n">
        <v>270</v>
      </c>
      <c r="E558" s="2">
        <f>B558*D558/10000</f>
        <v/>
      </c>
      <c r="F558" s="3">
        <f>B558/30.48</f>
        <v/>
      </c>
      <c r="G558" s="3">
        <f>D558/30.48</f>
        <v/>
      </c>
      <c r="H558" s="694" t="n"/>
      <c r="I558" s="694" t="n"/>
      <c r="J558" s="694" t="n"/>
    </row>
    <row r="559" ht="17.25" customFormat="1" customHeight="1" s="1">
      <c r="A559" s="8" t="inlineStr">
        <is>
          <t>C 586</t>
        </is>
      </c>
      <c r="B559" s="5" t="n">
        <v>83</v>
      </c>
      <c r="C559" s="6" t="inlineStr">
        <is>
          <t>X</t>
        </is>
      </c>
      <c r="D559" s="5" t="n">
        <v>244</v>
      </c>
      <c r="E559" s="2">
        <f>B559*D559/10000</f>
        <v/>
      </c>
      <c r="F559" s="3">
        <f>B559/30.48</f>
        <v/>
      </c>
      <c r="G559" s="3">
        <f>D559/30.48</f>
        <v/>
      </c>
      <c r="H559" s="69" t="inlineStr">
        <is>
          <t>MCHD-TR</t>
        </is>
      </c>
      <c r="I559" s="570" t="inlineStr">
        <is>
          <t>Stacey Rao</t>
        </is>
      </c>
      <c r="J559" s="557" t="inlineStr">
        <is>
          <t>US-214 616 5520</t>
        </is>
      </c>
    </row>
    <row r="560" ht="17.25" customFormat="1" customHeight="1" s="1">
      <c r="A560" s="8" t="inlineStr">
        <is>
          <t>C 706</t>
        </is>
      </c>
      <c r="B560" s="5" t="n">
        <v>80</v>
      </c>
      <c r="C560" s="6" t="inlineStr">
        <is>
          <t>X</t>
        </is>
      </c>
      <c r="D560" s="5" t="n">
        <v>181</v>
      </c>
      <c r="E560" s="2">
        <f>B560*D560/10000</f>
        <v/>
      </c>
      <c r="F560" s="3">
        <f>B560/30.48</f>
        <v/>
      </c>
      <c r="G560" s="3">
        <f>D560/30.48</f>
        <v/>
      </c>
      <c r="H560" s="69" t="inlineStr">
        <is>
          <t>MCHD-TR</t>
        </is>
      </c>
      <c r="I560" s="570" t="inlineStr">
        <is>
          <t>Holly Pearen</t>
        </is>
      </c>
      <c r="J560" s="557" t="inlineStr">
        <is>
          <t>US-503 347 9970</t>
        </is>
      </c>
    </row>
    <row r="561" ht="17.25" customFormat="1" customHeight="1" s="1">
      <c r="A561" s="8" t="inlineStr">
        <is>
          <t>C 955</t>
        </is>
      </c>
      <c r="B561" s="5" t="n">
        <v>59</v>
      </c>
      <c r="C561" s="6" t="inlineStr">
        <is>
          <t>X</t>
        </is>
      </c>
      <c r="D561" s="5" t="n">
        <v>161</v>
      </c>
      <c r="E561" s="2">
        <f>B561*D561/10000</f>
        <v/>
      </c>
      <c r="F561" s="3">
        <f>B561/30.48</f>
        <v/>
      </c>
      <c r="G561" s="3">
        <f>D561/30.48</f>
        <v/>
      </c>
      <c r="H561" s="69" t="inlineStr">
        <is>
          <t>MCHD-TR</t>
        </is>
      </c>
      <c r="I561" s="570" t="inlineStr">
        <is>
          <t>Pam Goff</t>
        </is>
      </c>
      <c r="J561" s="557" t="n"/>
    </row>
    <row r="562" ht="18" customFormat="1" customHeight="1" s="1">
      <c r="A562" s="8" t="inlineStr">
        <is>
          <t>C 849</t>
        </is>
      </c>
      <c r="B562" s="5" t="n">
        <v>86</v>
      </c>
      <c r="C562" s="6" t="inlineStr">
        <is>
          <t>X</t>
        </is>
      </c>
      <c r="D562" s="5" t="n">
        <v>248</v>
      </c>
      <c r="E562" s="2">
        <f>B562*D562/10000</f>
        <v/>
      </c>
      <c r="F562" s="3">
        <f>B562/30.48</f>
        <v/>
      </c>
      <c r="G562" s="3">
        <f>D562/30.48</f>
        <v/>
      </c>
      <c r="H562" s="36" t="inlineStr">
        <is>
          <t>MCHD-PAC</t>
        </is>
      </c>
      <c r="I562" s="570" t="inlineStr">
        <is>
          <t>Summer Layton</t>
        </is>
      </c>
      <c r="J562" s="557" t="inlineStr">
        <is>
          <t>US-804 615 3677</t>
        </is>
      </c>
    </row>
    <row r="563" ht="17.25" customFormat="1" customHeight="1" s="1">
      <c r="A563" s="8" t="inlineStr">
        <is>
          <t>A 198</t>
        </is>
      </c>
      <c r="B563" s="5" t="n">
        <v>288</v>
      </c>
      <c r="C563" s="6" t="inlineStr">
        <is>
          <t>X</t>
        </is>
      </c>
      <c r="D563" s="5" t="n">
        <v>383</v>
      </c>
      <c r="E563" s="2">
        <f>B563*D563/10000</f>
        <v/>
      </c>
      <c r="F563" s="3">
        <f>B563/30.48</f>
        <v/>
      </c>
      <c r="G563" s="3">
        <f>D563/30.48</f>
        <v/>
      </c>
      <c r="H563" s="69" t="inlineStr">
        <is>
          <t>MCHD-TR</t>
        </is>
      </c>
      <c r="I563" s="570" t="inlineStr">
        <is>
          <t>Stacy Graubart</t>
        </is>
      </c>
      <c r="J563" s="557" t="n"/>
    </row>
    <row r="564" ht="17.25" customFormat="1" customHeight="1" s="1">
      <c r="A564" s="8" t="inlineStr">
        <is>
          <t>C 962</t>
        </is>
      </c>
      <c r="B564" s="5" t="n">
        <v>57</v>
      </c>
      <c r="C564" s="6" t="inlineStr">
        <is>
          <t>X</t>
        </is>
      </c>
      <c r="D564" s="5" t="n">
        <v>162</v>
      </c>
      <c r="E564" s="2">
        <f>B564*D564/10000</f>
        <v/>
      </c>
      <c r="F564" s="3">
        <f>B564/30.48</f>
        <v/>
      </c>
      <c r="G564" s="3">
        <f>D564/30.48</f>
        <v/>
      </c>
      <c r="H564" s="37" t="inlineStr">
        <is>
          <t>MCHD-PAC</t>
        </is>
      </c>
      <c r="I564" s="570" t="inlineStr">
        <is>
          <t>Ruth Elizabeth Chang</t>
        </is>
      </c>
      <c r="J564" s="557" t="inlineStr">
        <is>
          <t>US-917 843 7380</t>
        </is>
      </c>
    </row>
    <row r="565" ht="17.25" customFormat="1" customHeight="1" s="1">
      <c r="A565" s="8" t="inlineStr">
        <is>
          <t>C 980</t>
        </is>
      </c>
      <c r="B565" s="5" t="n">
        <v>61</v>
      </c>
      <c r="C565" s="6" t="inlineStr">
        <is>
          <t>X</t>
        </is>
      </c>
      <c r="D565" s="5" t="n">
        <v>159</v>
      </c>
      <c r="E565" s="2">
        <f>B565*D565/10000</f>
        <v/>
      </c>
      <c r="F565" s="3">
        <f>B565/30.48</f>
        <v/>
      </c>
      <c r="G565" s="3">
        <f>D565/30.48</f>
        <v/>
      </c>
      <c r="H565" s="694" t="n"/>
      <c r="I565" s="694" t="n"/>
      <c r="J565" s="694" t="n"/>
    </row>
    <row r="566" ht="17.25" customFormat="1" customHeight="1" s="1">
      <c r="A566" s="8" t="inlineStr">
        <is>
          <t>A 114</t>
        </is>
      </c>
      <c r="B566" s="5" t="n">
        <v>96</v>
      </c>
      <c r="C566" s="6" t="inlineStr">
        <is>
          <t>X</t>
        </is>
      </c>
      <c r="D566" s="5" t="n">
        <v>212</v>
      </c>
      <c r="E566" s="2">
        <f>B566*D566/10000</f>
        <v/>
      </c>
      <c r="F566" s="3">
        <f>B566/30.48</f>
        <v/>
      </c>
      <c r="G566" s="3">
        <f>D566/30.48</f>
        <v/>
      </c>
      <c r="H566" s="568" t="inlineStr">
        <is>
          <t>MCHD-VR</t>
        </is>
      </c>
      <c r="I566" s="546" t="inlineStr">
        <is>
          <t>Ellie Madsen</t>
        </is>
      </c>
      <c r="J566" s="546" t="n"/>
    </row>
    <row r="567" ht="17.25" customFormat="1" customHeight="1" s="1">
      <c r="A567" s="8" t="inlineStr">
        <is>
          <t>C 931</t>
        </is>
      </c>
      <c r="B567" s="5" t="n">
        <v>73</v>
      </c>
      <c r="C567" s="6" t="inlineStr">
        <is>
          <t>X</t>
        </is>
      </c>
      <c r="D567" s="5" t="n">
        <v>346</v>
      </c>
      <c r="E567" s="2">
        <f>B567*D567/10000</f>
        <v/>
      </c>
      <c r="F567" s="3">
        <f>B567/30.48</f>
        <v/>
      </c>
      <c r="G567" s="3">
        <f>D567/30.48</f>
        <v/>
      </c>
      <c r="H567" s="69" t="inlineStr">
        <is>
          <t>MCHD-TR</t>
        </is>
      </c>
      <c r="I567" s="534" t="inlineStr">
        <is>
          <t>Shelby Knoles</t>
        </is>
      </c>
      <c r="J567" s="545" t="n"/>
    </row>
    <row r="568" ht="17.25" customFormat="1" customHeight="1" s="1">
      <c r="A568" s="8" t="inlineStr">
        <is>
          <t>C 360</t>
        </is>
      </c>
      <c r="B568" s="5" t="n">
        <v>160</v>
      </c>
      <c r="C568" s="6" t="inlineStr">
        <is>
          <t>X</t>
        </is>
      </c>
      <c r="D568" s="5" t="n">
        <v>72</v>
      </c>
      <c r="E568" s="2">
        <f>B568*D568/10000</f>
        <v/>
      </c>
      <c r="F568" s="3">
        <f>B568/30.48</f>
        <v/>
      </c>
      <c r="G568" s="3">
        <f>D568/30.48</f>
        <v/>
      </c>
      <c r="H568" s="69" t="inlineStr">
        <is>
          <t>MCHD-TR</t>
        </is>
      </c>
      <c r="I568" s="570" t="inlineStr">
        <is>
          <t>Rebecca Thurman</t>
        </is>
      </c>
      <c r="J568" s="557" t="inlineStr">
        <is>
          <t>US-530 828 1446</t>
        </is>
      </c>
    </row>
    <row r="569" ht="17.25" customFormat="1" customHeight="1" s="1">
      <c r="A569" s="8" t="inlineStr">
        <is>
          <t>A 172</t>
        </is>
      </c>
      <c r="B569" s="5" t="n">
        <v>90</v>
      </c>
      <c r="C569" s="6" t="inlineStr">
        <is>
          <t>X</t>
        </is>
      </c>
      <c r="D569" s="5" t="n">
        <v>460</v>
      </c>
      <c r="E569" s="2">
        <f>B569*D569/10000</f>
        <v/>
      </c>
      <c r="F569" s="3">
        <f>B569/30.48</f>
        <v/>
      </c>
      <c r="G569" s="3">
        <f>D569/30.48</f>
        <v/>
      </c>
      <c r="H569" s="69" t="inlineStr">
        <is>
          <t>MCHD-TR</t>
        </is>
      </c>
      <c r="I569" s="570" t="inlineStr">
        <is>
          <t>Kevin Marshall-Moran</t>
        </is>
      </c>
      <c r="J569" s="557" t="inlineStr">
        <is>
          <t>US-203 644 4770</t>
        </is>
      </c>
    </row>
    <row r="570" ht="17.25" customFormat="1" customHeight="1" s="1">
      <c r="A570" s="8" t="inlineStr">
        <is>
          <t>A 92</t>
        </is>
      </c>
      <c r="B570" s="5" t="n">
        <v>71</v>
      </c>
      <c r="C570" s="72" t="inlineStr">
        <is>
          <t>X</t>
        </is>
      </c>
      <c r="D570" s="5" t="n">
        <v>186</v>
      </c>
      <c r="E570" s="73">
        <f>B570*D570/10000</f>
        <v/>
      </c>
      <c r="F570" s="74">
        <f>B570/30.48</f>
        <v/>
      </c>
      <c r="G570" s="74">
        <f>D570/30.48</f>
        <v/>
      </c>
      <c r="H570" s="36" t="inlineStr">
        <is>
          <t>MCHD-PAC</t>
        </is>
      </c>
      <c r="I570" s="570" t="inlineStr">
        <is>
          <t>Lauren Prestridge</t>
        </is>
      </c>
      <c r="J570" s="557" t="n"/>
    </row>
    <row r="571" ht="17.25" customFormat="1" customHeight="1" s="1">
      <c r="A571" s="8" t="inlineStr">
        <is>
          <t>Y 747</t>
        </is>
      </c>
      <c r="B571" s="5" t="n">
        <v>295</v>
      </c>
      <c r="C571" s="6" t="inlineStr">
        <is>
          <t>X</t>
        </is>
      </c>
      <c r="D571" s="5" t="n">
        <v>118</v>
      </c>
      <c r="E571" s="2">
        <f>B571*D571/10000</f>
        <v/>
      </c>
      <c r="F571" s="3">
        <f>B571/30.48</f>
        <v/>
      </c>
      <c r="G571" s="3">
        <f>D571/30.48</f>
        <v/>
      </c>
      <c r="H571" s="36" t="inlineStr">
        <is>
          <t>MCHD-PAC</t>
        </is>
      </c>
      <c r="I571" s="534" t="inlineStr">
        <is>
          <t>ROBIN BRENNEMAN</t>
        </is>
      </c>
      <c r="J571" s="545" t="inlineStr">
        <is>
          <t>US-206 799 8791</t>
        </is>
      </c>
    </row>
    <row r="572" ht="17.25" customFormat="1" customHeight="1" s="1">
      <c r="A572" s="8" t="inlineStr">
        <is>
          <t>C 554</t>
        </is>
      </c>
      <c r="B572" s="5" t="n">
        <v>127</v>
      </c>
      <c r="C572" s="6" t="inlineStr">
        <is>
          <t>X</t>
        </is>
      </c>
      <c r="D572" s="5" t="n">
        <v>255</v>
      </c>
      <c r="E572" s="2">
        <f>B572*D572/10000</f>
        <v/>
      </c>
      <c r="F572" s="3">
        <f>B572/30.48</f>
        <v/>
      </c>
      <c r="G572" s="3">
        <f>D572/30.48</f>
        <v/>
      </c>
      <c r="H572" s="36" t="inlineStr">
        <is>
          <t>MCHD-PAC</t>
        </is>
      </c>
      <c r="I572" s="534" t="inlineStr">
        <is>
          <t>Shiho Tanaka</t>
        </is>
      </c>
      <c r="J572" s="545" t="inlineStr">
        <is>
          <t>US-917 340 7237</t>
        </is>
      </c>
    </row>
    <row r="573" ht="17.25" customFormat="1" customHeight="1" s="1">
      <c r="A573" s="8" t="inlineStr">
        <is>
          <t>A 118</t>
        </is>
      </c>
      <c r="B573" s="5" t="n">
        <v>72</v>
      </c>
      <c r="C573" s="6" t="inlineStr">
        <is>
          <t>X</t>
        </is>
      </c>
      <c r="D573" s="5" t="n">
        <v>184</v>
      </c>
      <c r="E573" s="2">
        <f>B573*D573/10000</f>
        <v/>
      </c>
      <c r="F573" s="3">
        <f>B573/30.48</f>
        <v/>
      </c>
      <c r="G573" s="3">
        <f>D573/30.48</f>
        <v/>
      </c>
      <c r="H573" s="69" t="inlineStr">
        <is>
          <t>MCHD-TR</t>
        </is>
      </c>
      <c r="I573" s="534" t="inlineStr">
        <is>
          <t>Lyndee Kemp</t>
        </is>
      </c>
      <c r="J573" s="545" t="n"/>
    </row>
    <row r="574" ht="17.25" customFormat="1" customHeight="1" s="1">
      <c r="A574" s="8" t="inlineStr">
        <is>
          <t>C 275</t>
        </is>
      </c>
      <c r="B574" s="5" t="n">
        <v>71</v>
      </c>
      <c r="C574" s="6" t="inlineStr">
        <is>
          <t>X</t>
        </is>
      </c>
      <c r="D574" s="5" t="n">
        <v>295</v>
      </c>
      <c r="E574" s="2">
        <f>B574*D574/10000</f>
        <v/>
      </c>
      <c r="F574" s="3">
        <f>B574/30.48</f>
        <v/>
      </c>
      <c r="G574" s="3">
        <f>D574/30.48</f>
        <v/>
      </c>
      <c r="H574" s="69" t="inlineStr">
        <is>
          <t>MCHD-TR</t>
        </is>
      </c>
      <c r="I574" s="534" t="inlineStr">
        <is>
          <t>Lucy Bell</t>
        </is>
      </c>
      <c r="J574" s="545" t="inlineStr">
        <is>
          <t>US-914 907 3285</t>
        </is>
      </c>
    </row>
    <row r="575" ht="17.25" customFormat="1" customHeight="1" s="1">
      <c r="A575" s="8" t="inlineStr">
        <is>
          <t>Y 34</t>
        </is>
      </c>
      <c r="B575" s="5" t="n">
        <v>270</v>
      </c>
      <c r="C575" s="6" t="inlineStr">
        <is>
          <t>X</t>
        </is>
      </c>
      <c r="D575" s="5" t="n">
        <v>180</v>
      </c>
      <c r="E575" s="2">
        <f>B575*D575/10000</f>
        <v/>
      </c>
      <c r="F575" s="3">
        <f>B575/30.48</f>
        <v/>
      </c>
      <c r="G575" s="3">
        <f>D575/30.48</f>
        <v/>
      </c>
      <c r="H575" s="69" t="inlineStr">
        <is>
          <t>MCHD-TR</t>
        </is>
      </c>
      <c r="I575" s="570" t="inlineStr">
        <is>
          <t>Liberty Bell / Elana Rudiger Design</t>
        </is>
      </c>
      <c r="J575" s="557" t="n"/>
    </row>
    <row r="576" ht="17.25" customFormat="1" customHeight="1" s="1">
      <c r="A576" s="8" t="inlineStr">
        <is>
          <t>C 911</t>
        </is>
      </c>
      <c r="B576" s="5" t="n">
        <v>90</v>
      </c>
      <c r="C576" s="6" t="inlineStr">
        <is>
          <t>X</t>
        </is>
      </c>
      <c r="D576" s="5" t="n">
        <v>269</v>
      </c>
      <c r="E576" s="2">
        <f>B576*D576/10000</f>
        <v/>
      </c>
      <c r="F576" s="3">
        <f>B576/30.48</f>
        <v/>
      </c>
      <c r="G576" s="3">
        <f>D576/30.48</f>
        <v/>
      </c>
      <c r="H576" s="69" t="inlineStr">
        <is>
          <t>MCHD-TR</t>
        </is>
      </c>
      <c r="I576" s="570" t="inlineStr">
        <is>
          <t>Natalie Scott</t>
        </is>
      </c>
      <c r="J576" s="557" t="inlineStr">
        <is>
          <t>AU-040 072 0096</t>
        </is>
      </c>
    </row>
    <row r="577" ht="17.25" customFormat="1" customHeight="1" s="1">
      <c r="A577" s="8" t="inlineStr">
        <is>
          <t>A 7</t>
        </is>
      </c>
      <c r="B577" s="5" t="n">
        <v>75</v>
      </c>
      <c r="C577" s="6" t="inlineStr">
        <is>
          <t>X</t>
        </is>
      </c>
      <c r="D577" s="5" t="n">
        <v>150</v>
      </c>
      <c r="E577" s="2">
        <f>B577*D577/10000</f>
        <v/>
      </c>
      <c r="F577" s="3">
        <f>B577/30.48</f>
        <v/>
      </c>
      <c r="G577" s="3">
        <f>D577/30.48</f>
        <v/>
      </c>
      <c r="H577" s="69" t="inlineStr">
        <is>
          <t>MCHD-TR</t>
        </is>
      </c>
      <c r="I577" s="534" t="inlineStr">
        <is>
          <t>Donna Peters</t>
        </is>
      </c>
      <c r="J577" s="545" t="n"/>
    </row>
    <row r="578" ht="17.25" customFormat="1" customHeight="1" s="1">
      <c r="A578" s="8" t="n">
        <v>3</v>
      </c>
      <c r="B578" s="5" t="n">
        <v>328</v>
      </c>
      <c r="C578" s="6" t="inlineStr">
        <is>
          <t>X</t>
        </is>
      </c>
      <c r="D578" s="5" t="n">
        <v>178</v>
      </c>
      <c r="E578" s="2">
        <f>B578*D578/10000</f>
        <v/>
      </c>
      <c r="F578" s="3">
        <f>B578/30.48</f>
        <v/>
      </c>
      <c r="G578" s="3">
        <f>D578/30.48</f>
        <v/>
      </c>
      <c r="H578" s="69" t="inlineStr">
        <is>
          <t>MCHD-TR</t>
        </is>
      </c>
      <c r="I578" s="570" t="inlineStr">
        <is>
          <t>Jessica Block</t>
        </is>
      </c>
      <c r="J578" s="557" t="inlineStr">
        <is>
          <t>US-918 232 3812</t>
        </is>
      </c>
    </row>
    <row r="579" ht="17.25" customFormat="1" customHeight="1" s="1">
      <c r="A579" s="8" t="inlineStr">
        <is>
          <t>C 789</t>
        </is>
      </c>
      <c r="B579" s="5" t="n">
        <v>68</v>
      </c>
      <c r="C579" s="6" t="inlineStr">
        <is>
          <t>X</t>
        </is>
      </c>
      <c r="D579" s="5" t="n">
        <v>269</v>
      </c>
      <c r="E579" s="2">
        <f>B579*D579/10000</f>
        <v/>
      </c>
      <c r="F579" s="3">
        <f>B579/30.48</f>
        <v/>
      </c>
      <c r="G579" s="3">
        <f>D579/30.48</f>
        <v/>
      </c>
      <c r="H579" s="69" t="inlineStr">
        <is>
          <t>MCHD-TR</t>
        </is>
      </c>
      <c r="I579" s="570" t="inlineStr">
        <is>
          <t>Hannahbella Christensen</t>
        </is>
      </c>
      <c r="J579" s="557" t="n"/>
      <c r="N579" s="1" t="inlineStr">
        <is>
          <t xml:space="preserve"> </t>
        </is>
      </c>
    </row>
    <row r="580" ht="17.25" customFormat="1" customHeight="1" s="1">
      <c r="A580" s="8" t="inlineStr">
        <is>
          <t>A 6</t>
        </is>
      </c>
      <c r="B580" s="5" t="n">
        <v>58</v>
      </c>
      <c r="C580" s="6" t="inlineStr">
        <is>
          <t>X</t>
        </is>
      </c>
      <c r="D580" s="5" t="n">
        <v>301</v>
      </c>
      <c r="E580" s="2">
        <f>B580*D580/10000</f>
        <v/>
      </c>
      <c r="F580" s="3">
        <f>B580/30.48</f>
        <v/>
      </c>
      <c r="G580" s="3">
        <f>D580/30.48</f>
        <v/>
      </c>
      <c r="H580" s="69" t="inlineStr">
        <is>
          <t>MCHD-TR</t>
        </is>
      </c>
      <c r="I580" s="570" t="inlineStr">
        <is>
          <t>Ellen M. Oshea</t>
        </is>
      </c>
      <c r="J580" s="557" t="inlineStr">
        <is>
          <t>US-973 862 7861</t>
        </is>
      </c>
    </row>
    <row r="581" ht="17.25" customFormat="1" customHeight="1" s="1">
      <c r="A581" s="8" t="inlineStr">
        <is>
          <t>C 850</t>
        </is>
      </c>
      <c r="B581" s="5" t="n">
        <v>69</v>
      </c>
      <c r="C581" s="6" t="inlineStr">
        <is>
          <t>X</t>
        </is>
      </c>
      <c r="D581" s="5" t="n">
        <v>267</v>
      </c>
      <c r="E581" s="2">
        <f>B581*D581/10000</f>
        <v/>
      </c>
      <c r="F581" s="3">
        <f>B581/30.48</f>
        <v/>
      </c>
      <c r="G581" s="3">
        <f>D581/30.48</f>
        <v/>
      </c>
      <c r="H581" s="569" t="inlineStr">
        <is>
          <t>MCHD-OLD</t>
        </is>
      </c>
      <c r="I581" s="570" t="inlineStr">
        <is>
          <t>Ashlee Ellard</t>
        </is>
      </c>
      <c r="J581" s="557" t="n"/>
    </row>
    <row r="582" ht="17.25" customFormat="1" customHeight="1" s="1">
      <c r="A582" s="8" t="inlineStr">
        <is>
          <t>C 564</t>
        </is>
      </c>
      <c r="B582" s="5" t="n">
        <v>111</v>
      </c>
      <c r="C582" s="6" t="inlineStr">
        <is>
          <t>X</t>
        </is>
      </c>
      <c r="D582" s="5" t="n">
        <v>325</v>
      </c>
      <c r="E582" s="2">
        <f>B582*D582/10000</f>
        <v/>
      </c>
      <c r="F582" s="3">
        <f>B582/30.48</f>
        <v/>
      </c>
      <c r="G582" s="3">
        <f>D582/30.48</f>
        <v/>
      </c>
      <c r="H582" s="18" t="inlineStr">
        <is>
          <t>MCHD-TH</t>
        </is>
      </c>
      <c r="I582" s="534" t="inlineStr">
        <is>
          <t>Marcy Pope</t>
        </is>
      </c>
      <c r="J582" s="545" t="n"/>
    </row>
    <row r="583" ht="17.25" customFormat="1" customHeight="1" s="1">
      <c r="A583" s="8" t="inlineStr">
        <is>
          <t>D 3</t>
        </is>
      </c>
      <c r="B583" s="5" t="n">
        <v>93</v>
      </c>
      <c r="C583" s="6" t="inlineStr">
        <is>
          <t>X</t>
        </is>
      </c>
      <c r="D583" s="5" t="n">
        <v>51</v>
      </c>
      <c r="E583" s="2">
        <f>B583*D583/10000</f>
        <v/>
      </c>
      <c r="F583" s="3">
        <f>B583/30.48</f>
        <v/>
      </c>
      <c r="G583" s="3">
        <f>D583/30.48</f>
        <v/>
      </c>
      <c r="H583" s="569" t="inlineStr">
        <is>
          <t>MCHD-OLD</t>
        </is>
      </c>
      <c r="I583" s="570" t="inlineStr">
        <is>
          <t>susan meisenheimer</t>
        </is>
      </c>
      <c r="J583" s="557" t="inlineStr">
        <is>
          <t>US-678 644 6529</t>
        </is>
      </c>
    </row>
    <row r="584" ht="17.25" customFormat="1" customHeight="1" s="1">
      <c r="A584" s="8" t="inlineStr">
        <is>
          <t>C 936</t>
        </is>
      </c>
      <c r="B584" s="5" t="n">
        <v>90</v>
      </c>
      <c r="C584" s="6" t="inlineStr">
        <is>
          <t>X</t>
        </is>
      </c>
      <c r="D584" s="5" t="n">
        <v>304</v>
      </c>
      <c r="E584" s="2">
        <f>B584*D584/10000</f>
        <v/>
      </c>
      <c r="F584" s="3">
        <f>B584/30.48</f>
        <v/>
      </c>
      <c r="G584" s="3">
        <f>D584/30.48</f>
        <v/>
      </c>
      <c r="H584" s="36" t="inlineStr">
        <is>
          <t>MCHD-PAC</t>
        </is>
      </c>
      <c r="I584" s="534" t="inlineStr">
        <is>
          <t>Britton Brown</t>
        </is>
      </c>
      <c r="J584" s="545" t="inlineStr">
        <is>
          <t>US-615 512 6016</t>
        </is>
      </c>
    </row>
    <row r="585" ht="17.25" customFormat="1" customHeight="1" s="1">
      <c r="A585" s="8" t="inlineStr">
        <is>
          <t>C 700</t>
        </is>
      </c>
      <c r="B585" s="5" t="n">
        <v>67</v>
      </c>
      <c r="C585" s="6" t="inlineStr">
        <is>
          <t>X</t>
        </is>
      </c>
      <c r="D585" s="5" t="n">
        <v>292</v>
      </c>
      <c r="E585" s="2">
        <f>B585*D585/10000</f>
        <v/>
      </c>
      <c r="F585" s="3">
        <f>B585/30.48</f>
        <v/>
      </c>
      <c r="G585" s="3">
        <f>D585/30.48</f>
        <v/>
      </c>
      <c r="H585" s="568" t="inlineStr">
        <is>
          <t>MCHD-VR</t>
        </is>
      </c>
      <c r="I585" s="570" t="inlineStr">
        <is>
          <t>Alexandra Area</t>
        </is>
      </c>
      <c r="J585" s="557" t="inlineStr">
        <is>
          <t>US-504 418 1575</t>
        </is>
      </c>
    </row>
    <row r="586" ht="17.25" customFormat="1" customHeight="1" s="1">
      <c r="A586" s="8" t="inlineStr">
        <is>
          <t>C 915</t>
        </is>
      </c>
      <c r="B586" s="5" t="n">
        <v>77</v>
      </c>
      <c r="C586" s="6" t="inlineStr">
        <is>
          <t>X</t>
        </is>
      </c>
      <c r="D586" s="5" t="n">
        <v>141</v>
      </c>
      <c r="E586" s="2">
        <f>B586*D586/10000</f>
        <v/>
      </c>
      <c r="F586" s="3">
        <f>B586/30.48</f>
        <v/>
      </c>
      <c r="G586" s="3">
        <f>D586/30.48</f>
        <v/>
      </c>
      <c r="H586" s="69" t="inlineStr">
        <is>
          <t>MCHD-TR</t>
        </is>
      </c>
      <c r="I586" s="570" t="inlineStr">
        <is>
          <t>Preston Young</t>
        </is>
      </c>
      <c r="J586" s="557" t="n"/>
    </row>
    <row r="587" ht="17.25" customFormat="1" customHeight="1" s="1">
      <c r="A587" s="8" t="inlineStr">
        <is>
          <t>C 510</t>
        </is>
      </c>
      <c r="B587" s="5" t="n">
        <v>79</v>
      </c>
      <c r="C587" s="6" t="inlineStr">
        <is>
          <t>X</t>
        </is>
      </c>
      <c r="D587" s="5" t="n">
        <v>131</v>
      </c>
      <c r="E587" s="2">
        <f>B587*D587/10000</f>
        <v/>
      </c>
      <c r="F587" s="3">
        <f>B587/30.48</f>
        <v/>
      </c>
      <c r="G587" s="3">
        <f>D587/30.48</f>
        <v/>
      </c>
      <c r="H587" s="569" t="inlineStr">
        <is>
          <t>MCHD-OLD</t>
        </is>
      </c>
      <c r="I587" s="570" t="inlineStr">
        <is>
          <t>Jeanne Sheriff</t>
        </is>
      </c>
      <c r="J587" s="557" t="n"/>
    </row>
    <row r="588" ht="17.25" customFormat="1" customHeight="1" s="1">
      <c r="A588" s="8" t="inlineStr">
        <is>
          <t>Y 952</t>
        </is>
      </c>
      <c r="B588" s="5" t="n">
        <v>338</v>
      </c>
      <c r="C588" s="6" t="inlineStr">
        <is>
          <t>X</t>
        </is>
      </c>
      <c r="D588" s="5" t="n">
        <v>143</v>
      </c>
      <c r="E588" s="2">
        <f>B588*D588/10000</f>
        <v/>
      </c>
      <c r="F588" s="3">
        <f>B588/30.48</f>
        <v/>
      </c>
      <c r="G588" s="3">
        <f>D588/30.48</f>
        <v/>
      </c>
      <c r="H588" s="569" t="inlineStr">
        <is>
          <t>MCHD-OLD</t>
        </is>
      </c>
      <c r="I588" s="534" t="inlineStr">
        <is>
          <t>Carolyn E Field</t>
        </is>
      </c>
      <c r="J588" s="545" t="inlineStr">
        <is>
          <t>US-704 281 5872</t>
        </is>
      </c>
    </row>
    <row r="589" ht="17.25" customFormat="1" customHeight="1" s="1">
      <c r="A589" s="8" t="inlineStr">
        <is>
          <t>A 164</t>
        </is>
      </c>
      <c r="B589" s="5" t="n">
        <v>118</v>
      </c>
      <c r="C589" s="6" t="inlineStr">
        <is>
          <t>X</t>
        </is>
      </c>
      <c r="D589" s="5" t="n">
        <v>304</v>
      </c>
      <c r="E589" s="2">
        <f>B589*D589/10000</f>
        <v/>
      </c>
      <c r="F589" s="3">
        <f>B589/30.48</f>
        <v/>
      </c>
      <c r="G589" s="3">
        <f>D589/30.48</f>
        <v/>
      </c>
      <c r="H589" s="569" t="inlineStr">
        <is>
          <t>MCHD-OLD</t>
        </is>
      </c>
      <c r="I589" s="570" t="inlineStr">
        <is>
          <t>Stephanie Poe</t>
        </is>
      </c>
      <c r="J589" s="557" t="inlineStr">
        <is>
          <t>US-843 714 3246</t>
        </is>
      </c>
      <c r="N589" s="1" t="inlineStr">
        <is>
          <t xml:space="preserve"> </t>
        </is>
      </c>
    </row>
    <row r="590" ht="17.25" customFormat="1" customHeight="1" s="1">
      <c r="A590" s="8" t="inlineStr">
        <is>
          <t>C 544</t>
        </is>
      </c>
      <c r="B590" s="5" t="n">
        <v>90</v>
      </c>
      <c r="C590" s="6" t="inlineStr">
        <is>
          <t>X</t>
        </is>
      </c>
      <c r="D590" s="5" t="n">
        <v>266</v>
      </c>
      <c r="E590" s="2">
        <f>B590*D590/10000</f>
        <v/>
      </c>
      <c r="F590" s="3">
        <f>B590/30.48</f>
        <v/>
      </c>
      <c r="G590" s="3">
        <f>D590/30.48</f>
        <v/>
      </c>
      <c r="H590" s="36" t="inlineStr">
        <is>
          <t>MCHD-PAC</t>
        </is>
      </c>
      <c r="I590" s="570" t="inlineStr">
        <is>
          <t>Casey McLean</t>
        </is>
      </c>
      <c r="J590" s="557" t="n"/>
    </row>
    <row r="591" ht="17.25" customFormat="1" customHeight="1" s="1">
      <c r="A591" s="8" t="inlineStr">
        <is>
          <t>C 59</t>
        </is>
      </c>
      <c r="B591" s="5" t="n">
        <v>375</v>
      </c>
      <c r="C591" s="6" t="inlineStr">
        <is>
          <t>X</t>
        </is>
      </c>
      <c r="D591" s="5" t="n">
        <v>99</v>
      </c>
      <c r="E591" s="2">
        <f>B591*D591/10000</f>
        <v/>
      </c>
      <c r="F591" s="3">
        <f>B591/30.48</f>
        <v/>
      </c>
      <c r="G591" s="3">
        <f>D591/30.48</f>
        <v/>
      </c>
      <c r="H591" s="69" t="inlineStr">
        <is>
          <t>MCHD-TR</t>
        </is>
      </c>
      <c r="I591" s="534" t="inlineStr">
        <is>
          <t>Diane Montgomery</t>
        </is>
      </c>
      <c r="J591" s="545" t="n"/>
    </row>
    <row r="592" ht="17.25" customFormat="1" customHeight="1" s="1">
      <c r="A592" s="8" t="inlineStr">
        <is>
          <t>A 208</t>
        </is>
      </c>
      <c r="B592" s="5" t="n">
        <v>317</v>
      </c>
      <c r="C592" s="6" t="inlineStr">
        <is>
          <t>X</t>
        </is>
      </c>
      <c r="D592" s="5" t="n">
        <v>383</v>
      </c>
      <c r="E592" s="2">
        <f>B592*D592/10000</f>
        <v/>
      </c>
      <c r="F592" s="3">
        <f>B592/30.48</f>
        <v/>
      </c>
      <c r="G592" s="3">
        <f>D592/30.48</f>
        <v/>
      </c>
      <c r="H592" s="36" t="inlineStr">
        <is>
          <t>MCHD-PAC</t>
        </is>
      </c>
      <c r="I592" s="534" t="inlineStr">
        <is>
          <t>Erin Stricklin</t>
        </is>
      </c>
      <c r="J592" s="545" t="inlineStr">
        <is>
          <t>US-205 862 3590</t>
        </is>
      </c>
    </row>
    <row r="593" ht="17.25" customFormat="1" customHeight="1" s="1">
      <c r="A593" s="8" t="inlineStr">
        <is>
          <t>K 139</t>
        </is>
      </c>
      <c r="B593" s="5" t="n">
        <v>165</v>
      </c>
      <c r="C593" s="6" t="inlineStr">
        <is>
          <t>X</t>
        </is>
      </c>
      <c r="D593" s="5" t="n">
        <v>102</v>
      </c>
      <c r="E593" s="2">
        <f>B593*D593/10000</f>
        <v/>
      </c>
      <c r="F593" s="3">
        <f>B593/30.48</f>
        <v/>
      </c>
      <c r="G593" s="3">
        <f>D593/30.48</f>
        <v/>
      </c>
      <c r="H593" s="18" t="inlineStr">
        <is>
          <t>MCHD-TH</t>
        </is>
      </c>
      <c r="I593" s="570" t="inlineStr">
        <is>
          <t>Lance McElroy</t>
        </is>
      </c>
      <c r="J593" s="557" t="n"/>
    </row>
    <row r="594" ht="17.25" customFormat="1" customHeight="1" s="1">
      <c r="A594" s="8" t="inlineStr">
        <is>
          <t>Y 312</t>
        </is>
      </c>
      <c r="B594" s="5" t="n">
        <v>258</v>
      </c>
      <c r="C594" s="6" t="inlineStr">
        <is>
          <t>X</t>
        </is>
      </c>
      <c r="D594" s="5" t="n">
        <v>98</v>
      </c>
      <c r="E594" s="2">
        <f>B594*D594/10000</f>
        <v/>
      </c>
      <c r="F594" s="3">
        <f>B594/30.48</f>
        <v/>
      </c>
      <c r="G594" s="3">
        <f>D594/30.48</f>
        <v/>
      </c>
      <c r="H594" s="69" t="inlineStr">
        <is>
          <t>MCHD-TR</t>
        </is>
      </c>
      <c r="I594" s="570" t="inlineStr">
        <is>
          <t>Tara Jacoby</t>
        </is>
      </c>
      <c r="J594" s="557" t="inlineStr">
        <is>
          <t>US-609 805 2050</t>
        </is>
      </c>
    </row>
    <row r="595" ht="17.25" customFormat="1" customHeight="1" s="1">
      <c r="A595" s="8" t="inlineStr">
        <is>
          <t>C 563</t>
        </is>
      </c>
      <c r="B595" s="5" t="n">
        <v>106</v>
      </c>
      <c r="C595" s="6" t="inlineStr">
        <is>
          <t>X</t>
        </is>
      </c>
      <c r="D595" s="5" t="n">
        <v>179</v>
      </c>
      <c r="E595" s="2">
        <f>B595*D595/10000</f>
        <v/>
      </c>
      <c r="F595" s="3">
        <f>B595/30.48</f>
        <v/>
      </c>
      <c r="G595" s="3">
        <f>D595/30.48</f>
        <v/>
      </c>
      <c r="H595" s="69" t="inlineStr">
        <is>
          <t>MCHD-TR</t>
        </is>
      </c>
      <c r="I595" s="570" t="inlineStr">
        <is>
          <t>Katie Bowser</t>
        </is>
      </c>
      <c r="J595" s="557" t="inlineStr">
        <is>
          <t>US-330 671 3096</t>
        </is>
      </c>
    </row>
    <row r="596" ht="17.25" customFormat="1" customHeight="1" s="1">
      <c r="A596" s="8" t="inlineStr">
        <is>
          <t>A 179</t>
        </is>
      </c>
      <c r="B596" s="5" t="n">
        <v>349</v>
      </c>
      <c r="C596" s="6" t="inlineStr">
        <is>
          <t>X</t>
        </is>
      </c>
      <c r="D596" s="5" t="n">
        <v>482</v>
      </c>
      <c r="E596" s="2">
        <f>B596*D596/10000</f>
        <v/>
      </c>
      <c r="F596" s="3">
        <f>B596/30.48</f>
        <v/>
      </c>
      <c r="G596" s="3">
        <f>D596/30.48</f>
        <v/>
      </c>
      <c r="H596" s="36" t="inlineStr">
        <is>
          <t>MCHD-PAC</t>
        </is>
      </c>
      <c r="I596" s="570" t="inlineStr">
        <is>
          <t>Mackenzie Tuite</t>
        </is>
      </c>
      <c r="J596" s="557" t="n"/>
    </row>
    <row r="597" ht="17.25" customFormat="1" customHeight="1" s="1">
      <c r="A597" s="8" t="inlineStr">
        <is>
          <t>C 798</t>
        </is>
      </c>
      <c r="B597" s="5" t="n">
        <v>93</v>
      </c>
      <c r="C597" s="6" t="inlineStr">
        <is>
          <t>X</t>
        </is>
      </c>
      <c r="D597" s="5" t="n">
        <v>325</v>
      </c>
      <c r="E597" s="2">
        <f>B597*D597/10000</f>
        <v/>
      </c>
      <c r="F597" s="3">
        <f>B597/30.48</f>
        <v/>
      </c>
      <c r="G597" s="3">
        <f>D597/30.48</f>
        <v/>
      </c>
      <c r="H597" s="36" t="inlineStr">
        <is>
          <t>MCHD-PAC</t>
        </is>
      </c>
      <c r="I597" s="534" t="inlineStr">
        <is>
          <t>SHARON K DYKSTRA</t>
        </is>
      </c>
      <c r="J597" s="545" t="n"/>
    </row>
    <row r="598" ht="17.25" customFormat="1" customHeight="1" s="1">
      <c r="A598" s="8" t="inlineStr">
        <is>
          <t>C 268</t>
        </is>
      </c>
      <c r="B598" s="5" t="n">
        <v>88</v>
      </c>
      <c r="C598" s="6" t="inlineStr">
        <is>
          <t>X</t>
        </is>
      </c>
      <c r="D598" s="5" t="n">
        <v>267</v>
      </c>
      <c r="E598" s="2">
        <f>B598*D598/10000</f>
        <v/>
      </c>
      <c r="F598" s="3">
        <f>B598/30.48</f>
        <v/>
      </c>
      <c r="G598" s="3">
        <f>D598/30.48</f>
        <v/>
      </c>
      <c r="H598" s="568" t="inlineStr">
        <is>
          <t>MCHD-VR</t>
        </is>
      </c>
      <c r="I598" s="534" t="inlineStr">
        <is>
          <t>Tara Hegg</t>
        </is>
      </c>
      <c r="J598" s="545" t="n"/>
    </row>
    <row r="599" ht="17.25" customFormat="1" customHeight="1" s="1">
      <c r="A599" s="8" t="inlineStr">
        <is>
          <t>C 950</t>
        </is>
      </c>
      <c r="B599" s="5" t="n">
        <v>85</v>
      </c>
      <c r="C599" s="6" t="inlineStr">
        <is>
          <t>X</t>
        </is>
      </c>
      <c r="D599" s="5" t="n">
        <v>317</v>
      </c>
      <c r="E599" s="2">
        <f>B599*D599/10000</f>
        <v/>
      </c>
      <c r="F599" s="3">
        <f>B599/30.48</f>
        <v/>
      </c>
      <c r="G599" s="3">
        <f>D599/30.48</f>
        <v/>
      </c>
      <c r="H599" s="69" t="inlineStr">
        <is>
          <t>MCHD-TR</t>
        </is>
      </c>
      <c r="I599" s="570" t="inlineStr">
        <is>
          <t>Monica Van Zandt</t>
        </is>
      </c>
      <c r="J599" s="557" t="n"/>
    </row>
    <row r="600" ht="17.25" customFormat="1" customHeight="1" s="1">
      <c r="A600" s="8" t="inlineStr">
        <is>
          <t>C 587</t>
        </is>
      </c>
      <c r="B600" s="5" t="n">
        <v>113</v>
      </c>
      <c r="C600" s="6" t="inlineStr">
        <is>
          <t>X</t>
        </is>
      </c>
      <c r="D600" s="5" t="n">
        <v>196</v>
      </c>
      <c r="E600" s="2">
        <f>B600*D600/10000</f>
        <v/>
      </c>
      <c r="F600" s="3">
        <f>B600/30.48</f>
        <v/>
      </c>
      <c r="G600" s="3">
        <f>D600/30.48</f>
        <v/>
      </c>
      <c r="H600" s="36" t="inlineStr">
        <is>
          <t>MCHD-PAC</t>
        </is>
      </c>
      <c r="I600" s="534" t="inlineStr">
        <is>
          <t>Hannah Markham</t>
        </is>
      </c>
      <c r="J600" s="545" t="n"/>
    </row>
    <row r="601" ht="17.25" customFormat="1" customHeight="1" s="1">
      <c r="A601" s="8" t="inlineStr">
        <is>
          <t>C 606</t>
        </is>
      </c>
      <c r="B601" s="5" t="n">
        <v>205</v>
      </c>
      <c r="C601" s="6" t="inlineStr">
        <is>
          <t>X</t>
        </is>
      </c>
      <c r="D601" s="5" t="n">
        <v>294</v>
      </c>
      <c r="E601" s="2">
        <f>B601*D601/10000</f>
        <v/>
      </c>
      <c r="F601" s="3">
        <f>B601/30.48</f>
        <v/>
      </c>
      <c r="G601" s="3">
        <f>D601/30.48</f>
        <v/>
      </c>
      <c r="H601" s="36" t="inlineStr">
        <is>
          <t>MCHD-PAC</t>
        </is>
      </c>
      <c r="I601" s="534" t="inlineStr">
        <is>
          <t>Tracie Spence</t>
        </is>
      </c>
      <c r="J601" s="545" t="inlineStr">
        <is>
          <t>US-949 331 8200</t>
        </is>
      </c>
    </row>
    <row r="602" ht="17.25" customFormat="1" customHeight="1" s="1">
      <c r="A602" s="8" t="inlineStr">
        <is>
          <t>A 130</t>
        </is>
      </c>
      <c r="B602" s="5" t="n">
        <v>84</v>
      </c>
      <c r="C602" s="6" t="inlineStr">
        <is>
          <t>X</t>
        </is>
      </c>
      <c r="D602" s="5" t="n">
        <v>363</v>
      </c>
      <c r="E602" s="2">
        <f>B602*D602/10000</f>
        <v/>
      </c>
      <c r="F602" s="3">
        <f>B602/30.48</f>
        <v/>
      </c>
      <c r="G602" s="3">
        <f>D602/30.48</f>
        <v/>
      </c>
      <c r="H602" s="69" t="inlineStr">
        <is>
          <t>MCHD-TR</t>
        </is>
      </c>
      <c r="I602" s="534" t="inlineStr">
        <is>
          <t>Aly Currey</t>
        </is>
      </c>
      <c r="J602" s="545" t="inlineStr">
        <is>
          <t>US-310 968 3387</t>
        </is>
      </c>
      <c r="K602" t="inlineStr">
        <is>
          <t xml:space="preserve"> </t>
        </is>
      </c>
    </row>
    <row r="603" ht="17.25" customFormat="1" customHeight="1" s="1">
      <c r="A603" s="8" t="inlineStr">
        <is>
          <t>A 64</t>
        </is>
      </c>
      <c r="B603" s="5" t="n">
        <v>82</v>
      </c>
      <c r="C603" s="6" t="inlineStr">
        <is>
          <t>X</t>
        </is>
      </c>
      <c r="D603" s="5" t="n">
        <v>278</v>
      </c>
      <c r="E603" s="2">
        <f>B603*D603/10000</f>
        <v/>
      </c>
      <c r="F603" s="3">
        <f>B603/30.48</f>
        <v/>
      </c>
      <c r="G603" s="3">
        <f>D603/30.48</f>
        <v/>
      </c>
      <c r="H603" s="69" t="inlineStr">
        <is>
          <t>MCHD-TR</t>
        </is>
      </c>
      <c r="I603" s="534" t="inlineStr">
        <is>
          <t>Mary Williams</t>
        </is>
      </c>
      <c r="J603" s="545" t="n"/>
    </row>
    <row r="604" ht="17.25" customFormat="1" customHeight="1" s="1">
      <c r="A604" s="8" t="n">
        <v>69</v>
      </c>
      <c r="B604" s="5" t="n">
        <v>84</v>
      </c>
      <c r="C604" s="6" t="inlineStr">
        <is>
          <t>X</t>
        </is>
      </c>
      <c r="D604" s="5" t="n">
        <v>50</v>
      </c>
      <c r="E604" s="2">
        <f>B604*D604/10000</f>
        <v/>
      </c>
      <c r="F604" s="3">
        <f>B604/30.48</f>
        <v/>
      </c>
      <c r="G604" s="3">
        <f>D604/30.48</f>
        <v/>
      </c>
      <c r="H604" s="569" t="inlineStr">
        <is>
          <t>MCHD-OLD</t>
        </is>
      </c>
      <c r="I604" s="570" t="inlineStr">
        <is>
          <t>Megan Schertel</t>
        </is>
      </c>
      <c r="J604" s="557" t="inlineStr">
        <is>
          <t>US-517 990 2712</t>
        </is>
      </c>
    </row>
    <row r="605" ht="17.25" customFormat="1" customHeight="1" s="1">
      <c r="A605" s="8" t="inlineStr">
        <is>
          <t>C 271</t>
        </is>
      </c>
      <c r="B605" s="5" t="n">
        <v>86</v>
      </c>
      <c r="C605" s="6" t="inlineStr">
        <is>
          <t>X</t>
        </is>
      </c>
      <c r="D605" s="5" t="n">
        <v>340</v>
      </c>
      <c r="E605" s="2">
        <f>B605*D605/10000</f>
        <v/>
      </c>
      <c r="F605" s="3">
        <f>B605/30.48</f>
        <v/>
      </c>
      <c r="G605" s="3">
        <f>D605/30.48</f>
        <v/>
      </c>
      <c r="H605" s="69" t="inlineStr">
        <is>
          <t>MCHD-TR</t>
        </is>
      </c>
      <c r="I605" s="570" t="inlineStr">
        <is>
          <t>Meredith Akerlind</t>
        </is>
      </c>
      <c r="J605" s="557" t="inlineStr">
        <is>
          <t>US-860 228 1210</t>
        </is>
      </c>
    </row>
    <row r="606" ht="17.25" customFormat="1" customHeight="1" s="1">
      <c r="A606" s="8" t="inlineStr">
        <is>
          <t>C 914</t>
        </is>
      </c>
      <c r="B606" s="5" t="n">
        <v>86</v>
      </c>
      <c r="C606" s="6" t="inlineStr">
        <is>
          <t>X</t>
        </is>
      </c>
      <c r="D606" s="5" t="n">
        <v>288</v>
      </c>
      <c r="E606" s="2">
        <f>B606*D606/10000</f>
        <v/>
      </c>
      <c r="F606" s="3">
        <f>B606/30.48</f>
        <v/>
      </c>
      <c r="G606" s="3">
        <f>D606/30.48</f>
        <v/>
      </c>
      <c r="H606" s="36" t="inlineStr">
        <is>
          <t>MCHD-PAC</t>
        </is>
      </c>
      <c r="I606" s="534" t="inlineStr">
        <is>
          <t>windermere</t>
        </is>
      </c>
      <c r="J606" s="545" t="inlineStr">
        <is>
          <t>US-415 686 2940</t>
        </is>
      </c>
    </row>
    <row r="607" ht="17.25" customFormat="1" customHeight="1" s="1">
      <c r="A607" s="8" t="inlineStr">
        <is>
          <t>A 200</t>
        </is>
      </c>
      <c r="B607" s="5" t="n">
        <v>286</v>
      </c>
      <c r="C607" s="6" t="inlineStr">
        <is>
          <t>X</t>
        </is>
      </c>
      <c r="D607" s="5" t="n">
        <v>395</v>
      </c>
      <c r="E607" s="2">
        <f>B607*D607/10000</f>
        <v/>
      </c>
      <c r="F607" s="3">
        <f>B607/30.48</f>
        <v/>
      </c>
      <c r="G607" s="3">
        <f>D607/30.48</f>
        <v/>
      </c>
      <c r="H607" s="36" t="inlineStr">
        <is>
          <t>MCHD-PAC</t>
        </is>
      </c>
      <c r="I607" s="570" t="inlineStr">
        <is>
          <t>Stephanie Maley</t>
        </is>
      </c>
      <c r="J607" s="557" t="inlineStr">
        <is>
          <t>US-601 953 1396</t>
        </is>
      </c>
    </row>
    <row r="608" ht="17.25" customFormat="1" customHeight="1" s="1">
      <c r="A608" s="8" t="inlineStr">
        <is>
          <t>C 494</t>
        </is>
      </c>
      <c r="B608" s="5" t="n">
        <v>88</v>
      </c>
      <c r="C608" s="6" t="inlineStr">
        <is>
          <t>X</t>
        </is>
      </c>
      <c r="D608" s="5" t="n">
        <v>177</v>
      </c>
      <c r="E608" s="2">
        <f>B608*D608/10000</f>
        <v/>
      </c>
      <c r="F608" s="3">
        <f>B608/30.48</f>
        <v/>
      </c>
      <c r="G608" s="3">
        <f>D608/30.48</f>
        <v/>
      </c>
      <c r="H608" s="569" t="inlineStr">
        <is>
          <t>MCHD-OLD</t>
        </is>
      </c>
      <c r="I608" s="570" t="inlineStr">
        <is>
          <t>MEGAN MARCHI</t>
        </is>
      </c>
      <c r="J608" s="557" t="inlineStr">
        <is>
          <t>US-573 450 7524</t>
        </is>
      </c>
    </row>
    <row r="609" ht="17.25" customFormat="1" customHeight="1" s="1">
      <c r="A609" s="8" t="inlineStr">
        <is>
          <t>C 867</t>
        </is>
      </c>
      <c r="B609" s="5" t="n">
        <v>78</v>
      </c>
      <c r="C609" s="6" t="inlineStr">
        <is>
          <t>X</t>
        </is>
      </c>
      <c r="D609" s="5" t="n">
        <v>180</v>
      </c>
      <c r="E609" s="2">
        <f>B609*D609/10000</f>
        <v/>
      </c>
      <c r="F609" s="3">
        <f>B609/30.48</f>
        <v/>
      </c>
      <c r="G609" s="3">
        <f>D609/30.48</f>
        <v/>
      </c>
      <c r="H609" s="69" t="inlineStr">
        <is>
          <t>MCHD-TR</t>
        </is>
      </c>
      <c r="I609" s="570" t="inlineStr">
        <is>
          <t>Katherine Griffin</t>
        </is>
      </c>
      <c r="J609" s="557" t="inlineStr">
        <is>
          <t>US-607 426 5226</t>
        </is>
      </c>
    </row>
    <row r="610" ht="17.25" customFormat="1" customHeight="1" s="1">
      <c r="A610" s="8" t="inlineStr">
        <is>
          <t>C 675</t>
        </is>
      </c>
      <c r="B610" s="5" t="n">
        <v>84</v>
      </c>
      <c r="C610" s="6" t="inlineStr">
        <is>
          <t>X</t>
        </is>
      </c>
      <c r="D610" s="5" t="n">
        <v>319</v>
      </c>
      <c r="E610" s="2">
        <f>B610*D610/10000</f>
        <v/>
      </c>
      <c r="F610" s="3">
        <f>B610/30.48</f>
        <v/>
      </c>
      <c r="G610" s="3">
        <f>D610/30.48</f>
        <v/>
      </c>
      <c r="H610" s="568" t="inlineStr">
        <is>
          <t>MCHD-VR</t>
        </is>
      </c>
      <c r="I610" s="570" t="inlineStr">
        <is>
          <t>Kristen Williams</t>
        </is>
      </c>
      <c r="J610" s="557" t="n"/>
    </row>
    <row r="611">
      <c r="A611" s="536" t="inlineStr">
        <is>
          <t>-2023 ŞUBAT-56</t>
        </is>
      </c>
      <c r="H611" s="62" t="inlineStr">
        <is>
          <t>SATAN-SİTE</t>
        </is>
      </c>
      <c r="I611" s="19" t="inlineStr">
        <is>
          <t>MÜŞTERİ ADI</t>
        </is>
      </c>
      <c r="J611" s="63" t="inlineStr">
        <is>
          <t>MÜŞTERİ İLETİŞİM &amp; ÜLKE</t>
        </is>
      </c>
    </row>
    <row r="612" ht="17.25" customFormat="1" customHeight="1" s="1">
      <c r="A612" s="8" t="inlineStr">
        <is>
          <t>C 288</t>
        </is>
      </c>
      <c r="B612" s="5" t="n">
        <v>432</v>
      </c>
      <c r="C612" s="6" t="inlineStr">
        <is>
          <t>X</t>
        </is>
      </c>
      <c r="D612" s="5" t="n">
        <v>78</v>
      </c>
      <c r="E612" s="2">
        <f>B612*D612/10000</f>
        <v/>
      </c>
      <c r="F612" s="3">
        <f>B612/30.48</f>
        <v/>
      </c>
      <c r="G612" s="3">
        <f>D612/30.48</f>
        <v/>
      </c>
      <c r="H612" s="18" t="inlineStr">
        <is>
          <t>MCHD-TH</t>
        </is>
      </c>
      <c r="I612" s="534" t="inlineStr">
        <is>
          <t>Julie Norman</t>
        </is>
      </c>
      <c r="J612" s="545" t="n"/>
    </row>
    <row r="613" ht="17.25" customFormat="1" customHeight="1" s="1">
      <c r="A613" s="8" t="inlineStr">
        <is>
          <t>C 730</t>
        </is>
      </c>
      <c r="B613" s="5" t="n">
        <v>186</v>
      </c>
      <c r="C613" s="6" t="inlineStr">
        <is>
          <t>X</t>
        </is>
      </c>
      <c r="D613" s="5" t="n">
        <v>271</v>
      </c>
      <c r="E613" s="2">
        <f>B613*D613/10000</f>
        <v/>
      </c>
      <c r="F613" s="3">
        <f>B613/30.48</f>
        <v/>
      </c>
      <c r="G613" s="3">
        <f>D613/30.48</f>
        <v/>
      </c>
      <c r="H613" s="69" t="inlineStr">
        <is>
          <t>MCHD-TR</t>
        </is>
      </c>
      <c r="I613" s="570" t="inlineStr">
        <is>
          <t>Herrington Jones Interiors</t>
        </is>
      </c>
      <c r="J613" s="557" t="n"/>
    </row>
    <row r="614" ht="17.25" customFormat="1" customHeight="1" s="1">
      <c r="A614" s="8" t="inlineStr">
        <is>
          <t>C 981</t>
        </is>
      </c>
      <c r="B614" s="5" t="n">
        <v>48</v>
      </c>
      <c r="C614" s="6" t="inlineStr">
        <is>
          <t>X</t>
        </is>
      </c>
      <c r="D614" s="5" t="n">
        <v>141</v>
      </c>
      <c r="E614" s="2">
        <f>B614*D614/10000</f>
        <v/>
      </c>
      <c r="F614" s="3">
        <f>B614/30.48</f>
        <v/>
      </c>
      <c r="G614" s="3">
        <f>D614/30.48</f>
        <v/>
      </c>
      <c r="H614" s="66" t="inlineStr">
        <is>
          <t>MCHD-TR</t>
        </is>
      </c>
      <c r="I614" s="534" t="inlineStr">
        <is>
          <t>Wendy Baker</t>
        </is>
      </c>
      <c r="J614" s="557" t="n"/>
    </row>
    <row r="615" ht="17.25" customFormat="1" customHeight="1" s="1">
      <c r="A615" s="8" t="inlineStr">
        <is>
          <t>A 34</t>
        </is>
      </c>
      <c r="B615" s="5" t="n">
        <v>63</v>
      </c>
      <c r="C615" s="6" t="inlineStr">
        <is>
          <t>X</t>
        </is>
      </c>
      <c r="D615" s="5" t="n">
        <v>150</v>
      </c>
      <c r="E615" s="2">
        <f>B615*D615/10000</f>
        <v/>
      </c>
      <c r="F615" s="3">
        <f>B615/30.48</f>
        <v/>
      </c>
      <c r="G615" s="3">
        <f>D615/30.48</f>
        <v/>
      </c>
      <c r="H615" s="694" t="n"/>
      <c r="I615" s="693" t="n"/>
      <c r="J615" s="545" t="n"/>
    </row>
    <row r="616" ht="17.25" customFormat="1" customHeight="1" s="1">
      <c r="A616" s="8" t="inlineStr">
        <is>
          <t>A 99</t>
        </is>
      </c>
      <c r="B616" s="5" t="n">
        <v>85</v>
      </c>
      <c r="C616" s="72" t="inlineStr">
        <is>
          <t>X</t>
        </is>
      </c>
      <c r="D616" s="5" t="n">
        <v>307</v>
      </c>
      <c r="E616" s="73">
        <f>B616*D616/10000</f>
        <v/>
      </c>
      <c r="F616" s="74">
        <f>B616/30.48</f>
        <v/>
      </c>
      <c r="G616" s="74">
        <f>D616/30.48</f>
        <v/>
      </c>
      <c r="H616" s="594" t="inlineStr">
        <is>
          <t>MCHD-TR</t>
        </is>
      </c>
      <c r="I616" s="92" t="inlineStr">
        <is>
          <t>MADISON BEER</t>
        </is>
      </c>
      <c r="J616" s="545" t="n"/>
    </row>
    <row r="617" ht="17.25" customFormat="1" customHeight="1" s="1">
      <c r="A617" s="8" t="inlineStr">
        <is>
          <t>KN 70</t>
        </is>
      </c>
      <c r="B617" s="5" t="n">
        <v>287</v>
      </c>
      <c r="C617" s="6" t="inlineStr">
        <is>
          <t>X</t>
        </is>
      </c>
      <c r="D617" s="5" t="n">
        <v>385</v>
      </c>
      <c r="E617" s="2">
        <f>B617*D617/10000</f>
        <v/>
      </c>
      <c r="F617" s="3">
        <f>B617/30.48</f>
        <v/>
      </c>
      <c r="G617" s="3">
        <f>D617/30.48</f>
        <v/>
      </c>
      <c r="H617" s="36" t="inlineStr">
        <is>
          <t>MCHD-PAC</t>
        </is>
      </c>
      <c r="I617" s="570" t="inlineStr">
        <is>
          <t>Alexandra Hurst</t>
        </is>
      </c>
      <c r="J617" s="557" t="n"/>
    </row>
    <row r="618" ht="17.25" customFormat="1" customHeight="1" s="1">
      <c r="A618" s="8" t="inlineStr">
        <is>
          <t>A 188</t>
        </is>
      </c>
      <c r="B618" s="5" t="n">
        <v>288</v>
      </c>
      <c r="C618" s="6" t="inlineStr">
        <is>
          <t>X</t>
        </is>
      </c>
      <c r="D618" s="5" t="n">
        <v>386</v>
      </c>
      <c r="E618" s="2">
        <f>B618*D618/10000</f>
        <v/>
      </c>
      <c r="F618" s="3">
        <f>B618/30.48</f>
        <v/>
      </c>
      <c r="G618" s="3">
        <f>D618/30.48</f>
        <v/>
      </c>
      <c r="H618" s="36" t="inlineStr">
        <is>
          <t>MCHD-PAC</t>
        </is>
      </c>
      <c r="I618" s="570" t="inlineStr">
        <is>
          <t>Jonathan Parkey</t>
        </is>
      </c>
      <c r="J618" s="557" t="n"/>
    </row>
    <row r="619" ht="17.25" customFormat="1" customHeight="1" s="1">
      <c r="A619" s="8" t="inlineStr">
        <is>
          <t>C 713</t>
        </is>
      </c>
      <c r="B619" s="5" t="n">
        <v>75</v>
      </c>
      <c r="C619" s="6" t="inlineStr">
        <is>
          <t>X</t>
        </is>
      </c>
      <c r="D619" s="5" t="n">
        <v>293</v>
      </c>
      <c r="E619" s="2">
        <f>B619*D619/10000</f>
        <v/>
      </c>
      <c r="F619" s="3">
        <f>B619/30.48</f>
        <v/>
      </c>
      <c r="G619" s="3">
        <f>D619/30.48</f>
        <v/>
      </c>
      <c r="H619" s="36" t="inlineStr">
        <is>
          <t>MCHD-PAC</t>
        </is>
      </c>
      <c r="I619" s="570" t="inlineStr">
        <is>
          <t>JESSIE DUMARESQ</t>
        </is>
      </c>
      <c r="J619" s="557" t="n"/>
    </row>
    <row r="620" ht="17.25" customFormat="1" customHeight="1" s="1">
      <c r="A620" s="8" t="inlineStr">
        <is>
          <t>A 201</t>
        </is>
      </c>
      <c r="B620" s="5" t="n">
        <v>304</v>
      </c>
      <c r="C620" s="6" t="inlineStr">
        <is>
          <t>X</t>
        </is>
      </c>
      <c r="D620" s="5" t="n">
        <v>394</v>
      </c>
      <c r="E620" s="2">
        <f>B620*D620/10000</f>
        <v/>
      </c>
      <c r="F620" s="3">
        <f>B620/30.48</f>
        <v/>
      </c>
      <c r="G620" s="3">
        <f>D620/30.48</f>
        <v/>
      </c>
      <c r="H620" s="36" t="inlineStr">
        <is>
          <t>MCHD-PAC</t>
        </is>
      </c>
      <c r="I620" s="570" t="inlineStr">
        <is>
          <t>Cara Vendeville</t>
        </is>
      </c>
      <c r="J620" s="557" t="n"/>
    </row>
    <row r="621" ht="17.25" customFormat="1" customHeight="1" s="1">
      <c r="A621" s="8" t="inlineStr">
        <is>
          <t>A 199</t>
        </is>
      </c>
      <c r="B621" s="5" t="n">
        <v>312</v>
      </c>
      <c r="C621" s="6" t="inlineStr">
        <is>
          <t>X</t>
        </is>
      </c>
      <c r="D621" s="5" t="n">
        <v>386</v>
      </c>
      <c r="E621" s="2">
        <f>B621*D621/10000</f>
        <v/>
      </c>
      <c r="F621" s="3">
        <f>B621/30.48</f>
        <v/>
      </c>
      <c r="G621" s="3">
        <f>D621/30.48</f>
        <v/>
      </c>
      <c r="H621" s="36" t="inlineStr">
        <is>
          <t>MCHD-PAC</t>
        </is>
      </c>
      <c r="I621" s="570" t="inlineStr">
        <is>
          <t>Casie O'Quinn Twain Capital</t>
        </is>
      </c>
      <c r="J621" s="557" t="n"/>
    </row>
    <row r="622" ht="17.25" customFormat="1" customHeight="1" s="1">
      <c r="A622" s="8" t="inlineStr">
        <is>
          <t>C 778</t>
        </is>
      </c>
      <c r="B622" s="5" t="n">
        <v>474</v>
      </c>
      <c r="C622" s="6" t="inlineStr">
        <is>
          <t>X</t>
        </is>
      </c>
      <c r="D622" s="5" t="n">
        <v>330</v>
      </c>
      <c r="E622" s="2">
        <f>B622*D622/10000</f>
        <v/>
      </c>
      <c r="F622" s="3">
        <f>B622/30.48</f>
        <v/>
      </c>
      <c r="G622" s="3">
        <f>D622/30.48</f>
        <v/>
      </c>
      <c r="H622" s="36" t="inlineStr">
        <is>
          <t>MCHD-PAC</t>
        </is>
      </c>
      <c r="I622" s="570" t="inlineStr">
        <is>
          <t>Stacy Graubart</t>
        </is>
      </c>
      <c r="J622" s="557" t="inlineStr">
        <is>
          <t>US-713 204 4655</t>
        </is>
      </c>
    </row>
    <row r="623" ht="17.25" customFormat="1" customHeight="1" s="1">
      <c r="A623" s="8" t="inlineStr">
        <is>
          <t>A 192</t>
        </is>
      </c>
      <c r="B623" s="5" t="n">
        <v>299</v>
      </c>
      <c r="C623" s="6" t="inlineStr">
        <is>
          <t>X</t>
        </is>
      </c>
      <c r="D623" s="5" t="n">
        <v>395</v>
      </c>
      <c r="E623" s="2">
        <f>B623*D623/10000</f>
        <v/>
      </c>
      <c r="F623" s="3">
        <f>B623/30.48</f>
        <v/>
      </c>
      <c r="G623" s="3">
        <f>D623/30.48</f>
        <v/>
      </c>
      <c r="H623" s="36" t="inlineStr">
        <is>
          <t>MCHD-PAC</t>
        </is>
      </c>
      <c r="I623" s="570" t="inlineStr">
        <is>
          <t>Whitney Merritt</t>
        </is>
      </c>
      <c r="J623" s="557" t="inlineStr">
        <is>
          <t>US-734 812 4044</t>
        </is>
      </c>
    </row>
    <row r="624" ht="17.25" customFormat="1" customHeight="1" s="1">
      <c r="A624" s="8" t="inlineStr">
        <is>
          <t>C 115</t>
        </is>
      </c>
      <c r="B624" s="5" t="n">
        <v>334</v>
      </c>
      <c r="C624" s="6" t="inlineStr">
        <is>
          <t>X</t>
        </is>
      </c>
      <c r="D624" s="5" t="n">
        <v>127</v>
      </c>
      <c r="E624" s="2">
        <f>B624*D624/10000</f>
        <v/>
      </c>
      <c r="F624" s="3">
        <f>B624/30.48</f>
        <v/>
      </c>
      <c r="G624" s="3">
        <f>D624/30.48</f>
        <v/>
      </c>
      <c r="H624" s="36" t="inlineStr">
        <is>
          <t>MCHD-PAC</t>
        </is>
      </c>
      <c r="I624" s="570" t="inlineStr">
        <is>
          <t>Adrian Holmes</t>
        </is>
      </c>
      <c r="J624" s="557" t="n"/>
    </row>
    <row r="625" ht="17.25" customFormat="1" customHeight="1" s="1">
      <c r="A625" s="8" t="inlineStr">
        <is>
          <t>H 213</t>
        </is>
      </c>
      <c r="B625" s="5" t="n">
        <v>80</v>
      </c>
      <c r="C625" s="6" t="inlineStr">
        <is>
          <t>X</t>
        </is>
      </c>
      <c r="D625" s="5" t="n">
        <v>296</v>
      </c>
      <c r="E625" s="2">
        <f>B625*D625/10000</f>
        <v/>
      </c>
      <c r="F625" s="3">
        <f>B625/30.48</f>
        <v/>
      </c>
      <c r="G625" s="3">
        <f>D625/30.48</f>
        <v/>
      </c>
      <c r="H625" s="594" t="inlineStr">
        <is>
          <t>MCHD-TR</t>
        </is>
      </c>
      <c r="I625" s="570" t="inlineStr">
        <is>
          <t>Karen Larsen</t>
        </is>
      </c>
      <c r="J625" s="557" t="inlineStr">
        <is>
          <t>US-801 548 3347</t>
        </is>
      </c>
    </row>
    <row r="626" ht="17.25" customFormat="1" customHeight="1" s="1">
      <c r="A626" s="8" t="inlineStr">
        <is>
          <t>Y 288</t>
        </is>
      </c>
      <c r="B626" s="5" t="n">
        <v>379</v>
      </c>
      <c r="C626" s="6" t="inlineStr">
        <is>
          <t>X</t>
        </is>
      </c>
      <c r="D626" s="5" t="n">
        <v>94</v>
      </c>
      <c r="E626" s="2">
        <f>B626*D626/10000</f>
        <v/>
      </c>
      <c r="F626" s="3">
        <f>B626/30.48</f>
        <v/>
      </c>
      <c r="G626" s="3">
        <f>D626/30.48</f>
        <v/>
      </c>
      <c r="H626" s="594" t="inlineStr">
        <is>
          <t>MCHD-TR</t>
        </is>
      </c>
      <c r="I626" s="570" t="inlineStr">
        <is>
          <t>Cassie Morgan</t>
        </is>
      </c>
      <c r="J626" s="557" t="inlineStr">
        <is>
          <t>US-409 673 6358</t>
        </is>
      </c>
    </row>
    <row r="627" ht="17.25" customFormat="1" customHeight="1" s="1">
      <c r="A627" s="8" t="inlineStr">
        <is>
          <t>C 339</t>
        </is>
      </c>
      <c r="B627" s="5" t="n">
        <v>72</v>
      </c>
      <c r="C627" s="6" t="inlineStr">
        <is>
          <t>X</t>
        </is>
      </c>
      <c r="D627" s="5" t="n">
        <v>267</v>
      </c>
      <c r="E627" s="2">
        <f>B627*D627/10000</f>
        <v/>
      </c>
      <c r="F627" s="3">
        <f>B627/30.48</f>
        <v/>
      </c>
      <c r="G627" s="3">
        <f>D627/30.48</f>
        <v/>
      </c>
      <c r="H627" s="594" t="inlineStr">
        <is>
          <t>MCHD-TR</t>
        </is>
      </c>
      <c r="I627" s="570" t="inlineStr">
        <is>
          <t>kathleen Evans Lim</t>
        </is>
      </c>
      <c r="J627" s="557" t="inlineStr">
        <is>
          <t>US-248 797 4521</t>
        </is>
      </c>
    </row>
    <row r="628" ht="17.25" customFormat="1" customHeight="1" s="1">
      <c r="A628" s="8" t="inlineStr">
        <is>
          <t>C 739</t>
        </is>
      </c>
      <c r="B628" s="5" t="n">
        <v>91</v>
      </c>
      <c r="C628" s="6" t="inlineStr">
        <is>
          <t>X</t>
        </is>
      </c>
      <c r="D628" s="5" t="n">
        <v>278</v>
      </c>
      <c r="E628" s="2">
        <f>B628*D628/10000</f>
        <v/>
      </c>
      <c r="F628" s="3">
        <f>B628/30.48</f>
        <v/>
      </c>
      <c r="G628" s="3">
        <f>D628/30.48</f>
        <v/>
      </c>
      <c r="H628" s="594" t="inlineStr">
        <is>
          <t>MCHD-TR</t>
        </is>
      </c>
      <c r="I628" s="570" t="inlineStr">
        <is>
          <t>Tiffany Levine</t>
        </is>
      </c>
      <c r="J628" s="557" t="inlineStr">
        <is>
          <t>US-310 729 0510</t>
        </is>
      </c>
    </row>
    <row r="629" ht="17.25" customFormat="1" customHeight="1" s="1">
      <c r="A629" s="8" t="inlineStr">
        <is>
          <t>C 786</t>
        </is>
      </c>
      <c r="B629" s="5" t="n">
        <v>75</v>
      </c>
      <c r="C629" s="6" t="inlineStr">
        <is>
          <t>X</t>
        </is>
      </c>
      <c r="D629" s="5" t="n">
        <v>127</v>
      </c>
      <c r="E629" s="2">
        <f>B629*D629/10000</f>
        <v/>
      </c>
      <c r="F629" s="3">
        <f>B629/30.48</f>
        <v/>
      </c>
      <c r="G629" s="3">
        <f>D629/30.48</f>
        <v/>
      </c>
      <c r="H629" s="594" t="inlineStr">
        <is>
          <t>MCHD-TR</t>
        </is>
      </c>
      <c r="I629" s="570" t="inlineStr">
        <is>
          <t>Tina Gregus</t>
        </is>
      </c>
      <c r="J629" s="557" t="n"/>
    </row>
    <row r="630" ht="17.25" customFormat="1" customHeight="1" s="1">
      <c r="A630" s="8" t="inlineStr">
        <is>
          <t>A 25</t>
        </is>
      </c>
      <c r="B630" s="5" t="n">
        <v>97</v>
      </c>
      <c r="C630" s="6" t="inlineStr">
        <is>
          <t>X</t>
        </is>
      </c>
      <c r="D630" s="5" t="n">
        <v>148</v>
      </c>
      <c r="E630" s="2">
        <f>B630*D630/10000</f>
        <v/>
      </c>
      <c r="F630" s="3">
        <f>B630/30.48</f>
        <v/>
      </c>
      <c r="G630" s="3">
        <f>D630/30.48</f>
        <v/>
      </c>
      <c r="H630" s="594" t="inlineStr">
        <is>
          <t>MCHD-TR</t>
        </is>
      </c>
      <c r="I630" s="570" t="inlineStr">
        <is>
          <t>Jill Cannella</t>
        </is>
      </c>
      <c r="J630" s="557" t="n"/>
    </row>
    <row r="631" ht="17.25" customFormat="1" customHeight="1" s="1">
      <c r="A631" s="8" t="inlineStr">
        <is>
          <t>C 297</t>
        </is>
      </c>
      <c r="B631" s="5" t="n">
        <v>136</v>
      </c>
      <c r="C631" s="6" t="inlineStr">
        <is>
          <t>X</t>
        </is>
      </c>
      <c r="D631" s="5" t="n">
        <v>225</v>
      </c>
      <c r="E631" s="2">
        <f>B631*D631/10000</f>
        <v/>
      </c>
      <c r="F631" s="3">
        <f>B631/30.48</f>
        <v/>
      </c>
      <c r="G631" s="3">
        <f>D631/30.48</f>
        <v/>
      </c>
      <c r="H631" s="594" t="inlineStr">
        <is>
          <t>MCHD-TR</t>
        </is>
      </c>
      <c r="I631" s="570" t="inlineStr">
        <is>
          <t>Life Storage JLV MELVILLE</t>
        </is>
      </c>
      <c r="J631" s="557" t="inlineStr">
        <is>
          <t>US-843 564 2101</t>
        </is>
      </c>
    </row>
    <row r="632" ht="17.25" customFormat="1" customHeight="1" s="1">
      <c r="A632" s="8" t="inlineStr">
        <is>
          <t>A 59</t>
        </is>
      </c>
      <c r="B632" s="5" t="n">
        <v>86</v>
      </c>
      <c r="C632" s="6" t="inlineStr">
        <is>
          <t>X</t>
        </is>
      </c>
      <c r="D632" s="5" t="n">
        <v>225</v>
      </c>
      <c r="E632" s="2">
        <f>B632*D632/10000</f>
        <v/>
      </c>
      <c r="F632" s="3">
        <f>B632/30.48</f>
        <v/>
      </c>
      <c r="G632" s="3">
        <f>D632/30.48</f>
        <v/>
      </c>
      <c r="H632" s="594" t="inlineStr">
        <is>
          <t>MCHD-TR</t>
        </is>
      </c>
      <c r="I632" s="570" t="inlineStr">
        <is>
          <t>KRISTA THOMAS</t>
        </is>
      </c>
      <c r="J632" s="557" t="n"/>
    </row>
    <row r="633" ht="17.25" customFormat="1" customHeight="1" s="1">
      <c r="A633" s="8" t="n">
        <v>1002</v>
      </c>
      <c r="B633" s="5" t="n">
        <v>96</v>
      </c>
      <c r="C633" s="72" t="inlineStr">
        <is>
          <t>X</t>
        </is>
      </c>
      <c r="D633" s="5" t="n">
        <v>253</v>
      </c>
      <c r="E633" s="73">
        <f>B633*D633/10000</f>
        <v/>
      </c>
      <c r="F633" s="74">
        <f>B633/30.48</f>
        <v/>
      </c>
      <c r="G633" s="74">
        <f>D633/30.48</f>
        <v/>
      </c>
      <c r="H633" s="569" t="inlineStr">
        <is>
          <t>MCHD-OLD</t>
        </is>
      </c>
      <c r="I633" s="570" t="inlineStr">
        <is>
          <t>erin diegel</t>
        </is>
      </c>
      <c r="J633" s="557" t="n"/>
    </row>
    <row r="634" ht="17.25" customFormat="1" customHeight="1" s="1">
      <c r="A634" s="8" t="inlineStr">
        <is>
          <t>C 209</t>
        </is>
      </c>
      <c r="B634" s="5" t="n">
        <v>370</v>
      </c>
      <c r="C634" s="6" t="inlineStr">
        <is>
          <t>X</t>
        </is>
      </c>
      <c r="D634" s="5" t="n">
        <v>90</v>
      </c>
      <c r="E634" s="2">
        <f>B634*D634/10000</f>
        <v/>
      </c>
      <c r="F634" s="3">
        <f>B634/30.48</f>
        <v/>
      </c>
      <c r="G634" s="3">
        <f>D634/30.48</f>
        <v/>
      </c>
      <c r="H634" s="569" t="inlineStr">
        <is>
          <t>MCHD-OLD</t>
        </is>
      </c>
      <c r="I634" s="570" t="inlineStr">
        <is>
          <t>Sandra Bradford</t>
        </is>
      </c>
      <c r="J634" s="557" t="inlineStr">
        <is>
          <t>US-619 307 3161</t>
        </is>
      </c>
    </row>
    <row r="635" ht="17.25" customFormat="1" customHeight="1" s="1">
      <c r="A635" s="8" t="n">
        <v>108</v>
      </c>
      <c r="B635" s="5" t="n">
        <v>84</v>
      </c>
      <c r="C635" s="6" t="inlineStr">
        <is>
          <t>X</t>
        </is>
      </c>
      <c r="D635" s="5" t="n">
        <v>48</v>
      </c>
      <c r="E635" s="2">
        <f>B635*D635/10000</f>
        <v/>
      </c>
      <c r="F635" s="3">
        <f>B635/30.48</f>
        <v/>
      </c>
      <c r="G635" s="3">
        <f>D635/30.48</f>
        <v/>
      </c>
      <c r="H635" s="569" t="inlineStr">
        <is>
          <t>MCHD-OLD</t>
        </is>
      </c>
      <c r="I635" s="570" t="inlineStr">
        <is>
          <t>Ty Newell</t>
        </is>
      </c>
      <c r="J635" s="557" t="n"/>
    </row>
    <row r="636" ht="17.25" customFormat="1" customHeight="1" s="1">
      <c r="A636" s="8" t="inlineStr">
        <is>
          <t>C 891</t>
        </is>
      </c>
      <c r="B636" s="5" t="n">
        <v>88</v>
      </c>
      <c r="C636" s="6" t="inlineStr">
        <is>
          <t>X</t>
        </is>
      </c>
      <c r="D636" s="5" t="n">
        <v>308</v>
      </c>
      <c r="E636" s="2">
        <f>B636*D636/10000</f>
        <v/>
      </c>
      <c r="F636" s="3">
        <f>B636/30.48</f>
        <v/>
      </c>
      <c r="G636" s="3">
        <f>D636/30.48</f>
        <v/>
      </c>
      <c r="H636" s="36" t="inlineStr">
        <is>
          <t>MCHD-PAC</t>
        </is>
      </c>
      <c r="I636" s="570" t="inlineStr">
        <is>
          <t>Jeff Woudenberg</t>
        </is>
      </c>
      <c r="J636" s="557" t="n"/>
    </row>
    <row r="637" ht="17.25" customFormat="1" customHeight="1" s="1">
      <c r="A637" s="8" t="inlineStr">
        <is>
          <t>C 794</t>
        </is>
      </c>
      <c r="B637" s="5" t="n">
        <v>83</v>
      </c>
      <c r="C637" s="6" t="inlineStr">
        <is>
          <t>X</t>
        </is>
      </c>
      <c r="D637" s="5" t="n">
        <v>308</v>
      </c>
      <c r="E637" s="2">
        <f>B637*D637/10000</f>
        <v/>
      </c>
      <c r="F637" s="3">
        <f>B637/30.48</f>
        <v/>
      </c>
      <c r="G637" s="3">
        <f>D637/30.48</f>
        <v/>
      </c>
      <c r="H637" s="568" t="inlineStr">
        <is>
          <t>MCHD-VR</t>
        </is>
      </c>
      <c r="I637" s="570" t="inlineStr">
        <is>
          <t>erin diegel</t>
        </is>
      </c>
      <c r="J637" s="557" t="n"/>
    </row>
    <row r="638" ht="17.25" customFormat="1" customHeight="1" s="1">
      <c r="A638" s="8" t="inlineStr">
        <is>
          <t>C 704</t>
        </is>
      </c>
      <c r="B638" s="5" t="n">
        <v>81</v>
      </c>
      <c r="C638" s="6" t="inlineStr">
        <is>
          <t>X</t>
        </is>
      </c>
      <c r="D638" s="5" t="n">
        <v>152</v>
      </c>
      <c r="E638" s="2">
        <f>B638*D638/10000</f>
        <v/>
      </c>
      <c r="F638" s="3">
        <f>B638/30.48</f>
        <v/>
      </c>
      <c r="G638" s="3">
        <f>D638/30.48</f>
        <v/>
      </c>
      <c r="H638" s="568" t="inlineStr">
        <is>
          <t>MCHD-VR</t>
        </is>
      </c>
      <c r="I638" s="570" t="inlineStr">
        <is>
          <t>Elizabeth Little</t>
        </is>
      </c>
      <c r="J638" s="557" t="n"/>
    </row>
    <row r="639" ht="17.25" customFormat="1" customHeight="1" s="1">
      <c r="A639" s="8" t="inlineStr">
        <is>
          <t>C 883</t>
        </is>
      </c>
      <c r="B639" s="5" t="n">
        <v>207</v>
      </c>
      <c r="C639" s="6" t="inlineStr">
        <is>
          <t>X</t>
        </is>
      </c>
      <c r="D639" s="5" t="n">
        <v>320</v>
      </c>
      <c r="E639" s="2">
        <f>B639*D639/10000</f>
        <v/>
      </c>
      <c r="F639" s="3">
        <f>B639/30.48</f>
        <v/>
      </c>
      <c r="G639" s="3">
        <f>D639/30.48</f>
        <v/>
      </c>
      <c r="H639" s="36" t="inlineStr">
        <is>
          <t>MCHD-PAC</t>
        </is>
      </c>
      <c r="I639" s="570" t="inlineStr">
        <is>
          <t>Adis Kandic</t>
        </is>
      </c>
      <c r="J639" s="557" t="n"/>
    </row>
    <row r="640" ht="16.5" customFormat="1" customHeight="1" s="1">
      <c r="A640" s="8" t="inlineStr">
        <is>
          <t>A 21</t>
        </is>
      </c>
      <c r="B640" s="5" t="n">
        <v>80</v>
      </c>
      <c r="C640" s="6" t="inlineStr">
        <is>
          <t>X</t>
        </is>
      </c>
      <c r="D640" s="5" t="n">
        <v>178</v>
      </c>
      <c r="E640" s="2">
        <f>B640*D640/10000</f>
        <v/>
      </c>
      <c r="F640" s="3">
        <f>B640/30.48</f>
        <v/>
      </c>
      <c r="G640" s="3">
        <f>D640/30.48</f>
        <v/>
      </c>
      <c r="H640" s="594" t="inlineStr">
        <is>
          <t>MCHD-TR</t>
        </is>
      </c>
      <c r="I640" s="570" t="inlineStr">
        <is>
          <t>Lela Becker</t>
        </is>
      </c>
      <c r="J640" s="557" t="n"/>
    </row>
    <row r="641" ht="17.25" customFormat="1" customHeight="1" s="1">
      <c r="A641" s="8" t="inlineStr">
        <is>
          <t>C 940</t>
        </is>
      </c>
      <c r="B641" s="5" t="n">
        <v>67</v>
      </c>
      <c r="C641" s="6" t="inlineStr">
        <is>
          <t>X</t>
        </is>
      </c>
      <c r="D641" s="5" t="n">
        <v>214</v>
      </c>
      <c r="E641" s="2">
        <f>B641*D641/10000</f>
        <v/>
      </c>
      <c r="F641" s="3">
        <f>B641/30.48</f>
        <v/>
      </c>
      <c r="G641" s="3">
        <f>D641/30.48</f>
        <v/>
      </c>
      <c r="H641" s="594" t="inlineStr">
        <is>
          <t>MCHD-TR</t>
        </is>
      </c>
      <c r="I641" s="570" t="inlineStr">
        <is>
          <t>Tatiana Houser</t>
        </is>
      </c>
      <c r="J641" s="557" t="n"/>
    </row>
    <row r="642" ht="17.25" customFormat="1" customHeight="1" s="1">
      <c r="A642" s="8" t="inlineStr">
        <is>
          <t>C 959</t>
        </is>
      </c>
      <c r="B642" s="5" t="n">
        <v>60</v>
      </c>
      <c r="C642" s="6" t="inlineStr">
        <is>
          <t>X</t>
        </is>
      </c>
      <c r="D642" s="5" t="n">
        <v>158</v>
      </c>
      <c r="E642" s="2">
        <f>B642*D642/10000</f>
        <v/>
      </c>
      <c r="F642" s="3">
        <f>B642/30.48</f>
        <v/>
      </c>
      <c r="G642" s="3">
        <f>D642/30.48</f>
        <v/>
      </c>
      <c r="H642" s="594" t="inlineStr">
        <is>
          <t>MCHD-TR</t>
        </is>
      </c>
      <c r="I642" s="570" t="inlineStr">
        <is>
          <t>Ellen Evans</t>
        </is>
      </c>
      <c r="J642" s="557" t="n"/>
    </row>
    <row r="643" ht="17.25" customFormat="1" customHeight="1" s="1">
      <c r="A643" s="8" t="inlineStr">
        <is>
          <t>C 664</t>
        </is>
      </c>
      <c r="B643" s="5" t="n">
        <v>69</v>
      </c>
      <c r="C643" s="6" t="inlineStr">
        <is>
          <t>X</t>
        </is>
      </c>
      <c r="D643" s="5" t="n">
        <v>102</v>
      </c>
      <c r="E643" s="2">
        <f>B643*D643/10000</f>
        <v/>
      </c>
      <c r="F643" s="3">
        <f>B643/30.48</f>
        <v/>
      </c>
      <c r="G643" s="3">
        <f>D643/30.48</f>
        <v/>
      </c>
      <c r="H643" s="594" t="inlineStr">
        <is>
          <t>MCHD-TR</t>
        </is>
      </c>
      <c r="I643" s="570" t="inlineStr">
        <is>
          <t>Barbara Gibbens</t>
        </is>
      </c>
      <c r="J643" s="557" t="n"/>
    </row>
    <row r="644" ht="17.25" customFormat="1" customHeight="1" s="1">
      <c r="A644" s="8" t="inlineStr">
        <is>
          <t>C 658</t>
        </is>
      </c>
      <c r="B644" s="5" t="n">
        <v>90</v>
      </c>
      <c r="C644" s="6" t="inlineStr">
        <is>
          <t>X</t>
        </is>
      </c>
      <c r="D644" s="5" t="n">
        <v>346</v>
      </c>
      <c r="E644" s="2">
        <f>B644*D644/10000</f>
        <v/>
      </c>
      <c r="F644" s="3">
        <f>B644/30.48</f>
        <v/>
      </c>
      <c r="G644" s="3">
        <f>D644/30.48</f>
        <v/>
      </c>
      <c r="H644" s="569" t="inlineStr">
        <is>
          <t>MCHD-OLD</t>
        </is>
      </c>
      <c r="I644" s="570" t="inlineStr">
        <is>
          <t>Stephanie Handley</t>
        </is>
      </c>
      <c r="J644" s="557" t="n"/>
    </row>
    <row r="645" ht="17.25" customFormat="1" customHeight="1" s="1">
      <c r="A645" s="8" t="inlineStr">
        <is>
          <t>Y 547</t>
        </is>
      </c>
      <c r="B645" s="5" t="n">
        <v>290</v>
      </c>
      <c r="C645" s="6" t="inlineStr">
        <is>
          <t>X</t>
        </is>
      </c>
      <c r="D645" s="5" t="n">
        <v>135</v>
      </c>
      <c r="E645" s="2">
        <f>B645*D645/10000</f>
        <v/>
      </c>
      <c r="F645" s="3">
        <f>B645/30.48</f>
        <v/>
      </c>
      <c r="G645" s="3">
        <f>D645/30.48</f>
        <v/>
      </c>
      <c r="H645" s="569" t="inlineStr">
        <is>
          <t>MCHD-OLD</t>
        </is>
      </c>
      <c r="I645" s="570" t="inlineStr">
        <is>
          <t>NIKKI LOGAN</t>
        </is>
      </c>
      <c r="J645" s="557" t="n"/>
    </row>
    <row r="646" ht="17.25" customFormat="1" customHeight="1" s="1">
      <c r="A646" s="8" t="inlineStr">
        <is>
          <t>Y 968</t>
        </is>
      </c>
      <c r="B646" s="5" t="n">
        <v>388</v>
      </c>
      <c r="C646" s="6" t="inlineStr">
        <is>
          <t>X</t>
        </is>
      </c>
      <c r="D646" s="5" t="n">
        <v>123</v>
      </c>
      <c r="E646" s="2">
        <f>B646*D646/10000</f>
        <v/>
      </c>
      <c r="F646" s="3">
        <f>B646/30.48</f>
        <v/>
      </c>
      <c r="G646" s="3">
        <f>D646/30.48</f>
        <v/>
      </c>
      <c r="H646" s="36" t="inlineStr">
        <is>
          <t>MCHD-PAC</t>
        </is>
      </c>
      <c r="I646" s="570" t="inlineStr">
        <is>
          <t>Life Storage JLV DICKER</t>
        </is>
      </c>
      <c r="J646" s="557" t="n"/>
    </row>
    <row r="647" ht="17.25" customFormat="1" customHeight="1" s="1">
      <c r="A647" s="8" t="inlineStr">
        <is>
          <t>A 16</t>
        </is>
      </c>
      <c r="B647" s="5" t="n">
        <v>119</v>
      </c>
      <c r="C647" s="6" t="inlineStr">
        <is>
          <t>X</t>
        </is>
      </c>
      <c r="D647" s="5" t="n">
        <v>187</v>
      </c>
      <c r="E647" s="2">
        <f>B647*D647/10000</f>
        <v/>
      </c>
      <c r="F647" s="3">
        <f>B647/30.48</f>
        <v/>
      </c>
      <c r="G647" s="3">
        <f>D647/30.48</f>
        <v/>
      </c>
      <c r="H647" s="568" t="inlineStr">
        <is>
          <t>MCHD-VR</t>
        </is>
      </c>
      <c r="I647" s="570" t="inlineStr">
        <is>
          <t>Amy F Rogers</t>
        </is>
      </c>
      <c r="J647" s="557" t="n"/>
    </row>
    <row r="648" ht="17.25" customFormat="1" customHeight="1" s="1">
      <c r="A648" s="8" t="inlineStr">
        <is>
          <t>C 639</t>
        </is>
      </c>
      <c r="B648" s="5" t="n">
        <v>96</v>
      </c>
      <c r="C648" s="6" t="inlineStr">
        <is>
          <t>X</t>
        </is>
      </c>
      <c r="D648" s="5" t="n">
        <v>163</v>
      </c>
      <c r="E648" s="2">
        <f>B648*D648/10000</f>
        <v/>
      </c>
      <c r="F648" s="3">
        <f>B648/30.48</f>
        <v/>
      </c>
      <c r="G648" s="3">
        <f>D648/30.48</f>
        <v/>
      </c>
      <c r="H648" s="569" t="inlineStr">
        <is>
          <t>MCHD-OLD</t>
        </is>
      </c>
      <c r="I648" s="570" t="inlineStr">
        <is>
          <t>Caroline Hartwell</t>
        </is>
      </c>
      <c r="J648" s="557" t="n"/>
    </row>
    <row r="649" ht="17.25" customFormat="1" customHeight="1" s="1">
      <c r="A649" s="8" t="n">
        <v>139</v>
      </c>
      <c r="B649" s="5" t="n">
        <v>83</v>
      </c>
      <c r="C649" s="6" t="inlineStr">
        <is>
          <t>X</t>
        </is>
      </c>
      <c r="D649" s="5" t="n">
        <v>50</v>
      </c>
      <c r="E649" s="2">
        <f>B649*D649/10000</f>
        <v/>
      </c>
      <c r="F649" s="3">
        <f>B649/30.48</f>
        <v/>
      </c>
      <c r="G649" s="3">
        <f>D649/30.48</f>
        <v/>
      </c>
      <c r="H649" s="569" t="inlineStr">
        <is>
          <t>MCHD-OLD</t>
        </is>
      </c>
      <c r="I649" s="570" t="inlineStr">
        <is>
          <t>Amy Thombley</t>
        </is>
      </c>
      <c r="J649" s="557" t="n"/>
    </row>
    <row r="650" ht="17.25" customFormat="1" customHeight="1" s="1">
      <c r="A650" s="8" t="inlineStr">
        <is>
          <t>C 785</t>
        </is>
      </c>
      <c r="B650" s="5" t="n">
        <v>76</v>
      </c>
      <c r="C650" s="6" t="inlineStr">
        <is>
          <t>X</t>
        </is>
      </c>
      <c r="D650" s="5" t="n">
        <v>135</v>
      </c>
      <c r="E650" s="2">
        <f>B650*D650/10000</f>
        <v/>
      </c>
      <c r="F650" s="3">
        <f>B650/30.48</f>
        <v/>
      </c>
      <c r="G650" s="3">
        <f>D650/30.48</f>
        <v/>
      </c>
      <c r="H650" s="568" t="inlineStr">
        <is>
          <t>MCHD-VR</t>
        </is>
      </c>
      <c r="I650" s="570" t="inlineStr">
        <is>
          <t>Ashley Bagwell</t>
        </is>
      </c>
      <c r="J650" s="557" t="n"/>
    </row>
    <row r="651" ht="17.25" customFormat="1" customHeight="1" s="1">
      <c r="A651" s="8" t="inlineStr">
        <is>
          <t>C 848</t>
        </is>
      </c>
      <c r="B651" s="5" t="n">
        <v>81</v>
      </c>
      <c r="C651" s="6" t="inlineStr">
        <is>
          <t>X</t>
        </is>
      </c>
      <c r="D651" s="5" t="n">
        <v>410</v>
      </c>
      <c r="E651" s="2">
        <f>B651*D651/10000</f>
        <v/>
      </c>
      <c r="F651" s="3">
        <f>B651/30.48</f>
        <v/>
      </c>
      <c r="G651" s="3">
        <f>D651/30.48</f>
        <v/>
      </c>
      <c r="H651" s="594" t="inlineStr">
        <is>
          <t>MCHD-TR</t>
        </is>
      </c>
      <c r="I651" s="570" t="inlineStr">
        <is>
          <t>Sam Sano</t>
        </is>
      </c>
      <c r="J651" s="557" t="n"/>
    </row>
    <row r="652" ht="17.25" customFormat="1" customHeight="1" s="1">
      <c r="A652" s="8" t="inlineStr">
        <is>
          <t>C 490-1</t>
        </is>
      </c>
      <c r="B652" s="5" t="n">
        <v>78</v>
      </c>
      <c r="C652" s="6" t="inlineStr">
        <is>
          <t>X</t>
        </is>
      </c>
      <c r="D652" s="5" t="n">
        <v>343</v>
      </c>
      <c r="E652" s="2">
        <f>B652*D652/10000</f>
        <v/>
      </c>
      <c r="F652" s="3">
        <f>B652/30.48</f>
        <v/>
      </c>
      <c r="G652" s="3">
        <f>D652/30.48</f>
        <v/>
      </c>
      <c r="H652" s="66" t="inlineStr">
        <is>
          <t>MCHD-TR</t>
        </is>
      </c>
      <c r="I652" s="349" t="inlineStr">
        <is>
          <t>EAGLE CARPET SERVICES Attn. Tony Sumderdale 431369
135 S Fairbank St
ADDISON, IL 60101-3119
United States</t>
        </is>
      </c>
      <c r="J652" s="557" t="inlineStr">
        <is>
          <t>US-847 254 9808</t>
        </is>
      </c>
    </row>
    <row r="653" ht="17.25" customFormat="1" customHeight="1" s="1">
      <c r="A653" s="8" t="inlineStr">
        <is>
          <t>C 890</t>
        </is>
      </c>
      <c r="B653" s="5" t="n">
        <v>78</v>
      </c>
      <c r="C653" s="6" t="inlineStr">
        <is>
          <t>X</t>
        </is>
      </c>
      <c r="D653" s="5" t="n">
        <v>323</v>
      </c>
      <c r="E653" s="2">
        <f>B653*D653/10000</f>
        <v/>
      </c>
      <c r="F653" s="3">
        <f>B653/30.48</f>
        <v/>
      </c>
      <c r="G653" s="3">
        <f>D653/30.48</f>
        <v/>
      </c>
      <c r="H653" s="693" t="n"/>
      <c r="I653" s="693" t="n"/>
      <c r="J653" s="693" t="n"/>
      <c r="Q653" s="1" t="inlineStr">
        <is>
          <t xml:space="preserve"> </t>
        </is>
      </c>
    </row>
    <row r="654" ht="17.25" customFormat="1" customHeight="1" s="1">
      <c r="A654" s="8" t="inlineStr">
        <is>
          <t>C 903</t>
        </is>
      </c>
      <c r="B654" s="5" t="n">
        <v>90</v>
      </c>
      <c r="C654" s="6" t="inlineStr">
        <is>
          <t>X</t>
        </is>
      </c>
      <c r="D654" s="5" t="n">
        <v>367</v>
      </c>
      <c r="E654" s="2">
        <f>B654*D654/10000</f>
        <v/>
      </c>
      <c r="F654" s="3">
        <f>B654/30.48</f>
        <v/>
      </c>
      <c r="G654" s="3">
        <f>D654/30.48</f>
        <v/>
      </c>
      <c r="H654" s="693" t="n"/>
      <c r="I654" s="693" t="n"/>
      <c r="J654" s="693" t="n"/>
    </row>
    <row r="655" ht="17.25" customFormat="1" customHeight="1" s="1">
      <c r="A655" s="8" t="inlineStr">
        <is>
          <t>C 921</t>
        </is>
      </c>
      <c r="B655" s="5" t="n">
        <v>80</v>
      </c>
      <c r="C655" s="6" t="inlineStr">
        <is>
          <t>X</t>
        </is>
      </c>
      <c r="D655" s="5" t="n">
        <v>337</v>
      </c>
      <c r="E655" s="2">
        <f>B655*D655/10000</f>
        <v/>
      </c>
      <c r="F655" s="3">
        <f>B655/30.48</f>
        <v/>
      </c>
      <c r="G655" s="3">
        <f>D655/30.48</f>
        <v/>
      </c>
      <c r="H655" s="693" t="n"/>
      <c r="I655" s="693" t="n"/>
      <c r="J655" s="693" t="n"/>
    </row>
    <row r="656" ht="17.25" customFormat="1" customHeight="1" s="1">
      <c r="A656" s="8" t="inlineStr">
        <is>
          <t>A 11</t>
        </is>
      </c>
      <c r="B656" s="5" t="n">
        <v>76</v>
      </c>
      <c r="C656" s="6" t="inlineStr">
        <is>
          <t>X</t>
        </is>
      </c>
      <c r="D656" s="5" t="n">
        <v>233</v>
      </c>
      <c r="E656" s="2">
        <f>B656*D656/10000</f>
        <v/>
      </c>
      <c r="F656" s="3">
        <f>B656/30.48</f>
        <v/>
      </c>
      <c r="G656" s="3">
        <f>D656/30.48</f>
        <v/>
      </c>
      <c r="H656" s="693" t="n"/>
      <c r="I656" s="693" t="n"/>
      <c r="J656" s="693" t="n"/>
    </row>
    <row r="657" ht="17.25" customFormat="1" customHeight="1" s="1">
      <c r="A657" s="8" t="inlineStr">
        <is>
          <t>C 749</t>
        </is>
      </c>
      <c r="B657" s="5" t="n">
        <v>86</v>
      </c>
      <c r="C657" s="6" t="inlineStr">
        <is>
          <t>X</t>
        </is>
      </c>
      <c r="D657" s="5" t="n">
        <v>395</v>
      </c>
      <c r="E657" s="2">
        <f>B657*D657/10000</f>
        <v/>
      </c>
      <c r="F657" s="3">
        <f>B657/30.48</f>
        <v/>
      </c>
      <c r="G657" s="3">
        <f>D657/30.48</f>
        <v/>
      </c>
      <c r="H657" s="693" t="n"/>
      <c r="I657" s="693" t="n"/>
      <c r="J657" s="693" t="n"/>
    </row>
    <row r="658" ht="17.25" customFormat="1" customHeight="1" s="1">
      <c r="A658" s="8" t="inlineStr">
        <is>
          <t>A 147</t>
        </is>
      </c>
      <c r="B658" s="5" t="n">
        <v>78</v>
      </c>
      <c r="C658" s="6" t="inlineStr">
        <is>
          <t>X</t>
        </is>
      </c>
      <c r="D658" s="5" t="n">
        <v>289</v>
      </c>
      <c r="E658" s="2">
        <f>B658*D658/10000</f>
        <v/>
      </c>
      <c r="F658" s="3">
        <f>B658/30.48</f>
        <v/>
      </c>
      <c r="G658" s="3">
        <f>D658/30.48</f>
        <v/>
      </c>
      <c r="H658" s="693" t="n"/>
      <c r="I658" s="693" t="n"/>
      <c r="J658" s="693" t="n"/>
    </row>
    <row r="659" ht="17.25" customFormat="1" customHeight="1" s="1">
      <c r="A659" s="8" t="inlineStr">
        <is>
          <t>C 863</t>
        </is>
      </c>
      <c r="B659" s="5" t="n">
        <v>80</v>
      </c>
      <c r="C659" s="6" t="inlineStr">
        <is>
          <t>X</t>
        </is>
      </c>
      <c r="D659" s="5" t="n">
        <v>281</v>
      </c>
      <c r="E659" s="2">
        <f>B659*D659/10000</f>
        <v/>
      </c>
      <c r="F659" s="3">
        <f>B659/30.48</f>
        <v/>
      </c>
      <c r="G659" s="3">
        <f>D659/30.48</f>
        <v/>
      </c>
      <c r="H659" s="693" t="n"/>
      <c r="I659" s="693" t="n"/>
      <c r="J659" s="693" t="n"/>
    </row>
    <row r="660" ht="17.25" customFormat="1" customHeight="1" s="1">
      <c r="A660" s="8" t="inlineStr">
        <is>
          <t>C 190</t>
        </is>
      </c>
      <c r="B660" s="5" t="n">
        <v>185</v>
      </c>
      <c r="C660" s="6" t="inlineStr">
        <is>
          <t>X</t>
        </is>
      </c>
      <c r="D660" s="5" t="n">
        <v>80</v>
      </c>
      <c r="E660" s="2">
        <f>B660*D660/10000</f>
        <v/>
      </c>
      <c r="F660" s="3">
        <f>B660/30.48</f>
        <v/>
      </c>
      <c r="G660" s="3">
        <f>D660/30.48</f>
        <v/>
      </c>
      <c r="H660" s="694" t="n"/>
      <c r="I660" s="694" t="n"/>
      <c r="J660" s="694" t="n"/>
    </row>
    <row r="661" ht="17.25" customFormat="1" customHeight="1" s="1">
      <c r="A661" s="8" t="inlineStr">
        <is>
          <t>C 624</t>
        </is>
      </c>
      <c r="B661" s="5" t="n">
        <v>224</v>
      </c>
      <c r="C661" s="6" t="inlineStr">
        <is>
          <t>X</t>
        </is>
      </c>
      <c r="D661" s="5" t="n">
        <v>330</v>
      </c>
      <c r="E661" s="2">
        <f>B661*D661/10000</f>
        <v/>
      </c>
      <c r="F661" s="3">
        <f>B661/30.48</f>
        <v/>
      </c>
      <c r="G661" s="3">
        <f>D661/30.48</f>
        <v/>
      </c>
      <c r="H661" s="36" t="inlineStr">
        <is>
          <t>MCHD-PAC</t>
        </is>
      </c>
      <c r="I661" s="534" t="inlineStr">
        <is>
          <t>Avery Omar</t>
        </is>
      </c>
      <c r="J661" s="545" t="n"/>
    </row>
    <row r="662" ht="17.25" customFormat="1" customHeight="1" s="1">
      <c r="A662" s="8" t="inlineStr">
        <is>
          <t>A 83</t>
        </is>
      </c>
      <c r="B662" s="5" t="n">
        <v>79</v>
      </c>
      <c r="C662" s="6" t="inlineStr">
        <is>
          <t>X</t>
        </is>
      </c>
      <c r="D662" s="5" t="n">
        <v>355</v>
      </c>
      <c r="E662" s="2">
        <f>B662*D662/10000</f>
        <v/>
      </c>
      <c r="F662" s="3">
        <f>B662/30.48</f>
        <v/>
      </c>
      <c r="G662" s="3">
        <f>D662/30.48</f>
        <v/>
      </c>
      <c r="H662" s="568" t="inlineStr">
        <is>
          <t>MCHD-VR</t>
        </is>
      </c>
      <c r="I662" s="570" t="inlineStr">
        <is>
          <t>Lara Camozzo</t>
        </is>
      </c>
      <c r="J662" s="557" t="n"/>
    </row>
    <row r="663" ht="17.25" customFormat="1" customHeight="1" s="1">
      <c r="A663" s="8" t="inlineStr">
        <is>
          <t>C 640</t>
        </is>
      </c>
      <c r="B663" s="5" t="n">
        <v>103</v>
      </c>
      <c r="C663" s="6" t="inlineStr">
        <is>
          <t>X</t>
        </is>
      </c>
      <c r="D663" s="5" t="n">
        <v>180</v>
      </c>
      <c r="E663" s="2">
        <f>B663*D663/10000</f>
        <v/>
      </c>
      <c r="F663" s="3">
        <f>B663/30.48</f>
        <v/>
      </c>
      <c r="G663" s="3">
        <f>D663/30.48</f>
        <v/>
      </c>
      <c r="H663" s="594" t="inlineStr">
        <is>
          <t>MCHD-TR</t>
        </is>
      </c>
      <c r="I663" s="570" t="inlineStr">
        <is>
          <t>Setareh Yavari</t>
        </is>
      </c>
      <c r="J663" s="91" t="inlineStr">
        <is>
          <t>US-818 422 5240</t>
        </is>
      </c>
    </row>
    <row r="664" ht="17.25" customFormat="1" customHeight="1" s="1">
      <c r="A664" s="8" t="inlineStr">
        <is>
          <t>C 895</t>
        </is>
      </c>
      <c r="B664" s="5" t="n">
        <v>78</v>
      </c>
      <c r="C664" s="6" t="inlineStr">
        <is>
          <t>X</t>
        </is>
      </c>
      <c r="D664" s="5" t="n">
        <v>308</v>
      </c>
      <c r="E664" s="2">
        <f>B664*D664/10000</f>
        <v/>
      </c>
      <c r="F664" s="3">
        <f>B664/30.48</f>
        <v/>
      </c>
      <c r="G664" s="3">
        <f>D664/30.48</f>
        <v/>
      </c>
      <c r="H664" s="594" t="inlineStr">
        <is>
          <t>MCHD-TR</t>
        </is>
      </c>
      <c r="I664" s="570" t="inlineStr">
        <is>
          <t>JESSIE-LEA KOCH</t>
        </is>
      </c>
      <c r="J664" s="557" t="inlineStr">
        <is>
          <t>CA-226 622 2503</t>
        </is>
      </c>
    </row>
    <row r="665" ht="17.25" customFormat="1" customHeight="1" s="1">
      <c r="A665" s="8" t="inlineStr">
        <is>
          <t>C 257</t>
        </is>
      </c>
      <c r="B665" s="5" t="n">
        <v>210</v>
      </c>
      <c r="C665" s="6" t="inlineStr">
        <is>
          <t>X</t>
        </is>
      </c>
      <c r="D665" s="5" t="n">
        <v>302</v>
      </c>
      <c r="E665" s="2">
        <f>B665*D665/10000</f>
        <v/>
      </c>
      <c r="F665" s="3">
        <f>B665/30.48</f>
        <v/>
      </c>
      <c r="G665" s="3">
        <f>D665/30.48</f>
        <v/>
      </c>
      <c r="H665" s="594" t="inlineStr">
        <is>
          <t>MCHD-TR</t>
        </is>
      </c>
      <c r="I665" s="570" t="inlineStr">
        <is>
          <t>Adriana Vourakis</t>
        </is>
      </c>
      <c r="J665" s="557" t="inlineStr">
        <is>
          <t>US-714 595 6370</t>
        </is>
      </c>
    </row>
    <row r="666" ht="17.25" customFormat="1" customHeight="1" s="1">
      <c r="A666" s="8" t="n">
        <v>305</v>
      </c>
      <c r="B666" s="5" t="n">
        <v>101</v>
      </c>
      <c r="C666" s="6" t="inlineStr">
        <is>
          <t>X</t>
        </is>
      </c>
      <c r="D666" s="5" t="n">
        <v>49</v>
      </c>
      <c r="E666" s="2">
        <f>B666*D666/10000</f>
        <v/>
      </c>
      <c r="F666" s="3">
        <f>B666/30.48</f>
        <v/>
      </c>
      <c r="G666" s="3">
        <f>D666/30.48</f>
        <v/>
      </c>
      <c r="H666" s="569" t="inlineStr">
        <is>
          <t>MCHD-OLD</t>
        </is>
      </c>
      <c r="I666" s="534" t="inlineStr">
        <is>
          <t>Brandi Hartness</t>
        </is>
      </c>
      <c r="J666" s="545" t="inlineStr">
        <is>
          <t>US-478 733 4201</t>
        </is>
      </c>
    </row>
    <row r="667" ht="17.25" customFormat="1" customHeight="1" s="1">
      <c r="A667" s="8" t="inlineStr">
        <is>
          <t>C 835</t>
        </is>
      </c>
      <c r="B667" s="5" t="n">
        <v>206</v>
      </c>
      <c r="C667" s="6" t="inlineStr">
        <is>
          <t>X</t>
        </is>
      </c>
      <c r="D667" s="5" t="n">
        <v>328</v>
      </c>
      <c r="E667" s="2">
        <f>B667*D667/10000</f>
        <v/>
      </c>
      <c r="F667" s="3">
        <f>B667/30.48</f>
        <v/>
      </c>
      <c r="G667" s="3">
        <f>D667/30.48</f>
        <v/>
      </c>
      <c r="H667" s="36" t="inlineStr">
        <is>
          <t>MCHD-PAC</t>
        </is>
      </c>
      <c r="I667" s="570" t="inlineStr">
        <is>
          <t>Michele Mara</t>
        </is>
      </c>
      <c r="J667" s="557" t="inlineStr">
        <is>
          <t>US-781 696 5561</t>
        </is>
      </c>
    </row>
    <row r="668">
      <c r="A668" s="536" t="inlineStr">
        <is>
          <t>-2023 MART-80</t>
        </is>
      </c>
      <c r="H668" s="62" t="inlineStr">
        <is>
          <t>SATAN-SİTE</t>
        </is>
      </c>
      <c r="I668" s="19" t="inlineStr">
        <is>
          <t>MÜŞTERİ ADI</t>
        </is>
      </c>
      <c r="J668" s="63" t="inlineStr">
        <is>
          <t>MÜŞTERİ İLETİŞİM &amp; ÜLKE</t>
        </is>
      </c>
    </row>
    <row r="669" ht="17.25" customFormat="1" customHeight="1" s="1">
      <c r="A669" s="8" t="inlineStr">
        <is>
          <t>C 365</t>
        </is>
      </c>
      <c r="B669" s="5" t="n">
        <v>152</v>
      </c>
      <c r="C669" s="6" t="inlineStr">
        <is>
          <t>X</t>
        </is>
      </c>
      <c r="D669" s="5" t="n">
        <v>300</v>
      </c>
      <c r="E669" s="2">
        <f>B669*D669/10000</f>
        <v/>
      </c>
      <c r="F669" s="3">
        <f>B669/30.48</f>
        <v/>
      </c>
      <c r="G669" s="3">
        <f>D669/30.48</f>
        <v/>
      </c>
      <c r="H669" s="36" t="inlineStr">
        <is>
          <t>MCHD-PAC</t>
        </is>
      </c>
      <c r="I669" s="570" t="inlineStr">
        <is>
          <t>Muriel Henderson</t>
        </is>
      </c>
      <c r="J669" s="557" t="n"/>
    </row>
    <row r="670" ht="16.5" customFormat="1" customHeight="1" s="1">
      <c r="A670" s="8" t="inlineStr">
        <is>
          <t>C 462</t>
        </is>
      </c>
      <c r="B670" s="5" t="n">
        <v>268</v>
      </c>
      <c r="C670" s="6" t="inlineStr">
        <is>
          <t>X</t>
        </is>
      </c>
      <c r="D670" s="5" t="n">
        <v>80</v>
      </c>
      <c r="E670" s="2">
        <f>B670*D670/10000</f>
        <v/>
      </c>
      <c r="F670" s="3">
        <f>B670/30.48</f>
        <v/>
      </c>
      <c r="G670" s="3">
        <f>D670/30.48</f>
        <v/>
      </c>
      <c r="H670" s="594" t="inlineStr">
        <is>
          <t>MCHD-TR</t>
        </is>
      </c>
      <c r="I670" s="570" t="inlineStr">
        <is>
          <t>Stephen Gentile</t>
        </is>
      </c>
      <c r="J670" s="557" t="inlineStr">
        <is>
          <t>US-315 454 7109</t>
        </is>
      </c>
    </row>
    <row r="671" ht="17.25" customFormat="1" customHeight="1" s="1">
      <c r="A671" s="8" t="inlineStr">
        <is>
          <t>A 18</t>
        </is>
      </c>
      <c r="B671" s="5" t="n">
        <v>83</v>
      </c>
      <c r="C671" s="6" t="inlineStr">
        <is>
          <t>X</t>
        </is>
      </c>
      <c r="D671" s="5" t="n">
        <v>319</v>
      </c>
      <c r="E671" s="2">
        <f>B671*D671/10000</f>
        <v/>
      </c>
      <c r="F671" s="3">
        <f>B671/30.48</f>
        <v/>
      </c>
      <c r="G671" s="3">
        <f>D671/30.48</f>
        <v/>
      </c>
      <c r="H671" s="594" t="inlineStr">
        <is>
          <t>MCHD-TR</t>
        </is>
      </c>
      <c r="I671" s="570" t="inlineStr">
        <is>
          <t>Lauren DeBello</t>
        </is>
      </c>
      <c r="J671" s="557" t="inlineStr">
        <is>
          <t>US-630 640 1242</t>
        </is>
      </c>
    </row>
    <row r="672" ht="17.25" customFormat="1" customHeight="1" s="1">
      <c r="A672" s="8" t="inlineStr">
        <is>
          <t>C 801</t>
        </is>
      </c>
      <c r="B672" s="5" t="n">
        <v>83</v>
      </c>
      <c r="C672" s="6" t="inlineStr">
        <is>
          <t>X</t>
        </is>
      </c>
      <c r="D672" s="5" t="n">
        <v>263</v>
      </c>
      <c r="E672" s="2">
        <f>B672*D672/10000</f>
        <v/>
      </c>
      <c r="F672" s="3">
        <f>B672/30.48</f>
        <v/>
      </c>
      <c r="G672" s="3">
        <f>D672/30.48</f>
        <v/>
      </c>
      <c r="H672" s="594" t="inlineStr">
        <is>
          <t>MCHD-TR</t>
        </is>
      </c>
      <c r="I672" s="570" t="inlineStr">
        <is>
          <t>Darien Zannis</t>
        </is>
      </c>
      <c r="J672" s="557" t="inlineStr">
        <is>
          <t>US-650 636 5140</t>
        </is>
      </c>
    </row>
    <row r="673" ht="17.25" customFormat="1" customHeight="1" s="1">
      <c r="A673" s="8" t="inlineStr">
        <is>
          <t>A 89</t>
        </is>
      </c>
      <c r="B673" s="5" t="n">
        <v>74</v>
      </c>
      <c r="C673" s="72" t="inlineStr">
        <is>
          <t>X</t>
        </is>
      </c>
      <c r="D673" s="5" t="n">
        <v>191</v>
      </c>
      <c r="E673" s="73">
        <f>B673*D673/10000</f>
        <v/>
      </c>
      <c r="F673" s="74">
        <f>B673/30.48</f>
        <v/>
      </c>
      <c r="G673" s="74">
        <f>D673/30.48</f>
        <v/>
      </c>
      <c r="H673" s="568" t="inlineStr">
        <is>
          <t>MCHD-VR</t>
        </is>
      </c>
      <c r="I673" s="570" t="inlineStr">
        <is>
          <t>Amanda Snow</t>
        </is>
      </c>
      <c r="J673" s="557" t="n"/>
    </row>
    <row r="674" ht="17.25" customFormat="1" customHeight="1" s="1">
      <c r="A674" s="8" t="inlineStr">
        <is>
          <t>C 514</t>
        </is>
      </c>
      <c r="B674" s="5" t="n">
        <v>75</v>
      </c>
      <c r="C674" s="6" t="inlineStr">
        <is>
          <t>X</t>
        </is>
      </c>
      <c r="D674" s="5" t="n">
        <v>271</v>
      </c>
      <c r="E674" s="2">
        <f>B674*D674/10000</f>
        <v/>
      </c>
      <c r="F674" s="3">
        <f>B674/30.48</f>
        <v/>
      </c>
      <c r="G674" s="3">
        <f>D674/30.48</f>
        <v/>
      </c>
      <c r="H674" s="568" t="inlineStr">
        <is>
          <t>MCHD-VR</t>
        </is>
      </c>
      <c r="I674" s="570" t="inlineStr">
        <is>
          <t>Mary Claire Taylor</t>
        </is>
      </c>
      <c r="J674" s="557" t="inlineStr">
        <is>
          <t>US-601 416 0886</t>
        </is>
      </c>
    </row>
    <row r="675" ht="17.25" customFormat="1" customHeight="1" s="1">
      <c r="A675" s="8" t="inlineStr">
        <is>
          <t>C 521</t>
        </is>
      </c>
      <c r="B675" s="5" t="n">
        <v>217</v>
      </c>
      <c r="C675" s="6" t="inlineStr">
        <is>
          <t>X</t>
        </is>
      </c>
      <c r="D675" s="5" t="n">
        <v>323</v>
      </c>
      <c r="E675" s="2">
        <f>B675*D675/10000</f>
        <v/>
      </c>
      <c r="F675" s="3">
        <f>B675/30.48</f>
        <v/>
      </c>
      <c r="G675" s="3">
        <f>D675/30.48</f>
        <v/>
      </c>
      <c r="H675" s="36" t="inlineStr">
        <is>
          <t>MCHD-PAC</t>
        </is>
      </c>
      <c r="I675" s="570" t="inlineStr">
        <is>
          <t>Lauren Rowland</t>
        </is>
      </c>
      <c r="J675" s="557" t="n"/>
    </row>
    <row r="676" ht="17.25" customHeight="1" s="305">
      <c r="A676" s="8" t="inlineStr">
        <is>
          <t>D 45</t>
        </is>
      </c>
      <c r="B676" s="5" t="n">
        <v>59</v>
      </c>
      <c r="C676" s="72" t="inlineStr">
        <is>
          <t>X</t>
        </is>
      </c>
      <c r="D676" s="5" t="n">
        <v>116</v>
      </c>
      <c r="E676" s="73">
        <f>B676*D676/10000</f>
        <v/>
      </c>
      <c r="F676" s="74">
        <f>B676/30.48</f>
        <v/>
      </c>
      <c r="G676" s="74">
        <f>D676/30.48</f>
        <v/>
      </c>
      <c r="H676" s="569" t="inlineStr">
        <is>
          <t>MCHD-OLD</t>
        </is>
      </c>
      <c r="I676" s="534" t="inlineStr">
        <is>
          <t>Beth Peterson</t>
        </is>
      </c>
      <c r="J676" s="545" t="n"/>
    </row>
    <row r="677" ht="17.25" customFormat="1" customHeight="1" s="1">
      <c r="A677" s="8" t="inlineStr">
        <is>
          <t>C 591</t>
        </is>
      </c>
      <c r="B677" s="5" t="n">
        <v>91</v>
      </c>
      <c r="C677" s="6" t="inlineStr">
        <is>
          <t>X</t>
        </is>
      </c>
      <c r="D677" s="5" t="n">
        <v>260</v>
      </c>
      <c r="E677" s="2">
        <f>B677*D677/10000</f>
        <v/>
      </c>
      <c r="F677" s="3">
        <f>B677/30.48</f>
        <v/>
      </c>
      <c r="G677" s="3">
        <f>D677/30.48</f>
        <v/>
      </c>
      <c r="H677" s="569" t="inlineStr">
        <is>
          <t>MCHD-OLD</t>
        </is>
      </c>
      <c r="I677" s="534" t="inlineStr">
        <is>
          <t>Britt Delano</t>
        </is>
      </c>
      <c r="J677" s="545" t="n"/>
    </row>
    <row r="678" ht="17.25" customFormat="1" customHeight="1" s="1">
      <c r="A678" s="8" t="n">
        <v>1003</v>
      </c>
      <c r="B678" s="5" t="n">
        <v>227</v>
      </c>
      <c r="C678" s="72" t="inlineStr">
        <is>
          <t>X</t>
        </is>
      </c>
      <c r="D678" s="5" t="n">
        <v>286</v>
      </c>
      <c r="E678" s="73">
        <f>B678*D678/10000</f>
        <v/>
      </c>
      <c r="F678" s="74">
        <f>B678/30.48</f>
        <v/>
      </c>
      <c r="G678" s="74">
        <f>D678/30.48</f>
        <v/>
      </c>
      <c r="H678" s="569" t="inlineStr">
        <is>
          <t>MCHD-OLD</t>
        </is>
      </c>
      <c r="I678" s="570" t="inlineStr">
        <is>
          <t>Casey Schlacher</t>
        </is>
      </c>
      <c r="J678" s="557" t="inlineStr">
        <is>
          <t>US-224 619 8878</t>
        </is>
      </c>
    </row>
    <row r="679" ht="17.25" customFormat="1" customHeight="1" s="1">
      <c r="A679" s="8" t="inlineStr">
        <is>
          <t>A 95</t>
        </is>
      </c>
      <c r="B679" s="5" t="n">
        <v>61</v>
      </c>
      <c r="C679" s="6" t="inlineStr">
        <is>
          <t>X</t>
        </is>
      </c>
      <c r="D679" s="5" t="n">
        <v>136</v>
      </c>
      <c r="E679" s="2">
        <f>B679*D679/10000</f>
        <v/>
      </c>
      <c r="F679" s="3">
        <f>B679/30.48</f>
        <v/>
      </c>
      <c r="G679" s="3">
        <f>D679/30.48</f>
        <v/>
      </c>
      <c r="H679" s="36" t="inlineStr">
        <is>
          <t>MCHD-PAC</t>
        </is>
      </c>
      <c r="I679" s="570" t="inlineStr">
        <is>
          <t>Britt Haegglund</t>
        </is>
      </c>
      <c r="J679" s="557" t="inlineStr">
        <is>
          <t>US-415 686 2981</t>
        </is>
      </c>
    </row>
    <row r="680" ht="17.25" customFormat="1" customHeight="1" s="1">
      <c r="A680" s="8" t="inlineStr">
        <is>
          <t>Y 364</t>
        </is>
      </c>
      <c r="B680" s="5" t="n">
        <v>334</v>
      </c>
      <c r="C680" s="6" t="inlineStr">
        <is>
          <t>X</t>
        </is>
      </c>
      <c r="D680" s="5" t="n">
        <v>83</v>
      </c>
      <c r="E680" s="2">
        <f>B680*D680/10000</f>
        <v/>
      </c>
      <c r="F680" s="3">
        <f>B680/30.48</f>
        <v/>
      </c>
      <c r="G680" s="3">
        <f>D680/30.48</f>
        <v/>
      </c>
      <c r="H680" s="542" t="inlineStr">
        <is>
          <t>MCHD-TR</t>
        </is>
      </c>
      <c r="I680" s="534" t="inlineStr">
        <is>
          <t>Marisa Jenkins</t>
        </is>
      </c>
      <c r="J680" s="545" t="inlineStr">
        <is>
          <t>US-732 915 1918</t>
        </is>
      </c>
    </row>
    <row r="681" ht="17.25" customFormat="1" customHeight="1" s="1">
      <c r="A681" s="8" t="inlineStr">
        <is>
          <t>Y 389</t>
        </is>
      </c>
      <c r="B681" s="5" t="n">
        <v>262</v>
      </c>
      <c r="C681" s="6" t="inlineStr">
        <is>
          <t>X</t>
        </is>
      </c>
      <c r="D681" s="5" t="n">
        <v>162</v>
      </c>
      <c r="E681" s="2">
        <f>B681*D681/10000</f>
        <v/>
      </c>
      <c r="F681" s="3">
        <f>B681/30.48</f>
        <v/>
      </c>
      <c r="G681" s="3">
        <f>D681/30.48</f>
        <v/>
      </c>
      <c r="H681" s="693" t="n"/>
      <c r="I681" s="693" t="n"/>
      <c r="J681" s="693" t="n"/>
    </row>
    <row r="682" ht="17.25" customFormat="1" customHeight="1" s="1">
      <c r="A682" s="8" t="inlineStr">
        <is>
          <t>C 191</t>
        </is>
      </c>
      <c r="B682" s="5" t="n">
        <v>223</v>
      </c>
      <c r="C682" s="6" t="inlineStr">
        <is>
          <t>X</t>
        </is>
      </c>
      <c r="D682" s="5" t="n">
        <v>131</v>
      </c>
      <c r="E682" s="2">
        <f>B682*D682/10000</f>
        <v/>
      </c>
      <c r="F682" s="3">
        <f>B682/30.48</f>
        <v/>
      </c>
      <c r="G682" s="3">
        <f>D682/30.48</f>
        <v/>
      </c>
      <c r="H682" s="594" t="inlineStr">
        <is>
          <t>MCHD-TR</t>
        </is>
      </c>
      <c r="I682" s="570" t="inlineStr">
        <is>
          <t>Michele Collier</t>
        </is>
      </c>
      <c r="J682" s="557" t="n"/>
    </row>
    <row r="683" ht="17.25" customFormat="1" customHeight="1" s="1">
      <c r="A683" s="8" t="inlineStr">
        <is>
          <t>Y 649</t>
        </is>
      </c>
      <c r="B683" s="5" t="n">
        <v>304</v>
      </c>
      <c r="C683" s="6" t="inlineStr">
        <is>
          <t>X</t>
        </is>
      </c>
      <c r="D683" s="5" t="n">
        <v>215</v>
      </c>
      <c r="E683" s="2">
        <f>B683*D683/10000</f>
        <v/>
      </c>
      <c r="F683" s="3">
        <f>B683/30.48</f>
        <v/>
      </c>
      <c r="G683" s="3">
        <f>D683/30.48</f>
        <v/>
      </c>
      <c r="H683" s="594" t="inlineStr">
        <is>
          <t>MCHD-RK</t>
        </is>
      </c>
      <c r="I683" s="570" t="inlineStr">
        <is>
          <t>Jeong Min Hwa</t>
        </is>
      </c>
      <c r="J683" s="557" t="inlineStr">
        <is>
          <t>GK- (82) 10 3585 6767</t>
        </is>
      </c>
    </row>
    <row r="684" ht="17.25" customFormat="1" customHeight="1" s="1">
      <c r="A684" s="8" t="n">
        <v>168</v>
      </c>
      <c r="B684" s="5" t="n">
        <v>88</v>
      </c>
      <c r="C684" s="6" t="inlineStr">
        <is>
          <t>X</t>
        </is>
      </c>
      <c r="D684" s="5" t="n">
        <v>45</v>
      </c>
      <c r="E684" s="2">
        <f>B684*D684/10000</f>
        <v/>
      </c>
      <c r="F684" s="3">
        <f>B684/30.48</f>
        <v/>
      </c>
      <c r="G684" s="3">
        <f>D684/30.48</f>
        <v/>
      </c>
      <c r="H684" s="569" t="inlineStr">
        <is>
          <t>MCHD-OLD</t>
        </is>
      </c>
      <c r="I684" s="534" t="inlineStr">
        <is>
          <t>Breanna Heinz</t>
        </is>
      </c>
      <c r="J684" s="545" t="inlineStr">
        <is>
          <t>US-303 507 5880</t>
        </is>
      </c>
    </row>
    <row r="685" ht="17.25" customFormat="1" customHeight="1" s="1">
      <c r="A685" s="8" t="inlineStr">
        <is>
          <t>C 672</t>
        </is>
      </c>
      <c r="B685" s="5" t="n">
        <v>135</v>
      </c>
      <c r="C685" s="6" t="inlineStr">
        <is>
          <t>X</t>
        </is>
      </c>
      <c r="D685" s="5" t="n">
        <v>232</v>
      </c>
      <c r="E685" s="2">
        <f>B685*D685/10000</f>
        <v/>
      </c>
      <c r="F685" s="3">
        <f>B685/30.48</f>
        <v/>
      </c>
      <c r="G685" s="3">
        <f>D685/30.48</f>
        <v/>
      </c>
      <c r="H685" s="553" t="inlineStr">
        <is>
          <t>MCHD-PAC</t>
        </is>
      </c>
      <c r="I685" s="534" t="inlineStr">
        <is>
          <t>Jake Hurwitz</t>
        </is>
      </c>
      <c r="J685" s="545" t="n"/>
    </row>
    <row r="686" ht="17.25" customFormat="1" customHeight="1" s="1">
      <c r="A686" s="8" t="inlineStr">
        <is>
          <t>Y 751</t>
        </is>
      </c>
      <c r="B686" s="5" t="n">
        <v>306</v>
      </c>
      <c r="C686" s="6" t="inlineStr">
        <is>
          <t>X</t>
        </is>
      </c>
      <c r="D686" s="5" t="n">
        <v>201</v>
      </c>
      <c r="E686" s="2">
        <f>B686*D686/10000</f>
        <v/>
      </c>
      <c r="F686" s="3">
        <f>B686/30.48</f>
        <v/>
      </c>
      <c r="G686" s="3">
        <f>D686/30.48</f>
        <v/>
      </c>
      <c r="H686" s="693" t="n"/>
      <c r="I686" s="693" t="n"/>
      <c r="J686" s="693" t="n"/>
    </row>
    <row r="687" ht="17.25" customFormat="1" customHeight="1" s="1">
      <c r="A687" s="8" t="inlineStr">
        <is>
          <t>C 886</t>
        </is>
      </c>
      <c r="B687" s="5" t="n">
        <v>79</v>
      </c>
      <c r="C687" s="6" t="inlineStr">
        <is>
          <t>X</t>
        </is>
      </c>
      <c r="D687" s="5" t="n">
        <v>312</v>
      </c>
      <c r="E687" s="2">
        <f>B687*D687/10000</f>
        <v/>
      </c>
      <c r="F687" s="3">
        <f>B687/30.48</f>
        <v/>
      </c>
      <c r="G687" s="3">
        <f>D687/30.48</f>
        <v/>
      </c>
      <c r="H687" s="594" t="inlineStr">
        <is>
          <t>MCHD-TR</t>
        </is>
      </c>
      <c r="I687" s="570" t="inlineStr">
        <is>
          <t>Kathryn McConnell</t>
        </is>
      </c>
      <c r="J687" s="557" t="n"/>
    </row>
    <row r="688" ht="17.25" customFormat="1" customHeight="1" s="1">
      <c r="A688" s="8" t="inlineStr">
        <is>
          <t>C 156</t>
        </is>
      </c>
      <c r="B688" s="5" t="n">
        <v>197</v>
      </c>
      <c r="C688" s="6" t="inlineStr">
        <is>
          <t>X</t>
        </is>
      </c>
      <c r="D688" s="5" t="n">
        <v>97</v>
      </c>
      <c r="E688" s="2">
        <f>B688*D688/10000</f>
        <v/>
      </c>
      <c r="F688" s="3">
        <f>B688/30.48</f>
        <v/>
      </c>
      <c r="G688" s="3">
        <f>D688/30.48</f>
        <v/>
      </c>
      <c r="H688" s="36" t="inlineStr">
        <is>
          <t>MCHD-PAC</t>
        </is>
      </c>
      <c r="I688" s="570" t="inlineStr">
        <is>
          <t>Elspeth Brotherton</t>
        </is>
      </c>
      <c r="J688" s="557" t="n"/>
    </row>
    <row r="689" ht="17.25" customFormat="1" customHeight="1" s="1">
      <c r="A689" s="8" t="inlineStr">
        <is>
          <t>C 970</t>
        </is>
      </c>
      <c r="B689" s="5" t="n">
        <v>99</v>
      </c>
      <c r="C689" s="6" t="inlineStr">
        <is>
          <t>X</t>
        </is>
      </c>
      <c r="D689" s="5" t="n">
        <v>177</v>
      </c>
      <c r="E689" s="2">
        <f>B689*D689/10000</f>
        <v/>
      </c>
      <c r="F689" s="3">
        <f>B689/30.48</f>
        <v/>
      </c>
      <c r="G689" s="3">
        <f>D689/30.48</f>
        <v/>
      </c>
      <c r="H689" s="36" t="inlineStr">
        <is>
          <t>MCHD-PAC</t>
        </is>
      </c>
      <c r="I689" s="570" t="inlineStr">
        <is>
          <t>Elizabeth Hutchinson</t>
        </is>
      </c>
      <c r="J689" s="557" t="n"/>
    </row>
    <row r="690" ht="17.25" customFormat="1" customHeight="1" s="1">
      <c r="A690" s="8" t="inlineStr">
        <is>
          <t>A 102</t>
        </is>
      </c>
      <c r="B690" s="5" t="n">
        <v>91</v>
      </c>
      <c r="C690" s="6" t="inlineStr">
        <is>
          <t>X</t>
        </is>
      </c>
      <c r="D690" s="5" t="n">
        <v>419</v>
      </c>
      <c r="E690" s="2">
        <f>B690*D690/10000</f>
        <v/>
      </c>
      <c r="F690" s="3">
        <f>B690/30.48</f>
        <v/>
      </c>
      <c r="G690" s="3">
        <f>D690/30.48</f>
        <v/>
      </c>
      <c r="H690" s="594" t="inlineStr">
        <is>
          <t>MCHD-TR</t>
        </is>
      </c>
      <c r="I690" s="570" t="inlineStr">
        <is>
          <t>Andrea Parsek</t>
        </is>
      </c>
      <c r="J690" s="557" t="inlineStr">
        <is>
          <t>US-714 362 5318</t>
        </is>
      </c>
    </row>
    <row r="691" ht="17.25" customFormat="1" customHeight="1" s="1">
      <c r="A691" s="8" t="inlineStr">
        <is>
          <t>A 77</t>
        </is>
      </c>
      <c r="B691" s="5" t="n">
        <v>130</v>
      </c>
      <c r="C691" s="6" t="inlineStr">
        <is>
          <t>X</t>
        </is>
      </c>
      <c r="D691" s="5" t="n">
        <v>242</v>
      </c>
      <c r="E691" s="2">
        <f>B691*D691/10000</f>
        <v/>
      </c>
      <c r="F691" s="3">
        <f>B691/30.48</f>
        <v/>
      </c>
      <c r="G691" s="3">
        <f>D691/30.48</f>
        <v/>
      </c>
      <c r="H691" s="594" t="inlineStr">
        <is>
          <t>MCHD-TR</t>
        </is>
      </c>
      <c r="I691" s="570" t="inlineStr">
        <is>
          <t>Amy Henderson</t>
        </is>
      </c>
      <c r="J691" s="557" t="n"/>
    </row>
    <row r="692" ht="17.25" customFormat="1" customHeight="1" s="1">
      <c r="A692" s="8" t="inlineStr">
        <is>
          <t>A 171</t>
        </is>
      </c>
      <c r="B692" s="5" t="n">
        <v>86</v>
      </c>
      <c r="C692" s="6" t="inlineStr">
        <is>
          <t>X</t>
        </is>
      </c>
      <c r="D692" s="5" t="n">
        <v>259</v>
      </c>
      <c r="E692" s="2">
        <f>B692*D692/10000</f>
        <v/>
      </c>
      <c r="F692" s="3">
        <f>B692/30.48</f>
        <v/>
      </c>
      <c r="G692" s="3">
        <f>D692/30.48</f>
        <v/>
      </c>
      <c r="H692" s="594" t="inlineStr">
        <is>
          <t>MCHD-TR</t>
        </is>
      </c>
      <c r="I692" s="570" t="inlineStr">
        <is>
          <t>Nicole Friel</t>
        </is>
      </c>
      <c r="J692" s="557" t="n"/>
    </row>
    <row r="693" ht="17.25" customFormat="1" customHeight="1" s="1">
      <c r="A693" s="8" t="inlineStr">
        <is>
          <t>C 989</t>
        </is>
      </c>
      <c r="B693" s="5" t="n">
        <v>93</v>
      </c>
      <c r="C693" s="6" t="inlineStr">
        <is>
          <t>X</t>
        </is>
      </c>
      <c r="D693" s="5" t="n">
        <v>396</v>
      </c>
      <c r="E693" s="2">
        <f>B693*D693/10000</f>
        <v/>
      </c>
      <c r="F693" s="3">
        <f>B693/30.48</f>
        <v/>
      </c>
      <c r="G693" s="3">
        <f>D693/30.48</f>
        <v/>
      </c>
      <c r="H693" s="594" t="inlineStr">
        <is>
          <t>MCHD-TR</t>
        </is>
      </c>
      <c r="I693" s="570" t="inlineStr">
        <is>
          <t>Stephanie McCaleb</t>
        </is>
      </c>
      <c r="J693" s="557" t="n"/>
    </row>
    <row r="694" ht="17.25" customFormat="1" customHeight="1" s="1">
      <c r="A694" s="8" t="inlineStr">
        <is>
          <t>A 55</t>
        </is>
      </c>
      <c r="B694" s="5" t="n">
        <v>90</v>
      </c>
      <c r="C694" s="6" t="inlineStr">
        <is>
          <t>X</t>
        </is>
      </c>
      <c r="D694" s="5" t="n">
        <v>362</v>
      </c>
      <c r="E694" s="2">
        <f>B694*D694/10000</f>
        <v/>
      </c>
      <c r="F694" s="3">
        <f>B694/30.48</f>
        <v/>
      </c>
      <c r="G694" s="3">
        <f>D694/30.48</f>
        <v/>
      </c>
      <c r="H694" s="36" t="inlineStr">
        <is>
          <t>MCHD-PAC</t>
        </is>
      </c>
      <c r="I694" s="570" t="inlineStr">
        <is>
          <t>Jennifer Brown</t>
        </is>
      </c>
      <c r="J694" s="557" t="n"/>
    </row>
    <row r="695" ht="18" customFormat="1" customHeight="1" s="1">
      <c r="A695" s="8" t="inlineStr">
        <is>
          <t>C 535</t>
        </is>
      </c>
      <c r="B695" s="5" t="n">
        <v>103</v>
      </c>
      <c r="C695" s="6" t="inlineStr">
        <is>
          <t>X</t>
        </is>
      </c>
      <c r="D695" s="5" t="n">
        <v>371</v>
      </c>
      <c r="E695" s="2">
        <f>B695*D695/10000</f>
        <v/>
      </c>
      <c r="F695" s="3">
        <f>B695/30.48</f>
        <v/>
      </c>
      <c r="G695" s="3">
        <f>D695/30.48</f>
        <v/>
      </c>
      <c r="H695" s="37" t="inlineStr">
        <is>
          <t>MCHD-PAC</t>
        </is>
      </c>
      <c r="I695" s="570" t="inlineStr">
        <is>
          <t>Loan Tran</t>
        </is>
      </c>
      <c r="J695" s="557" t="inlineStr">
        <is>
          <t>US-912 604 8636</t>
        </is>
      </c>
    </row>
    <row r="696" ht="17.25" customFormat="1" customHeight="1" s="1">
      <c r="A696" s="8" t="inlineStr">
        <is>
          <t>C 572</t>
        </is>
      </c>
      <c r="B696" s="5" t="n">
        <v>98</v>
      </c>
      <c r="C696" s="6" t="inlineStr">
        <is>
          <t>X</t>
        </is>
      </c>
      <c r="D696" s="5" t="n">
        <v>196</v>
      </c>
      <c r="E696" s="2">
        <f>B696*D696/10000</f>
        <v/>
      </c>
      <c r="F696" s="3">
        <f>B696/30.48</f>
        <v/>
      </c>
      <c r="G696" s="3">
        <f>D696/30.48</f>
        <v/>
      </c>
      <c r="H696" s="694" t="n"/>
      <c r="I696" s="694" t="n"/>
      <c r="J696" s="694" t="n"/>
    </row>
    <row r="697" ht="17.25" customHeight="1" s="305">
      <c r="A697" s="8" t="inlineStr">
        <is>
          <t>D 3</t>
        </is>
      </c>
      <c r="B697" s="5" t="n">
        <v>50</v>
      </c>
      <c r="C697" s="72" t="inlineStr">
        <is>
          <t>X</t>
        </is>
      </c>
      <c r="D697" s="5" t="n">
        <v>102</v>
      </c>
      <c r="E697" s="73">
        <f>B697*D697/10000</f>
        <v/>
      </c>
      <c r="F697" s="74">
        <f>B697/30.48</f>
        <v/>
      </c>
      <c r="G697" s="74">
        <f>D697/30.48</f>
        <v/>
      </c>
      <c r="H697" s="569" t="inlineStr">
        <is>
          <t>MCHD-OLD</t>
        </is>
      </c>
      <c r="I697" s="570" t="inlineStr">
        <is>
          <t>Chelsie Flatness</t>
        </is>
      </c>
      <c r="J697" s="557" t="n"/>
    </row>
    <row r="698" ht="17.25" customHeight="1" s="305">
      <c r="A698" s="8" t="inlineStr">
        <is>
          <t>D 268</t>
        </is>
      </c>
      <c r="B698" s="5" t="n">
        <v>47</v>
      </c>
      <c r="C698" s="72" t="inlineStr">
        <is>
          <t>X</t>
        </is>
      </c>
      <c r="D698" s="5" t="n">
        <v>110</v>
      </c>
      <c r="E698" s="73">
        <f>B698*D698/10000</f>
        <v/>
      </c>
      <c r="F698" s="74">
        <f>B698/30.48</f>
        <v/>
      </c>
      <c r="G698" s="74">
        <f>D698/30.48</f>
        <v/>
      </c>
      <c r="H698" s="568" t="inlineStr">
        <is>
          <t>MCHD-VR</t>
        </is>
      </c>
      <c r="I698" s="570" t="inlineStr">
        <is>
          <t>Amanda Mastenbrook</t>
        </is>
      </c>
      <c r="J698" s="557" t="inlineStr">
        <is>
          <t>US-616 560 6663</t>
        </is>
      </c>
    </row>
    <row r="699" ht="17.25" customHeight="1" s="305">
      <c r="A699" s="8" t="inlineStr">
        <is>
          <t>D 272</t>
        </is>
      </c>
      <c r="B699" s="5" t="n">
        <v>48</v>
      </c>
      <c r="C699" s="72" t="inlineStr">
        <is>
          <t>X</t>
        </is>
      </c>
      <c r="D699" s="5" t="n">
        <v>103</v>
      </c>
      <c r="E699" s="73">
        <f>B699*D699/10000</f>
        <v/>
      </c>
      <c r="F699" s="74">
        <f>B699/30.48</f>
        <v/>
      </c>
      <c r="G699" s="74">
        <f>D699/30.48</f>
        <v/>
      </c>
      <c r="H699" s="569" t="inlineStr">
        <is>
          <t>MCHD-VR</t>
        </is>
      </c>
      <c r="I699" s="534" t="inlineStr">
        <is>
          <t>Amanda Spartz</t>
        </is>
      </c>
      <c r="J699" s="545" t="n"/>
    </row>
    <row r="700" ht="17.25" customFormat="1" customHeight="1" s="1">
      <c r="A700" s="8" t="inlineStr">
        <is>
          <t>C 947</t>
        </is>
      </c>
      <c r="B700" s="5" t="n">
        <v>207</v>
      </c>
      <c r="C700" s="6" t="inlineStr">
        <is>
          <t>X</t>
        </is>
      </c>
      <c r="D700" s="5" t="n">
        <v>302</v>
      </c>
      <c r="E700" s="2">
        <f>B700*D700/10000</f>
        <v/>
      </c>
      <c r="F700" s="3">
        <f>B700/30.48</f>
        <v/>
      </c>
      <c r="G700" s="3">
        <f>D700/30.48</f>
        <v/>
      </c>
      <c r="H700" s="568" t="inlineStr">
        <is>
          <t>MCHD-OLD</t>
        </is>
      </c>
      <c r="I700" s="570" t="inlineStr">
        <is>
          <t>Jerman Chung</t>
        </is>
      </c>
      <c r="J700" s="571" t="n"/>
    </row>
    <row r="701" ht="17.25" customFormat="1" customHeight="1" s="1">
      <c r="A701" s="8" t="inlineStr">
        <is>
          <t>C 581</t>
        </is>
      </c>
      <c r="B701" s="5" t="n">
        <v>202</v>
      </c>
      <c r="C701" s="6" t="inlineStr">
        <is>
          <t>X</t>
        </is>
      </c>
      <c r="D701" s="5" t="n">
        <v>314</v>
      </c>
      <c r="E701" s="2">
        <f>B701*D701/10000</f>
        <v/>
      </c>
      <c r="F701" s="3">
        <f>B701/30.48</f>
        <v/>
      </c>
      <c r="G701" s="3">
        <f>D701/30.48</f>
        <v/>
      </c>
      <c r="H701" s="699" t="n"/>
      <c r="I701" s="693" t="n"/>
      <c r="J701" s="697" t="n"/>
    </row>
    <row r="702" ht="17.25" customFormat="1" customHeight="1" s="1">
      <c r="A702" s="8" t="inlineStr">
        <is>
          <t>C 858</t>
        </is>
      </c>
      <c r="B702" s="5" t="n">
        <v>214</v>
      </c>
      <c r="C702" s="6" t="inlineStr">
        <is>
          <t>X</t>
        </is>
      </c>
      <c r="D702" s="5" t="n">
        <v>312</v>
      </c>
      <c r="E702" s="2">
        <f>B702*D702/10000</f>
        <v/>
      </c>
      <c r="F702" s="3">
        <f>B702/30.48</f>
        <v/>
      </c>
      <c r="G702" s="3">
        <f>D702/30.48</f>
        <v/>
      </c>
      <c r="H702" s="700" t="n"/>
      <c r="I702" s="694" t="n"/>
      <c r="J702" s="697" t="n"/>
    </row>
    <row r="703" ht="17.25" customFormat="1" customHeight="1" s="1">
      <c r="A703" s="8" t="inlineStr">
        <is>
          <t>C 738</t>
        </is>
      </c>
      <c r="B703" s="5" t="n">
        <v>185</v>
      </c>
      <c r="C703" s="6" t="inlineStr">
        <is>
          <t>X</t>
        </is>
      </c>
      <c r="D703" s="5" t="n">
        <v>271</v>
      </c>
      <c r="E703" s="2">
        <f>B703*D703/10000</f>
        <v/>
      </c>
      <c r="F703" s="3">
        <f>B703/30.48</f>
        <v/>
      </c>
      <c r="G703" s="3">
        <f>D703/30.48</f>
        <v/>
      </c>
      <c r="H703" s="36" t="inlineStr">
        <is>
          <t>MCHD-PAC</t>
        </is>
      </c>
      <c r="I703" s="570" t="inlineStr">
        <is>
          <t>Meg Reinis</t>
        </is>
      </c>
      <c r="J703" s="557" t="n"/>
    </row>
    <row r="704" ht="17.25" customFormat="1" customHeight="1" s="1">
      <c r="A704" s="8" t="n">
        <v>1086</v>
      </c>
      <c r="B704" s="5" t="n">
        <v>69</v>
      </c>
      <c r="C704" s="72" t="inlineStr">
        <is>
          <t>X</t>
        </is>
      </c>
      <c r="D704" s="5" t="n">
        <v>123</v>
      </c>
      <c r="E704" s="73">
        <f>B704*D704/10000</f>
        <v/>
      </c>
      <c r="F704" s="74">
        <f>B704/30.48</f>
        <v/>
      </c>
      <c r="G704" s="74">
        <f>D704/30.48</f>
        <v/>
      </c>
      <c r="H704" s="36" t="inlineStr">
        <is>
          <t>MCHD-PAC</t>
        </is>
      </c>
      <c r="I704" s="570" t="inlineStr">
        <is>
          <t>Coventry Berg</t>
        </is>
      </c>
      <c r="J704" s="557" t="n"/>
    </row>
    <row r="705" ht="17.25" customFormat="1" customHeight="1" s="1">
      <c r="A705" s="8" t="inlineStr">
        <is>
          <t>A 37</t>
        </is>
      </c>
      <c r="B705" s="5" t="n">
        <v>56</v>
      </c>
      <c r="C705" s="6" t="inlineStr">
        <is>
          <t>X</t>
        </is>
      </c>
      <c r="D705" s="5" t="n">
        <v>166</v>
      </c>
      <c r="E705" s="2">
        <f>B705*D705/10000</f>
        <v/>
      </c>
      <c r="F705" s="3">
        <f>B705/30.48</f>
        <v/>
      </c>
      <c r="G705" s="3">
        <f>D705/30.48</f>
        <v/>
      </c>
      <c r="H705" s="542" t="inlineStr">
        <is>
          <t>MCHD-TR</t>
        </is>
      </c>
      <c r="I705" s="570" t="inlineStr">
        <is>
          <t>Trish Rayner</t>
        </is>
      </c>
      <c r="J705" s="557" t="n"/>
    </row>
    <row r="706" ht="17.25" customFormat="1" customHeight="1" s="1">
      <c r="A706" s="8" t="inlineStr">
        <is>
          <t>C 952</t>
        </is>
      </c>
      <c r="B706" s="5" t="n">
        <v>57</v>
      </c>
      <c r="C706" s="6" t="inlineStr">
        <is>
          <t>X</t>
        </is>
      </c>
      <c r="D706" s="5" t="n">
        <v>173</v>
      </c>
      <c r="E706" s="2">
        <f>B706*D706/10000</f>
        <v/>
      </c>
      <c r="F706" s="3">
        <f>B706/30.48</f>
        <v/>
      </c>
      <c r="G706" s="3">
        <f>D706/30.48</f>
        <v/>
      </c>
      <c r="H706" s="693" t="n"/>
      <c r="I706" s="694" t="n"/>
      <c r="J706" s="694" t="n"/>
    </row>
    <row r="707" ht="17.25" customFormat="1" customHeight="1" s="1">
      <c r="A707" s="8" t="inlineStr">
        <is>
          <t>C 633</t>
        </is>
      </c>
      <c r="B707" s="5" t="n">
        <v>75</v>
      </c>
      <c r="C707" s="6" t="inlineStr">
        <is>
          <t>X</t>
        </is>
      </c>
      <c r="D707" s="5" t="n">
        <v>124</v>
      </c>
      <c r="E707" s="2">
        <f>B707*D707/10000</f>
        <v/>
      </c>
      <c r="F707" s="3">
        <f>B707/30.48</f>
        <v/>
      </c>
      <c r="G707" s="3">
        <f>D707/30.48</f>
        <v/>
      </c>
      <c r="H707" s="36" t="inlineStr">
        <is>
          <t>MCHD-PAC</t>
        </is>
      </c>
      <c r="I707" s="570" t="inlineStr">
        <is>
          <t>Christina Dunlop</t>
        </is>
      </c>
      <c r="J707" s="557" t="n"/>
    </row>
    <row r="708" ht="17.25" customHeight="1" s="305">
      <c r="A708" s="8" t="inlineStr">
        <is>
          <t>KN 181</t>
        </is>
      </c>
      <c r="B708" s="5" t="n">
        <v>247</v>
      </c>
      <c r="C708" s="6" t="inlineStr">
        <is>
          <t>X</t>
        </is>
      </c>
      <c r="D708" s="5" t="n">
        <v>340</v>
      </c>
      <c r="E708" s="2">
        <f>B708*D708/10000</f>
        <v/>
      </c>
      <c r="F708" s="3">
        <f>B708/30.48</f>
        <v/>
      </c>
      <c r="G708" s="3">
        <f>D708/30.48</f>
        <v/>
      </c>
      <c r="H708" s="594" t="inlineStr">
        <is>
          <t>MCHD-RK</t>
        </is>
      </c>
      <c r="I708" s="570" t="inlineStr">
        <is>
          <t>Lori Silverbush</t>
        </is>
      </c>
      <c r="J708" s="557" t="n"/>
    </row>
    <row r="709" ht="17.25" customFormat="1" customHeight="1" s="1">
      <c r="A709" s="8" t="inlineStr">
        <is>
          <t>C 101</t>
        </is>
      </c>
      <c r="B709" s="5" t="n">
        <v>305</v>
      </c>
      <c r="C709" s="6" t="inlineStr">
        <is>
          <t>X</t>
        </is>
      </c>
      <c r="D709" s="5" t="n">
        <v>90</v>
      </c>
      <c r="E709" s="2">
        <f>B709*D709/10000</f>
        <v/>
      </c>
      <c r="F709" s="3">
        <f>B709/30.48</f>
        <v/>
      </c>
      <c r="G709" s="3">
        <f>D709/30.48</f>
        <v/>
      </c>
      <c r="H709" s="66" t="inlineStr">
        <is>
          <t>MCHD-TR</t>
        </is>
      </c>
      <c r="I709" s="616" t="inlineStr">
        <is>
          <t>SHARA ZIMMERMAN JAWL</t>
        </is>
      </c>
      <c r="J709" s="545" t="n"/>
    </row>
    <row r="710" ht="17.25" customFormat="1" customHeight="1" s="1">
      <c r="A710" s="8" t="inlineStr">
        <is>
          <t>C 420</t>
        </is>
      </c>
      <c r="B710" s="5" t="n">
        <v>114</v>
      </c>
      <c r="C710" s="6" t="inlineStr">
        <is>
          <t>X</t>
        </is>
      </c>
      <c r="D710" s="5" t="n">
        <v>197</v>
      </c>
      <c r="E710" s="2">
        <f>B710*D710/10000</f>
        <v/>
      </c>
      <c r="F710" s="3">
        <f>B710/30.48</f>
        <v/>
      </c>
      <c r="G710" s="3">
        <f>D710/30.48</f>
        <v/>
      </c>
      <c r="H710" s="36" t="inlineStr">
        <is>
          <t>MCHD-PAC</t>
        </is>
      </c>
      <c r="I710" s="570" t="inlineStr">
        <is>
          <t>kaitrin degan</t>
        </is>
      </c>
      <c r="J710" s="557" t="n"/>
    </row>
    <row r="711" ht="17.25" customFormat="1" customHeight="1" s="1">
      <c r="A711" s="8" t="inlineStr">
        <is>
          <t>Y 62</t>
        </is>
      </c>
      <c r="B711" s="5" t="n">
        <v>369</v>
      </c>
      <c r="C711" s="6" t="inlineStr">
        <is>
          <t>X</t>
        </is>
      </c>
      <c r="D711" s="5" t="n">
        <v>261</v>
      </c>
      <c r="E711" s="2">
        <f>B711*D711/10000</f>
        <v/>
      </c>
      <c r="F711" s="3">
        <f>B711/30.48</f>
        <v/>
      </c>
      <c r="G711" s="3">
        <f>D711/30.48</f>
        <v/>
      </c>
      <c r="H711" s="66" t="inlineStr">
        <is>
          <t>MCHD-TR</t>
        </is>
      </c>
      <c r="I711" s="557" t="inlineStr">
        <is>
          <t>Susyn Dietz</t>
        </is>
      </c>
      <c r="J711" s="557" t="inlineStr">
        <is>
          <t>US-614 638 2617</t>
        </is>
      </c>
    </row>
    <row r="712" ht="17.25" customFormat="1" customHeight="1" s="1">
      <c r="A712" s="8" t="inlineStr">
        <is>
          <t>C 896</t>
        </is>
      </c>
      <c r="B712" s="5" t="n">
        <v>76</v>
      </c>
      <c r="C712" s="6" t="inlineStr">
        <is>
          <t>X</t>
        </is>
      </c>
      <c r="D712" s="5" t="n">
        <v>350</v>
      </c>
      <c r="E712" s="2">
        <f>B712*D712/10000</f>
        <v/>
      </c>
      <c r="F712" s="3">
        <f>B712/30.48</f>
        <v/>
      </c>
      <c r="G712" s="3">
        <f>D712/30.48</f>
        <v/>
      </c>
      <c r="H712" s="66" t="inlineStr">
        <is>
          <t>MCHD-TR</t>
        </is>
      </c>
      <c r="I712" s="570" t="inlineStr">
        <is>
          <t>Tatum Martens</t>
        </is>
      </c>
      <c r="J712" s="557" t="n"/>
    </row>
    <row r="713" ht="17.25" customFormat="1" customHeight="1" s="1">
      <c r="A713" s="8" t="inlineStr">
        <is>
          <t>C 119</t>
        </is>
      </c>
      <c r="B713" s="5" t="n">
        <v>288</v>
      </c>
      <c r="C713" s="6" t="inlineStr">
        <is>
          <t>X</t>
        </is>
      </c>
      <c r="D713" s="5" t="n">
        <v>174</v>
      </c>
      <c r="E713" s="2">
        <f>B713*D713/10000</f>
        <v/>
      </c>
      <c r="F713" s="3">
        <f>B713/30.48</f>
        <v/>
      </c>
      <c r="G713" s="3">
        <f>D713/30.48</f>
        <v/>
      </c>
      <c r="H713" s="569" t="inlineStr">
        <is>
          <t>MCHD-OLD</t>
        </is>
      </c>
      <c r="I713" s="534" t="inlineStr">
        <is>
          <t>Brooke Lane</t>
        </is>
      </c>
      <c r="J713" s="545" t="n"/>
    </row>
    <row r="714" ht="17.25" customFormat="1" customHeight="1" s="1">
      <c r="A714" s="8" t="n">
        <v>15</v>
      </c>
      <c r="B714" s="5" t="n">
        <v>298</v>
      </c>
      <c r="C714" s="6" t="inlineStr">
        <is>
          <t>X</t>
        </is>
      </c>
      <c r="D714" s="5" t="n">
        <v>100</v>
      </c>
      <c r="E714" s="2">
        <f>B714*D714/10000</f>
        <v/>
      </c>
      <c r="F714" s="3">
        <f>B714/30.48</f>
        <v/>
      </c>
      <c r="G714" s="3">
        <f>D714/30.48</f>
        <v/>
      </c>
      <c r="H714" s="569" t="inlineStr">
        <is>
          <t>MCHD-OLD</t>
        </is>
      </c>
      <c r="I714" s="570" t="inlineStr">
        <is>
          <t>Jennifer Beeson</t>
        </is>
      </c>
      <c r="J714" s="557" t="n"/>
    </row>
    <row r="715" ht="17.25" customFormat="1" customHeight="1" s="1">
      <c r="A715" s="8" t="inlineStr">
        <is>
          <t>Y 607</t>
        </is>
      </c>
      <c r="B715" s="5" t="n">
        <v>386</v>
      </c>
      <c r="C715" s="6" t="inlineStr">
        <is>
          <t>X</t>
        </is>
      </c>
      <c r="D715" s="5" t="n">
        <v>83</v>
      </c>
      <c r="E715" s="2">
        <f>B715*D715/10000</f>
        <v/>
      </c>
      <c r="F715" s="3">
        <f>B715/30.48</f>
        <v/>
      </c>
      <c r="G715" s="3">
        <f>D715/30.48</f>
        <v/>
      </c>
      <c r="H715" s="36" t="inlineStr">
        <is>
          <t>MCHD-PAC</t>
        </is>
      </c>
      <c r="I715" s="570" t="inlineStr">
        <is>
          <t>Katherine Hoyer</t>
        </is>
      </c>
      <c r="J715" s="557" t="n"/>
    </row>
    <row r="716" ht="17.25" customFormat="1" customHeight="1" s="1">
      <c r="A716" s="8" t="inlineStr">
        <is>
          <t>C 887</t>
        </is>
      </c>
      <c r="B716" s="5" t="n">
        <v>73</v>
      </c>
      <c r="C716" s="6" t="inlineStr">
        <is>
          <t>X</t>
        </is>
      </c>
      <c r="D716" s="5" t="n">
        <v>246</v>
      </c>
      <c r="E716" s="2">
        <f>B716*D716/10000</f>
        <v/>
      </c>
      <c r="F716" s="3">
        <f>B716/30.48</f>
        <v/>
      </c>
      <c r="G716" s="3">
        <f>D716/30.48</f>
        <v/>
      </c>
      <c r="H716" s="66" t="inlineStr">
        <is>
          <t>MCHD-TR</t>
        </is>
      </c>
      <c r="I716" s="570" t="inlineStr">
        <is>
          <t>Marybeth Drum</t>
        </is>
      </c>
      <c r="J716" s="557" t="n"/>
    </row>
    <row r="717" ht="17.25" customFormat="1" customHeight="1" s="1">
      <c r="A717" s="8" t="inlineStr">
        <is>
          <t>Y 721</t>
        </is>
      </c>
      <c r="B717" s="5" t="n">
        <v>318</v>
      </c>
      <c r="C717" s="6" t="inlineStr">
        <is>
          <t>X</t>
        </is>
      </c>
      <c r="D717" s="5" t="n">
        <v>95</v>
      </c>
      <c r="E717" s="2">
        <f>B717*D717/10000</f>
        <v/>
      </c>
      <c r="F717" s="3">
        <f>B717/30.48</f>
        <v/>
      </c>
      <c r="G717" s="3">
        <f>D717/30.48</f>
        <v/>
      </c>
      <c r="H717" s="66" t="inlineStr">
        <is>
          <t>MCHD-TR</t>
        </is>
      </c>
      <c r="I717" s="570" t="inlineStr">
        <is>
          <t>Erin Versoza</t>
        </is>
      </c>
      <c r="J717" s="557" t="inlineStr">
        <is>
          <t>US-951 707 8888</t>
        </is>
      </c>
    </row>
    <row r="718" ht="17.25" customFormat="1" customHeight="1" s="1">
      <c r="A718" s="8" t="inlineStr">
        <is>
          <t>A 5</t>
        </is>
      </c>
      <c r="B718" s="5" t="n">
        <v>79</v>
      </c>
      <c r="C718" s="6" t="inlineStr">
        <is>
          <t>X</t>
        </is>
      </c>
      <c r="D718" s="5" t="n">
        <v>217</v>
      </c>
      <c r="E718" s="2">
        <f>B718*D718/10000</f>
        <v/>
      </c>
      <c r="F718" s="3">
        <f>B718/30.48</f>
        <v/>
      </c>
      <c r="G718" s="3">
        <f>D718/30.48</f>
        <v/>
      </c>
      <c r="H718" s="66" t="inlineStr">
        <is>
          <t>MCHD-TR</t>
        </is>
      </c>
      <c r="I718" s="570" t="inlineStr">
        <is>
          <t>Michelle Sparks</t>
        </is>
      </c>
      <c r="J718" s="557" t="n"/>
    </row>
    <row r="719" ht="18" customFormat="1" customHeight="1" s="1">
      <c r="A719" s="8" t="inlineStr">
        <is>
          <t>A 91</t>
        </is>
      </c>
      <c r="B719" s="5" t="n">
        <v>65</v>
      </c>
      <c r="C719" s="72" t="inlineStr">
        <is>
          <t>X</t>
        </is>
      </c>
      <c r="D719" s="5" t="n">
        <v>243</v>
      </c>
      <c r="E719" s="73">
        <f>B719*D719/10000</f>
        <v/>
      </c>
      <c r="F719" s="74">
        <f>B719/30.48</f>
        <v/>
      </c>
      <c r="G719" s="74">
        <f>D719/30.48</f>
        <v/>
      </c>
      <c r="H719" s="66" t="inlineStr">
        <is>
          <t>MCHD-TR</t>
        </is>
      </c>
      <c r="I719" s="534" t="inlineStr">
        <is>
          <t>Emily Stinemetz</t>
        </is>
      </c>
      <c r="J719" s="545" t="n"/>
    </row>
    <row r="720" ht="17.25" customFormat="1" customHeight="1" s="1">
      <c r="A720" s="8" t="inlineStr">
        <is>
          <t>C 625</t>
        </is>
      </c>
      <c r="B720" s="5" t="n">
        <v>224</v>
      </c>
      <c r="C720" s="6" t="inlineStr">
        <is>
          <t>X</t>
        </is>
      </c>
      <c r="D720" s="5" t="n">
        <v>326</v>
      </c>
      <c r="E720" s="2">
        <f>B720*D720/10000</f>
        <v/>
      </c>
      <c r="F720" s="3">
        <f>B720/30.48</f>
        <v/>
      </c>
      <c r="G720" s="3">
        <f>D720/30.48</f>
        <v/>
      </c>
      <c r="H720" s="18" t="inlineStr">
        <is>
          <t>MCHD-TH</t>
        </is>
      </c>
      <c r="I720" s="534" t="inlineStr">
        <is>
          <t>Tony Morris</t>
        </is>
      </c>
      <c r="J720" s="545" t="n"/>
    </row>
    <row r="721" ht="17.25" customFormat="1" customHeight="1" s="1">
      <c r="A721" s="8" t="inlineStr">
        <is>
          <t>Y 644</t>
        </is>
      </c>
      <c r="B721" s="5" t="n">
        <v>328</v>
      </c>
      <c r="C721" s="6" t="inlineStr">
        <is>
          <t>X</t>
        </is>
      </c>
      <c r="D721" s="5" t="n">
        <v>244</v>
      </c>
      <c r="E721" s="2">
        <f>B721*D721/10000</f>
        <v/>
      </c>
      <c r="F721" s="3">
        <f>B721/30.48</f>
        <v/>
      </c>
      <c r="G721" s="3">
        <f>D721/30.48</f>
        <v/>
      </c>
      <c r="H721" s="594" t="inlineStr">
        <is>
          <t>MCHD-RK</t>
        </is>
      </c>
      <c r="I721" s="570" t="inlineStr">
        <is>
          <t>Leslie Newby</t>
        </is>
      </c>
      <c r="J721" s="557" t="n"/>
    </row>
    <row r="722" ht="17.25" customHeight="1" s="305">
      <c r="A722" s="8" t="inlineStr">
        <is>
          <t>D 291</t>
        </is>
      </c>
      <c r="B722" s="5" t="n">
        <v>50</v>
      </c>
      <c r="C722" s="72" t="inlineStr">
        <is>
          <t>X</t>
        </is>
      </c>
      <c r="D722" s="5" t="n">
        <v>120</v>
      </c>
      <c r="E722" s="73">
        <f>B722*D722/10000</f>
        <v/>
      </c>
      <c r="F722" s="74">
        <f>B722/30.48</f>
        <v/>
      </c>
      <c r="G722" s="74">
        <f>D722/30.48</f>
        <v/>
      </c>
      <c r="H722" s="569" t="inlineStr">
        <is>
          <t>MCHD-VR</t>
        </is>
      </c>
      <c r="I722" s="570" t="inlineStr">
        <is>
          <t>Carol de Miranda</t>
        </is>
      </c>
      <c r="J722" s="557" t="n"/>
    </row>
    <row r="723" ht="17.25" customFormat="1" customHeight="1" s="1">
      <c r="A723" s="8" t="inlineStr">
        <is>
          <t>C 833</t>
        </is>
      </c>
      <c r="B723" s="5" t="n">
        <v>388</v>
      </c>
      <c r="C723" s="6" t="inlineStr">
        <is>
          <t>X</t>
        </is>
      </c>
      <c r="D723" s="5" t="n">
        <v>290</v>
      </c>
      <c r="E723" s="2">
        <f>B723*D723/10000</f>
        <v/>
      </c>
      <c r="F723" s="3">
        <f>B723/30.48</f>
        <v/>
      </c>
      <c r="G723" s="3">
        <f>D723/30.48</f>
        <v/>
      </c>
      <c r="H723" s="701" t="inlineStr">
        <is>
          <t>MCHD-TR
MCHD-PAC</t>
        </is>
      </c>
      <c r="I723" s="611" t="inlineStr">
        <is>
          <t>Lauren Liess</t>
        </is>
      </c>
      <c r="J723" s="556" t="inlineStr">
        <is>
          <t>US-571 926 7825
774 B Walker Road Suite 202
GREAT FALLS, VA 22066
United States</t>
        </is>
      </c>
    </row>
    <row r="724" ht="17.25" customFormat="1" customHeight="1" s="1">
      <c r="A724" s="8" t="inlineStr">
        <is>
          <t>Y 829</t>
        </is>
      </c>
      <c r="B724" s="5" t="n">
        <v>296</v>
      </c>
      <c r="C724" s="6" t="inlineStr">
        <is>
          <t>X</t>
        </is>
      </c>
      <c r="D724" s="5" t="n">
        <v>324</v>
      </c>
      <c r="E724" s="2">
        <f>B724*D724/10000</f>
        <v/>
      </c>
      <c r="F724" s="3">
        <f>B724/30.48</f>
        <v/>
      </c>
      <c r="G724" s="3">
        <f>D724/30.48</f>
        <v/>
      </c>
      <c r="H724" s="693" t="n"/>
      <c r="I724" s="693" t="n"/>
      <c r="J724" s="693" t="n"/>
    </row>
    <row r="725" ht="17.25" customFormat="1" customHeight="1" s="1">
      <c r="A725" s="8" t="inlineStr">
        <is>
          <t>C 446</t>
        </is>
      </c>
      <c r="B725" s="5" t="n">
        <v>266</v>
      </c>
      <c r="C725" s="6" t="inlineStr">
        <is>
          <t>X</t>
        </is>
      </c>
      <c r="D725" s="5" t="n">
        <v>336</v>
      </c>
      <c r="E725" s="2">
        <f>B725*D725/10000</f>
        <v/>
      </c>
      <c r="F725" s="3">
        <f>B725/30.48</f>
        <v/>
      </c>
      <c r="G725" s="3">
        <f>D725/30.48</f>
        <v/>
      </c>
      <c r="H725" s="693" t="n"/>
      <c r="I725" s="693" t="n"/>
      <c r="J725" s="693" t="n"/>
    </row>
    <row r="726" ht="17.25" customFormat="1" customHeight="1" s="1">
      <c r="A726" s="8" t="inlineStr">
        <is>
          <t>A 206</t>
        </is>
      </c>
      <c r="B726" s="5" t="n">
        <v>291</v>
      </c>
      <c r="C726" s="6" t="inlineStr">
        <is>
          <t>X</t>
        </is>
      </c>
      <c r="D726" s="5" t="n">
        <v>390</v>
      </c>
      <c r="E726" s="2">
        <f>B726*D726/10000</f>
        <v/>
      </c>
      <c r="F726" s="3">
        <f>B726/30.48</f>
        <v/>
      </c>
      <c r="G726" s="3">
        <f>D726/30.48</f>
        <v/>
      </c>
      <c r="H726" s="694" t="n"/>
      <c r="I726" s="693" t="n"/>
      <c r="J726" s="694" t="n"/>
    </row>
    <row r="727" ht="17.25" customHeight="1" s="305">
      <c r="A727" s="8" t="inlineStr">
        <is>
          <t>KN 103</t>
        </is>
      </c>
      <c r="B727" s="5" t="n">
        <v>165</v>
      </c>
      <c r="C727" s="6" t="inlineStr">
        <is>
          <t>X</t>
        </is>
      </c>
      <c r="D727" s="5" t="n">
        <v>338</v>
      </c>
      <c r="E727" s="2">
        <f>B727*D727/10000</f>
        <v/>
      </c>
      <c r="F727" s="3">
        <f>B727/30.48</f>
        <v/>
      </c>
      <c r="G727" s="3">
        <f>D727/30.48</f>
        <v/>
      </c>
      <c r="H727" s="36" t="inlineStr">
        <is>
          <t>MCHD-PAC</t>
        </is>
      </c>
      <c r="I727" s="505" t="inlineStr">
        <is>
          <t>Marcella Heijink</t>
        </is>
      </c>
      <c r="J727" s="93" t="inlineStr">
        <is>
          <t>HL-68 321 2028</t>
        </is>
      </c>
    </row>
    <row r="728" ht="17.25" customFormat="1" customHeight="1" s="1">
      <c r="A728" s="8" t="inlineStr">
        <is>
          <t>A 52</t>
        </is>
      </c>
      <c r="B728" s="5" t="n">
        <v>81</v>
      </c>
      <c r="C728" s="6" t="inlineStr">
        <is>
          <t>X</t>
        </is>
      </c>
      <c r="D728" s="5" t="n">
        <v>274</v>
      </c>
      <c r="E728" s="2">
        <f>B728*D728/10000</f>
        <v/>
      </c>
      <c r="F728" s="3">
        <f>B728/30.48</f>
        <v/>
      </c>
      <c r="G728" s="3">
        <f>D728/30.48</f>
        <v/>
      </c>
      <c r="H728" s="66" t="inlineStr">
        <is>
          <t>MCHD-TR</t>
        </is>
      </c>
      <c r="I728" s="570" t="inlineStr">
        <is>
          <t>Ivy Vick</t>
        </is>
      </c>
      <c r="J728" s="557" t="inlineStr">
        <is>
          <t>US-615 485 0963</t>
        </is>
      </c>
    </row>
    <row r="729" ht="17.25" customFormat="1" customHeight="1" s="1">
      <c r="A729" s="8" t="inlineStr">
        <is>
          <t>A 9</t>
        </is>
      </c>
      <c r="B729" s="5" t="n">
        <v>72</v>
      </c>
      <c r="C729" s="6" t="inlineStr">
        <is>
          <t>X</t>
        </is>
      </c>
      <c r="D729" s="5" t="n">
        <v>187</v>
      </c>
      <c r="E729" s="2">
        <f>B729*D729/10000</f>
        <v/>
      </c>
      <c r="F729" s="3">
        <f>B729/30.48</f>
        <v/>
      </c>
      <c r="G729" s="3">
        <f>D729/30.48</f>
        <v/>
      </c>
      <c r="H729" s="66" t="inlineStr">
        <is>
          <t>MCHD-TR</t>
        </is>
      </c>
      <c r="I729" s="570" t="inlineStr">
        <is>
          <t>Katie Gebhardt</t>
        </is>
      </c>
      <c r="J729" s="557" t="n"/>
    </row>
    <row r="730" ht="17.25" customFormat="1" customHeight="1" s="1">
      <c r="A730" s="8" t="inlineStr">
        <is>
          <t>A 100</t>
        </is>
      </c>
      <c r="B730" s="5" t="n">
        <v>73</v>
      </c>
      <c r="C730" s="72" t="inlineStr">
        <is>
          <t>X</t>
        </is>
      </c>
      <c r="D730" s="5" t="n">
        <v>197</v>
      </c>
      <c r="E730" s="73">
        <f>B730*D730/10000</f>
        <v/>
      </c>
      <c r="F730" s="74">
        <f>B730/30.48</f>
        <v/>
      </c>
      <c r="G730" s="74">
        <f>D730/30.48</f>
        <v/>
      </c>
      <c r="H730" s="66" t="inlineStr">
        <is>
          <t>MCHD-TR</t>
        </is>
      </c>
      <c r="I730" s="570" t="inlineStr">
        <is>
          <t>Michelle Corley REALTOR</t>
        </is>
      </c>
      <c r="J730" s="557" t="n"/>
    </row>
    <row r="731" ht="17.25" customFormat="1" customHeight="1" s="1">
      <c r="A731" s="8" t="inlineStr">
        <is>
          <t>C 455</t>
        </is>
      </c>
      <c r="B731" s="5" t="n">
        <v>86</v>
      </c>
      <c r="C731" s="6" t="inlineStr">
        <is>
          <t>X</t>
        </is>
      </c>
      <c r="D731" s="5" t="n">
        <v>354</v>
      </c>
      <c r="E731" s="2">
        <f>B731*D731/10000</f>
        <v/>
      </c>
      <c r="F731" s="3">
        <f>B731/30.48</f>
        <v/>
      </c>
      <c r="G731" s="3">
        <f>D731/30.48</f>
        <v/>
      </c>
      <c r="H731" s="36" t="inlineStr">
        <is>
          <t>MCHD-PAC</t>
        </is>
      </c>
      <c r="I731" s="570" t="inlineStr">
        <is>
          <t>Tom Snellback</t>
        </is>
      </c>
      <c r="J731" s="557" t="n"/>
    </row>
    <row r="732" ht="17.25" customFormat="1" customHeight="1" s="1">
      <c r="A732" s="8" t="inlineStr">
        <is>
          <t>C 751</t>
        </is>
      </c>
      <c r="B732" s="5" t="n">
        <v>91</v>
      </c>
      <c r="C732" s="6" t="inlineStr">
        <is>
          <t>X</t>
        </is>
      </c>
      <c r="D732" s="5" t="n">
        <v>375</v>
      </c>
      <c r="E732" s="2">
        <f>B732*D732/10000</f>
        <v/>
      </c>
      <c r="F732" s="3">
        <f>B732/30.48</f>
        <v/>
      </c>
      <c r="G732" s="3">
        <f>D732/30.48</f>
        <v/>
      </c>
      <c r="H732" s="37" t="inlineStr">
        <is>
          <t>MCHD-PAC</t>
        </is>
      </c>
      <c r="I732" s="570" t="inlineStr">
        <is>
          <t>Stephanie Maley</t>
        </is>
      </c>
      <c r="J732" s="557" t="inlineStr">
        <is>
          <t>US-601 953 1396</t>
        </is>
      </c>
    </row>
    <row r="733" ht="17.25" customFormat="1" customHeight="1" s="1">
      <c r="A733" s="8" t="inlineStr">
        <is>
          <t>C 170</t>
        </is>
      </c>
      <c r="B733" s="5" t="n">
        <v>338</v>
      </c>
      <c r="C733" s="6" t="inlineStr">
        <is>
          <t>X</t>
        </is>
      </c>
      <c r="D733" s="5" t="n">
        <v>91</v>
      </c>
      <c r="E733" s="2">
        <f>B733*D733/10000</f>
        <v/>
      </c>
      <c r="F733" s="3">
        <f>B733/30.48</f>
        <v/>
      </c>
      <c r="G733" s="3">
        <f>D733/30.48</f>
        <v/>
      </c>
      <c r="H733" s="693" t="n"/>
      <c r="I733" s="693" t="n"/>
      <c r="J733" s="693" t="n"/>
    </row>
    <row r="734" ht="17.25" customFormat="1" customHeight="1" s="1">
      <c r="A734" s="8" t="inlineStr">
        <is>
          <t>A 20</t>
        </is>
      </c>
      <c r="B734" s="5" t="n">
        <v>86</v>
      </c>
      <c r="C734" s="6" t="inlineStr">
        <is>
          <t>X</t>
        </is>
      </c>
      <c r="D734" s="5" t="n">
        <v>315</v>
      </c>
      <c r="E734" s="2">
        <f>B734*D734/10000</f>
        <v/>
      </c>
      <c r="F734" s="3">
        <f>B734/30.48</f>
        <v/>
      </c>
      <c r="G734" s="3">
        <f>D734/30.48</f>
        <v/>
      </c>
      <c r="H734" s="694" t="n"/>
      <c r="I734" s="694" t="n"/>
      <c r="J734" s="694" t="n"/>
    </row>
    <row r="735" ht="17.25" customHeight="1" s="305">
      <c r="A735" s="8" t="inlineStr">
        <is>
          <t>D 127</t>
        </is>
      </c>
      <c r="B735" s="5" t="n">
        <v>42</v>
      </c>
      <c r="C735" s="72" t="inlineStr">
        <is>
          <t>X</t>
        </is>
      </c>
      <c r="D735" s="5" t="n">
        <v>82</v>
      </c>
      <c r="E735" s="73">
        <f>B735*D735/10000</f>
        <v/>
      </c>
      <c r="F735" s="74">
        <f>B735/30.48</f>
        <v/>
      </c>
      <c r="G735" s="74">
        <f>D735/30.48</f>
        <v/>
      </c>
      <c r="H735" s="569" t="inlineStr">
        <is>
          <t>MCHD-VR</t>
        </is>
      </c>
      <c r="I735" s="570" t="inlineStr">
        <is>
          <t>scott woodruff</t>
        </is>
      </c>
      <c r="J735" s="557" t="n"/>
    </row>
    <row r="736" ht="17.25" customFormat="1" customHeight="1" s="1">
      <c r="A736" s="8" t="n">
        <v>165</v>
      </c>
      <c r="B736" s="5" t="n">
        <v>82</v>
      </c>
      <c r="C736" s="6" t="inlineStr">
        <is>
          <t>X</t>
        </is>
      </c>
      <c r="D736" s="5" t="n">
        <v>49</v>
      </c>
      <c r="E736" s="2">
        <f>B736*D736/10000</f>
        <v/>
      </c>
      <c r="F736" s="3">
        <f>B736/30.48</f>
        <v/>
      </c>
      <c r="G736" s="3">
        <f>D736/30.48</f>
        <v/>
      </c>
      <c r="H736" s="569" t="inlineStr">
        <is>
          <t>MCHD-OLD</t>
        </is>
      </c>
      <c r="I736" s="570" t="inlineStr">
        <is>
          <t>Catherine Lim</t>
        </is>
      </c>
      <c r="J736" s="557" t="inlineStr">
        <is>
          <t>US-646 387 7043</t>
        </is>
      </c>
    </row>
    <row r="737" ht="17.25" customFormat="1" customHeight="1" s="1">
      <c r="A737" s="8" t="inlineStr">
        <is>
          <t>C 869</t>
        </is>
      </c>
      <c r="B737" s="5" t="n">
        <v>71</v>
      </c>
      <c r="C737" s="6" t="inlineStr">
        <is>
          <t>X</t>
        </is>
      </c>
      <c r="D737" s="5" t="n">
        <v>189</v>
      </c>
      <c r="E737" s="2">
        <f>B737*D737/10000</f>
        <v/>
      </c>
      <c r="F737" s="3">
        <f>B737/30.48</f>
        <v/>
      </c>
      <c r="G737" s="3">
        <f>D737/30.48</f>
        <v/>
      </c>
      <c r="H737" s="66" t="inlineStr">
        <is>
          <t>MCHD-TR</t>
        </is>
      </c>
      <c r="I737" s="570" t="inlineStr">
        <is>
          <t>Carla DeVries</t>
        </is>
      </c>
      <c r="J737" s="557" t="n"/>
    </row>
    <row r="738" ht="17.25" customFormat="1" customHeight="1" s="1">
      <c r="A738" s="8" t="inlineStr">
        <is>
          <t>C 971</t>
        </is>
      </c>
      <c r="B738" s="5" t="n">
        <v>99</v>
      </c>
      <c r="C738" s="6" t="inlineStr">
        <is>
          <t>X</t>
        </is>
      </c>
      <c r="D738" s="5" t="n">
        <v>219</v>
      </c>
      <c r="E738" s="2">
        <f>B738*D738/10000</f>
        <v/>
      </c>
      <c r="F738" s="3">
        <f>B738/30.48</f>
        <v/>
      </c>
      <c r="G738" s="3">
        <f>D738/30.48</f>
        <v/>
      </c>
      <c r="H738" s="66" t="inlineStr">
        <is>
          <t>MCHD-TR</t>
        </is>
      </c>
      <c r="I738" s="570" t="inlineStr">
        <is>
          <t>Cammie Avers</t>
        </is>
      </c>
      <c r="J738" s="557" t="inlineStr">
        <is>
          <t>US-817 992 2680</t>
        </is>
      </c>
    </row>
    <row r="739" ht="17.25" customFormat="1" customHeight="1" s="1">
      <c r="A739" s="8" t="n">
        <v>1018</v>
      </c>
      <c r="B739" s="5" t="n">
        <v>77</v>
      </c>
      <c r="C739" s="72" t="inlineStr">
        <is>
          <t>X</t>
        </is>
      </c>
      <c r="D739" s="5" t="n">
        <v>122</v>
      </c>
      <c r="E739" s="73">
        <f>B739*D739/10000</f>
        <v/>
      </c>
      <c r="F739" s="74">
        <f>B739/30.48</f>
        <v/>
      </c>
      <c r="G739" s="74">
        <f>D739/30.48</f>
        <v/>
      </c>
      <c r="H739" s="66" t="inlineStr">
        <is>
          <t>MCHD-TR</t>
        </is>
      </c>
      <c r="I739" s="570" t="inlineStr">
        <is>
          <t>Alura Roe</t>
        </is>
      </c>
      <c r="J739" s="557" t="n"/>
    </row>
    <row r="740" ht="17.25" customFormat="1" customHeight="1" s="1">
      <c r="A740" s="8" t="inlineStr">
        <is>
          <t>C 685</t>
        </is>
      </c>
      <c r="B740" s="5" t="n">
        <v>367</v>
      </c>
      <c r="C740" s="6" t="inlineStr">
        <is>
          <t>X</t>
        </is>
      </c>
      <c r="D740" s="5" t="n">
        <v>299</v>
      </c>
      <c r="E740" s="2">
        <f>B740*D740/10000</f>
        <v/>
      </c>
      <c r="F740" s="3">
        <f>B740/30.48</f>
        <v/>
      </c>
      <c r="G740" s="3">
        <f>D740/30.48</f>
        <v/>
      </c>
      <c r="H740" s="36" t="inlineStr">
        <is>
          <t>MCHD-PAC</t>
        </is>
      </c>
      <c r="I740" s="534" t="inlineStr">
        <is>
          <t>Amanda Harding</t>
        </is>
      </c>
      <c r="J740" s="545" t="inlineStr">
        <is>
          <t>US-917 776 0250</t>
        </is>
      </c>
    </row>
    <row r="741" ht="17.25" customFormat="1" customHeight="1" s="1">
      <c r="A741" s="8" t="inlineStr">
        <is>
          <t>C 232</t>
        </is>
      </c>
      <c r="B741" s="5" t="n">
        <v>354</v>
      </c>
      <c r="C741" s="6" t="inlineStr">
        <is>
          <t>X</t>
        </is>
      </c>
      <c r="D741" s="5" t="n">
        <v>93</v>
      </c>
      <c r="E741" s="2">
        <f>B741*D741/10000</f>
        <v/>
      </c>
      <c r="F741" s="3">
        <f>B741/30.48</f>
        <v/>
      </c>
      <c r="G741" s="3">
        <f>D741/30.48</f>
        <v/>
      </c>
      <c r="H741" s="18" t="inlineStr">
        <is>
          <t>MCHD-TH</t>
        </is>
      </c>
      <c r="I741" s="570" t="inlineStr">
        <is>
          <t>Trace Cohen</t>
        </is>
      </c>
      <c r="J741" s="557" t="n"/>
    </row>
    <row r="742" ht="17.25" customFormat="1" customHeight="1" s="1">
      <c r="A742" s="8" t="inlineStr">
        <is>
          <t>Y 966</t>
        </is>
      </c>
      <c r="B742" s="5" t="n">
        <v>435</v>
      </c>
      <c r="C742" s="6" t="inlineStr">
        <is>
          <t>X</t>
        </is>
      </c>
      <c r="D742" s="5" t="n">
        <v>83</v>
      </c>
      <c r="E742" s="2">
        <f>B742*D742/10000</f>
        <v/>
      </c>
      <c r="F742" s="3">
        <f>B742/30.48</f>
        <v/>
      </c>
      <c r="G742" s="3">
        <f>D742/30.48</f>
        <v/>
      </c>
      <c r="H742" s="66" t="inlineStr">
        <is>
          <t>MCHD-TR</t>
        </is>
      </c>
      <c r="I742" s="570" t="inlineStr">
        <is>
          <t>Matt Reintjes</t>
        </is>
      </c>
      <c r="J742" s="557" t="n"/>
    </row>
    <row r="743" ht="17.25" customFormat="1" customHeight="1" s="1">
      <c r="A743" s="8" t="inlineStr">
        <is>
          <t>A 67</t>
        </is>
      </c>
      <c r="B743" s="5" t="n">
        <v>70</v>
      </c>
      <c r="C743" s="6" t="inlineStr">
        <is>
          <t>X</t>
        </is>
      </c>
      <c r="D743" s="5" t="n">
        <v>278</v>
      </c>
      <c r="E743" s="2">
        <f>B743*D743/10000</f>
        <v/>
      </c>
      <c r="F743" s="3">
        <f>B743/30.48</f>
        <v/>
      </c>
      <c r="G743" s="3">
        <f>D743/30.48</f>
        <v/>
      </c>
      <c r="H743" s="66" t="inlineStr">
        <is>
          <t>MCHD-TR</t>
        </is>
      </c>
      <c r="I743" s="570" t="inlineStr">
        <is>
          <t>Wendy Robinson</t>
        </is>
      </c>
      <c r="J743" s="557" t="n"/>
    </row>
    <row r="744" ht="17.25" customFormat="1" customHeight="1" s="1">
      <c r="A744" s="8" t="inlineStr">
        <is>
          <t>C 98</t>
        </is>
      </c>
      <c r="B744" s="5" t="n">
        <v>348</v>
      </c>
      <c r="C744" s="6" t="inlineStr">
        <is>
          <t>X</t>
        </is>
      </c>
      <c r="D744" s="5" t="n">
        <v>160</v>
      </c>
      <c r="E744" s="2">
        <f>B744*D744/10000</f>
        <v/>
      </c>
      <c r="F744" s="3">
        <f>B744/30.48</f>
        <v/>
      </c>
      <c r="G744" s="3">
        <f>D744/30.48</f>
        <v/>
      </c>
      <c r="H744" s="66" t="inlineStr">
        <is>
          <t>MCHD-TR</t>
        </is>
      </c>
      <c r="I744" s="570" t="inlineStr">
        <is>
          <t>Pelio Terri</t>
        </is>
      </c>
      <c r="J744" s="557" t="n"/>
    </row>
    <row r="745" ht="17.25" customFormat="1" customHeight="1" s="1">
      <c r="A745" s="8" t="inlineStr">
        <is>
          <t>C 346</t>
        </is>
      </c>
      <c r="B745" s="5" t="n">
        <v>78</v>
      </c>
      <c r="C745" s="6" t="inlineStr">
        <is>
          <t>X</t>
        </is>
      </c>
      <c r="D745" s="5" t="n">
        <v>268</v>
      </c>
      <c r="E745" s="2">
        <f>B745*D745/10000</f>
        <v/>
      </c>
      <c r="F745" s="3">
        <f>B745/30.48</f>
        <v/>
      </c>
      <c r="G745" s="3">
        <f>D745/30.48</f>
        <v/>
      </c>
      <c r="H745" s="569" t="inlineStr">
        <is>
          <t>MCHD-VR</t>
        </is>
      </c>
      <c r="I745" s="534" t="inlineStr">
        <is>
          <t>Kate Miller</t>
        </is>
      </c>
      <c r="J745" s="545" t="n"/>
      <c r="N745" s="1" t="inlineStr">
        <is>
          <t xml:space="preserve"> </t>
        </is>
      </c>
    </row>
    <row r="746" ht="17.25" customFormat="1" customHeight="1" s="1">
      <c r="A746" s="8" t="inlineStr">
        <is>
          <t>K 10</t>
        </is>
      </c>
      <c r="B746" s="5" t="n">
        <v>162</v>
      </c>
      <c r="C746" s="72" t="inlineStr">
        <is>
          <t>X</t>
        </is>
      </c>
      <c r="D746" s="5" t="n">
        <v>321</v>
      </c>
      <c r="E746" s="73">
        <f>B746*D746/10000</f>
        <v/>
      </c>
      <c r="F746" s="74">
        <f>B746/30.48</f>
        <v/>
      </c>
      <c r="G746" s="74">
        <f>D746/30.48</f>
        <v/>
      </c>
      <c r="H746" s="18" t="inlineStr">
        <is>
          <t>MCHD-TH</t>
        </is>
      </c>
      <c r="I746" s="534" t="inlineStr">
        <is>
          <t>Kelly Cole</t>
        </is>
      </c>
      <c r="J746" s="545" t="n"/>
    </row>
    <row r="747" ht="17.25" customHeight="1" s="305">
      <c r="A747" s="8" t="inlineStr">
        <is>
          <t>D 59</t>
        </is>
      </c>
      <c r="B747" s="5" t="n">
        <v>55</v>
      </c>
      <c r="C747" s="72" t="inlineStr">
        <is>
          <t>X</t>
        </is>
      </c>
      <c r="D747" s="5" t="n">
        <v>104</v>
      </c>
      <c r="E747" s="73">
        <f>B747*D747/10000</f>
        <v/>
      </c>
      <c r="F747" s="74">
        <f>B747/30.48</f>
        <v/>
      </c>
      <c r="G747" s="74">
        <f>D747/30.48</f>
        <v/>
      </c>
      <c r="H747" s="569" t="inlineStr">
        <is>
          <t>MCHD-OLD</t>
        </is>
      </c>
      <c r="I747" s="570" t="inlineStr">
        <is>
          <t>Mobley Moss Brandenburg</t>
        </is>
      </c>
      <c r="J747" s="557" t="n"/>
    </row>
    <row r="748" ht="17.25" customFormat="1" customHeight="1" s="1">
      <c r="A748" s="8" t="inlineStr">
        <is>
          <t>C 899</t>
        </is>
      </c>
      <c r="B748" s="5" t="n">
        <v>83</v>
      </c>
      <c r="C748" s="6" t="inlineStr">
        <is>
          <t>X</t>
        </is>
      </c>
      <c r="D748" s="5" t="n">
        <v>349</v>
      </c>
      <c r="E748" s="2">
        <f>B748*D748/10000</f>
        <v/>
      </c>
      <c r="F748" s="3">
        <f>B748/30.48</f>
        <v/>
      </c>
      <c r="G748" s="3">
        <f>D748/30.48</f>
        <v/>
      </c>
      <c r="H748" s="66" t="inlineStr">
        <is>
          <t>MCHD-TR</t>
        </is>
      </c>
      <c r="I748" s="570" t="inlineStr">
        <is>
          <t>Lisa Klumok</t>
        </is>
      </c>
      <c r="J748" s="557" t="inlineStr">
        <is>
          <t>US-404 226 5931</t>
        </is>
      </c>
    </row>
    <row r="749">
      <c r="A749" s="536" t="inlineStr">
        <is>
          <t>-2023 NİSAN-45</t>
        </is>
      </c>
      <c r="H749" s="62" t="inlineStr">
        <is>
          <t>SATAN-SİTE</t>
        </is>
      </c>
      <c r="I749" s="19" t="inlineStr">
        <is>
          <t>MÜŞTERİ ADI</t>
        </is>
      </c>
      <c r="J749" s="63" t="inlineStr">
        <is>
          <t>MÜŞTERİ İLETİŞİM &amp; ÜLKE</t>
        </is>
      </c>
    </row>
    <row r="750" ht="17.25" customFormat="1" customHeight="1" s="1">
      <c r="A750" s="8" t="inlineStr">
        <is>
          <t>A 19</t>
        </is>
      </c>
      <c r="B750" s="5" t="n">
        <v>91</v>
      </c>
      <c r="C750" s="6" t="inlineStr">
        <is>
          <t>X</t>
        </is>
      </c>
      <c r="D750" s="5" t="n">
        <v>244</v>
      </c>
      <c r="E750" s="2">
        <f>B750*D750/10000</f>
        <v/>
      </c>
      <c r="F750" s="3">
        <f>B750/30.48</f>
        <v/>
      </c>
      <c r="G750" s="3">
        <f>D750/30.48</f>
        <v/>
      </c>
      <c r="H750" s="36" t="inlineStr">
        <is>
          <t>MCHD-PAC</t>
        </is>
      </c>
      <c r="I750" s="570" t="inlineStr">
        <is>
          <t>Martha Henderson</t>
        </is>
      </c>
      <c r="J750" s="557" t="n"/>
    </row>
    <row r="751" ht="17.25" customFormat="1" customHeight="1" s="1">
      <c r="A751" s="8" t="inlineStr">
        <is>
          <t>C 456</t>
        </is>
      </c>
      <c r="B751" s="5" t="n">
        <v>203</v>
      </c>
      <c r="C751" s="6" t="inlineStr">
        <is>
          <t>X</t>
        </is>
      </c>
      <c r="D751" s="5" t="n">
        <v>108</v>
      </c>
      <c r="E751" s="2">
        <f>B751*D751/10000</f>
        <v/>
      </c>
      <c r="F751" s="3">
        <f>B751/30.48</f>
        <v/>
      </c>
      <c r="G751" s="3">
        <f>D751/30.48</f>
        <v/>
      </c>
      <c r="H751" s="569" t="inlineStr">
        <is>
          <t>MCHD-OLD</t>
        </is>
      </c>
      <c r="I751" s="570" t="inlineStr">
        <is>
          <t>Diana Kennedy</t>
        </is>
      </c>
      <c r="J751" s="557" t="inlineStr">
        <is>
          <t>AU-6140 355 7196</t>
        </is>
      </c>
    </row>
    <row r="752" ht="17.25" customFormat="1" customHeight="1" s="1">
      <c r="A752" s="8" t="inlineStr">
        <is>
          <t>C 670</t>
        </is>
      </c>
      <c r="B752" s="5" t="n">
        <v>72</v>
      </c>
      <c r="C752" s="6" t="inlineStr">
        <is>
          <t>X</t>
        </is>
      </c>
      <c r="D752" s="5" t="n">
        <v>150</v>
      </c>
      <c r="E752" s="2">
        <f>B752*D752/10000</f>
        <v/>
      </c>
      <c r="F752" s="3">
        <f>B752/30.48</f>
        <v/>
      </c>
      <c r="G752" s="3">
        <f>D752/30.48</f>
        <v/>
      </c>
      <c r="H752" s="18" t="inlineStr">
        <is>
          <t>MCHD-TH</t>
        </is>
      </c>
      <c r="I752" s="534" t="inlineStr">
        <is>
          <t>Margaret Collins</t>
        </is>
      </c>
      <c r="J752" s="545" t="n"/>
    </row>
    <row r="753" ht="17.25" customFormat="1" customHeight="1" s="1">
      <c r="A753" s="8" t="inlineStr">
        <is>
          <t>Y 149</t>
        </is>
      </c>
      <c r="B753" s="5" t="n">
        <v>309</v>
      </c>
      <c r="C753" s="6" t="inlineStr">
        <is>
          <t>X</t>
        </is>
      </c>
      <c r="D753" s="5" t="n">
        <v>229</v>
      </c>
      <c r="E753" s="2">
        <f>B753*D753/10000</f>
        <v/>
      </c>
      <c r="F753" s="3">
        <f>B753/30.48</f>
        <v/>
      </c>
      <c r="G753" s="3">
        <f>D753/30.48</f>
        <v/>
      </c>
      <c r="H753" s="66" t="inlineStr">
        <is>
          <t>MCHD-TR</t>
        </is>
      </c>
      <c r="I753" s="570" t="inlineStr">
        <is>
          <t>Sophie Zang</t>
        </is>
      </c>
      <c r="J753" s="557" t="n"/>
    </row>
    <row r="754" ht="17.25" customFormat="1" customHeight="1" s="1">
      <c r="A754" s="8" t="inlineStr">
        <is>
          <t>H 154</t>
        </is>
      </c>
      <c r="B754" s="5" t="n">
        <v>335</v>
      </c>
      <c r="C754" s="6" t="inlineStr">
        <is>
          <t>X</t>
        </is>
      </c>
      <c r="D754" s="5" t="n">
        <v>91</v>
      </c>
      <c r="E754" s="2">
        <f>B754*D754/10000</f>
        <v/>
      </c>
      <c r="F754" s="3">
        <f>B754/30.48</f>
        <v/>
      </c>
      <c r="G754" s="3">
        <f>D754/30.48</f>
        <v/>
      </c>
      <c r="H754" s="66" t="inlineStr">
        <is>
          <t>MCHD-TR</t>
        </is>
      </c>
      <c r="I754" s="570" t="inlineStr">
        <is>
          <t>Kelly Mcgee</t>
        </is>
      </c>
      <c r="J754" s="557" t="n"/>
    </row>
    <row r="755" ht="17.25" customFormat="1" customHeight="1" s="1">
      <c r="A755" s="8" t="inlineStr">
        <is>
          <t>C 676</t>
        </is>
      </c>
      <c r="B755" s="5" t="n">
        <v>74</v>
      </c>
      <c r="C755" s="6" t="inlineStr">
        <is>
          <t>X</t>
        </is>
      </c>
      <c r="D755" s="5" t="n">
        <v>203</v>
      </c>
      <c r="E755" s="2">
        <f>B755*D755/10000</f>
        <v/>
      </c>
      <c r="F755" s="3">
        <f>B755/30.48</f>
        <v/>
      </c>
      <c r="G755" s="3">
        <f>D755/30.48</f>
        <v/>
      </c>
      <c r="H755" s="66" t="inlineStr">
        <is>
          <t>MCHD-TR</t>
        </is>
      </c>
      <c r="I755" s="534" t="inlineStr">
        <is>
          <t>Kimberly S. Lear</t>
        </is>
      </c>
      <c r="J755" s="545" t="n"/>
    </row>
    <row r="756" ht="17.25" customHeight="1" s="305">
      <c r="A756" s="8" t="inlineStr">
        <is>
          <t>D 270</t>
        </is>
      </c>
      <c r="B756" s="5" t="n">
        <v>51</v>
      </c>
      <c r="C756" s="72" t="inlineStr">
        <is>
          <t>X</t>
        </is>
      </c>
      <c r="D756" s="5" t="n">
        <v>97</v>
      </c>
      <c r="E756" s="73">
        <f>B756*D756/10000</f>
        <v/>
      </c>
      <c r="F756" s="74">
        <f>B756/30.48</f>
        <v/>
      </c>
      <c r="G756" s="74">
        <f>D756/30.48</f>
        <v/>
      </c>
      <c r="H756" s="569" t="inlineStr">
        <is>
          <t>MCHD-OLD</t>
        </is>
      </c>
      <c r="I756" s="570" t="inlineStr">
        <is>
          <t>Lissa Gunn</t>
        </is>
      </c>
      <c r="J756" s="557" t="inlineStr">
        <is>
          <t>US-310 663 4073</t>
        </is>
      </c>
    </row>
    <row r="757" ht="17.25" customFormat="1" customHeight="1" s="1">
      <c r="A757" s="8" t="n">
        <v>1028</v>
      </c>
      <c r="B757" s="5" t="n">
        <v>79</v>
      </c>
      <c r="C757" s="72" t="inlineStr">
        <is>
          <t>X</t>
        </is>
      </c>
      <c r="D757" s="5" t="n">
        <v>157</v>
      </c>
      <c r="E757" s="73">
        <f>B757*D757/10000</f>
        <v/>
      </c>
      <c r="F757" s="74">
        <f>B757/30.48</f>
        <v/>
      </c>
      <c r="G757" s="74">
        <f>D757/30.48</f>
        <v/>
      </c>
      <c r="H757" s="569" t="inlineStr">
        <is>
          <t>MCHD-OLD</t>
        </is>
      </c>
      <c r="I757" s="534" t="inlineStr">
        <is>
          <t>Christina Eromenok</t>
        </is>
      </c>
      <c r="J757" s="545" t="n"/>
    </row>
    <row r="758" ht="17.25" customFormat="1" customHeight="1" s="1">
      <c r="A758" s="8" t="inlineStr">
        <is>
          <t>C 941</t>
        </is>
      </c>
      <c r="B758" s="5" t="n">
        <v>79</v>
      </c>
      <c r="C758" s="6" t="inlineStr">
        <is>
          <t>X</t>
        </is>
      </c>
      <c r="D758" s="5" t="n">
        <v>211</v>
      </c>
      <c r="E758" s="2">
        <f>B758*D758/10000</f>
        <v/>
      </c>
      <c r="F758" s="3">
        <f>B758/30.48</f>
        <v/>
      </c>
      <c r="G758" s="3">
        <f>D758/30.48</f>
        <v/>
      </c>
      <c r="H758" s="66" t="inlineStr">
        <is>
          <t>MCHD-TR</t>
        </is>
      </c>
      <c r="I758" s="534" t="inlineStr">
        <is>
          <t>Mallory Boyle</t>
        </is>
      </c>
      <c r="J758" s="545" t="inlineStr">
        <is>
          <t>US-770 335 0340</t>
        </is>
      </c>
    </row>
    <row r="759" ht="17.25" customFormat="1" customHeight="1" s="1">
      <c r="A759" s="8" t="inlineStr">
        <is>
          <t>Y 919</t>
        </is>
      </c>
      <c r="B759" s="5" t="n">
        <v>424</v>
      </c>
      <c r="C759" s="6" t="inlineStr">
        <is>
          <t>X</t>
        </is>
      </c>
      <c r="D759" s="5" t="n">
        <v>117</v>
      </c>
      <c r="E759" s="2">
        <f>B759*D759/10000</f>
        <v/>
      </c>
      <c r="F759" s="3">
        <f>B759/30.48</f>
        <v/>
      </c>
      <c r="G759" s="3">
        <f>D759/30.48</f>
        <v/>
      </c>
      <c r="H759" s="569" t="inlineStr">
        <is>
          <t>MCHD-OLD</t>
        </is>
      </c>
      <c r="I759" s="534" t="inlineStr">
        <is>
          <t>Alan stenberg</t>
        </is>
      </c>
      <c r="J759" s="545" t="n"/>
    </row>
    <row r="760" ht="17.25" customFormat="1" customHeight="1" s="1">
      <c r="A760" s="8" t="n">
        <v>103</v>
      </c>
      <c r="B760" s="5" t="n">
        <v>262</v>
      </c>
      <c r="C760" s="6" t="inlineStr">
        <is>
          <t>X</t>
        </is>
      </c>
      <c r="D760" s="5" t="n">
        <v>167</v>
      </c>
      <c r="E760" s="2">
        <f>B760*D760/10000</f>
        <v/>
      </c>
      <c r="F760" s="3">
        <f>B760/30.48</f>
        <v/>
      </c>
      <c r="G760" s="3">
        <f>D760/30.48</f>
        <v/>
      </c>
      <c r="H760" s="66" t="inlineStr">
        <is>
          <t>MCHD-TR</t>
        </is>
      </c>
      <c r="I760" s="534" t="inlineStr">
        <is>
          <t>Stacy Graubart</t>
        </is>
      </c>
      <c r="J760" s="545" t="inlineStr">
        <is>
          <t>FR-713 204 4655</t>
        </is>
      </c>
    </row>
    <row r="761" ht="17.25" customFormat="1" customHeight="1" s="1">
      <c r="A761" s="8" t="inlineStr">
        <is>
          <t>C 671</t>
        </is>
      </c>
      <c r="B761" s="5" t="n">
        <v>79</v>
      </c>
      <c r="C761" s="6" t="inlineStr">
        <is>
          <t>X</t>
        </is>
      </c>
      <c r="D761" s="5" t="n">
        <v>327</v>
      </c>
      <c r="E761" s="2">
        <f>B761*D761/10000</f>
        <v/>
      </c>
      <c r="F761" s="3">
        <f>B761/30.48</f>
        <v/>
      </c>
      <c r="G761" s="3">
        <f>D761/30.48</f>
        <v/>
      </c>
      <c r="H761" s="66" t="inlineStr">
        <is>
          <t>MCHD-TR</t>
        </is>
      </c>
      <c r="I761" s="534" t="inlineStr">
        <is>
          <t>Stacey Calhoun</t>
        </is>
      </c>
      <c r="J761" s="545" t="inlineStr">
        <is>
          <t>US-919 601 6059</t>
        </is>
      </c>
    </row>
    <row r="762" ht="17.25" customFormat="1" customHeight="1" s="1">
      <c r="A762" s="8" t="inlineStr">
        <is>
          <t>C 982</t>
        </is>
      </c>
      <c r="B762" s="5" t="n">
        <v>61</v>
      </c>
      <c r="C762" s="6" t="inlineStr">
        <is>
          <t>X</t>
        </is>
      </c>
      <c r="D762" s="5" t="n">
        <v>182</v>
      </c>
      <c r="E762" s="2">
        <f>B762*D762/10000</f>
        <v/>
      </c>
      <c r="F762" s="3">
        <f>B762/30.48</f>
        <v/>
      </c>
      <c r="G762" s="3">
        <f>D762/30.48</f>
        <v/>
      </c>
      <c r="H762" s="66" t="inlineStr">
        <is>
          <t>MCHD-TR</t>
        </is>
      </c>
      <c r="I762" s="570" t="inlineStr">
        <is>
          <t>Emily Grant</t>
        </is>
      </c>
      <c r="J762" s="557" t="n"/>
    </row>
    <row r="763" ht="17.25" customFormat="1" customHeight="1" s="1">
      <c r="A763" s="8" t="inlineStr">
        <is>
          <t>C 735</t>
        </is>
      </c>
      <c r="B763" s="5" t="n">
        <v>94</v>
      </c>
      <c r="C763" s="6" t="inlineStr">
        <is>
          <t>X</t>
        </is>
      </c>
      <c r="D763" s="5" t="n">
        <v>381</v>
      </c>
      <c r="E763" s="2">
        <f>B763*D763/10000</f>
        <v/>
      </c>
      <c r="F763" s="3">
        <f>B763/30.48</f>
        <v/>
      </c>
      <c r="G763" s="3">
        <f>D763/30.48</f>
        <v/>
      </c>
      <c r="H763" s="37" t="inlineStr">
        <is>
          <t>MCHD-PAC</t>
        </is>
      </c>
      <c r="I763" s="611" t="inlineStr">
        <is>
          <t>Crown Warehouse and Delivery/
 bwd HALLOCK</t>
        </is>
      </c>
      <c r="J763" s="545" t="n"/>
    </row>
    <row r="764" ht="17.25" customFormat="1" customHeight="1" s="1">
      <c r="A764" s="8" t="inlineStr">
        <is>
          <t>C 748</t>
        </is>
      </c>
      <c r="B764" s="5" t="n">
        <v>88</v>
      </c>
      <c r="C764" s="6" t="inlineStr">
        <is>
          <t>X</t>
        </is>
      </c>
      <c r="D764" s="5" t="n">
        <v>386</v>
      </c>
      <c r="E764" s="2">
        <f>B764*D764/10000</f>
        <v/>
      </c>
      <c r="F764" s="3">
        <f>B764/30.48</f>
        <v/>
      </c>
      <c r="G764" s="3">
        <f>D764/30.48</f>
        <v/>
      </c>
      <c r="H764" s="694" t="n"/>
      <c r="I764" s="693" t="n"/>
      <c r="J764" s="693" t="n"/>
    </row>
    <row r="765" ht="17.25" customFormat="1" customHeight="1" s="1">
      <c r="A765" s="8" t="inlineStr">
        <is>
          <t>Y 174</t>
        </is>
      </c>
      <c r="B765" s="5" t="n">
        <v>156</v>
      </c>
      <c r="C765" s="6" t="inlineStr">
        <is>
          <t>X</t>
        </is>
      </c>
      <c r="D765" s="5" t="n">
        <v>86</v>
      </c>
      <c r="E765" s="2">
        <f>B765*D765/10000</f>
        <v/>
      </c>
      <c r="F765" s="3">
        <f>B765/30.48</f>
        <v/>
      </c>
      <c r="G765" s="3">
        <f>D765/30.48</f>
        <v/>
      </c>
      <c r="H765" s="36" t="inlineStr">
        <is>
          <t>MCHD-PAC</t>
        </is>
      </c>
      <c r="I765" s="534" t="inlineStr">
        <is>
          <t>Cathy Shofner</t>
        </is>
      </c>
      <c r="J765" s="545" t="n"/>
    </row>
    <row r="766" ht="17.25" customFormat="1" customHeight="1" s="1">
      <c r="A766" s="8" t="inlineStr">
        <is>
          <t>C 144</t>
        </is>
      </c>
      <c r="B766" s="5" t="n">
        <v>370</v>
      </c>
      <c r="C766" s="6" t="inlineStr">
        <is>
          <t>X</t>
        </is>
      </c>
      <c r="D766" s="5" t="n">
        <v>86</v>
      </c>
      <c r="E766" s="2">
        <f>B766*D766/10000</f>
        <v/>
      </c>
      <c r="F766" s="3">
        <f>B766/30.48</f>
        <v/>
      </c>
      <c r="G766" s="3">
        <f>D766/30.48</f>
        <v/>
      </c>
      <c r="H766" s="36" t="inlineStr">
        <is>
          <t>MCHD-PAC</t>
        </is>
      </c>
      <c r="I766" s="570" t="inlineStr">
        <is>
          <t>Chris Harman</t>
        </is>
      </c>
      <c r="J766" s="557" t="inlineStr">
        <is>
          <t>US-706 315 3388</t>
        </is>
      </c>
    </row>
    <row r="767" ht="17.25" customFormat="1" customHeight="1" s="1">
      <c r="A767" s="8" t="inlineStr">
        <is>
          <t>C 220</t>
        </is>
      </c>
      <c r="B767" s="5" t="n">
        <v>386</v>
      </c>
      <c r="C767" s="6" t="inlineStr">
        <is>
          <t>X</t>
        </is>
      </c>
      <c r="D767" s="5" t="n">
        <v>86</v>
      </c>
      <c r="E767" s="2">
        <f>B767*D767/10000</f>
        <v/>
      </c>
      <c r="F767" s="3">
        <f>B767/30.48</f>
        <v/>
      </c>
      <c r="G767" s="3">
        <f>D767/30.48</f>
        <v/>
      </c>
      <c r="H767" s="36" t="inlineStr">
        <is>
          <t>MCHD-PAC</t>
        </is>
      </c>
      <c r="I767" s="570" t="inlineStr">
        <is>
          <t>Lisa Tornello</t>
        </is>
      </c>
      <c r="J767" s="557" t="n"/>
    </row>
    <row r="768" ht="17.25" customFormat="1" customHeight="1" s="1">
      <c r="A768" s="8" t="inlineStr">
        <is>
          <t>A 213</t>
        </is>
      </c>
      <c r="B768" s="5" t="n">
        <v>300</v>
      </c>
      <c r="C768" s="6" t="inlineStr">
        <is>
          <t>X</t>
        </is>
      </c>
      <c r="D768" s="5" t="n">
        <v>356</v>
      </c>
      <c r="E768" s="2">
        <f>B768*D768/10000</f>
        <v/>
      </c>
      <c r="F768" s="3">
        <f>B768/30.48</f>
        <v/>
      </c>
      <c r="G768" s="3">
        <f>D768/30.48</f>
        <v/>
      </c>
      <c r="H768" s="36" t="inlineStr">
        <is>
          <t>MCHD-PAC</t>
        </is>
      </c>
      <c r="I768" s="570" t="inlineStr">
        <is>
          <t>Megan Hawley</t>
        </is>
      </c>
      <c r="J768" s="557" t="n"/>
    </row>
    <row r="769" ht="17.25" customFormat="1" customHeight="1" s="1">
      <c r="A769" s="8" t="n">
        <v>25</v>
      </c>
      <c r="B769" s="5" t="n">
        <v>79</v>
      </c>
      <c r="C769" s="6" t="inlineStr">
        <is>
          <t>X</t>
        </is>
      </c>
      <c r="D769" s="5" t="n">
        <v>47</v>
      </c>
      <c r="E769" s="2">
        <f>B769*D769/10000</f>
        <v/>
      </c>
      <c r="F769" s="3">
        <f>B769/30.48</f>
        <v/>
      </c>
      <c r="G769" s="3">
        <f>D769/30.48</f>
        <v/>
      </c>
      <c r="H769" s="569" t="inlineStr">
        <is>
          <t>MCHD-OLD</t>
        </is>
      </c>
      <c r="I769" s="570" t="inlineStr">
        <is>
          <t>Caitlyn Del Bosque</t>
        </is>
      </c>
      <c r="J769" s="557" t="n"/>
    </row>
    <row r="770" ht="17.25" customFormat="1" customHeight="1" s="1">
      <c r="A770" s="8" t="inlineStr">
        <is>
          <t>A 8</t>
        </is>
      </c>
      <c r="B770" s="5" t="n">
        <v>85</v>
      </c>
      <c r="C770" s="6" t="inlineStr">
        <is>
          <t>X</t>
        </is>
      </c>
      <c r="D770" s="5" t="n">
        <v>331</v>
      </c>
      <c r="E770" s="2">
        <f>B770*D770/10000</f>
        <v/>
      </c>
      <c r="F770" s="3">
        <f>B770/30.48</f>
        <v/>
      </c>
      <c r="G770" s="3">
        <f>D770/30.48</f>
        <v/>
      </c>
      <c r="H770" s="66" t="inlineStr">
        <is>
          <t>MCHD-TR</t>
        </is>
      </c>
      <c r="I770" s="534" t="inlineStr">
        <is>
          <t>Ann Aylmer</t>
        </is>
      </c>
      <c r="J770" s="545" t="n"/>
    </row>
    <row r="771" ht="17.25" customFormat="1" customHeight="1" s="1">
      <c r="A771" s="8" t="inlineStr">
        <is>
          <t>C 916</t>
        </is>
      </c>
      <c r="B771" s="5" t="n">
        <v>90</v>
      </c>
      <c r="C771" s="6" t="inlineStr">
        <is>
          <t>X</t>
        </is>
      </c>
      <c r="D771" s="5" t="n">
        <v>350</v>
      </c>
      <c r="E771" s="2">
        <f>B771*D771/10000</f>
        <v/>
      </c>
      <c r="F771" s="3">
        <f>B771/30.48</f>
        <v/>
      </c>
      <c r="G771" s="3">
        <f>D771/30.48</f>
        <v/>
      </c>
      <c r="H771" s="66" t="inlineStr">
        <is>
          <t>MCHD-TR</t>
        </is>
      </c>
      <c r="I771" s="570" t="inlineStr">
        <is>
          <t>Anna Lethen</t>
        </is>
      </c>
      <c r="J771" s="557" t="inlineStr">
        <is>
          <t>US-602 361 7947</t>
        </is>
      </c>
    </row>
    <row r="772" ht="17.25" customFormat="1" customHeight="1" s="1">
      <c r="A772" s="8" t="inlineStr">
        <is>
          <t>C 665</t>
        </is>
      </c>
      <c r="B772" s="5" t="n">
        <v>64</v>
      </c>
      <c r="C772" s="6" t="inlineStr">
        <is>
          <t>X</t>
        </is>
      </c>
      <c r="D772" s="5" t="n">
        <v>142</v>
      </c>
      <c r="E772" s="2">
        <f>B772*D772/10000</f>
        <v/>
      </c>
      <c r="F772" s="3">
        <f>B772/30.48</f>
        <v/>
      </c>
      <c r="G772" s="3">
        <f>D772/30.48</f>
        <v/>
      </c>
      <c r="H772" s="66" t="inlineStr">
        <is>
          <t>MCHD-TR</t>
        </is>
      </c>
      <c r="I772" s="570" t="inlineStr">
        <is>
          <t>Jason Kopelman</t>
        </is>
      </c>
      <c r="J772" s="557" t="n"/>
    </row>
    <row r="773" ht="17.25" customFormat="1" customHeight="1" s="1">
      <c r="A773" s="8" t="inlineStr">
        <is>
          <t>A 10</t>
        </is>
      </c>
      <c r="B773" s="5" t="n">
        <v>96</v>
      </c>
      <c r="C773" s="6" t="inlineStr">
        <is>
          <t>X</t>
        </is>
      </c>
      <c r="D773" s="5" t="n">
        <v>138</v>
      </c>
      <c r="E773" s="2">
        <f>B773*D773/10000</f>
        <v/>
      </c>
      <c r="F773" s="3">
        <f>B773/30.48</f>
        <v/>
      </c>
      <c r="G773" s="3">
        <f>D773/30.48</f>
        <v/>
      </c>
      <c r="H773" s="66" t="inlineStr">
        <is>
          <t>MCHD-TR</t>
        </is>
      </c>
      <c r="I773" s="570" t="inlineStr">
        <is>
          <t>Kenneth Kitchen</t>
        </is>
      </c>
      <c r="J773" s="557" t="n"/>
    </row>
    <row r="774" ht="18" customFormat="1" customHeight="1" s="1">
      <c r="A774" s="8" t="inlineStr">
        <is>
          <t>A 142</t>
        </is>
      </c>
      <c r="B774" s="5" t="n">
        <v>68</v>
      </c>
      <c r="C774" s="6" t="inlineStr">
        <is>
          <t>X</t>
        </is>
      </c>
      <c r="D774" s="5" t="n">
        <v>301</v>
      </c>
      <c r="E774" s="2">
        <f>B774*D774/10000</f>
        <v/>
      </c>
      <c r="F774" s="3">
        <f>B774/30.48</f>
        <v/>
      </c>
      <c r="G774" s="3">
        <f>D774/30.48</f>
        <v/>
      </c>
      <c r="H774" s="66" t="inlineStr">
        <is>
          <t>MCHD-TR</t>
        </is>
      </c>
      <c r="I774" s="570" t="inlineStr">
        <is>
          <t>Sarah Kaizar</t>
        </is>
      </c>
      <c r="J774" s="557" t="n"/>
    </row>
    <row r="775" ht="17.25" customFormat="1" customHeight="1" s="1">
      <c r="A775" s="8" t="inlineStr">
        <is>
          <t>A 94</t>
        </is>
      </c>
      <c r="B775" s="5" t="n">
        <v>69</v>
      </c>
      <c r="C775" s="6" t="inlineStr">
        <is>
          <t>X</t>
        </is>
      </c>
      <c r="D775" s="5" t="n">
        <v>328</v>
      </c>
      <c r="E775" s="2">
        <f>B775*D775/10000</f>
        <v/>
      </c>
      <c r="F775" s="3">
        <f>B775/30.48</f>
        <v/>
      </c>
      <c r="G775" s="3">
        <f>D775/30.48</f>
        <v/>
      </c>
      <c r="H775" s="66" t="inlineStr">
        <is>
          <t>MCHD-TR</t>
        </is>
      </c>
      <c r="I775" s="570" t="inlineStr">
        <is>
          <t>Victoria Corman</t>
        </is>
      </c>
      <c r="J775" s="557" t="n"/>
    </row>
    <row r="776" ht="17.25" customFormat="1" customHeight="1" s="1">
      <c r="A776" s="8" t="inlineStr">
        <is>
          <t>C 709</t>
        </is>
      </c>
      <c r="B776" s="5" t="n">
        <v>93</v>
      </c>
      <c r="C776" s="6" t="inlineStr">
        <is>
          <t>X</t>
        </is>
      </c>
      <c r="D776" s="5" t="n">
        <v>400</v>
      </c>
      <c r="E776" s="2">
        <f>B776*D776/10000</f>
        <v/>
      </c>
      <c r="F776" s="3">
        <f>B776/30.48</f>
        <v/>
      </c>
      <c r="G776" s="3">
        <f>D776/30.48</f>
        <v/>
      </c>
      <c r="H776" s="16" t="inlineStr">
        <is>
          <t>MCHD-OLD</t>
        </is>
      </c>
      <c r="I776" s="570" t="inlineStr">
        <is>
          <t>Patrick Schaad</t>
        </is>
      </c>
      <c r="J776" s="557" t="n"/>
    </row>
    <row r="777" ht="17.25" customFormat="1" customHeight="1" s="1">
      <c r="A777" s="8" t="n">
        <v>1119</v>
      </c>
      <c r="B777" s="5" t="n">
        <v>104</v>
      </c>
      <c r="C777" s="72" t="inlineStr">
        <is>
          <t>X</t>
        </is>
      </c>
      <c r="D777" s="5" t="n">
        <v>180</v>
      </c>
      <c r="E777" s="73">
        <f>B777*D777/10000</f>
        <v/>
      </c>
      <c r="F777" s="74">
        <f>B777/30.48</f>
        <v/>
      </c>
      <c r="G777" s="74">
        <f>D777/30.48</f>
        <v/>
      </c>
      <c r="H777" s="694" t="n"/>
      <c r="I777" s="694" t="n"/>
      <c r="J777" s="694" t="n"/>
    </row>
    <row r="778" ht="18" customFormat="1" customHeight="1" s="1">
      <c r="A778" s="8" t="inlineStr">
        <is>
          <t>C 935</t>
        </is>
      </c>
      <c r="B778" s="5" t="n">
        <v>91</v>
      </c>
      <c r="C778" s="6" t="inlineStr">
        <is>
          <t>X</t>
        </is>
      </c>
      <c r="D778" s="5" t="n">
        <v>196</v>
      </c>
      <c r="E778" s="2">
        <f>B778*D778/10000</f>
        <v/>
      </c>
      <c r="F778" s="3">
        <f>B778/30.48</f>
        <v/>
      </c>
      <c r="G778" s="3">
        <f>D778/30.48</f>
        <v/>
      </c>
      <c r="H778" s="569" t="inlineStr">
        <is>
          <t>MCHD-OLD</t>
        </is>
      </c>
      <c r="I778" s="570" t="inlineStr">
        <is>
          <t>Juliana Cox</t>
        </is>
      </c>
      <c r="J778" s="557" t="n"/>
    </row>
    <row r="779" ht="17.25" customFormat="1" customHeight="1" s="1">
      <c r="A779" s="8" t="inlineStr">
        <is>
          <t>C 398</t>
        </is>
      </c>
      <c r="B779" s="5" t="n">
        <v>106</v>
      </c>
      <c r="C779" s="6" t="inlineStr">
        <is>
          <t>X</t>
        </is>
      </c>
      <c r="D779" s="5" t="n">
        <v>310</v>
      </c>
      <c r="E779" s="2">
        <f>B779*D779/10000</f>
        <v/>
      </c>
      <c r="F779" s="3">
        <f>B779/30.48</f>
        <v/>
      </c>
      <c r="G779" s="3">
        <f>D779/30.48</f>
        <v/>
      </c>
      <c r="H779" s="569" t="inlineStr">
        <is>
          <t>MCHD-OLD</t>
        </is>
      </c>
      <c r="I779" s="570" t="inlineStr">
        <is>
          <t>Ali Hussain</t>
        </is>
      </c>
      <c r="J779" s="557" t="n"/>
    </row>
    <row r="780" ht="17.25" customFormat="1" customHeight="1" s="1">
      <c r="A780" s="8" t="inlineStr">
        <is>
          <t>C 692</t>
        </is>
      </c>
      <c r="B780" s="5" t="n">
        <v>81</v>
      </c>
      <c r="C780" s="6" t="inlineStr">
        <is>
          <t>X</t>
        </is>
      </c>
      <c r="D780" s="5" t="n">
        <v>313</v>
      </c>
      <c r="E780" s="2">
        <f>B780*D780/10000</f>
        <v/>
      </c>
      <c r="F780" s="3">
        <f>B780/30.48</f>
        <v/>
      </c>
      <c r="G780" s="3">
        <f>D780/30.48</f>
        <v/>
      </c>
      <c r="H780" s="569" t="inlineStr">
        <is>
          <t>MCHD-VR</t>
        </is>
      </c>
      <c r="I780" s="570" t="inlineStr">
        <is>
          <t>Kellie Hastings</t>
        </is>
      </c>
      <c r="J780" s="557" t="n"/>
    </row>
    <row r="781" ht="17.25" customFormat="1" customHeight="1" s="1">
      <c r="A781" s="8" t="inlineStr">
        <is>
          <t>Y 999</t>
        </is>
      </c>
      <c r="B781" s="5" t="n">
        <v>200</v>
      </c>
      <c r="C781" s="6" t="inlineStr">
        <is>
          <t>X</t>
        </is>
      </c>
      <c r="D781" s="5" t="n">
        <v>117</v>
      </c>
      <c r="E781" s="2">
        <f>B781*D781/10000</f>
        <v/>
      </c>
      <c r="F781" s="3">
        <f>B781/30.48</f>
        <v/>
      </c>
      <c r="G781" s="3">
        <f>D781/30.48</f>
        <v/>
      </c>
      <c r="H781" s="36" t="inlineStr">
        <is>
          <t>MCHD-PAC</t>
        </is>
      </c>
      <c r="I781" s="570" t="inlineStr">
        <is>
          <t>Cynthia Yeiser</t>
        </is>
      </c>
      <c r="J781" s="557" t="n"/>
    </row>
    <row r="782" ht="17.25" customFormat="1" customHeight="1" s="1">
      <c r="A782" s="8" t="inlineStr">
        <is>
          <t>A 209</t>
        </is>
      </c>
      <c r="B782" s="5" t="n">
        <v>296</v>
      </c>
      <c r="C782" s="6" t="inlineStr">
        <is>
          <t>X</t>
        </is>
      </c>
      <c r="D782" s="5" t="n">
        <v>401</v>
      </c>
      <c r="E782" s="2">
        <f>B782*D782/10000</f>
        <v/>
      </c>
      <c r="F782" s="3">
        <f>B782/30.48</f>
        <v/>
      </c>
      <c r="G782" s="3">
        <f>D782/30.48</f>
        <v/>
      </c>
      <c r="H782" s="36" t="inlineStr">
        <is>
          <t>MCHD-PAC</t>
        </is>
      </c>
      <c r="I782" s="570" t="inlineStr">
        <is>
          <t>Paige Sanders</t>
        </is>
      </c>
      <c r="J782" s="557" t="n"/>
    </row>
    <row r="783" ht="17.25" customFormat="1" customHeight="1" s="1">
      <c r="A783" s="8" t="n">
        <v>9</v>
      </c>
      <c r="B783" s="5" t="n">
        <v>83</v>
      </c>
      <c r="C783" s="6" t="inlineStr">
        <is>
          <t>X</t>
        </is>
      </c>
      <c r="D783" s="5" t="n">
        <v>46</v>
      </c>
      <c r="E783" s="2">
        <f>B783*D783/10000</f>
        <v/>
      </c>
      <c r="F783" s="3">
        <f>B783/30.48</f>
        <v/>
      </c>
      <c r="G783" s="3">
        <f>D783/30.48</f>
        <v/>
      </c>
      <c r="H783" s="569" t="inlineStr">
        <is>
          <t>MCHD-OLD</t>
        </is>
      </c>
      <c r="I783" s="534" t="inlineStr">
        <is>
          <t>Julia Bomba</t>
        </is>
      </c>
      <c r="J783" s="545" t="n"/>
    </row>
    <row r="784" ht="17.25" customFormat="1" customHeight="1" s="1">
      <c r="A784" s="8" t="inlineStr">
        <is>
          <t>C 499</t>
        </is>
      </c>
      <c r="B784" s="5" t="n">
        <v>91</v>
      </c>
      <c r="C784" s="6" t="inlineStr">
        <is>
          <t>X</t>
        </is>
      </c>
      <c r="D784" s="5" t="n">
        <v>196</v>
      </c>
      <c r="E784" s="2">
        <f>B784*D784/10000</f>
        <v/>
      </c>
      <c r="F784" s="3">
        <f>B784/30.48</f>
        <v/>
      </c>
      <c r="G784" s="3">
        <f>D784/30.48</f>
        <v/>
      </c>
      <c r="H784" s="69" t="inlineStr">
        <is>
          <t>MCHD-TR</t>
        </is>
      </c>
      <c r="I784" s="534" t="inlineStr">
        <is>
          <t>SHARON Flory</t>
        </is>
      </c>
      <c r="J784" s="545" t="inlineStr">
        <is>
          <t>KESİLİP YAPILDI</t>
        </is>
      </c>
    </row>
    <row r="785" ht="17.25" customFormat="1" customHeight="1" s="1">
      <c r="A785" s="8" t="inlineStr">
        <is>
          <t>C 974</t>
        </is>
      </c>
      <c r="B785" s="5" t="n">
        <v>96</v>
      </c>
      <c r="C785" s="6" t="inlineStr">
        <is>
          <t>X</t>
        </is>
      </c>
      <c r="D785" s="5" t="n">
        <v>280</v>
      </c>
      <c r="E785" s="2">
        <f>B785*D785/10000</f>
        <v/>
      </c>
      <c r="F785" s="3">
        <f>B785/30.48</f>
        <v/>
      </c>
      <c r="G785" s="3">
        <f>D785/30.48</f>
        <v/>
      </c>
      <c r="H785" s="36" t="inlineStr">
        <is>
          <t>MCHD-PAC</t>
        </is>
      </c>
      <c r="I785" s="570" t="inlineStr">
        <is>
          <t>Raven Moorehead</t>
        </is>
      </c>
      <c r="J785" s="557" t="n"/>
    </row>
    <row r="786" ht="17.25" customFormat="1" customHeight="1" s="1">
      <c r="A786" s="8" t="inlineStr">
        <is>
          <t>C 804</t>
        </is>
      </c>
      <c r="B786" s="5" t="n">
        <v>64</v>
      </c>
      <c r="C786" s="6" t="inlineStr">
        <is>
          <t>X</t>
        </is>
      </c>
      <c r="D786" s="5" t="n">
        <v>143</v>
      </c>
      <c r="E786" s="2">
        <f>B786*D786/10000</f>
        <v/>
      </c>
      <c r="F786" s="3">
        <f>B786/30.48</f>
        <v/>
      </c>
      <c r="G786" s="3">
        <f>D786/30.48</f>
        <v/>
      </c>
      <c r="H786" s="569" t="inlineStr">
        <is>
          <t>MCHD-OLD</t>
        </is>
      </c>
      <c r="I786" s="534" t="inlineStr">
        <is>
          <t>Gennie Brady</t>
        </is>
      </c>
      <c r="J786" s="545" t="n"/>
    </row>
    <row r="787" ht="18" customFormat="1" customHeight="1" s="1">
      <c r="A787" s="8" t="inlineStr">
        <is>
          <t>C 790</t>
        </is>
      </c>
      <c r="B787" s="5" t="n">
        <v>110</v>
      </c>
      <c r="C787" s="6" t="inlineStr">
        <is>
          <t>X</t>
        </is>
      </c>
      <c r="D787" s="5" t="n">
        <v>202</v>
      </c>
      <c r="E787" s="2">
        <f>B787*D787/10000</f>
        <v/>
      </c>
      <c r="F787" s="3">
        <f>B787/30.48</f>
        <v/>
      </c>
      <c r="G787" s="3">
        <f>D787/30.48</f>
        <v/>
      </c>
      <c r="H787" s="69" t="inlineStr">
        <is>
          <t>MCHD-TR</t>
        </is>
      </c>
      <c r="I787" s="570" t="inlineStr">
        <is>
          <t>Lauren Jacobsen</t>
        </is>
      </c>
      <c r="J787" s="575" t="inlineStr">
        <is>
          <t>US-916 833 1254</t>
        </is>
      </c>
    </row>
    <row r="788" ht="17.25" customFormat="1" customHeight="1" s="1">
      <c r="A788" s="8" t="inlineStr">
        <is>
          <t>Y 111</t>
        </is>
      </c>
      <c r="B788" s="5" t="n">
        <v>337</v>
      </c>
      <c r="C788" s="6" t="inlineStr">
        <is>
          <t>X</t>
        </is>
      </c>
      <c r="D788" s="5" t="n">
        <v>45</v>
      </c>
      <c r="E788" s="2">
        <f>B788*D788/10000</f>
        <v/>
      </c>
      <c r="F788" s="3">
        <f>B788/30.48</f>
        <v/>
      </c>
      <c r="G788" s="3">
        <f>D788/30.48</f>
        <v/>
      </c>
      <c r="H788" s="569" t="inlineStr">
        <is>
          <t>MCHD-OLD</t>
        </is>
      </c>
      <c r="I788" s="570" t="inlineStr">
        <is>
          <t>LIANA MARR</t>
        </is>
      </c>
      <c r="J788" s="557" t="n"/>
    </row>
    <row r="789" ht="17.25" customFormat="1" customHeight="1" s="1">
      <c r="A789" s="8" t="inlineStr">
        <is>
          <t>A 31</t>
        </is>
      </c>
      <c r="B789" s="5" t="n">
        <v>55</v>
      </c>
      <c r="C789" s="6" t="inlineStr">
        <is>
          <t>X</t>
        </is>
      </c>
      <c r="D789" s="5" t="n">
        <v>114</v>
      </c>
      <c r="E789" s="2">
        <f>B789*D789/10000</f>
        <v/>
      </c>
      <c r="F789" s="3">
        <f>B789/30.48</f>
        <v/>
      </c>
      <c r="G789" s="3">
        <f>D789/30.48</f>
        <v/>
      </c>
      <c r="H789" s="36" t="inlineStr">
        <is>
          <t>MCHD-PAC</t>
        </is>
      </c>
      <c r="I789" s="570" t="inlineStr">
        <is>
          <t>Kelly Maher</t>
        </is>
      </c>
      <c r="J789" s="557" t="n"/>
    </row>
    <row r="790" ht="17.25" customFormat="1" customHeight="1" s="1">
      <c r="A790" s="8" t="inlineStr">
        <is>
          <t>C 965</t>
        </is>
      </c>
      <c r="B790" s="5" t="n">
        <v>58</v>
      </c>
      <c r="C790" s="6" t="inlineStr">
        <is>
          <t>X</t>
        </is>
      </c>
      <c r="D790" s="5" t="n">
        <v>132</v>
      </c>
      <c r="E790" s="2">
        <f>B790*D790/10000</f>
        <v/>
      </c>
      <c r="F790" s="3">
        <f>B790/30.48</f>
        <v/>
      </c>
      <c r="G790" s="3">
        <f>D790/30.48</f>
        <v/>
      </c>
      <c r="H790" s="69" t="inlineStr">
        <is>
          <t>MCHD-TR</t>
        </is>
      </c>
      <c r="I790" s="570" t="inlineStr">
        <is>
          <t>Petite Wine</t>
        </is>
      </c>
      <c r="J790" s="557" t="n"/>
    </row>
    <row r="791" ht="17.25" customFormat="1" customHeight="1" s="1">
      <c r="A791" s="8" t="inlineStr">
        <is>
          <t>A 104</t>
        </is>
      </c>
      <c r="B791" s="5" t="n">
        <v>86</v>
      </c>
      <c r="C791" s="6" t="inlineStr">
        <is>
          <t>X</t>
        </is>
      </c>
      <c r="D791" s="5" t="n">
        <v>320</v>
      </c>
      <c r="E791" s="2">
        <f>B791*D791/10000</f>
        <v/>
      </c>
      <c r="F791" s="3">
        <f>B791/30.48</f>
        <v/>
      </c>
      <c r="G791" s="3">
        <f>D791/30.48</f>
        <v/>
      </c>
      <c r="H791" s="69" t="inlineStr">
        <is>
          <t>MCHD-TR</t>
        </is>
      </c>
      <c r="I791" s="570" t="inlineStr">
        <is>
          <t>Deborah Jindia</t>
        </is>
      </c>
      <c r="J791" s="557" t="inlineStr">
        <is>
          <t>US-337 288 2678</t>
        </is>
      </c>
    </row>
    <row r="792" ht="17.25" customFormat="1" customHeight="1" s="1">
      <c r="A792" s="8" t="inlineStr">
        <is>
          <t>C 502</t>
        </is>
      </c>
      <c r="B792" s="5" t="n">
        <v>131</v>
      </c>
      <c r="C792" s="6" t="inlineStr">
        <is>
          <t>X</t>
        </is>
      </c>
      <c r="D792" s="5" t="n">
        <v>343</v>
      </c>
      <c r="E792" s="2">
        <f>B792*D792/10000</f>
        <v/>
      </c>
      <c r="F792" s="3">
        <f>B792/30.48</f>
        <v/>
      </c>
      <c r="G792" s="3">
        <f>D792/30.48</f>
        <v/>
      </c>
      <c r="H792" s="69" t="inlineStr">
        <is>
          <t>MCHD-TR</t>
        </is>
      </c>
      <c r="I792" s="570" t="inlineStr">
        <is>
          <t>Stefani masry</t>
        </is>
      </c>
      <c r="J792" s="557" t="inlineStr">
        <is>
          <t>US-646 498 5651</t>
        </is>
      </c>
      <c r="O792" s="1" t="inlineStr">
        <is>
          <t xml:space="preserve"> </t>
        </is>
      </c>
    </row>
    <row r="793" ht="17.25" customFormat="1" customHeight="1" s="1">
      <c r="A793" s="8" t="n">
        <v>1047</v>
      </c>
      <c r="B793" s="5" t="n">
        <v>121</v>
      </c>
      <c r="C793" s="72" t="inlineStr">
        <is>
          <t>X</t>
        </is>
      </c>
      <c r="D793" s="5" t="n">
        <v>268</v>
      </c>
      <c r="E793" s="73">
        <f>B793*D793/10000</f>
        <v/>
      </c>
      <c r="F793" s="74">
        <f>B793/30.48</f>
        <v/>
      </c>
      <c r="G793" s="74">
        <f>D793/30.48</f>
        <v/>
      </c>
      <c r="H793" s="569" t="inlineStr">
        <is>
          <t>MCHD-OLD</t>
        </is>
      </c>
      <c r="I793" s="570" t="inlineStr">
        <is>
          <t>Lindsey Hastings</t>
        </is>
      </c>
      <c r="J793" s="557" t="n"/>
    </row>
    <row r="794" ht="17.25" customFormat="1" customHeight="1" s="1">
      <c r="A794" s="8" t="inlineStr">
        <is>
          <t>C 838</t>
        </is>
      </c>
      <c r="B794" s="5" t="n">
        <v>71</v>
      </c>
      <c r="C794" s="6" t="inlineStr">
        <is>
          <t>X</t>
        </is>
      </c>
      <c r="D794" s="5" t="n">
        <v>258</v>
      </c>
      <c r="E794" s="2">
        <f>B794*D794/10000</f>
        <v/>
      </c>
      <c r="F794" s="3">
        <f>B794/30.48</f>
        <v/>
      </c>
      <c r="G794" s="3">
        <f>D794/30.48</f>
        <v/>
      </c>
      <c r="H794" s="36" t="inlineStr">
        <is>
          <t>MCHD-PAC</t>
        </is>
      </c>
      <c r="I794" s="570" t="inlineStr">
        <is>
          <t>Julie Bickimer</t>
        </is>
      </c>
      <c r="J794" s="557" t="inlineStr">
        <is>
          <t>US-913 485 5526</t>
        </is>
      </c>
      <c r="O794" s="1" t="inlineStr">
        <is>
          <t xml:space="preserve"> </t>
        </is>
      </c>
    </row>
    <row r="795" customFormat="1" s="1">
      <c r="A795" s="536" t="inlineStr">
        <is>
          <t>-2023 MAYIS-50</t>
        </is>
      </c>
      <c r="H795" s="62" t="inlineStr">
        <is>
          <t>SATAN-SİTE</t>
        </is>
      </c>
      <c r="I795" s="19" t="inlineStr">
        <is>
          <t>MÜŞTERİ ADI</t>
        </is>
      </c>
      <c r="J795" s="63" t="inlineStr">
        <is>
          <t>MÜŞTERİ İLETİŞİM &amp; ÜLKE</t>
        </is>
      </c>
    </row>
    <row r="796" ht="17.25" customFormat="1" customHeight="1" s="1">
      <c r="A796" s="8" t="inlineStr">
        <is>
          <t>A 106</t>
        </is>
      </c>
      <c r="B796" s="5" t="n">
        <v>95</v>
      </c>
      <c r="C796" s="6" t="inlineStr">
        <is>
          <t>X</t>
        </is>
      </c>
      <c r="D796" s="5" t="n">
        <v>140</v>
      </c>
      <c r="E796" s="2">
        <f>B796*D796/10000</f>
        <v/>
      </c>
      <c r="F796" s="3">
        <f>B796/30.48</f>
        <v/>
      </c>
      <c r="G796" s="3">
        <f>D796/30.48</f>
        <v/>
      </c>
      <c r="H796" s="69" t="inlineStr">
        <is>
          <t>MCHD-TR</t>
        </is>
      </c>
      <c r="I796" s="570" t="inlineStr">
        <is>
          <t>Vanessa Elliott</t>
        </is>
      </c>
      <c r="J796" s="557" t="n"/>
    </row>
    <row r="797" ht="17.25" customFormat="1" customHeight="1" s="1">
      <c r="A797" s="8" t="inlineStr">
        <is>
          <t>A 108</t>
        </is>
      </c>
      <c r="B797" s="5" t="n">
        <v>65</v>
      </c>
      <c r="C797" s="6" t="inlineStr">
        <is>
          <t>X</t>
        </is>
      </c>
      <c r="D797" s="5" t="n">
        <v>218</v>
      </c>
      <c r="E797" s="2">
        <f>B797*D797/10000</f>
        <v/>
      </c>
      <c r="F797" s="3">
        <f>B797/30.48</f>
        <v/>
      </c>
      <c r="G797" s="3">
        <f>D797/30.48</f>
        <v/>
      </c>
      <c r="H797" s="69" t="inlineStr">
        <is>
          <t>MCHD-TR</t>
        </is>
      </c>
      <c r="I797" s="570" t="inlineStr">
        <is>
          <t>Murat Soyupak</t>
        </is>
      </c>
      <c r="J797" s="557" t="n"/>
    </row>
    <row r="798" ht="17.25" customFormat="1" customHeight="1" s="1">
      <c r="A798" s="8" t="inlineStr">
        <is>
          <t>A 93</t>
        </is>
      </c>
      <c r="B798" s="5" t="n">
        <v>70</v>
      </c>
      <c r="C798" s="72" t="inlineStr">
        <is>
          <t>X</t>
        </is>
      </c>
      <c r="D798" s="5" t="n">
        <v>143</v>
      </c>
      <c r="E798" s="73">
        <f>B798*D798/10000</f>
        <v/>
      </c>
      <c r="F798" s="74">
        <f>B798/30.48</f>
        <v/>
      </c>
      <c r="G798" s="74">
        <f>D798/30.48</f>
        <v/>
      </c>
      <c r="H798" s="69" t="inlineStr">
        <is>
          <t>MCHD-TR</t>
        </is>
      </c>
      <c r="I798" s="570" t="inlineStr">
        <is>
          <t>Julie Bickimer</t>
        </is>
      </c>
      <c r="J798" s="557" t="n"/>
    </row>
    <row r="799" ht="17.25" customFormat="1" customHeight="1" s="1">
      <c r="A799" s="8" t="inlineStr">
        <is>
          <t>C 498</t>
        </is>
      </c>
      <c r="B799" s="5" t="n">
        <v>112</v>
      </c>
      <c r="C799" s="6" t="inlineStr">
        <is>
          <t>X</t>
        </is>
      </c>
      <c r="D799" s="5" t="n">
        <v>207</v>
      </c>
      <c r="E799" s="2">
        <f>B799*D799/10000</f>
        <v/>
      </c>
      <c r="F799" s="3">
        <f>B799/30.48</f>
        <v/>
      </c>
      <c r="G799" s="3">
        <f>D799/30.48</f>
        <v/>
      </c>
      <c r="H799" s="36" t="inlineStr">
        <is>
          <t>MCHD-PAC</t>
        </is>
      </c>
      <c r="I799" s="570" t="inlineStr">
        <is>
          <t>KOUKLA COLLECTIVE</t>
        </is>
      </c>
      <c r="J799" s="557" t="n"/>
    </row>
    <row r="800" ht="17.25" customFormat="1" customHeight="1" s="1">
      <c r="A800" s="8" t="inlineStr">
        <is>
          <t>A 116</t>
        </is>
      </c>
      <c r="B800" s="5" t="n">
        <v>74</v>
      </c>
      <c r="C800" s="6" t="inlineStr">
        <is>
          <t>X</t>
        </is>
      </c>
      <c r="D800" s="5" t="n">
        <v>116</v>
      </c>
      <c r="E800" s="2">
        <f>B800*D800/10000</f>
        <v/>
      </c>
      <c r="F800" s="3">
        <f>B800/30.48</f>
        <v/>
      </c>
      <c r="G800" s="3">
        <f>D800/30.48</f>
        <v/>
      </c>
      <c r="H800" s="36" t="inlineStr">
        <is>
          <t>MCHD-PAC</t>
        </is>
      </c>
      <c r="I800" s="534" t="inlineStr">
        <is>
          <t>Sharla Gaddis</t>
        </is>
      </c>
      <c r="J800" s="545" t="n"/>
    </row>
    <row r="801" ht="17.25" customFormat="1" customHeight="1" s="1">
      <c r="A801" s="8" t="inlineStr">
        <is>
          <t>C 782</t>
        </is>
      </c>
      <c r="B801" s="5" t="n">
        <v>93</v>
      </c>
      <c r="C801" s="72" t="inlineStr">
        <is>
          <t>X</t>
        </is>
      </c>
      <c r="D801" s="5" t="n">
        <v>410</v>
      </c>
      <c r="E801" s="73">
        <f>B801*D801/10000</f>
        <v/>
      </c>
      <c r="F801" s="74">
        <f>B801/30.48</f>
        <v/>
      </c>
      <c r="G801" s="74">
        <f>D801/30.48</f>
        <v/>
      </c>
      <c r="H801" s="36" t="inlineStr">
        <is>
          <t>MCHD-PAC</t>
        </is>
      </c>
      <c r="I801" s="570" t="inlineStr">
        <is>
          <t>Chelsea ulle</t>
        </is>
      </c>
      <c r="J801" s="557" t="n"/>
    </row>
    <row r="802" ht="17.25" customFormat="1" customHeight="1" s="1">
      <c r="A802" s="8" t="inlineStr">
        <is>
          <t>C 888</t>
        </is>
      </c>
      <c r="B802" s="5" t="n">
        <v>86</v>
      </c>
      <c r="C802" s="6" t="inlineStr">
        <is>
          <t>X</t>
        </is>
      </c>
      <c r="D802" s="5" t="n">
        <v>281</v>
      </c>
      <c r="E802" s="2">
        <f>B802*D802/10000</f>
        <v/>
      </c>
      <c r="F802" s="3">
        <f>B802/30.48</f>
        <v/>
      </c>
      <c r="G802" s="3">
        <f>D802/30.48</f>
        <v/>
      </c>
      <c r="H802" s="36" t="inlineStr">
        <is>
          <t>MCHD-PAC</t>
        </is>
      </c>
      <c r="I802" s="570" t="inlineStr">
        <is>
          <t>Meghan Basinger</t>
        </is>
      </c>
      <c r="J802" s="557" t="n"/>
    </row>
    <row r="803" ht="17.25" customFormat="1" customHeight="1" s="1">
      <c r="A803" s="8" t="inlineStr">
        <is>
          <t>C 901</t>
        </is>
      </c>
      <c r="B803" s="5" t="n">
        <v>91</v>
      </c>
      <c r="C803" s="6" t="inlineStr">
        <is>
          <t>X</t>
        </is>
      </c>
      <c r="D803" s="5" t="n">
        <v>375</v>
      </c>
      <c r="E803" s="2">
        <f>B803*D803/10000</f>
        <v/>
      </c>
      <c r="F803" s="3">
        <f>B803/30.48</f>
        <v/>
      </c>
      <c r="G803" s="3">
        <f>D803/30.48</f>
        <v/>
      </c>
      <c r="H803" s="69" t="inlineStr">
        <is>
          <t>MCHD-TR</t>
        </is>
      </c>
      <c r="I803" s="570" t="inlineStr">
        <is>
          <t>Ashlee LeSueur</t>
        </is>
      </c>
      <c r="J803" s="557" t="n"/>
    </row>
    <row r="804" ht="17.25" customFormat="1" customHeight="1" s="1">
      <c r="A804" s="8" t="inlineStr">
        <is>
          <t>A 122</t>
        </is>
      </c>
      <c r="B804" s="5" t="n">
        <v>84</v>
      </c>
      <c r="C804" s="6" t="inlineStr">
        <is>
          <t>X</t>
        </is>
      </c>
      <c r="D804" s="5" t="n">
        <v>279</v>
      </c>
      <c r="E804" s="2">
        <f>B804*D804/10000</f>
        <v/>
      </c>
      <c r="F804" s="3">
        <f>B804/30.48</f>
        <v/>
      </c>
      <c r="G804" s="3">
        <f>D804/30.48</f>
        <v/>
      </c>
      <c r="H804" s="69" t="inlineStr">
        <is>
          <t>MCHD-TR</t>
        </is>
      </c>
      <c r="I804" s="570" t="inlineStr">
        <is>
          <t>Alexandra Reed</t>
        </is>
      </c>
      <c r="J804" s="557" t="n"/>
    </row>
    <row r="805" ht="17.25" customFormat="1" customHeight="1" s="1">
      <c r="A805" s="8" t="inlineStr">
        <is>
          <t>Y 591</t>
        </is>
      </c>
      <c r="B805" s="5" t="n">
        <v>350</v>
      </c>
      <c r="C805" s="6" t="inlineStr">
        <is>
          <t>X</t>
        </is>
      </c>
      <c r="D805" s="5" t="n">
        <v>90</v>
      </c>
      <c r="E805" s="2">
        <f>B805*D805/10000</f>
        <v/>
      </c>
      <c r="F805" s="3">
        <f>B805/30.48</f>
        <v/>
      </c>
      <c r="G805" s="3">
        <f>D805/30.48</f>
        <v/>
      </c>
      <c r="H805" s="18" t="inlineStr">
        <is>
          <t>MCHD-TH</t>
        </is>
      </c>
      <c r="I805" s="570" t="inlineStr">
        <is>
          <t>JSDS/Gomillion Furniture Services</t>
        </is>
      </c>
      <c r="J805" s="557" t="n"/>
    </row>
    <row r="806" ht="17.25" customFormat="1" customHeight="1" s="1">
      <c r="A806" s="8" t="inlineStr">
        <is>
          <t>H 88</t>
        </is>
      </c>
      <c r="B806" s="5" t="n">
        <v>88</v>
      </c>
      <c r="C806" s="72" t="inlineStr">
        <is>
          <t>X</t>
        </is>
      </c>
      <c r="D806" s="5" t="n">
        <v>488</v>
      </c>
      <c r="E806" s="73">
        <f>B806*D806/10000</f>
        <v/>
      </c>
      <c r="F806" s="74">
        <f>B806/30.48</f>
        <v/>
      </c>
      <c r="G806" s="74">
        <f>D806/30.48</f>
        <v/>
      </c>
      <c r="H806" s="18" t="inlineStr">
        <is>
          <t>MCHD-TH</t>
        </is>
      </c>
      <c r="I806" s="570" t="inlineStr">
        <is>
          <t>Rachel Spellman</t>
        </is>
      </c>
      <c r="J806" s="557" t="n"/>
    </row>
    <row r="807" ht="17.25" customFormat="1" customHeight="1" s="1">
      <c r="A807" s="8" t="inlineStr">
        <is>
          <t>A 137</t>
        </is>
      </c>
      <c r="B807" s="5" t="n">
        <v>115</v>
      </c>
      <c r="C807" s="72" t="inlineStr">
        <is>
          <t>X</t>
        </is>
      </c>
      <c r="D807" s="5" t="n">
        <v>198</v>
      </c>
      <c r="E807" s="73">
        <f>B807*D807/10000</f>
        <v/>
      </c>
      <c r="F807" s="74">
        <f>B807/30.48</f>
        <v/>
      </c>
      <c r="G807" s="74">
        <f>D807/30.48</f>
        <v/>
      </c>
      <c r="H807" s="36" t="inlineStr">
        <is>
          <t>MCHD-PAC</t>
        </is>
      </c>
      <c r="I807" s="534" t="inlineStr">
        <is>
          <t>Jennifer Fernandez</t>
        </is>
      </c>
      <c r="J807" s="545" t="n"/>
    </row>
    <row r="808" ht="17.25" customFormat="1" customHeight="1" s="1">
      <c r="A808" s="8" t="inlineStr">
        <is>
          <t>C 386</t>
        </is>
      </c>
      <c r="B808" s="5" t="n">
        <v>79</v>
      </c>
      <c r="C808" s="6" t="inlineStr">
        <is>
          <t>X</t>
        </is>
      </c>
      <c r="D808" s="5" t="n">
        <v>121</v>
      </c>
      <c r="E808" s="2">
        <f>B808*D808/10000</f>
        <v/>
      </c>
      <c r="F808" s="3">
        <f>B808/30.48</f>
        <v/>
      </c>
      <c r="G808" s="3">
        <f>D808/30.48</f>
        <v/>
      </c>
      <c r="H808" s="69" t="inlineStr">
        <is>
          <t>MCHD-TR</t>
        </is>
      </c>
      <c r="I808" s="570" t="inlineStr">
        <is>
          <t>Ashley Hollmig</t>
        </is>
      </c>
      <c r="J808" s="557" t="n"/>
    </row>
    <row r="809" ht="17.25" customFormat="1" customHeight="1" s="1">
      <c r="A809" s="8" t="inlineStr">
        <is>
          <t>A 135</t>
        </is>
      </c>
      <c r="B809" s="5" t="n">
        <v>222</v>
      </c>
      <c r="C809" s="6" t="inlineStr">
        <is>
          <t>X</t>
        </is>
      </c>
      <c r="D809" s="5" t="n">
        <v>310</v>
      </c>
      <c r="E809" s="2">
        <f>B809*D809/10000</f>
        <v/>
      </c>
      <c r="F809" s="3">
        <f>B809/30.48</f>
        <v/>
      </c>
      <c r="G809" s="3">
        <f>D809/30.48</f>
        <v/>
      </c>
      <c r="H809" s="36" t="inlineStr">
        <is>
          <t>MCHD-PAC</t>
        </is>
      </c>
      <c r="I809" s="570" t="inlineStr">
        <is>
          <t>Julie Bickimer</t>
        </is>
      </c>
      <c r="J809" s="557" t="inlineStr">
        <is>
          <t>US-913 485 5526</t>
        </is>
      </c>
    </row>
    <row r="810" ht="17.25" customFormat="1" customHeight="1" s="1">
      <c r="A810" s="8" t="inlineStr">
        <is>
          <t>C 776</t>
        </is>
      </c>
      <c r="B810" s="5" t="n">
        <v>351</v>
      </c>
      <c r="C810" s="6" t="inlineStr">
        <is>
          <t>X</t>
        </is>
      </c>
      <c r="D810" s="5" t="n">
        <v>280</v>
      </c>
      <c r="E810" s="2">
        <f>B810*D810/10000</f>
        <v/>
      </c>
      <c r="F810" s="3">
        <f>B810/30.48</f>
        <v/>
      </c>
      <c r="G810" s="3">
        <f>D810/30.48</f>
        <v/>
      </c>
      <c r="H810" s="36" t="inlineStr">
        <is>
          <t>MCHD-PAC</t>
        </is>
      </c>
      <c r="I810" s="570" t="inlineStr">
        <is>
          <t>Ania Thormahlen</t>
        </is>
      </c>
      <c r="J810" s="557" t="n"/>
    </row>
    <row r="811" ht="17.25" customFormat="1" customHeight="1" s="1">
      <c r="A811" s="8" t="inlineStr">
        <is>
          <t>C 579</t>
        </is>
      </c>
      <c r="B811" s="5" t="n">
        <v>80</v>
      </c>
      <c r="C811" s="6" t="inlineStr">
        <is>
          <t>X</t>
        </is>
      </c>
      <c r="D811" s="5" t="n">
        <v>285</v>
      </c>
      <c r="E811" s="2">
        <f>B811*D811/10000</f>
        <v/>
      </c>
      <c r="F811" s="3">
        <f>B811/30.48</f>
        <v/>
      </c>
      <c r="G811" s="3">
        <f>D811/30.48</f>
        <v/>
      </c>
      <c r="H811" s="36" t="inlineStr">
        <is>
          <t>MCHD-PAC</t>
        </is>
      </c>
      <c r="I811" s="570" t="inlineStr">
        <is>
          <t>Brooke Marshall</t>
        </is>
      </c>
      <c r="J811" s="557" t="inlineStr">
        <is>
          <t>US-512 492 2493</t>
        </is>
      </c>
    </row>
    <row r="812" ht="17.25" customFormat="1" customHeight="1" s="1">
      <c r="A812" s="8" t="inlineStr">
        <is>
          <t>Y 813</t>
        </is>
      </c>
      <c r="B812" s="5" t="n">
        <v>301</v>
      </c>
      <c r="C812" s="6" t="inlineStr">
        <is>
          <t>X</t>
        </is>
      </c>
      <c r="D812" s="5" t="n">
        <v>191</v>
      </c>
      <c r="E812" s="2">
        <f>B812*D812/10000</f>
        <v/>
      </c>
      <c r="F812" s="3">
        <f>B812/30.48</f>
        <v/>
      </c>
      <c r="G812" s="3">
        <f>D812/30.48</f>
        <v/>
      </c>
      <c r="H812" s="36" t="inlineStr">
        <is>
          <t>MCHD-PAC</t>
        </is>
      </c>
      <c r="I812" s="534" t="inlineStr">
        <is>
          <t>Savannah Starring</t>
        </is>
      </c>
      <c r="J812" s="545" t="n"/>
    </row>
    <row r="813" ht="17.25" customHeight="1" s="305">
      <c r="A813" s="8" t="n">
        <v>1269</v>
      </c>
      <c r="B813" s="5" t="n">
        <v>99</v>
      </c>
      <c r="C813" s="72" t="inlineStr">
        <is>
          <t>X</t>
        </is>
      </c>
      <c r="D813" s="5" t="n">
        <v>171</v>
      </c>
      <c r="E813" s="73">
        <f>B813*D813/10000</f>
        <v/>
      </c>
      <c r="F813" s="74">
        <f>B813/30.48</f>
        <v/>
      </c>
      <c r="G813" s="74">
        <f>D813/30.48</f>
        <v/>
      </c>
      <c r="H813" s="36" t="inlineStr">
        <is>
          <t>HASAN</t>
        </is>
      </c>
      <c r="I813" s="566" t="inlineStr">
        <is>
          <t>POPE</t>
        </is>
      </c>
      <c r="J813" s="557" t="n"/>
    </row>
    <row r="814" ht="17.25" customHeight="1" s="305">
      <c r="A814" s="8" t="n">
        <v>1270</v>
      </c>
      <c r="B814" s="5" t="n">
        <v>80</v>
      </c>
      <c r="C814" s="72" t="inlineStr">
        <is>
          <t>X</t>
        </is>
      </c>
      <c r="D814" s="5" t="n">
        <v>180</v>
      </c>
      <c r="E814" s="73">
        <f>B814*D814/10000</f>
        <v/>
      </c>
      <c r="F814" s="74">
        <f>B814/30.48</f>
        <v/>
      </c>
      <c r="G814" s="74">
        <f>D814/30.48</f>
        <v/>
      </c>
      <c r="H814" s="36" t="inlineStr">
        <is>
          <t>HASAN</t>
        </is>
      </c>
      <c r="I814" s="693" t="n"/>
      <c r="J814" s="557" t="n"/>
    </row>
    <row r="815" ht="17.25" customHeight="1" s="305">
      <c r="A815" s="8" t="n">
        <v>1271</v>
      </c>
      <c r="B815" s="5" t="n">
        <v>91</v>
      </c>
      <c r="C815" s="72" t="inlineStr">
        <is>
          <t>X</t>
        </is>
      </c>
      <c r="D815" s="5" t="n">
        <v>140</v>
      </c>
      <c r="E815" s="73">
        <f>B815*D815/10000</f>
        <v/>
      </c>
      <c r="F815" s="74">
        <f>B815/30.48</f>
        <v/>
      </c>
      <c r="G815" s="74">
        <f>D815/30.48</f>
        <v/>
      </c>
      <c r="H815" s="36" t="inlineStr">
        <is>
          <t>HASAN</t>
        </is>
      </c>
      <c r="I815" s="693" t="n"/>
      <c r="J815" s="557" t="n"/>
    </row>
    <row r="816" ht="17.25" customHeight="1" s="305">
      <c r="A816" s="8" t="n">
        <v>1272</v>
      </c>
      <c r="B816" s="5" t="n">
        <v>63</v>
      </c>
      <c r="C816" s="72" t="inlineStr">
        <is>
          <t>X</t>
        </is>
      </c>
      <c r="D816" s="5" t="n">
        <v>139</v>
      </c>
      <c r="E816" s="73">
        <f>B816*D816/10000</f>
        <v/>
      </c>
      <c r="F816" s="74">
        <f>B816/30.48</f>
        <v/>
      </c>
      <c r="G816" s="74">
        <f>D816/30.48</f>
        <v/>
      </c>
      <c r="H816" s="36" t="inlineStr">
        <is>
          <t>HASAN</t>
        </is>
      </c>
      <c r="I816" s="693" t="n"/>
      <c r="J816" s="557" t="n"/>
    </row>
    <row r="817" ht="17.25" customHeight="1" s="305">
      <c r="A817" s="8" t="n">
        <v>1273</v>
      </c>
      <c r="B817" s="5" t="n">
        <v>85</v>
      </c>
      <c r="C817" s="72" t="inlineStr">
        <is>
          <t>X</t>
        </is>
      </c>
      <c r="D817" s="5" t="n">
        <v>154</v>
      </c>
      <c r="E817" s="73">
        <f>B817*D817/10000</f>
        <v/>
      </c>
      <c r="F817" s="74">
        <f>B817/30.48</f>
        <v/>
      </c>
      <c r="G817" s="74">
        <f>D817/30.48</f>
        <v/>
      </c>
      <c r="H817" s="36" t="inlineStr">
        <is>
          <t>HASAN</t>
        </is>
      </c>
      <c r="I817" s="693" t="n"/>
      <c r="J817" s="557" t="n"/>
    </row>
    <row r="818" ht="17.25" customHeight="1" s="305">
      <c r="A818" s="8" t="n">
        <v>1274</v>
      </c>
      <c r="B818" s="5" t="n">
        <v>60</v>
      </c>
      <c r="C818" s="72" t="inlineStr">
        <is>
          <t>X</t>
        </is>
      </c>
      <c r="D818" s="5" t="n">
        <v>121</v>
      </c>
      <c r="E818" s="73">
        <f>B818*D818/10000</f>
        <v/>
      </c>
      <c r="F818" s="74">
        <f>B818/30.48</f>
        <v/>
      </c>
      <c r="G818" s="74">
        <f>D818/30.48</f>
        <v/>
      </c>
      <c r="H818" s="36" t="inlineStr">
        <is>
          <t>HASAN</t>
        </is>
      </c>
      <c r="I818" s="693" t="n"/>
      <c r="J818" s="557" t="n"/>
    </row>
    <row r="819" ht="17.25" customHeight="1" s="305">
      <c r="A819" s="8" t="n">
        <v>1275</v>
      </c>
      <c r="B819" s="5" t="n">
        <v>74</v>
      </c>
      <c r="C819" s="72" t="inlineStr">
        <is>
          <t>X</t>
        </is>
      </c>
      <c r="D819" s="5" t="n">
        <v>136</v>
      </c>
      <c r="E819" s="73">
        <f>B819*D819/10000</f>
        <v/>
      </c>
      <c r="F819" s="74">
        <f>B819/30.48</f>
        <v/>
      </c>
      <c r="G819" s="74">
        <f>D819/30.48</f>
        <v/>
      </c>
      <c r="H819" s="36" t="inlineStr">
        <is>
          <t>HASAN</t>
        </is>
      </c>
      <c r="I819" s="693" t="n"/>
      <c r="J819" s="557" t="n"/>
    </row>
    <row r="820" ht="17.25" customHeight="1" s="305">
      <c r="A820" s="8" t="n">
        <v>1276</v>
      </c>
      <c r="B820" s="5" t="n">
        <v>76</v>
      </c>
      <c r="C820" s="72" t="inlineStr">
        <is>
          <t>X</t>
        </is>
      </c>
      <c r="D820" s="5" t="n">
        <v>120</v>
      </c>
      <c r="E820" s="73">
        <f>B820*D820/10000</f>
        <v/>
      </c>
      <c r="F820" s="74">
        <f>B820/30.48</f>
        <v/>
      </c>
      <c r="G820" s="74">
        <f>D820/30.48</f>
        <v/>
      </c>
      <c r="H820" s="36" t="inlineStr">
        <is>
          <t>HASAN</t>
        </is>
      </c>
      <c r="I820" s="693" t="n"/>
      <c r="J820" s="557" t="n"/>
    </row>
    <row r="821" ht="17.25" customHeight="1" s="305">
      <c r="A821" s="8" t="n">
        <v>1277</v>
      </c>
      <c r="B821" s="5" t="n">
        <v>98</v>
      </c>
      <c r="C821" s="72" t="inlineStr">
        <is>
          <t>X</t>
        </is>
      </c>
      <c r="D821" s="5" t="n">
        <v>140</v>
      </c>
      <c r="E821" s="73">
        <f>B821*D821/10000</f>
        <v/>
      </c>
      <c r="F821" s="74">
        <f>B821/30.48</f>
        <v/>
      </c>
      <c r="G821" s="74">
        <f>D821/30.48</f>
        <v/>
      </c>
      <c r="H821" s="36" t="inlineStr">
        <is>
          <t>HASAN</t>
        </is>
      </c>
      <c r="I821" s="693" t="n"/>
      <c r="J821" s="557" t="n"/>
    </row>
    <row r="822" ht="17.25" customHeight="1" s="305">
      <c r="A822" s="8" t="n">
        <v>1278</v>
      </c>
      <c r="B822" s="5" t="n">
        <v>100</v>
      </c>
      <c r="C822" s="72" t="inlineStr">
        <is>
          <t>X</t>
        </is>
      </c>
      <c r="D822" s="5" t="n">
        <v>158</v>
      </c>
      <c r="E822" s="73">
        <f>B822*D822/10000</f>
        <v/>
      </c>
      <c r="F822" s="74">
        <f>B822/30.48</f>
        <v/>
      </c>
      <c r="G822" s="74">
        <f>D822/30.48</f>
        <v/>
      </c>
      <c r="H822" s="36" t="inlineStr">
        <is>
          <t>HASAN</t>
        </is>
      </c>
      <c r="I822" s="693" t="n"/>
      <c r="J822" s="557" t="n"/>
    </row>
    <row r="823" ht="17.25" customHeight="1" s="305">
      <c r="A823" s="8" t="n">
        <v>1279</v>
      </c>
      <c r="B823" s="5" t="n">
        <v>66</v>
      </c>
      <c r="C823" s="72" t="inlineStr">
        <is>
          <t>X</t>
        </is>
      </c>
      <c r="D823" s="5" t="n">
        <v>155</v>
      </c>
      <c r="E823" s="73">
        <f>B823*D823/10000</f>
        <v/>
      </c>
      <c r="F823" s="74">
        <f>B823/30.48</f>
        <v/>
      </c>
      <c r="G823" s="74">
        <f>D823/30.48</f>
        <v/>
      </c>
      <c r="H823" s="36" t="inlineStr">
        <is>
          <t>HASAN</t>
        </is>
      </c>
      <c r="I823" s="693" t="n"/>
      <c r="J823" s="557" t="n"/>
    </row>
    <row r="824" ht="17.25" customHeight="1" s="305">
      <c r="A824" s="8" t="n">
        <v>1280</v>
      </c>
      <c r="B824" s="5" t="n">
        <v>75</v>
      </c>
      <c r="C824" s="72" t="inlineStr">
        <is>
          <t>X</t>
        </is>
      </c>
      <c r="D824" s="5" t="n">
        <v>106</v>
      </c>
      <c r="E824" s="73">
        <f>B824*D824/10000</f>
        <v/>
      </c>
      <c r="F824" s="74">
        <f>B824/30.48</f>
        <v/>
      </c>
      <c r="G824" s="74">
        <f>D824/30.48</f>
        <v/>
      </c>
      <c r="H824" s="36" t="inlineStr">
        <is>
          <t>HASAN</t>
        </is>
      </c>
      <c r="I824" s="693" t="n"/>
      <c r="J824" s="545" t="n"/>
    </row>
    <row r="825" ht="17.25" customFormat="1" customHeight="1" s="1">
      <c r="A825" s="8" t="inlineStr">
        <is>
          <t>B 2</t>
        </is>
      </c>
      <c r="B825" s="5" t="n">
        <v>164</v>
      </c>
      <c r="C825" s="6" t="inlineStr">
        <is>
          <t>X</t>
        </is>
      </c>
      <c r="D825" s="5" t="n">
        <v>242</v>
      </c>
      <c r="E825" s="2">
        <f>B825*D825/10000</f>
        <v/>
      </c>
      <c r="F825" s="3">
        <f>B825/30.48</f>
        <v/>
      </c>
      <c r="G825" s="3">
        <f>D825/30.48</f>
        <v/>
      </c>
      <c r="H825" s="36" t="inlineStr">
        <is>
          <t>HASAN</t>
        </is>
      </c>
      <c r="I825" s="566" t="inlineStr">
        <is>
          <t>POPE-KESİMLİK KİLİMLER</t>
        </is>
      </c>
      <c r="J825" s="557" t="n"/>
    </row>
    <row r="826" ht="17.25" customFormat="1" customHeight="1" s="1">
      <c r="A826" s="8" t="inlineStr">
        <is>
          <t>B 5</t>
        </is>
      </c>
      <c r="B826" s="5" t="n">
        <v>157</v>
      </c>
      <c r="C826" s="6" t="inlineStr">
        <is>
          <t>X</t>
        </is>
      </c>
      <c r="D826" s="5" t="n">
        <v>275</v>
      </c>
      <c r="E826" s="2">
        <f>B826*D826/10000</f>
        <v/>
      </c>
      <c r="F826" s="3">
        <f>B826/30.48</f>
        <v/>
      </c>
      <c r="G826" s="3">
        <f>D826/30.48</f>
        <v/>
      </c>
      <c r="H826" s="36" t="inlineStr">
        <is>
          <t>HASAN</t>
        </is>
      </c>
      <c r="I826" s="693" t="n"/>
      <c r="J826" s="557" t="n"/>
    </row>
    <row r="827" ht="17.25" customFormat="1" customHeight="1" s="1">
      <c r="A827" s="8" t="inlineStr">
        <is>
          <t>B 9</t>
        </is>
      </c>
      <c r="B827" s="5" t="n">
        <v>148</v>
      </c>
      <c r="C827" s="6" t="inlineStr">
        <is>
          <t>X</t>
        </is>
      </c>
      <c r="D827" s="5" t="n">
        <v>249</v>
      </c>
      <c r="E827" s="2">
        <f>B827*D827/10000</f>
        <v/>
      </c>
      <c r="F827" s="3">
        <f>B827/30.48</f>
        <v/>
      </c>
      <c r="G827" s="3">
        <f>D827/30.48</f>
        <v/>
      </c>
      <c r="H827" s="36" t="inlineStr">
        <is>
          <t>HASAN</t>
        </is>
      </c>
      <c r="I827" s="693" t="n"/>
      <c r="J827" s="557" t="n"/>
    </row>
    <row r="828" ht="17.25" customFormat="1" customHeight="1" s="1">
      <c r="A828" s="8" t="inlineStr">
        <is>
          <t>B 19</t>
        </is>
      </c>
      <c r="B828" s="5" t="n">
        <v>172</v>
      </c>
      <c r="C828" s="6" t="inlineStr">
        <is>
          <t>X</t>
        </is>
      </c>
      <c r="D828" s="5" t="n">
        <v>283</v>
      </c>
      <c r="E828" s="2">
        <f>B828*D828/10000</f>
        <v/>
      </c>
      <c r="F828" s="3">
        <f>B828/30.48</f>
        <v/>
      </c>
      <c r="G828" s="3">
        <f>D828/30.48</f>
        <v/>
      </c>
      <c r="H828" s="36" t="inlineStr">
        <is>
          <t>HASAN</t>
        </is>
      </c>
      <c r="I828" s="693" t="n"/>
      <c r="J828" s="557" t="n"/>
    </row>
    <row r="829" ht="17.25" customFormat="1" customHeight="1" s="1">
      <c r="A829" s="8" t="inlineStr">
        <is>
          <t>B 76</t>
        </is>
      </c>
      <c r="B829" s="5" t="n">
        <v>181</v>
      </c>
      <c r="C829" s="6" t="inlineStr">
        <is>
          <t>X</t>
        </is>
      </c>
      <c r="D829" s="5" t="n">
        <v>281</v>
      </c>
      <c r="E829" s="2">
        <f>B829*D829/10000</f>
        <v/>
      </c>
      <c r="F829" s="3">
        <f>B829/30.48</f>
        <v/>
      </c>
      <c r="G829" s="3">
        <f>D829/30.48</f>
        <v/>
      </c>
      <c r="H829" s="36" t="inlineStr">
        <is>
          <t>HASAN</t>
        </is>
      </c>
      <c r="I829" s="693" t="n"/>
      <c r="J829" s="557" t="n"/>
    </row>
    <row r="830" ht="17.25" customFormat="1" customHeight="1" s="1">
      <c r="A830" s="8" t="inlineStr">
        <is>
          <t>B 89</t>
        </is>
      </c>
      <c r="B830" s="5" t="n">
        <v>188</v>
      </c>
      <c r="C830" s="72" t="inlineStr">
        <is>
          <t>X</t>
        </is>
      </c>
      <c r="D830" s="5" t="n">
        <v>260</v>
      </c>
      <c r="E830" s="73">
        <f>B830*D830/10000</f>
        <v/>
      </c>
      <c r="F830" s="74">
        <f>B830/30.48</f>
        <v/>
      </c>
      <c r="G830" s="74">
        <f>D830/30.48</f>
        <v/>
      </c>
      <c r="H830" s="36" t="inlineStr">
        <is>
          <t>HASAN</t>
        </is>
      </c>
      <c r="I830" s="693" t="n"/>
      <c r="J830" s="557" t="n"/>
    </row>
    <row r="831" ht="17.25" customFormat="1" customHeight="1" s="1">
      <c r="A831" s="8" t="inlineStr">
        <is>
          <t>B 137</t>
        </is>
      </c>
      <c r="B831" s="5" t="n">
        <v>175</v>
      </c>
      <c r="C831" s="72" t="inlineStr">
        <is>
          <t>X</t>
        </is>
      </c>
      <c r="D831" s="5" t="n">
        <v>290</v>
      </c>
      <c r="E831" s="73">
        <f>B831*D831/10000</f>
        <v/>
      </c>
      <c r="F831" s="74">
        <f>B831/30.48</f>
        <v/>
      </c>
      <c r="G831" s="74">
        <f>D831/30.48</f>
        <v/>
      </c>
      <c r="H831" s="36" t="inlineStr">
        <is>
          <t>HASAN</t>
        </is>
      </c>
      <c r="I831" s="693" t="n"/>
      <c r="J831" s="557" t="n"/>
    </row>
    <row r="832" ht="17.25" customFormat="1" customHeight="1" s="1">
      <c r="A832" s="8" t="inlineStr">
        <is>
          <t>B 162</t>
        </is>
      </c>
      <c r="B832" s="5" t="n">
        <v>171</v>
      </c>
      <c r="C832" s="6" t="inlineStr">
        <is>
          <t>X</t>
        </is>
      </c>
      <c r="D832" s="5" t="n">
        <v>278</v>
      </c>
      <c r="E832" s="2">
        <f>B832*D832/10000</f>
        <v/>
      </c>
      <c r="F832" s="3">
        <f>B832/30.48</f>
        <v/>
      </c>
      <c r="G832" s="3">
        <f>D832/30.48</f>
        <v/>
      </c>
      <c r="H832" s="36" t="inlineStr">
        <is>
          <t>HASAN</t>
        </is>
      </c>
      <c r="I832" s="693" t="n"/>
      <c r="J832" s="557" t="n"/>
    </row>
    <row r="833" ht="17.25" customFormat="1" customHeight="1" s="1">
      <c r="A833" s="8" t="inlineStr">
        <is>
          <t>B 164</t>
        </is>
      </c>
      <c r="B833" s="5" t="n">
        <v>126</v>
      </c>
      <c r="C833" s="72" t="inlineStr">
        <is>
          <t>X</t>
        </is>
      </c>
      <c r="D833" s="5" t="n">
        <v>241</v>
      </c>
      <c r="E833" s="73">
        <f>B833*D833/10000</f>
        <v/>
      </c>
      <c r="F833" s="74">
        <f>B833/30.48</f>
        <v/>
      </c>
      <c r="G833" s="74">
        <f>D833/30.48</f>
        <v/>
      </c>
      <c r="H833" s="36" t="inlineStr">
        <is>
          <t>HASAN</t>
        </is>
      </c>
      <c r="I833" s="693" t="n"/>
      <c r="J833" s="557" t="n"/>
    </row>
    <row r="834" ht="17.25" customFormat="1" customHeight="1" s="1">
      <c r="A834" s="8" t="n">
        <v>350</v>
      </c>
      <c r="B834" s="5" t="n">
        <v>246</v>
      </c>
      <c r="C834" s="6" t="inlineStr">
        <is>
          <t>X</t>
        </is>
      </c>
      <c r="D834" s="5" t="n">
        <v>151</v>
      </c>
      <c r="E834" s="2">
        <f>B834*D834/10000</f>
        <v/>
      </c>
      <c r="F834" s="3">
        <f>B834/30.48</f>
        <v/>
      </c>
      <c r="G834" s="3">
        <f>D834/30.48</f>
        <v/>
      </c>
      <c r="H834" s="36" t="inlineStr">
        <is>
          <t>HASAN</t>
        </is>
      </c>
      <c r="I834" s="693" t="n"/>
      <c r="J834" s="557" t="n"/>
    </row>
    <row r="835" ht="17.25" customFormat="1" customHeight="1" s="1">
      <c r="A835" s="8" t="n">
        <v>366</v>
      </c>
      <c r="B835" s="5" t="n">
        <v>307</v>
      </c>
      <c r="C835" s="6" t="inlineStr">
        <is>
          <t>X</t>
        </is>
      </c>
      <c r="D835" s="5" t="n">
        <v>190</v>
      </c>
      <c r="E835" s="2">
        <f>B835*D835/10000</f>
        <v/>
      </c>
      <c r="F835" s="3">
        <f>B835/30.48</f>
        <v/>
      </c>
      <c r="G835" s="3">
        <f>D835/30.48</f>
        <v/>
      </c>
      <c r="H835" s="36" t="inlineStr">
        <is>
          <t>HASAN</t>
        </is>
      </c>
      <c r="I835" s="693" t="n"/>
      <c r="J835" s="557" t="n"/>
    </row>
    <row r="836" ht="17.25" customFormat="1" customHeight="1" s="1">
      <c r="A836" s="8" t="n">
        <v>381</v>
      </c>
      <c r="B836" s="5" t="n">
        <v>303</v>
      </c>
      <c r="C836" s="6" t="inlineStr">
        <is>
          <t>X</t>
        </is>
      </c>
      <c r="D836" s="5" t="n">
        <v>183</v>
      </c>
      <c r="E836" s="2">
        <f>B836*D836/10000</f>
        <v/>
      </c>
      <c r="F836" s="3">
        <f>B836/30.48</f>
        <v/>
      </c>
      <c r="G836" s="3">
        <f>D836/30.48</f>
        <v/>
      </c>
      <c r="H836" s="36" t="inlineStr">
        <is>
          <t>HASAN</t>
        </is>
      </c>
      <c r="I836" s="693" t="n"/>
      <c r="J836" s="557" t="n"/>
    </row>
    <row r="837" ht="17.25" customFormat="1" customHeight="1" s="1">
      <c r="A837" s="8" t="n">
        <v>1314</v>
      </c>
      <c r="B837" s="5" t="n">
        <v>279</v>
      </c>
      <c r="C837" s="6" t="inlineStr">
        <is>
          <t>X</t>
        </is>
      </c>
      <c r="D837" s="5" t="n">
        <v>169</v>
      </c>
      <c r="E837" s="2">
        <f>B837*D837/10000</f>
        <v/>
      </c>
      <c r="F837" s="3">
        <f>B837/30.48</f>
        <v/>
      </c>
      <c r="G837" s="3">
        <f>D837/30.48</f>
        <v/>
      </c>
      <c r="H837" s="36" t="inlineStr">
        <is>
          <t>HASAN</t>
        </is>
      </c>
      <c r="I837" s="693" t="n"/>
      <c r="J837" s="557" t="n"/>
    </row>
    <row r="838" ht="22.5" customFormat="1" customHeight="1" s="1">
      <c r="A838" s="8" t="inlineStr">
        <is>
          <t>Y 72</t>
        </is>
      </c>
      <c r="B838" s="5" t="n">
        <v>344</v>
      </c>
      <c r="C838" s="6" t="inlineStr">
        <is>
          <t>X</t>
        </is>
      </c>
      <c r="D838" s="5" t="n">
        <v>143</v>
      </c>
      <c r="E838" s="2">
        <f>B838*D838/10000</f>
        <v/>
      </c>
      <c r="F838" s="3">
        <f>B838/30.48</f>
        <v/>
      </c>
      <c r="G838" s="3">
        <f>D838/30.48</f>
        <v/>
      </c>
      <c r="H838" s="36" t="inlineStr">
        <is>
          <t>HASAN</t>
        </is>
      </c>
      <c r="I838" s="693" t="n"/>
      <c r="J838" s="557" t="n"/>
    </row>
    <row r="839" ht="17.25" customFormat="1" customHeight="1" s="1">
      <c r="A839" s="8" t="inlineStr">
        <is>
          <t>Y 89</t>
        </is>
      </c>
      <c r="B839" s="5" t="n">
        <v>263</v>
      </c>
      <c r="C839" s="6" t="inlineStr">
        <is>
          <t>X</t>
        </is>
      </c>
      <c r="D839" s="5" t="n">
        <v>189</v>
      </c>
      <c r="E839" s="2">
        <f>B839*D839/10000</f>
        <v/>
      </c>
      <c r="F839" s="3">
        <f>B839/30.48</f>
        <v/>
      </c>
      <c r="G839" s="3">
        <f>D839/30.48</f>
        <v/>
      </c>
      <c r="H839" s="36" t="inlineStr">
        <is>
          <t>HASAN</t>
        </is>
      </c>
      <c r="I839" s="693" t="n"/>
      <c r="J839" s="557" t="n"/>
    </row>
    <row r="840" ht="17.25" customFormat="1" customHeight="1" s="1">
      <c r="A840" s="8" t="inlineStr">
        <is>
          <t>Y 131</t>
        </is>
      </c>
      <c r="B840" s="5" t="n">
        <v>338</v>
      </c>
      <c r="C840" s="6" t="inlineStr">
        <is>
          <t>X</t>
        </is>
      </c>
      <c r="D840" s="5" t="n">
        <v>137</v>
      </c>
      <c r="E840" s="2">
        <f>B840*D840/10000</f>
        <v/>
      </c>
      <c r="F840" s="3">
        <f>B840/30.48</f>
        <v/>
      </c>
      <c r="G840" s="3">
        <f>D840/30.48</f>
        <v/>
      </c>
      <c r="H840" s="36" t="inlineStr">
        <is>
          <t>HASAN</t>
        </is>
      </c>
      <c r="I840" s="693" t="n"/>
      <c r="J840" s="557" t="n"/>
    </row>
    <row r="841" ht="17.25" customFormat="1" customHeight="1" s="1">
      <c r="A841" s="8" t="inlineStr">
        <is>
          <t>Y 205</t>
        </is>
      </c>
      <c r="B841" s="5" t="n">
        <v>145</v>
      </c>
      <c r="C841" s="6" t="inlineStr">
        <is>
          <t>X</t>
        </is>
      </c>
      <c r="D841" s="5" t="n">
        <v>138</v>
      </c>
      <c r="E841" s="2">
        <f>B841*D841/10000</f>
        <v/>
      </c>
      <c r="F841" s="3">
        <f>B841/30.48</f>
        <v/>
      </c>
      <c r="G841" s="3">
        <f>D841/30.48</f>
        <v/>
      </c>
      <c r="H841" s="36" t="inlineStr">
        <is>
          <t>HASAN</t>
        </is>
      </c>
      <c r="I841" s="693" t="n"/>
      <c r="J841" s="557" t="n"/>
    </row>
    <row r="842" ht="17.25" customFormat="1" customHeight="1" s="1">
      <c r="A842" s="8" t="inlineStr">
        <is>
          <t>Y 206</t>
        </is>
      </c>
      <c r="B842" s="5" t="n">
        <v>263</v>
      </c>
      <c r="C842" s="6" t="inlineStr">
        <is>
          <t>X</t>
        </is>
      </c>
      <c r="D842" s="5" t="n">
        <v>180</v>
      </c>
      <c r="E842" s="2">
        <f>B842*D842/10000</f>
        <v/>
      </c>
      <c r="F842" s="3">
        <f>B842/30.48</f>
        <v/>
      </c>
      <c r="G842" s="3">
        <f>D842/30.48</f>
        <v/>
      </c>
      <c r="H842" s="36" t="inlineStr">
        <is>
          <t>HASAN</t>
        </is>
      </c>
      <c r="I842" s="693" t="n"/>
      <c r="J842" s="557" t="n"/>
    </row>
    <row r="843" ht="17.25" customFormat="1" customHeight="1" s="1">
      <c r="A843" s="8" t="inlineStr">
        <is>
          <t>Y 408</t>
        </is>
      </c>
      <c r="B843" s="5" t="n">
        <v>290</v>
      </c>
      <c r="C843" s="6" t="inlineStr">
        <is>
          <t>X</t>
        </is>
      </c>
      <c r="D843" s="5" t="n">
        <v>186</v>
      </c>
      <c r="E843" s="2">
        <f>B843*D843/10000</f>
        <v/>
      </c>
      <c r="F843" s="3">
        <f>B843/30.48</f>
        <v/>
      </c>
      <c r="G843" s="3">
        <f>D843/30.48</f>
        <v/>
      </c>
      <c r="H843" s="36" t="inlineStr">
        <is>
          <t>HASAN</t>
        </is>
      </c>
      <c r="I843" s="693" t="n"/>
      <c r="J843" s="557" t="n"/>
    </row>
    <row r="844" ht="17.25" customFormat="1" customHeight="1" s="1">
      <c r="A844" s="8" t="inlineStr">
        <is>
          <t>K 50</t>
        </is>
      </c>
      <c r="B844" s="5" t="n">
        <v>261</v>
      </c>
      <c r="C844" s="6" t="inlineStr">
        <is>
          <t>X</t>
        </is>
      </c>
      <c r="D844" s="5" t="n">
        <v>192</v>
      </c>
      <c r="E844" s="2">
        <f>B844*D844/10000</f>
        <v/>
      </c>
      <c r="F844" s="3">
        <f>B844/30.48</f>
        <v/>
      </c>
      <c r="G844" s="3">
        <f>D844/30.48</f>
        <v/>
      </c>
      <c r="H844" s="36" t="inlineStr">
        <is>
          <t>HASAN</t>
        </is>
      </c>
      <c r="I844" s="693" t="n"/>
      <c r="J844" s="545" t="n"/>
    </row>
    <row r="845" ht="17.25" customFormat="1" customHeight="1" s="1">
      <c r="A845" s="8" t="n">
        <v>1075</v>
      </c>
      <c r="B845" s="5" t="n">
        <v>73</v>
      </c>
      <c r="C845" s="72" t="inlineStr">
        <is>
          <t>X</t>
        </is>
      </c>
      <c r="D845" s="5" t="n">
        <v>394</v>
      </c>
      <c r="E845" s="73">
        <f>B845*D845/10000</f>
        <v/>
      </c>
      <c r="F845" s="74">
        <f>B845/30.48</f>
        <v/>
      </c>
      <c r="G845" s="74">
        <f>D845/30.48</f>
        <v/>
      </c>
      <c r="H845" s="569" t="inlineStr">
        <is>
          <t>MCHD-OLD</t>
        </is>
      </c>
      <c r="I845" s="534" t="inlineStr">
        <is>
          <t>Jeffrey Marquart</t>
        </is>
      </c>
      <c r="J845" s="545" t="inlineStr">
        <is>
          <t>US-818 257 4583</t>
        </is>
      </c>
    </row>
    <row r="846" ht="17.25" customFormat="1" customHeight="1" s="1">
      <c r="A846" s="8" t="inlineStr">
        <is>
          <t>C 108</t>
        </is>
      </c>
      <c r="B846" s="5" t="n">
        <v>185</v>
      </c>
      <c r="C846" s="6" t="inlineStr">
        <is>
          <t>X</t>
        </is>
      </c>
      <c r="D846" s="5" t="n">
        <v>98</v>
      </c>
      <c r="E846" s="2">
        <f>B846*D846/10000</f>
        <v/>
      </c>
      <c r="F846" s="3">
        <f>B846/30.48</f>
        <v/>
      </c>
      <c r="G846" s="3">
        <f>D846/30.48</f>
        <v/>
      </c>
      <c r="H846" s="69" t="inlineStr">
        <is>
          <t>MCHD-TR</t>
        </is>
      </c>
      <c r="I846" s="570" t="inlineStr">
        <is>
          <t>Paige Bick</t>
        </is>
      </c>
      <c r="J846" s="557" t="inlineStr">
        <is>
          <t>US-817 793 4933</t>
        </is>
      </c>
      <c r="O846" s="1" t="inlineStr">
        <is>
          <t xml:space="preserve"> </t>
        </is>
      </c>
    </row>
    <row r="847" ht="17.25" customFormat="1" customHeight="1" s="1">
      <c r="A847" s="8" t="inlineStr">
        <is>
          <t>C 242</t>
        </is>
      </c>
      <c r="B847" s="5" t="n">
        <v>130</v>
      </c>
      <c r="C847" s="6" t="inlineStr">
        <is>
          <t>X</t>
        </is>
      </c>
      <c r="D847" s="5" t="n">
        <v>98</v>
      </c>
      <c r="E847" s="2">
        <f>B847*D847/10000</f>
        <v/>
      </c>
      <c r="F847" s="3">
        <f>B847/30.48</f>
        <v/>
      </c>
      <c r="G847" s="3">
        <f>D847/30.48</f>
        <v/>
      </c>
      <c r="H847" s="69" t="inlineStr">
        <is>
          <t>MCHD-TR</t>
        </is>
      </c>
      <c r="I847" s="570" t="inlineStr">
        <is>
          <t>Ali Babcock</t>
        </is>
      </c>
      <c r="J847" s="557" t="n"/>
    </row>
    <row r="848" ht="17.25" customFormat="1" customHeight="1" s="1">
      <c r="A848" s="8" t="inlineStr">
        <is>
          <t>C 155</t>
        </is>
      </c>
      <c r="B848" s="5" t="n">
        <v>285</v>
      </c>
      <c r="C848" s="6" t="inlineStr">
        <is>
          <t>X</t>
        </is>
      </c>
      <c r="D848" s="5" t="n">
        <v>90</v>
      </c>
      <c r="E848" s="2">
        <f>B848*D848/10000</f>
        <v/>
      </c>
      <c r="F848" s="3">
        <f>B848/30.48</f>
        <v/>
      </c>
      <c r="G848" s="3">
        <f>D848/30.48</f>
        <v/>
      </c>
      <c r="H848" s="569" t="inlineStr">
        <is>
          <t>MCHD-OLD</t>
        </is>
      </c>
      <c r="I848" s="534" t="inlineStr">
        <is>
          <t>Channing Price</t>
        </is>
      </c>
      <c r="J848" s="545" t="n"/>
    </row>
    <row r="849" ht="17.25" customFormat="1" customHeight="1" s="1">
      <c r="A849" s="8" t="inlineStr">
        <is>
          <t>K 200</t>
        </is>
      </c>
      <c r="B849" s="5" t="n">
        <v>277</v>
      </c>
      <c r="C849" s="6" t="inlineStr">
        <is>
          <t>X</t>
        </is>
      </c>
      <c r="D849" s="5" t="n">
        <v>81</v>
      </c>
      <c r="E849" s="2">
        <f>B849*D849/10000</f>
        <v/>
      </c>
      <c r="F849" s="3">
        <f>B849/30.48</f>
        <v/>
      </c>
      <c r="G849" s="3">
        <f>D849/30.48</f>
        <v/>
      </c>
      <c r="H849" s="69" t="inlineStr">
        <is>
          <t>MCHD-TR</t>
        </is>
      </c>
      <c r="I849" s="693" t="n"/>
      <c r="J849" s="693" t="n"/>
    </row>
    <row r="850" ht="17.25" customFormat="1" customHeight="1" s="1">
      <c r="A850" s="8" t="n">
        <v>1319</v>
      </c>
      <c r="B850" s="5" t="n">
        <v>73</v>
      </c>
      <c r="C850" s="72" t="inlineStr">
        <is>
          <t>X</t>
        </is>
      </c>
      <c r="D850" s="5" t="n">
        <v>158</v>
      </c>
      <c r="E850" s="73">
        <f>B850*D850/10000</f>
        <v/>
      </c>
      <c r="F850" s="74">
        <f>B850/30.48</f>
        <v/>
      </c>
      <c r="G850" s="74">
        <f>D850/30.48</f>
        <v/>
      </c>
      <c r="H850" s="36" t="inlineStr">
        <is>
          <t>MCHD-PAC</t>
        </is>
      </c>
      <c r="I850" s="570" t="inlineStr">
        <is>
          <t>Renee Goldenberg</t>
        </is>
      </c>
      <c r="J850" s="557" t="inlineStr">
        <is>
          <t>US-954 980 3555</t>
        </is>
      </c>
    </row>
    <row r="851" ht="17.25" customFormat="1" customHeight="1" s="1">
      <c r="A851" s="8" t="inlineStr">
        <is>
          <t>KN 125</t>
        </is>
      </c>
      <c r="B851" s="5" t="n">
        <v>210</v>
      </c>
      <c r="C851" s="72" t="inlineStr">
        <is>
          <t>X</t>
        </is>
      </c>
      <c r="D851" s="5" t="n">
        <v>360</v>
      </c>
      <c r="E851" s="73">
        <f>B851*D851/10000</f>
        <v/>
      </c>
      <c r="F851" s="74">
        <f>B851/30.48</f>
        <v/>
      </c>
      <c r="G851" s="74">
        <f>D851/30.48</f>
        <v/>
      </c>
      <c r="H851" s="36" t="inlineStr">
        <is>
          <t>MCHD-PAC</t>
        </is>
      </c>
      <c r="I851" s="570" t="inlineStr">
        <is>
          <t>Aaron Miller</t>
        </is>
      </c>
      <c r="J851" s="557" t="inlineStr">
        <is>
          <t>US-312 399 6045</t>
        </is>
      </c>
    </row>
    <row r="852" ht="17.25" customFormat="1" customHeight="1" s="1">
      <c r="A852" s="8" t="inlineStr">
        <is>
          <t>A 176</t>
        </is>
      </c>
      <c r="B852" s="5" t="n">
        <v>95</v>
      </c>
      <c r="C852" s="6" t="inlineStr">
        <is>
          <t>X</t>
        </is>
      </c>
      <c r="D852" s="5" t="n">
        <v>277</v>
      </c>
      <c r="E852" s="2">
        <f>B852*D852/10000</f>
        <v/>
      </c>
      <c r="F852" s="3">
        <f>B852/30.48</f>
        <v/>
      </c>
      <c r="G852" s="3">
        <f>D852/30.48</f>
        <v/>
      </c>
      <c r="H852" s="36" t="inlineStr">
        <is>
          <t>MCHD-PAC</t>
        </is>
      </c>
      <c r="I852" s="570" t="inlineStr">
        <is>
          <t>Angelique Murr</t>
        </is>
      </c>
      <c r="J852" s="557" t="n"/>
    </row>
    <row r="853" ht="17.25" customFormat="1" customHeight="1" s="1">
      <c r="A853" s="8" t="n">
        <v>1079</v>
      </c>
      <c r="B853" s="5" t="n">
        <v>61</v>
      </c>
      <c r="C853" s="72" t="inlineStr">
        <is>
          <t>X</t>
        </is>
      </c>
      <c r="D853" s="5" t="n">
        <v>160</v>
      </c>
      <c r="E853" s="73">
        <f>B853*D853/10000</f>
        <v/>
      </c>
      <c r="F853" s="74">
        <f>B853/30.48</f>
        <v/>
      </c>
      <c r="G853" s="74">
        <f>D853/30.48</f>
        <v/>
      </c>
      <c r="H853" s="569" t="inlineStr">
        <is>
          <t>MCHD-OLD</t>
        </is>
      </c>
      <c r="I853" s="570" t="inlineStr">
        <is>
          <t>Irene Vrcelj</t>
        </is>
      </c>
      <c r="J853" s="557" t="n"/>
    </row>
    <row r="854" ht="17.25" customFormat="1" customHeight="1" s="1">
      <c r="A854" s="8" t="inlineStr">
        <is>
          <t>C 687</t>
        </is>
      </c>
      <c r="B854" s="5" t="n">
        <v>374</v>
      </c>
      <c r="C854" s="6" t="inlineStr">
        <is>
          <t>X</t>
        </is>
      </c>
      <c r="D854" s="5" t="n">
        <v>296</v>
      </c>
      <c r="E854" s="2">
        <f>B854*D854/10000</f>
        <v/>
      </c>
      <c r="F854" s="3">
        <f>B854/30.48</f>
        <v/>
      </c>
      <c r="G854" s="3">
        <f>D854/30.48</f>
        <v/>
      </c>
      <c r="H854" s="69" t="inlineStr">
        <is>
          <t>MCHD-TR</t>
        </is>
      </c>
      <c r="I854" s="570" t="inlineStr">
        <is>
          <t>Matthew Merrell</t>
        </is>
      </c>
      <c r="J854" s="557" t="inlineStr">
        <is>
          <t>US-917 561 3288</t>
        </is>
      </c>
    </row>
    <row r="855" ht="17.25" customFormat="1" customHeight="1" s="1">
      <c r="A855" s="8" t="inlineStr">
        <is>
          <t>C 819</t>
        </is>
      </c>
      <c r="B855" s="5" t="n">
        <v>115</v>
      </c>
      <c r="C855" s="6" t="inlineStr">
        <is>
          <t>X</t>
        </is>
      </c>
      <c r="D855" s="5" t="n">
        <v>209</v>
      </c>
      <c r="E855" s="2">
        <f>B855*D855/10000</f>
        <v/>
      </c>
      <c r="F855" s="3">
        <f>B855/30.48</f>
        <v/>
      </c>
      <c r="G855" s="3">
        <f>D855/30.48</f>
        <v/>
      </c>
      <c r="H855" s="36" t="inlineStr">
        <is>
          <t>MCHD-PAC</t>
        </is>
      </c>
      <c r="I855" s="534" t="inlineStr">
        <is>
          <t>Hannah Winters</t>
        </is>
      </c>
      <c r="J855" s="545" t="n"/>
    </row>
    <row r="856" ht="17.25" customFormat="1" customHeight="1" s="1">
      <c r="A856" s="8" t="inlineStr">
        <is>
          <t>C 488</t>
        </is>
      </c>
      <c r="B856" s="5" t="n">
        <v>190</v>
      </c>
      <c r="C856" s="6" t="inlineStr">
        <is>
          <t>X</t>
        </is>
      </c>
      <c r="D856" s="5" t="n">
        <v>127</v>
      </c>
      <c r="E856" s="2">
        <f>B856*D856/10000</f>
        <v/>
      </c>
      <c r="F856" s="3">
        <f>B856/30.48</f>
        <v/>
      </c>
      <c r="G856" s="3">
        <f>D856/30.48</f>
        <v/>
      </c>
      <c r="H856" s="569" t="inlineStr">
        <is>
          <t>MCHD-VR</t>
        </is>
      </c>
      <c r="I856" s="570" t="inlineStr">
        <is>
          <t>Robert Dolehide</t>
        </is>
      </c>
      <c r="J856" s="557" t="inlineStr">
        <is>
          <t>US-773 612 9977</t>
        </is>
      </c>
    </row>
    <row r="857" ht="17.25" customFormat="1" customHeight="1" s="1">
      <c r="A857" s="8" t="inlineStr">
        <is>
          <t>C 417</t>
        </is>
      </c>
      <c r="B857" s="5" t="n">
        <v>181</v>
      </c>
      <c r="C857" s="6" t="inlineStr">
        <is>
          <t>X</t>
        </is>
      </c>
      <c r="D857" s="5" t="n">
        <v>271</v>
      </c>
      <c r="E857" s="2">
        <f>B857*D857/10000</f>
        <v/>
      </c>
      <c r="F857" s="3">
        <f>B857/30.48</f>
        <v/>
      </c>
      <c r="G857" s="3">
        <f>D857/30.48</f>
        <v/>
      </c>
      <c r="H857" s="69" t="inlineStr">
        <is>
          <t>MCHD-TR</t>
        </is>
      </c>
      <c r="I857" s="570" t="inlineStr">
        <is>
          <t>Lila McKinley</t>
        </is>
      </c>
      <c r="J857" s="557" t="n"/>
    </row>
    <row r="858" ht="17.25" customFormat="1" customHeight="1" s="1">
      <c r="A858" s="8" t="inlineStr">
        <is>
          <t>A 85</t>
        </is>
      </c>
      <c r="B858" s="5" t="n">
        <v>90</v>
      </c>
      <c r="C858" s="72" t="inlineStr">
        <is>
          <t>X</t>
        </is>
      </c>
      <c r="D858" s="5" t="n">
        <v>309</v>
      </c>
      <c r="E858" s="73">
        <f>B858*D858/10000</f>
        <v/>
      </c>
      <c r="F858" s="74">
        <f>B858/30.48</f>
        <v/>
      </c>
      <c r="G858" s="74">
        <f>D858/30.48</f>
        <v/>
      </c>
      <c r="H858" s="69" t="inlineStr">
        <is>
          <t>MCHD-TR</t>
        </is>
      </c>
      <c r="I858" s="570" t="inlineStr">
        <is>
          <t>Lindsay Pomer</t>
        </is>
      </c>
      <c r="J858" s="557" t="n"/>
    </row>
    <row r="859" ht="17.25" customFormat="1" customHeight="1" s="1">
      <c r="A859" s="8" t="inlineStr">
        <is>
          <t>C 96</t>
        </is>
      </c>
      <c r="B859" s="5" t="n">
        <v>441</v>
      </c>
      <c r="C859" s="6" t="inlineStr">
        <is>
          <t>X</t>
        </is>
      </c>
      <c r="D859" s="5" t="n">
        <v>109</v>
      </c>
      <c r="E859" s="2">
        <f>B859*D859/10000</f>
        <v/>
      </c>
      <c r="F859" s="3">
        <f>B859/30.48</f>
        <v/>
      </c>
      <c r="G859" s="3">
        <f>D859/30.48</f>
        <v/>
      </c>
      <c r="H859" s="569" t="inlineStr">
        <is>
          <t>MCHD-OLD</t>
        </is>
      </c>
      <c r="I859" s="534" t="inlineStr">
        <is>
          <t>Gina Stingley</t>
        </is>
      </c>
      <c r="J859" s="545" t="n"/>
    </row>
    <row r="860" ht="17.25" customFormat="1" customHeight="1" s="1">
      <c r="A860" s="8" t="inlineStr">
        <is>
          <t>C 985</t>
        </is>
      </c>
      <c r="B860" s="5" t="n">
        <v>72</v>
      </c>
      <c r="C860" s="6" t="inlineStr">
        <is>
          <t>X</t>
        </is>
      </c>
      <c r="D860" s="5" t="n">
        <v>172</v>
      </c>
      <c r="E860" s="2">
        <f>B860*D860/10000</f>
        <v/>
      </c>
      <c r="F860" s="3">
        <f>B860/30.48</f>
        <v/>
      </c>
      <c r="G860" s="3">
        <f>D860/30.48</f>
        <v/>
      </c>
      <c r="H860" s="569" t="inlineStr">
        <is>
          <t>MCHD-VR</t>
        </is>
      </c>
      <c r="I860" s="570" t="inlineStr">
        <is>
          <t>Brighid Minemier</t>
        </is>
      </c>
      <c r="J860" s="557" t="n"/>
    </row>
    <row r="861" ht="17.25" customFormat="1" customHeight="1" s="1">
      <c r="A861" s="8" t="inlineStr">
        <is>
          <t>A 28</t>
        </is>
      </c>
      <c r="B861" s="5" t="n">
        <v>54</v>
      </c>
      <c r="C861" s="6" t="inlineStr">
        <is>
          <t>X</t>
        </is>
      </c>
      <c r="D861" s="5" t="n">
        <v>166</v>
      </c>
      <c r="E861" s="2">
        <f>B861*D861/10000</f>
        <v/>
      </c>
      <c r="F861" s="3">
        <f>B861/30.48</f>
        <v/>
      </c>
      <c r="G861" s="3">
        <f>D861/30.48</f>
        <v/>
      </c>
      <c r="H861" s="36" t="inlineStr">
        <is>
          <t>MCHD-PAC</t>
        </is>
      </c>
      <c r="I861" s="570" t="inlineStr">
        <is>
          <t>KAREN MURPHY</t>
        </is>
      </c>
      <c r="J861" s="557" t="n"/>
    </row>
    <row r="862" ht="17.25" customFormat="1" customHeight="1" s="1">
      <c r="A862" s="8" t="inlineStr">
        <is>
          <t>C 496</t>
        </is>
      </c>
      <c r="B862" s="5" t="n">
        <v>90</v>
      </c>
      <c r="C862" s="6" t="inlineStr">
        <is>
          <t>X</t>
        </is>
      </c>
      <c r="D862" s="5" t="n">
        <v>323</v>
      </c>
      <c r="E862" s="2">
        <f>B862*D862/10000</f>
        <v/>
      </c>
      <c r="F862" s="3">
        <f>B862/30.48</f>
        <v/>
      </c>
      <c r="G862" s="3">
        <f>D862/30.48</f>
        <v/>
      </c>
      <c r="H862" s="37" t="inlineStr">
        <is>
          <t>MCHD-PAC</t>
        </is>
      </c>
      <c r="I862" s="94" t="inlineStr">
        <is>
          <t>OLIVIA HALL</t>
        </is>
      </c>
      <c r="J862" s="557" t="inlineStr">
        <is>
          <t>US-202 297 4723</t>
        </is>
      </c>
      <c r="O862" s="1" t="inlineStr">
        <is>
          <t xml:space="preserve"> </t>
        </is>
      </c>
    </row>
    <row r="863" ht="17.25" customFormat="1" customHeight="1" s="1">
      <c r="A863" s="8" t="n">
        <v>1321</v>
      </c>
      <c r="B863" s="5" t="n">
        <v>91</v>
      </c>
      <c r="C863" s="72" t="inlineStr">
        <is>
          <t>X</t>
        </is>
      </c>
      <c r="D863" s="5" t="n">
        <v>372</v>
      </c>
      <c r="E863" s="73">
        <f>B863*D863/10000</f>
        <v/>
      </c>
      <c r="F863" s="74">
        <f>B863/30.48</f>
        <v/>
      </c>
      <c r="G863" s="74">
        <f>D863/30.48</f>
        <v/>
      </c>
      <c r="H863" s="694" t="n"/>
      <c r="I863" s="694" t="n"/>
      <c r="J863" s="694" t="n"/>
    </row>
    <row r="864" ht="17.25" customFormat="1" customHeight="1" s="1">
      <c r="A864" s="8" t="n">
        <v>1194</v>
      </c>
      <c r="B864" s="5" t="n">
        <v>115</v>
      </c>
      <c r="C864" s="72" t="inlineStr">
        <is>
          <t>X</t>
        </is>
      </c>
      <c r="D864" s="5" t="n">
        <v>382</v>
      </c>
      <c r="E864" s="73">
        <f>B864*D864/10000</f>
        <v/>
      </c>
      <c r="F864" s="74">
        <f>B864/30.48</f>
        <v/>
      </c>
      <c r="G864" s="74">
        <f>D864/30.48</f>
        <v/>
      </c>
      <c r="H864" s="569" t="inlineStr">
        <is>
          <t>MCHD-OLD</t>
        </is>
      </c>
      <c r="I864" s="570" t="inlineStr">
        <is>
          <t>Jessica Ashworth</t>
        </is>
      </c>
      <c r="J864" s="557" t="n"/>
    </row>
    <row r="865" ht="17.25" customFormat="1" customHeight="1" s="1">
      <c r="A865" s="8" t="inlineStr">
        <is>
          <t>C 651</t>
        </is>
      </c>
      <c r="B865" s="5" t="n">
        <v>83</v>
      </c>
      <c r="C865" s="6" t="inlineStr">
        <is>
          <t>X</t>
        </is>
      </c>
      <c r="D865" s="5" t="n">
        <v>225</v>
      </c>
      <c r="E865" s="2">
        <f>B865*D865/10000</f>
        <v/>
      </c>
      <c r="F865" s="3">
        <f>B865/30.48</f>
        <v/>
      </c>
      <c r="G865" s="3">
        <f>D865/30.48</f>
        <v/>
      </c>
      <c r="H865" s="69" t="inlineStr">
        <is>
          <t>MCHD-TR</t>
        </is>
      </c>
      <c r="I865" s="570" t="inlineStr">
        <is>
          <t>Laura Ressler</t>
        </is>
      </c>
      <c r="J865" s="557" t="inlineStr">
        <is>
          <t>US-202 714 0114</t>
        </is>
      </c>
    </row>
    <row r="866" ht="17.25" customFormat="1" customHeight="1" s="1">
      <c r="A866" s="8" t="inlineStr">
        <is>
          <t>A 22</t>
        </is>
      </c>
      <c r="B866" s="5" t="n">
        <v>93</v>
      </c>
      <c r="C866" s="6" t="inlineStr">
        <is>
          <t>X</t>
        </is>
      </c>
      <c r="D866" s="5" t="n">
        <v>138</v>
      </c>
      <c r="E866" s="2">
        <f>B866*D866/10000</f>
        <v/>
      </c>
      <c r="F866" s="3">
        <f>B866/30.48</f>
        <v/>
      </c>
      <c r="G866" s="3">
        <f>D866/30.48</f>
        <v/>
      </c>
      <c r="H866" s="592" t="inlineStr">
        <is>
          <t>MCHD-PAC</t>
        </is>
      </c>
      <c r="I866" s="534" t="inlineStr">
        <is>
          <t>Kelly Kirkham</t>
        </is>
      </c>
      <c r="J866" s="545" t="n"/>
    </row>
    <row r="867" ht="17.25" customHeight="1" s="305">
      <c r="A867" s="8" t="inlineStr">
        <is>
          <t>KN 128</t>
        </is>
      </c>
      <c r="B867" s="5" t="n">
        <v>207</v>
      </c>
      <c r="C867" s="72" t="inlineStr">
        <is>
          <t>X</t>
        </is>
      </c>
      <c r="D867" s="5" t="n">
        <v>266</v>
      </c>
      <c r="E867" s="73">
        <f>B867*D867/10000</f>
        <v/>
      </c>
      <c r="F867" s="74">
        <f>B867/30.48</f>
        <v/>
      </c>
      <c r="G867" s="74">
        <f>D867/30.48</f>
        <v/>
      </c>
      <c r="H867" s="18" t="inlineStr">
        <is>
          <t>MCHD-TH</t>
        </is>
      </c>
      <c r="I867" s="570" t="inlineStr">
        <is>
          <t>Courtney R. Perez</t>
        </is>
      </c>
      <c r="J867" s="557" t="n"/>
    </row>
    <row r="868" ht="17.25" customFormat="1" customHeight="1" s="1">
      <c r="A868" s="8" t="n">
        <v>450</v>
      </c>
      <c r="B868" s="5" t="n">
        <v>270</v>
      </c>
      <c r="C868" s="6" t="inlineStr">
        <is>
          <t>X</t>
        </is>
      </c>
      <c r="D868" s="5" t="n">
        <v>94</v>
      </c>
      <c r="E868" s="2">
        <f>B868*D868/10000</f>
        <v/>
      </c>
      <c r="F868" s="3">
        <f>B868/30.48</f>
        <v/>
      </c>
      <c r="G868" s="3">
        <f>D868/30.48</f>
        <v/>
      </c>
      <c r="H868" s="592" t="inlineStr">
        <is>
          <t>MCHD-PAC</t>
        </is>
      </c>
      <c r="I868" s="94" t="inlineStr">
        <is>
          <t>JSDS/Gomillion Furniture Services</t>
        </is>
      </c>
      <c r="J868" s="557" t="n"/>
    </row>
    <row r="869" ht="17.25" customFormat="1" customHeight="1" s="1">
      <c r="A869" s="8" t="n">
        <v>1025</v>
      </c>
      <c r="B869" s="5" t="n">
        <v>78</v>
      </c>
      <c r="C869" s="72" t="inlineStr">
        <is>
          <t>X</t>
        </is>
      </c>
      <c r="D869" s="5" t="n">
        <v>154</v>
      </c>
      <c r="E869" s="73">
        <f>B869*D869/10000</f>
        <v/>
      </c>
      <c r="F869" s="74">
        <f>B869/30.48</f>
        <v/>
      </c>
      <c r="G869" s="74">
        <f>D869/30.48</f>
        <v/>
      </c>
      <c r="H869" s="592" t="inlineStr">
        <is>
          <t>MCHD-PAC</t>
        </is>
      </c>
      <c r="I869" s="94" t="inlineStr">
        <is>
          <t>Sybil Taylor</t>
        </is>
      </c>
      <c r="J869" s="557" t="n"/>
    </row>
    <row r="870" ht="17.25" customFormat="1" customHeight="1" s="1">
      <c r="A870" s="8" t="inlineStr">
        <is>
          <t>C 791</t>
        </is>
      </c>
      <c r="B870" s="5" t="n">
        <v>101</v>
      </c>
      <c r="C870" s="6" t="inlineStr">
        <is>
          <t>X</t>
        </is>
      </c>
      <c r="D870" s="5" t="n">
        <v>135</v>
      </c>
      <c r="E870" s="2">
        <f>B870*D870/10000</f>
        <v/>
      </c>
      <c r="F870" s="3">
        <f>B870/30.48</f>
        <v/>
      </c>
      <c r="G870" s="3">
        <f>D870/30.48</f>
        <v/>
      </c>
      <c r="H870" s="594" t="inlineStr">
        <is>
          <t>MCHD-TR</t>
        </is>
      </c>
      <c r="I870" s="94" t="inlineStr">
        <is>
          <t>Michelle Addison</t>
        </is>
      </c>
      <c r="J870" s="557" t="n"/>
    </row>
    <row r="871" ht="17.25" customFormat="1" customHeight="1" s="1">
      <c r="A871" s="8" t="n">
        <v>1088</v>
      </c>
      <c r="B871" s="5" t="n">
        <v>79</v>
      </c>
      <c r="C871" s="72" t="inlineStr">
        <is>
          <t>X</t>
        </is>
      </c>
      <c r="D871" s="5" t="n">
        <v>141</v>
      </c>
      <c r="E871" s="73">
        <f>B871*D871/10000</f>
        <v/>
      </c>
      <c r="F871" s="74">
        <f>B871/30.48</f>
        <v/>
      </c>
      <c r="G871" s="74">
        <f>D871/30.48</f>
        <v/>
      </c>
      <c r="H871" s="16" t="inlineStr">
        <is>
          <t>MCHD-VR</t>
        </is>
      </c>
      <c r="I871" s="95" t="inlineStr">
        <is>
          <t>Kaitlyn Mello</t>
        </is>
      </c>
      <c r="J871" s="545" t="n"/>
    </row>
    <row r="872" ht="17.25" customFormat="1" customHeight="1" s="1">
      <c r="A872" s="8" t="n">
        <v>1078</v>
      </c>
      <c r="B872" s="5" t="n">
        <v>65</v>
      </c>
      <c r="C872" s="72" t="inlineStr">
        <is>
          <t>X</t>
        </is>
      </c>
      <c r="D872" s="5" t="n">
        <v>193</v>
      </c>
      <c r="E872" s="73">
        <f>B872*D872/10000</f>
        <v/>
      </c>
      <c r="F872" s="74">
        <f>B872/30.48</f>
        <v/>
      </c>
      <c r="G872" s="74">
        <f>D872/30.48</f>
        <v/>
      </c>
      <c r="H872" s="594" t="inlineStr">
        <is>
          <t>MCHD-TR</t>
        </is>
      </c>
      <c r="I872" s="94" t="inlineStr">
        <is>
          <t>Cynthia O'Connor</t>
        </is>
      </c>
      <c r="J872" s="557" t="inlineStr">
        <is>
          <t>US-612 367 4475</t>
        </is>
      </c>
    </row>
    <row r="873" ht="17.25" customFormat="1" customHeight="1" s="1">
      <c r="A873" s="8" t="inlineStr">
        <is>
          <t>C 552</t>
        </is>
      </c>
      <c r="B873" s="5" t="n">
        <v>98</v>
      </c>
      <c r="C873" s="6" t="inlineStr">
        <is>
          <t>X</t>
        </is>
      </c>
      <c r="D873" s="5" t="n">
        <v>207</v>
      </c>
      <c r="E873" s="2">
        <f>B873*D873/10000</f>
        <v/>
      </c>
      <c r="F873" s="3">
        <f>B873/30.48</f>
        <v/>
      </c>
      <c r="G873" s="3">
        <f>D873/30.48</f>
        <v/>
      </c>
      <c r="H873" s="594" t="inlineStr">
        <is>
          <t>MCHD-TR</t>
        </is>
      </c>
      <c r="I873" s="94" t="inlineStr">
        <is>
          <t>Carrie-Ann Hogan</t>
        </is>
      </c>
      <c r="J873" s="557" t="n"/>
    </row>
    <row r="874" ht="17.25" customFormat="1" customHeight="1" s="1">
      <c r="A874" s="8" t="n">
        <v>1098</v>
      </c>
      <c r="B874" s="5" t="n">
        <v>71</v>
      </c>
      <c r="C874" s="72" t="inlineStr">
        <is>
          <t>X</t>
        </is>
      </c>
      <c r="D874" s="5" t="n">
        <v>145</v>
      </c>
      <c r="E874" s="73">
        <f>B874*D874/10000</f>
        <v/>
      </c>
      <c r="F874" s="74">
        <f>B874/30.48</f>
        <v/>
      </c>
      <c r="G874" s="74">
        <f>D874/30.48</f>
        <v/>
      </c>
      <c r="H874" s="592" t="inlineStr">
        <is>
          <t>MCHD-PAC</t>
        </is>
      </c>
      <c r="I874" s="570" t="inlineStr">
        <is>
          <t>Brooke Marshall</t>
        </is>
      </c>
      <c r="J874" s="557" t="inlineStr">
        <is>
          <t>US-512 492 2493</t>
        </is>
      </c>
    </row>
    <row r="875" ht="17.25" customFormat="1" customHeight="1" s="1">
      <c r="A875" s="8" t="n">
        <v>1027</v>
      </c>
      <c r="B875" s="5" t="n">
        <v>80</v>
      </c>
      <c r="C875" s="72" t="inlineStr">
        <is>
          <t>X</t>
        </is>
      </c>
      <c r="D875" s="5" t="n">
        <v>132</v>
      </c>
      <c r="E875" s="73">
        <f>B875*D875/10000</f>
        <v/>
      </c>
      <c r="F875" s="74">
        <f>B875/30.48</f>
        <v/>
      </c>
      <c r="G875" s="74">
        <f>D875/30.48</f>
        <v/>
      </c>
      <c r="H875" s="36" t="inlineStr">
        <is>
          <t>HASAN</t>
        </is>
      </c>
      <c r="I875" s="566" t="inlineStr">
        <is>
          <t>POPE</t>
        </is>
      </c>
      <c r="J875" s="545" t="n"/>
    </row>
    <row r="876" ht="17.25" customFormat="1" customHeight="1" s="1">
      <c r="A876" s="8" t="n">
        <v>1296</v>
      </c>
      <c r="B876" s="5" t="n">
        <v>80</v>
      </c>
      <c r="C876" s="72" t="inlineStr">
        <is>
          <t>X</t>
        </is>
      </c>
      <c r="D876" s="5" t="n">
        <v>140</v>
      </c>
      <c r="E876" s="73">
        <f>B876*D876/10000</f>
        <v/>
      </c>
      <c r="F876" s="74">
        <f>B876/30.48</f>
        <v/>
      </c>
      <c r="G876" s="74">
        <f>D876/30.48</f>
        <v/>
      </c>
      <c r="H876" s="36" t="inlineStr">
        <is>
          <t>HASAN</t>
        </is>
      </c>
      <c r="I876" s="693" t="n"/>
      <c r="J876" s="693" t="n"/>
      <c r="O876" s="1" t="inlineStr">
        <is>
          <t xml:space="preserve"> </t>
        </is>
      </c>
    </row>
    <row r="877" ht="17.25" customFormat="1" customHeight="1" s="1">
      <c r="A877" s="8" t="inlineStr">
        <is>
          <t>C 690</t>
        </is>
      </c>
      <c r="B877" s="5" t="n">
        <v>127</v>
      </c>
      <c r="C877" s="6" t="inlineStr">
        <is>
          <t>X</t>
        </is>
      </c>
      <c r="D877" s="5" t="n">
        <v>181</v>
      </c>
      <c r="E877" s="2">
        <f>B877*D877/10000</f>
        <v/>
      </c>
      <c r="F877" s="3">
        <f>B877/30.48</f>
        <v/>
      </c>
      <c r="G877" s="3">
        <f>D877/30.48</f>
        <v/>
      </c>
      <c r="H877" s="36" t="inlineStr">
        <is>
          <t>HASAN</t>
        </is>
      </c>
      <c r="I877" s="693" t="n"/>
      <c r="J877" s="693" t="n"/>
    </row>
    <row r="878" ht="17.25" customFormat="1" customHeight="1" s="1">
      <c r="A878" s="8" t="inlineStr">
        <is>
          <t>A 174</t>
        </is>
      </c>
      <c r="B878" s="5" t="n">
        <v>95</v>
      </c>
      <c r="C878" s="6" t="inlineStr">
        <is>
          <t>X</t>
        </is>
      </c>
      <c r="D878" s="5" t="n">
        <v>290</v>
      </c>
      <c r="E878" s="2">
        <f>B878*D878/10000</f>
        <v/>
      </c>
      <c r="F878" s="3">
        <f>B878/30.48</f>
        <v/>
      </c>
      <c r="G878" s="3">
        <f>D878/30.48</f>
        <v/>
      </c>
      <c r="H878" s="36" t="inlineStr">
        <is>
          <t>HASAN</t>
        </is>
      </c>
      <c r="I878" s="693" t="n"/>
      <c r="J878" s="693" t="n"/>
    </row>
    <row r="879" ht="17.25" customFormat="1" customHeight="1" s="1">
      <c r="A879" s="8" t="n">
        <v>1305</v>
      </c>
      <c r="B879" s="5" t="n">
        <v>90</v>
      </c>
      <c r="C879" s="72" t="inlineStr">
        <is>
          <t>X</t>
        </is>
      </c>
      <c r="D879" s="5" t="n">
        <v>354</v>
      </c>
      <c r="E879" s="73">
        <f>B879*D879/10000</f>
        <v/>
      </c>
      <c r="F879" s="74">
        <f>B879/30.48</f>
        <v/>
      </c>
      <c r="G879" s="74">
        <f>D879/30.48</f>
        <v/>
      </c>
      <c r="H879" s="36" t="inlineStr">
        <is>
          <t>MCHD-PAC</t>
        </is>
      </c>
      <c r="I879" s="94" t="inlineStr">
        <is>
          <t>Alison Todd</t>
        </is>
      </c>
      <c r="J879" s="557" t="inlineStr">
        <is>
          <t>US-713 542 1306</t>
        </is>
      </c>
    </row>
    <row r="880" ht="17.25" customFormat="1" customHeight="1" s="1">
      <c r="A880" s="8" t="inlineStr">
        <is>
          <t>C 44</t>
        </is>
      </c>
      <c r="B880" s="5" t="n">
        <v>333</v>
      </c>
      <c r="C880" s="6" t="inlineStr">
        <is>
          <t>X</t>
        </is>
      </c>
      <c r="D880" s="5" t="n">
        <v>220</v>
      </c>
      <c r="E880" s="2">
        <f>B880*D880/10000</f>
        <v/>
      </c>
      <c r="F880" s="3">
        <f>B880/30.48</f>
        <v/>
      </c>
      <c r="G880" s="3">
        <f>D880/30.48</f>
        <v/>
      </c>
      <c r="H880" s="69" t="inlineStr">
        <is>
          <t>MCHD-TR</t>
        </is>
      </c>
      <c r="I880" s="573" t="inlineStr">
        <is>
          <t>Megan Gavin</t>
        </is>
      </c>
      <c r="J880" s="545" t="n"/>
    </row>
    <row r="881" ht="17.25" customFormat="1" customHeight="1" s="1">
      <c r="A881" s="8" t="inlineStr">
        <is>
          <t>C 898</t>
        </is>
      </c>
      <c r="B881" s="5" t="n">
        <v>83</v>
      </c>
      <c r="C881" s="6" t="inlineStr">
        <is>
          <t>X</t>
        </is>
      </c>
      <c r="D881" s="5" t="n">
        <v>320</v>
      </c>
      <c r="E881" s="2">
        <f>B881*D881/10000</f>
        <v/>
      </c>
      <c r="F881" s="3">
        <f>B881/30.48</f>
        <v/>
      </c>
      <c r="G881" s="3">
        <f>D881/30.48</f>
        <v/>
      </c>
      <c r="H881" s="69" t="inlineStr">
        <is>
          <t>MCHD-TR</t>
        </is>
      </c>
      <c r="I881" s="94" t="inlineStr">
        <is>
          <t>Royce Tidwell</t>
        </is>
      </c>
      <c r="J881" s="557" t="inlineStr">
        <is>
          <t>US-904 881 8622</t>
        </is>
      </c>
    </row>
    <row r="882">
      <c r="A882" s="536" t="inlineStr">
        <is>
          <t>-2023 HAZİRAN-54</t>
        </is>
      </c>
      <c r="H882" s="62" t="inlineStr">
        <is>
          <t>SATAN-SİTE</t>
        </is>
      </c>
      <c r="I882" s="19" t="inlineStr">
        <is>
          <t>MÜŞTERİ ADI</t>
        </is>
      </c>
      <c r="J882" s="63" t="inlineStr">
        <is>
          <t>MÜŞTERİ İLETİŞİM &amp; ÜLKE</t>
        </is>
      </c>
    </row>
    <row r="883" ht="17.25" customFormat="1" customHeight="1" s="1">
      <c r="A883" s="8" t="n">
        <v>2</v>
      </c>
      <c r="B883" s="5" t="n">
        <v>351</v>
      </c>
      <c r="C883" s="6" t="inlineStr">
        <is>
          <t>X</t>
        </is>
      </c>
      <c r="D883" s="5" t="n">
        <v>93</v>
      </c>
      <c r="E883" s="2">
        <f>B883*D883/10000</f>
        <v/>
      </c>
      <c r="F883" s="3">
        <f>B883/30.48</f>
        <v/>
      </c>
      <c r="G883" s="3">
        <f>D883/30.48</f>
        <v/>
      </c>
      <c r="H883" s="36" t="inlineStr">
        <is>
          <t>MCHD-PAC</t>
        </is>
      </c>
      <c r="I883" s="94" t="inlineStr">
        <is>
          <t>Stephanie Zeller</t>
        </is>
      </c>
      <c r="J883" s="557" t="n"/>
    </row>
    <row r="884" ht="17.25" customFormat="1" customHeight="1" s="1">
      <c r="A884" s="8" t="n">
        <v>221</v>
      </c>
      <c r="B884" s="5" t="n">
        <v>128</v>
      </c>
      <c r="C884" s="6" t="inlineStr">
        <is>
          <t>X</t>
        </is>
      </c>
      <c r="D884" s="5" t="n">
        <v>46</v>
      </c>
      <c r="E884" s="2">
        <f>B884*D884/10000</f>
        <v/>
      </c>
      <c r="F884" s="3">
        <f>B884/30.48</f>
        <v/>
      </c>
      <c r="G884" s="3">
        <f>D884/30.48</f>
        <v/>
      </c>
      <c r="H884" s="16" t="inlineStr">
        <is>
          <t>MCHD-VR</t>
        </is>
      </c>
      <c r="I884" s="94" t="inlineStr">
        <is>
          <t>Kelly Russell</t>
        </is>
      </c>
      <c r="J884" s="557" t="n"/>
    </row>
    <row r="885" ht="17.25" customHeight="1" s="305">
      <c r="A885" s="8" t="inlineStr">
        <is>
          <t>D 95</t>
        </is>
      </c>
      <c r="B885" s="5" t="n">
        <v>45</v>
      </c>
      <c r="C885" s="72" t="inlineStr">
        <is>
          <t>X</t>
        </is>
      </c>
      <c r="D885" s="5" t="n">
        <v>104</v>
      </c>
      <c r="E885" s="73">
        <f>B885*D885/10000</f>
        <v/>
      </c>
      <c r="F885" s="74">
        <f>B885/30.48</f>
        <v/>
      </c>
      <c r="G885" s="74">
        <f>D885/30.48</f>
        <v/>
      </c>
      <c r="H885" s="16" t="inlineStr">
        <is>
          <t>MCHD-VR</t>
        </is>
      </c>
      <c r="I885" s="534" t="inlineStr">
        <is>
          <t>Scott Woodruff</t>
        </is>
      </c>
      <c r="J885" s="545" t="n"/>
    </row>
    <row r="886" ht="17.25" customFormat="1" customHeight="1" s="1">
      <c r="A886" s="8" t="n">
        <v>1249</v>
      </c>
      <c r="B886" s="5" t="n">
        <v>55</v>
      </c>
      <c r="C886" s="72" t="inlineStr">
        <is>
          <t>X</t>
        </is>
      </c>
      <c r="D886" s="5" t="n">
        <v>176</v>
      </c>
      <c r="E886" s="73">
        <f>B886*D886/10000</f>
        <v/>
      </c>
      <c r="F886" s="74">
        <f>B886/30.48</f>
        <v/>
      </c>
      <c r="G886" s="74">
        <f>D886/30.48</f>
        <v/>
      </c>
      <c r="H886" s="69" t="inlineStr">
        <is>
          <t>MCHD-TR</t>
        </is>
      </c>
      <c r="I886" s="80" t="inlineStr">
        <is>
          <t>Jenny Mcclintock</t>
        </is>
      </c>
      <c r="J886" s="45" t="inlineStr">
        <is>
          <t>US-760 604 0223</t>
        </is>
      </c>
    </row>
    <row r="887" ht="17.25" customFormat="1" customHeight="1" s="1">
      <c r="A887" s="8" t="inlineStr">
        <is>
          <t>C 530</t>
        </is>
      </c>
      <c r="B887" s="5" t="n">
        <v>72</v>
      </c>
      <c r="C887" s="6" t="inlineStr">
        <is>
          <t>X</t>
        </is>
      </c>
      <c r="D887" s="5" t="n">
        <v>214</v>
      </c>
      <c r="E887" s="2">
        <f>B887*D887/10000</f>
        <v/>
      </c>
      <c r="F887" s="3">
        <f>B887/30.48</f>
        <v/>
      </c>
      <c r="G887" s="3">
        <f>D887/30.48</f>
        <v/>
      </c>
      <c r="H887" s="69" t="inlineStr">
        <is>
          <t>MCHD-TR</t>
        </is>
      </c>
      <c r="I887" s="80" t="inlineStr">
        <is>
          <t>Shunda Threat</t>
        </is>
      </c>
      <c r="J887" s="45" t="n"/>
    </row>
    <row r="888" ht="17.25" customFormat="1" customHeight="1" s="1">
      <c r="A888" s="8" t="n">
        <v>1164</v>
      </c>
      <c r="B888" s="5" t="n">
        <v>63</v>
      </c>
      <c r="C888" s="72" t="inlineStr">
        <is>
          <t>X</t>
        </is>
      </c>
      <c r="D888" s="5" t="n">
        <v>194</v>
      </c>
      <c r="E888" s="73">
        <f>B888*D888/10000</f>
        <v/>
      </c>
      <c r="F888" s="74">
        <f>B888/30.48</f>
        <v/>
      </c>
      <c r="G888" s="74">
        <f>D888/30.48</f>
        <v/>
      </c>
      <c r="H888" s="69" t="inlineStr">
        <is>
          <t>MCHD-TR</t>
        </is>
      </c>
      <c r="I888" s="505" t="inlineStr">
        <is>
          <t>Kathryn Ngo</t>
        </is>
      </c>
      <c r="J888" s="575" t="inlineStr">
        <is>
          <t>US-815 878 8088</t>
        </is>
      </c>
    </row>
    <row r="889" ht="17.25" customFormat="1" customHeight="1" s="1">
      <c r="A889" s="8" t="inlineStr">
        <is>
          <t>C 978</t>
        </is>
      </c>
      <c r="B889" s="5" t="n">
        <v>88</v>
      </c>
      <c r="C889" s="6" t="inlineStr">
        <is>
          <t>X</t>
        </is>
      </c>
      <c r="D889" s="5" t="n">
        <v>254</v>
      </c>
      <c r="E889" s="2">
        <f>B889*D889/10000</f>
        <v/>
      </c>
      <c r="F889" s="3">
        <f>B889/30.48</f>
        <v/>
      </c>
      <c r="G889" s="3">
        <f>D889/30.48</f>
        <v/>
      </c>
      <c r="H889" s="36" t="inlineStr">
        <is>
          <t>MCHD-PAC</t>
        </is>
      </c>
      <c r="I889" s="80" t="inlineStr">
        <is>
          <t>Anna Shea Vande Kamp</t>
        </is>
      </c>
      <c r="J889" s="45" t="n"/>
    </row>
    <row r="890" ht="17.25" customFormat="1" customHeight="1" s="1">
      <c r="A890" s="8" t="inlineStr">
        <is>
          <t>C 906</t>
        </is>
      </c>
      <c r="B890" s="5" t="n">
        <v>72</v>
      </c>
      <c r="C890" s="6" t="inlineStr">
        <is>
          <t>X</t>
        </is>
      </c>
      <c r="D890" s="5" t="n">
        <v>126</v>
      </c>
      <c r="E890" s="2">
        <f>B890*D890/10000</f>
        <v/>
      </c>
      <c r="F890" s="3">
        <f>B890/30.48</f>
        <v/>
      </c>
      <c r="G890" s="3">
        <f>D890/30.48</f>
        <v/>
      </c>
      <c r="H890" s="69" t="inlineStr">
        <is>
          <t>MCHD-TR</t>
        </is>
      </c>
      <c r="I890" s="80" t="inlineStr">
        <is>
          <t>Pro Movers Creer/Crook</t>
        </is>
      </c>
      <c r="J890" s="45" t="inlineStr">
        <is>
          <t>US-801 666 7919</t>
        </is>
      </c>
    </row>
    <row r="891" ht="17.25" customFormat="1" customHeight="1" s="1">
      <c r="A891" s="8" t="inlineStr">
        <is>
          <t>C 555</t>
        </is>
      </c>
      <c r="B891" s="5" t="n">
        <v>184</v>
      </c>
      <c r="C891" s="6" t="inlineStr">
        <is>
          <t>X</t>
        </is>
      </c>
      <c r="D891" s="5" t="n">
        <v>273</v>
      </c>
      <c r="E891" s="2">
        <f>B891*D891/10000</f>
        <v/>
      </c>
      <c r="F891" s="3">
        <f>B891/30.48</f>
        <v/>
      </c>
      <c r="G891" s="3">
        <f>D891/30.48</f>
        <v/>
      </c>
      <c r="H891" s="37" t="inlineStr">
        <is>
          <t>MCHD-PAC</t>
        </is>
      </c>
      <c r="I891" s="702" t="inlineStr">
        <is>
          <t>Caroline Shaffett
335 Vivian Street  Oxford  / Ms 
United States 38655</t>
        </is>
      </c>
      <c r="J891" s="703" t="inlineStr">
        <is>
          <t>US-601 383 3603
hannonca8@gmail.com</t>
        </is>
      </c>
    </row>
    <row r="892" ht="17.25" customFormat="1" customHeight="1" s="1">
      <c r="A892" s="8" t="inlineStr">
        <is>
          <t>Y 555</t>
        </is>
      </c>
      <c r="B892" s="5" t="n">
        <v>272</v>
      </c>
      <c r="C892" s="6" t="inlineStr">
        <is>
          <t>X</t>
        </is>
      </c>
      <c r="D892" s="5" t="n">
        <v>158</v>
      </c>
      <c r="E892" s="2">
        <f>B892*D892/10000</f>
        <v/>
      </c>
      <c r="F892" s="3">
        <f>B892/30.48</f>
        <v/>
      </c>
      <c r="G892" s="3">
        <f>D892/30.48</f>
        <v/>
      </c>
      <c r="H892" s="693" t="n"/>
      <c r="I892" s="693" t="n"/>
      <c r="J892" s="693" t="n"/>
    </row>
    <row r="893" ht="17.25" customFormat="1" customHeight="1" s="1">
      <c r="A893" s="8" t="inlineStr">
        <is>
          <t>A 148</t>
        </is>
      </c>
      <c r="B893" s="5" t="n">
        <v>91</v>
      </c>
      <c r="C893" s="6" t="inlineStr">
        <is>
          <t>X</t>
        </is>
      </c>
      <c r="D893" s="5" t="n">
        <v>384</v>
      </c>
      <c r="E893" s="2">
        <f>B893*D893/10000</f>
        <v/>
      </c>
      <c r="F893" s="3">
        <f>B893/30.48</f>
        <v/>
      </c>
      <c r="G893" s="3">
        <f>D893/30.48</f>
        <v/>
      </c>
      <c r="H893" s="694" t="n"/>
      <c r="I893" s="694" t="n"/>
      <c r="J893" s="694" t="n"/>
    </row>
    <row r="894" ht="17.25" customFormat="1" customHeight="1" s="1">
      <c r="A894" s="8" t="inlineStr">
        <is>
          <t>Y 887</t>
        </is>
      </c>
      <c r="B894" s="5" t="n">
        <v>243</v>
      </c>
      <c r="C894" s="6" t="inlineStr">
        <is>
          <t>X</t>
        </is>
      </c>
      <c r="D894" s="5" t="n">
        <v>161</v>
      </c>
      <c r="E894" s="2">
        <f>B894*D894/10000</f>
        <v/>
      </c>
      <c r="F894" s="3">
        <f>B894/30.48</f>
        <v/>
      </c>
      <c r="G894" s="3">
        <f>D894/30.48</f>
        <v/>
      </c>
      <c r="H894" s="18" t="inlineStr">
        <is>
          <t>MCHD-TH</t>
        </is>
      </c>
      <c r="I894" s="80" t="inlineStr">
        <is>
          <t>Anne-Coalter Betts</t>
        </is>
      </c>
      <c r="J894" s="45" t="inlineStr">
        <is>
          <t>US-434 996 2397</t>
        </is>
      </c>
    </row>
    <row r="895" ht="17.25" customFormat="1" customHeight="1" s="1">
      <c r="A895" s="8" t="inlineStr">
        <is>
          <t>C 344</t>
        </is>
      </c>
      <c r="B895" s="5" t="n">
        <v>148</v>
      </c>
      <c r="C895" s="6" t="inlineStr">
        <is>
          <t>X</t>
        </is>
      </c>
      <c r="D895" s="5" t="n">
        <v>286</v>
      </c>
      <c r="E895" s="2">
        <f>B895*D895/10000</f>
        <v/>
      </c>
      <c r="F895" s="3">
        <f>B895/30.48</f>
        <v/>
      </c>
      <c r="G895" s="3">
        <f>D895/30.48</f>
        <v/>
      </c>
      <c r="H895" s="594" t="inlineStr">
        <is>
          <t>MCHD-RK</t>
        </is>
      </c>
      <c r="I895" s="80" t="inlineStr">
        <is>
          <t>Jill Schiff</t>
        </is>
      </c>
      <c r="J895" s="45" t="n"/>
    </row>
    <row r="896" ht="17.25" customFormat="1" customHeight="1" s="1">
      <c r="A896" s="8" t="inlineStr">
        <is>
          <t>C 383</t>
        </is>
      </c>
      <c r="B896" s="5" t="n">
        <v>95</v>
      </c>
      <c r="C896" s="6" t="inlineStr">
        <is>
          <t>X</t>
        </is>
      </c>
      <c r="D896" s="5" t="n">
        <v>398</v>
      </c>
      <c r="E896" s="2">
        <f>B896*D896/10000</f>
        <v/>
      </c>
      <c r="F896" s="3">
        <f>B896/30.48</f>
        <v/>
      </c>
      <c r="G896" s="3">
        <f>D896/30.48</f>
        <v/>
      </c>
      <c r="H896" s="18" t="inlineStr">
        <is>
          <t>MCHD-TH</t>
        </is>
      </c>
      <c r="I896" s="80" t="inlineStr">
        <is>
          <t>NANCY VANDEVEN</t>
        </is>
      </c>
      <c r="J896" s="45" t="n"/>
    </row>
    <row r="897" ht="17.25" customFormat="1" customHeight="1" s="1">
      <c r="A897" s="8" t="n">
        <v>1160</v>
      </c>
      <c r="B897" s="5" t="n">
        <v>83</v>
      </c>
      <c r="C897" s="72" t="inlineStr">
        <is>
          <t>X</t>
        </is>
      </c>
      <c r="D897" s="5" t="n">
        <v>275</v>
      </c>
      <c r="E897" s="73">
        <f>B897*D897/10000</f>
        <v/>
      </c>
      <c r="F897" s="74">
        <f>B897/30.48</f>
        <v/>
      </c>
      <c r="G897" s="74">
        <f>D897/30.48</f>
        <v/>
      </c>
      <c r="H897" s="69" t="inlineStr">
        <is>
          <t>MCHD-TR</t>
        </is>
      </c>
      <c r="I897" s="80" t="inlineStr">
        <is>
          <t>Amy Hodgman</t>
        </is>
      </c>
      <c r="J897" s="45" t="inlineStr">
        <is>
          <t>US-860 558 5848</t>
        </is>
      </c>
    </row>
    <row r="898" ht="17.25" customFormat="1" customHeight="1" s="1">
      <c r="A898" s="8" t="n">
        <v>1036</v>
      </c>
      <c r="B898" s="5" t="n">
        <v>114</v>
      </c>
      <c r="C898" s="72" t="inlineStr">
        <is>
          <t>X</t>
        </is>
      </c>
      <c r="D898" s="5" t="n">
        <v>382</v>
      </c>
      <c r="E898" s="73">
        <f>B898*D898/10000</f>
        <v/>
      </c>
      <c r="F898" s="74">
        <f>B898/30.48</f>
        <v/>
      </c>
      <c r="G898" s="74">
        <f>D898/30.48</f>
        <v/>
      </c>
      <c r="H898" s="503" t="inlineStr">
        <is>
          <t>MCHD-VR</t>
        </is>
      </c>
      <c r="I898" s="505" t="inlineStr">
        <is>
          <t>Brittany Rashkin</t>
        </is>
      </c>
      <c r="J898" s="575" t="inlineStr">
        <is>
          <t>US-561 314 5359</t>
        </is>
      </c>
    </row>
    <row r="899" ht="17.25" customFormat="1" customHeight="1" s="1">
      <c r="A899" s="8" t="n">
        <v>1029</v>
      </c>
      <c r="B899" s="5" t="n">
        <v>80</v>
      </c>
      <c r="C899" s="72" t="inlineStr">
        <is>
          <t>X</t>
        </is>
      </c>
      <c r="D899" s="5" t="n">
        <v>124</v>
      </c>
      <c r="E899" s="73">
        <f>B899*D899/10000</f>
        <v/>
      </c>
      <c r="F899" s="74">
        <f>B899/30.48</f>
        <v/>
      </c>
      <c r="G899" s="74">
        <f>D899/30.48</f>
        <v/>
      </c>
      <c r="H899" s="69" t="inlineStr">
        <is>
          <t>MCHD-TR</t>
        </is>
      </c>
      <c r="I899" s="505" t="inlineStr">
        <is>
          <t>Christine Glick</t>
        </is>
      </c>
      <c r="J899" s="575" t="n"/>
    </row>
    <row r="900" ht="17.25" customFormat="1" customHeight="1" s="1">
      <c r="A900" s="8" t="n">
        <v>1263</v>
      </c>
      <c r="B900" s="5" t="n">
        <v>85</v>
      </c>
      <c r="C900" s="72" t="inlineStr">
        <is>
          <t>X</t>
        </is>
      </c>
      <c r="D900" s="5" t="n">
        <v>360</v>
      </c>
      <c r="E900" s="73">
        <f>B900*D900/10000</f>
        <v/>
      </c>
      <c r="F900" s="74">
        <f>B900/30.48</f>
        <v/>
      </c>
      <c r="G900" s="74">
        <f>D900/30.48</f>
        <v/>
      </c>
      <c r="H900" s="36" t="inlineStr">
        <is>
          <t>MCHD-PAC</t>
        </is>
      </c>
      <c r="I900" s="80" t="inlineStr">
        <is>
          <t>Sarah Fordyce</t>
        </is>
      </c>
      <c r="J900" s="45" t="n"/>
    </row>
    <row r="901" ht="17.25" customFormat="1" customHeight="1" s="1">
      <c r="A901" s="8" t="inlineStr">
        <is>
          <t>A 143</t>
        </is>
      </c>
      <c r="B901" s="5" t="n">
        <v>82</v>
      </c>
      <c r="C901" s="6" t="inlineStr">
        <is>
          <t>X</t>
        </is>
      </c>
      <c r="D901" s="5" t="n">
        <v>372</v>
      </c>
      <c r="E901" s="2">
        <f>B901*D901/10000</f>
        <v/>
      </c>
      <c r="F901" s="3">
        <f>B901/30.48</f>
        <v/>
      </c>
      <c r="G901" s="3">
        <f>D901/30.48</f>
        <v/>
      </c>
      <c r="H901" s="594" t="inlineStr">
        <is>
          <t>MCHD-TR</t>
        </is>
      </c>
      <c r="I901" s="80" t="inlineStr">
        <is>
          <t>LIFE STORAGE JLV TERRY</t>
        </is>
      </c>
      <c r="J901" s="45" t="inlineStr">
        <is>
          <t>US-843 564 2101</t>
        </is>
      </c>
    </row>
    <row r="902" ht="17.25" customHeight="1" s="305">
      <c r="A902" s="8" t="inlineStr">
        <is>
          <t>KN 109</t>
        </is>
      </c>
      <c r="B902" s="5" t="n">
        <v>190</v>
      </c>
      <c r="C902" s="6" t="inlineStr">
        <is>
          <t>X</t>
        </is>
      </c>
      <c r="D902" s="5" t="n">
        <v>206</v>
      </c>
      <c r="E902" s="2">
        <f>B902*D902/10000</f>
        <v/>
      </c>
      <c r="F902" s="3">
        <f>B902/30.48</f>
        <v/>
      </c>
      <c r="G902" s="3">
        <f>D902/30.48</f>
        <v/>
      </c>
      <c r="H902" s="37" t="inlineStr">
        <is>
          <t>MCHD-PAC</t>
        </is>
      </c>
      <c r="I902" s="496" t="inlineStr">
        <is>
          <t>Christine Savidge</t>
        </is>
      </c>
      <c r="J902" s="96" t="n"/>
      <c r="M902" s="1" t="n"/>
    </row>
    <row r="903" ht="17.25" customFormat="1" customHeight="1" s="1">
      <c r="A903" s="8" t="inlineStr">
        <is>
          <t>Y 398</t>
        </is>
      </c>
      <c r="B903" s="5" t="n">
        <v>190</v>
      </c>
      <c r="C903" s="6" t="inlineStr">
        <is>
          <t>X</t>
        </is>
      </c>
      <c r="D903" s="5" t="n">
        <v>103</v>
      </c>
      <c r="E903" s="2">
        <f>B903*D903/10000</f>
        <v/>
      </c>
      <c r="F903" s="3">
        <f>B903/30.48</f>
        <v/>
      </c>
      <c r="G903" s="3">
        <f>D903/30.48</f>
        <v/>
      </c>
      <c r="H903" s="594" t="inlineStr">
        <is>
          <t>MCHD-TR</t>
        </is>
      </c>
      <c r="I903" s="570" t="inlineStr">
        <is>
          <t>LIFE STORAGE JLV VANNOY</t>
        </is>
      </c>
      <c r="J903" s="557" t="inlineStr">
        <is>
          <t>US-843 564 2101</t>
        </is>
      </c>
    </row>
    <row r="904" ht="17.25" customFormat="1" customHeight="1" s="1">
      <c r="A904" s="8" t="inlineStr">
        <is>
          <t>C 560</t>
        </is>
      </c>
      <c r="B904" s="5" t="n">
        <v>168</v>
      </c>
      <c r="C904" s="6" t="inlineStr">
        <is>
          <t>X</t>
        </is>
      </c>
      <c r="D904" s="5" t="n">
        <v>285</v>
      </c>
      <c r="E904" s="2">
        <f>B904*D904/10000</f>
        <v/>
      </c>
      <c r="F904" s="3">
        <f>B904/30.48</f>
        <v/>
      </c>
      <c r="G904" s="3">
        <f>D904/30.48</f>
        <v/>
      </c>
      <c r="H904" s="37" t="inlineStr">
        <is>
          <t>MCHD-PAC</t>
        </is>
      </c>
      <c r="I904" s="570" t="inlineStr">
        <is>
          <t>Vanessa Butler</t>
        </is>
      </c>
      <c r="J904" s="557" t="inlineStr">
        <is>
          <t>US-619 278 9222</t>
        </is>
      </c>
    </row>
    <row r="905" ht="17.25" customFormat="1" customHeight="1" s="1">
      <c r="A905" s="8" t="inlineStr">
        <is>
          <t>C 996</t>
        </is>
      </c>
      <c r="B905" s="5" t="n">
        <v>286</v>
      </c>
      <c r="C905" s="6" t="inlineStr">
        <is>
          <t>X</t>
        </is>
      </c>
      <c r="D905" s="5" t="n">
        <v>371</v>
      </c>
      <c r="E905" s="2">
        <f>B905*D905/10000</f>
        <v/>
      </c>
      <c r="F905" s="3">
        <f>B905/30.48</f>
        <v/>
      </c>
      <c r="G905" s="3">
        <f>D905/30.48</f>
        <v/>
      </c>
      <c r="H905" s="37" t="inlineStr">
        <is>
          <t>MCHD-PAC</t>
        </is>
      </c>
      <c r="I905" s="570" t="inlineStr">
        <is>
          <t>Mr. and Mrs. Garfunkel:</t>
        </is>
      </c>
      <c r="J905" s="557" t="inlineStr">
        <is>
          <t>US-323 947 7522</t>
        </is>
      </c>
    </row>
    <row r="906" ht="17.25" customFormat="1" customHeight="1" s="1">
      <c r="A906" s="8" t="inlineStr">
        <is>
          <t>Y 275</t>
        </is>
      </c>
      <c r="B906" s="5" t="n">
        <v>317</v>
      </c>
      <c r="C906" s="6" t="inlineStr">
        <is>
          <t>X</t>
        </is>
      </c>
      <c r="D906" s="5" t="n">
        <v>229</v>
      </c>
      <c r="E906" s="2">
        <f>B906*D906/10000</f>
        <v/>
      </c>
      <c r="F906" s="3">
        <f>B906/30.48</f>
        <v/>
      </c>
      <c r="G906" s="3">
        <f>D906/30.48</f>
        <v/>
      </c>
      <c r="H906" s="594" t="inlineStr">
        <is>
          <t>MCHD-TR</t>
        </is>
      </c>
      <c r="I906" s="570" t="inlineStr">
        <is>
          <t>Sarah El Assi</t>
        </is>
      </c>
      <c r="J906" s="557" t="n"/>
    </row>
    <row r="907" ht="17.25" customFormat="1" customHeight="1" s="1">
      <c r="A907" s="8" t="n">
        <v>1310</v>
      </c>
      <c r="B907" s="5" t="n">
        <v>112</v>
      </c>
      <c r="C907" s="72" t="inlineStr">
        <is>
          <t>X</t>
        </is>
      </c>
      <c r="D907" s="5" t="n">
        <v>200</v>
      </c>
      <c r="E907" s="73">
        <f>B907*D907/10000</f>
        <v/>
      </c>
      <c r="F907" s="74">
        <f>B907/30.48</f>
        <v/>
      </c>
      <c r="G907" s="74">
        <f>D907/30.48</f>
        <v/>
      </c>
      <c r="H907" s="569" t="inlineStr">
        <is>
          <t>MCHD-OLD</t>
        </is>
      </c>
      <c r="I907" s="570" t="inlineStr">
        <is>
          <t>Alex Robbins</t>
        </is>
      </c>
      <c r="J907" s="557" t="inlineStr">
        <is>
          <t>US-404 259 1652</t>
        </is>
      </c>
    </row>
    <row r="908" ht="17.25" customHeight="1" s="305">
      <c r="A908" s="8" t="inlineStr">
        <is>
          <t>D 37</t>
        </is>
      </c>
      <c r="B908" s="5" t="n">
        <v>47</v>
      </c>
      <c r="C908" s="72" t="inlineStr">
        <is>
          <t>X</t>
        </is>
      </c>
      <c r="D908" s="5" t="n">
        <v>107</v>
      </c>
      <c r="E908" s="73">
        <f>B908*D908/10000</f>
        <v/>
      </c>
      <c r="F908" s="74">
        <f>B908/30.48</f>
        <v/>
      </c>
      <c r="G908" s="74">
        <f>D908/30.48</f>
        <v/>
      </c>
      <c r="H908" s="569" t="inlineStr">
        <is>
          <t>MCHD-OLD</t>
        </is>
      </c>
      <c r="I908" s="570" t="inlineStr">
        <is>
          <t>Leah Richardson</t>
        </is>
      </c>
      <c r="J908" s="557" t="n"/>
      <c r="M908" s="1" t="n"/>
    </row>
    <row r="909" ht="17.25" customHeight="1" s="305">
      <c r="A909" s="8" t="inlineStr">
        <is>
          <t>D 25</t>
        </is>
      </c>
      <c r="B909" s="5" t="n">
        <v>52</v>
      </c>
      <c r="C909" s="72" t="inlineStr">
        <is>
          <t>X</t>
        </is>
      </c>
      <c r="D909" s="5" t="n">
        <v>107</v>
      </c>
      <c r="E909" s="73">
        <f>B909*D909/10000</f>
        <v/>
      </c>
      <c r="F909" s="74">
        <f>B909/30.48</f>
        <v/>
      </c>
      <c r="G909" s="74">
        <f>D909/30.48</f>
        <v/>
      </c>
      <c r="H909" s="569" t="inlineStr">
        <is>
          <t>MCHD-OLD</t>
        </is>
      </c>
      <c r="I909" s="570" t="inlineStr">
        <is>
          <t>Tricia Williams</t>
        </is>
      </c>
      <c r="J909" s="557" t="n"/>
      <c r="M909" s="1" t="n"/>
    </row>
    <row r="910" ht="17.25" customFormat="1" customHeight="1" s="1">
      <c r="A910" s="8" t="inlineStr">
        <is>
          <t>Y 869</t>
        </is>
      </c>
      <c r="B910" s="5" t="n">
        <v>283</v>
      </c>
      <c r="C910" s="6" t="inlineStr">
        <is>
          <t>X</t>
        </is>
      </c>
      <c r="D910" s="5" t="n">
        <v>104</v>
      </c>
      <c r="E910" s="2">
        <f>B910*D910/10000</f>
        <v/>
      </c>
      <c r="F910" s="3">
        <f>B910/30.48</f>
        <v/>
      </c>
      <c r="G910" s="3">
        <f>D910/30.48</f>
        <v/>
      </c>
      <c r="H910" s="553" t="inlineStr">
        <is>
          <t>MCHD-PAC</t>
        </is>
      </c>
      <c r="I910" s="534" t="inlineStr">
        <is>
          <t>Adam Bertrand</t>
        </is>
      </c>
      <c r="J910" s="545" t="inlineStr">
        <is>
          <t>US-310 365 3700</t>
        </is>
      </c>
    </row>
    <row r="911" ht="17.25" customFormat="1" customHeight="1" s="1">
      <c r="A911" s="8" t="inlineStr">
        <is>
          <t>C 763</t>
        </is>
      </c>
      <c r="B911" s="5" t="n">
        <v>475</v>
      </c>
      <c r="C911" s="6" t="inlineStr">
        <is>
          <t>X</t>
        </is>
      </c>
      <c r="D911" s="5" t="n">
        <v>301</v>
      </c>
      <c r="E911" s="2">
        <f>B911*D911/10000</f>
        <v/>
      </c>
      <c r="F911" s="3">
        <f>B911/30.48</f>
        <v/>
      </c>
      <c r="G911" s="3">
        <f>D911/30.48</f>
        <v/>
      </c>
      <c r="H911" s="594" t="inlineStr">
        <is>
          <t>MCHD-TR</t>
        </is>
      </c>
      <c r="I911" s="570" t="inlineStr">
        <is>
          <t>Autumn Muldowney</t>
        </is>
      </c>
      <c r="J911" s="557" t="inlineStr">
        <is>
          <t>US-612 270 8777</t>
        </is>
      </c>
    </row>
    <row r="912" ht="17.25" customFormat="1" customHeight="1" s="1">
      <c r="A912" s="8" t="inlineStr">
        <is>
          <t>A 53</t>
        </is>
      </c>
      <c r="B912" s="5" t="n">
        <v>80</v>
      </c>
      <c r="C912" s="6" t="inlineStr">
        <is>
          <t>X</t>
        </is>
      </c>
      <c r="D912" s="5" t="n">
        <v>222</v>
      </c>
      <c r="E912" s="2">
        <f>B912*D912/10000</f>
        <v/>
      </c>
      <c r="F912" s="3">
        <f>B912/30.48</f>
        <v/>
      </c>
      <c r="G912" s="3">
        <f>D912/30.48</f>
        <v/>
      </c>
      <c r="H912" s="503" t="inlineStr">
        <is>
          <t>MCHD-VR</t>
        </is>
      </c>
      <c r="I912" s="570" t="inlineStr">
        <is>
          <t>Heather Beale</t>
        </is>
      </c>
      <c r="J912" s="557" t="inlineStr">
        <is>
          <t>US-602 370 7514</t>
        </is>
      </c>
    </row>
    <row r="913" ht="17.25" customFormat="1" customHeight="1" s="1">
      <c r="A913" s="8" t="inlineStr">
        <is>
          <t>A 54</t>
        </is>
      </c>
      <c r="B913" s="5" t="n">
        <v>84</v>
      </c>
      <c r="C913" s="6" t="inlineStr">
        <is>
          <t>X</t>
        </is>
      </c>
      <c r="D913" s="5" t="n">
        <v>373</v>
      </c>
      <c r="E913" s="2">
        <f>B913*D913/10000</f>
        <v/>
      </c>
      <c r="F913" s="3">
        <f>B913/30.48</f>
        <v/>
      </c>
      <c r="G913" s="3">
        <f>D913/30.48</f>
        <v/>
      </c>
      <c r="H913" s="553" t="inlineStr">
        <is>
          <t>MCHD-PAC</t>
        </is>
      </c>
      <c r="I913" s="570" t="inlineStr">
        <is>
          <t>Scott Salzeider</t>
        </is>
      </c>
      <c r="J913" s="557" t="n"/>
    </row>
    <row r="914" ht="17.25" customFormat="1" customHeight="1" s="1">
      <c r="A914" s="8" t="inlineStr">
        <is>
          <t>C 486</t>
        </is>
      </c>
      <c r="B914" s="5" t="n">
        <v>79</v>
      </c>
      <c r="C914" s="6" t="inlineStr">
        <is>
          <t>X</t>
        </is>
      </c>
      <c r="D914" s="5" t="n">
        <v>312</v>
      </c>
      <c r="E914" s="2">
        <f>B914*D914/10000</f>
        <v/>
      </c>
      <c r="F914" s="3">
        <f>B914/30.48</f>
        <v/>
      </c>
      <c r="G914" s="3">
        <f>D914/30.48</f>
        <v/>
      </c>
      <c r="H914" s="503" t="inlineStr">
        <is>
          <t>MCHD-OLD</t>
        </is>
      </c>
      <c r="I914" s="570" t="inlineStr">
        <is>
          <t>Jaksha Jennie</t>
        </is>
      </c>
      <c r="J914" s="557" t="n"/>
    </row>
    <row r="915" ht="17.25" customFormat="1" customHeight="1" s="1">
      <c r="A915" s="8" t="n">
        <v>1136</v>
      </c>
      <c r="B915" s="5" t="n">
        <v>82</v>
      </c>
      <c r="C915" s="72" t="inlineStr">
        <is>
          <t>X</t>
        </is>
      </c>
      <c r="D915" s="5" t="n">
        <v>308</v>
      </c>
      <c r="E915" s="73">
        <f>B915*D915/10000</f>
        <v/>
      </c>
      <c r="F915" s="74">
        <f>B915/30.48</f>
        <v/>
      </c>
      <c r="G915" s="74">
        <f>D915/30.48</f>
        <v/>
      </c>
      <c r="H915" s="693" t="n"/>
      <c r="I915" s="693" t="n"/>
      <c r="J915" s="693" t="n"/>
    </row>
    <row r="916" ht="17.25" customFormat="1" customHeight="1" s="1">
      <c r="A916" s="8" t="n">
        <v>1245</v>
      </c>
      <c r="B916" s="5" t="n">
        <v>82</v>
      </c>
      <c r="C916" s="72" t="inlineStr">
        <is>
          <t>X</t>
        </is>
      </c>
      <c r="D916" s="5" t="n">
        <v>314</v>
      </c>
      <c r="E916" s="73">
        <f>B916*D916/10000</f>
        <v/>
      </c>
      <c r="F916" s="74">
        <f>B916/30.48</f>
        <v/>
      </c>
      <c r="G916" s="74">
        <f>D916/30.48</f>
        <v/>
      </c>
      <c r="H916" s="693" t="n"/>
      <c r="I916" s="694" t="n"/>
      <c r="J916" s="694" t="n"/>
    </row>
    <row r="917" ht="17.25" customHeight="1" s="305">
      <c r="A917" s="8" t="inlineStr">
        <is>
          <t>D 56</t>
        </is>
      </c>
      <c r="B917" s="5" t="n">
        <v>46</v>
      </c>
      <c r="C917" s="72" t="inlineStr">
        <is>
          <t>X</t>
        </is>
      </c>
      <c r="D917" s="5" t="n">
        <v>96</v>
      </c>
      <c r="E917" s="73">
        <f>B917*D917/10000</f>
        <v/>
      </c>
      <c r="F917" s="74">
        <f>B917/30.48</f>
        <v/>
      </c>
      <c r="G917" s="74">
        <f>D917/30.48</f>
        <v/>
      </c>
      <c r="H917" s="16" t="inlineStr">
        <is>
          <t>MCHD-OLD</t>
        </is>
      </c>
      <c r="I917" s="616" t="inlineStr">
        <is>
          <t>Tiffany Mortensen</t>
        </is>
      </c>
      <c r="J917" s="545" t="n"/>
      <c r="M917" s="1" t="n"/>
    </row>
    <row r="918" ht="17.25" customFormat="1" customHeight="1" s="1">
      <c r="A918" s="8" t="n">
        <v>1095</v>
      </c>
      <c r="B918" s="5" t="n">
        <v>70</v>
      </c>
      <c r="C918" s="72" t="inlineStr">
        <is>
          <t>X</t>
        </is>
      </c>
      <c r="D918" s="5" t="n">
        <v>200</v>
      </c>
      <c r="E918" s="73">
        <f>B918*D918/10000</f>
        <v/>
      </c>
      <c r="F918" s="74">
        <f>B918/30.48</f>
        <v/>
      </c>
      <c r="G918" s="74">
        <f>D918/30.48</f>
        <v/>
      </c>
      <c r="H918" s="16" t="inlineStr">
        <is>
          <t>MCHD-OLD</t>
        </is>
      </c>
      <c r="I918" s="534" t="inlineStr">
        <is>
          <t>Harris Westbrook</t>
        </is>
      </c>
      <c r="J918" s="545" t="inlineStr">
        <is>
          <t>US-281 948 4010</t>
        </is>
      </c>
    </row>
    <row r="919" ht="17.25" customFormat="1" customHeight="1" s="1">
      <c r="A919" s="8" t="inlineStr">
        <is>
          <t>A 57</t>
        </is>
      </c>
      <c r="B919" s="5" t="n">
        <v>71</v>
      </c>
      <c r="C919" s="6" t="inlineStr">
        <is>
          <t>X</t>
        </is>
      </c>
      <c r="D919" s="5" t="n">
        <v>138</v>
      </c>
      <c r="E919" s="2">
        <f>B919*D919/10000</f>
        <v/>
      </c>
      <c r="F919" s="3">
        <f>B919/30.48</f>
        <v/>
      </c>
      <c r="G919" s="3">
        <f>D919/30.48</f>
        <v/>
      </c>
      <c r="H919" s="553" t="inlineStr">
        <is>
          <t>MCHD-PAC</t>
        </is>
      </c>
      <c r="I919" s="570" t="inlineStr">
        <is>
          <t>Greg Graves</t>
        </is>
      </c>
      <c r="J919" s="557" t="n"/>
    </row>
    <row r="920" ht="17.25" customFormat="1" customHeight="1" s="1">
      <c r="A920" s="8" t="inlineStr">
        <is>
          <t>H 101</t>
        </is>
      </c>
      <c r="B920" s="5" t="n">
        <v>91</v>
      </c>
      <c r="C920" s="72" t="inlineStr">
        <is>
          <t>X</t>
        </is>
      </c>
      <c r="D920" s="5" t="n">
        <v>375</v>
      </c>
      <c r="E920" s="73">
        <f>B920*D920/10000</f>
        <v/>
      </c>
      <c r="F920" s="74">
        <f>B920/30.48</f>
        <v/>
      </c>
      <c r="G920" s="74">
        <f>D920/30.48</f>
        <v/>
      </c>
      <c r="H920" s="16" t="inlineStr">
        <is>
          <t>MCHD-OLD</t>
        </is>
      </c>
      <c r="I920" s="570" t="inlineStr">
        <is>
          <t>Neil Bruinsma</t>
        </is>
      </c>
      <c r="J920" s="557" t="n"/>
    </row>
    <row r="921" ht="17.25" customFormat="1" customHeight="1" s="1">
      <c r="A921" s="8" t="inlineStr">
        <is>
          <t>C 744</t>
        </is>
      </c>
      <c r="B921" s="5" t="n">
        <v>143</v>
      </c>
      <c r="C921" s="6" t="inlineStr">
        <is>
          <t>X</t>
        </is>
      </c>
      <c r="D921" s="5" t="n">
        <v>245</v>
      </c>
      <c r="E921" s="2">
        <f>B921*D921/10000</f>
        <v/>
      </c>
      <c r="F921" s="3">
        <f>B921/30.48</f>
        <v/>
      </c>
      <c r="G921" s="3">
        <f>D921/30.48</f>
        <v/>
      </c>
      <c r="H921" s="594" t="inlineStr">
        <is>
          <t>MCHD-TR</t>
        </is>
      </c>
      <c r="I921" s="570" t="inlineStr">
        <is>
          <t>Lindsey Black</t>
        </is>
      </c>
      <c r="J921" s="557" t="n"/>
    </row>
    <row r="922" ht="17.25" customFormat="1" customHeight="1" s="1">
      <c r="A922" s="8" t="inlineStr">
        <is>
          <t>A 165</t>
        </is>
      </c>
      <c r="B922" s="5" t="n">
        <v>87</v>
      </c>
      <c r="C922" s="6" t="inlineStr">
        <is>
          <t>X</t>
        </is>
      </c>
      <c r="D922" s="5" t="n">
        <v>384</v>
      </c>
      <c r="E922" s="2">
        <f>B922*D922/10000</f>
        <v/>
      </c>
      <c r="F922" s="3">
        <f>B922/30.48</f>
        <v/>
      </c>
      <c r="G922" s="3">
        <f>D922/30.48</f>
        <v/>
      </c>
      <c r="H922" s="553" t="inlineStr">
        <is>
          <t>MCHD-PAC</t>
        </is>
      </c>
      <c r="I922" s="534" t="inlineStr">
        <is>
          <t>Ali Brunner</t>
        </is>
      </c>
      <c r="J922" s="545" t="n"/>
    </row>
    <row r="923" ht="17.25" customFormat="1" customHeight="1" s="1">
      <c r="A923" s="8" t="inlineStr">
        <is>
          <t>Y 81</t>
        </is>
      </c>
      <c r="B923" s="5" t="n">
        <v>270</v>
      </c>
      <c r="C923" s="6" t="inlineStr">
        <is>
          <t>X</t>
        </is>
      </c>
      <c r="D923" s="5" t="n">
        <v>184</v>
      </c>
      <c r="E923" s="2">
        <f>B923*D923/10000</f>
        <v/>
      </c>
      <c r="F923" s="3">
        <f>B923/30.48</f>
        <v/>
      </c>
      <c r="G923" s="3">
        <f>D923/30.48</f>
        <v/>
      </c>
      <c r="H923" s="503" t="inlineStr">
        <is>
          <t>MCHD-VR</t>
        </is>
      </c>
      <c r="I923" s="570" t="inlineStr">
        <is>
          <t>Gemma Rake</t>
        </is>
      </c>
      <c r="J923" s="557" t="n"/>
    </row>
    <row r="924" ht="17.25" customFormat="1" customHeight="1" s="1">
      <c r="A924" s="8" t="inlineStr">
        <is>
          <t>Y 560</t>
        </is>
      </c>
      <c r="B924" s="5" t="n">
        <v>188</v>
      </c>
      <c r="C924" s="6" t="inlineStr">
        <is>
          <t>X</t>
        </is>
      </c>
      <c r="D924" s="5" t="n">
        <v>117</v>
      </c>
      <c r="E924" s="2">
        <f>B924*D924/10000</f>
        <v/>
      </c>
      <c r="F924" s="3">
        <f>B924/30.48</f>
        <v/>
      </c>
      <c r="G924" s="3">
        <f>D924/30.48</f>
        <v/>
      </c>
      <c r="H924" s="503" t="inlineStr">
        <is>
          <t>MCHD-VR</t>
        </is>
      </c>
      <c r="I924" s="80" t="inlineStr">
        <is>
          <t>El Sol Logistics/River Road</t>
        </is>
      </c>
      <c r="J924" s="557" t="inlineStr">
        <is>
          <t>US-512 888 9313</t>
        </is>
      </c>
    </row>
    <row r="925" ht="17.25" customFormat="1" customHeight="1" s="1">
      <c r="A925" s="8" t="inlineStr">
        <is>
          <t>C 91</t>
        </is>
      </c>
      <c r="B925" s="5" t="n">
        <v>304</v>
      </c>
      <c r="C925" s="6" t="inlineStr">
        <is>
          <t>X</t>
        </is>
      </c>
      <c r="D925" s="5" t="n">
        <v>104</v>
      </c>
      <c r="E925" s="2">
        <f>B925*D925/10000</f>
        <v/>
      </c>
      <c r="F925" s="3">
        <f>B925/30.48</f>
        <v/>
      </c>
      <c r="G925" s="3">
        <f>D925/30.48</f>
        <v/>
      </c>
      <c r="H925" s="503" t="inlineStr">
        <is>
          <t>MCHD-TR</t>
        </is>
      </c>
      <c r="I925" s="570" t="inlineStr">
        <is>
          <t>Lisa Nadorp</t>
        </is>
      </c>
      <c r="J925" s="557" t="inlineStr">
        <is>
          <t>AU-61 438 344 427</t>
        </is>
      </c>
    </row>
    <row r="926" ht="17.25" customFormat="1" customHeight="1" s="1">
      <c r="A926" s="8" t="inlineStr">
        <is>
          <t>C 565</t>
        </is>
      </c>
      <c r="B926" s="5" t="n">
        <v>109</v>
      </c>
      <c r="C926" s="6" t="inlineStr">
        <is>
          <t>X</t>
        </is>
      </c>
      <c r="D926" s="5" t="n">
        <v>303</v>
      </c>
      <c r="E926" s="2">
        <f>B926*D926/10000</f>
        <v/>
      </c>
      <c r="F926" s="3">
        <f>B926/30.48</f>
        <v/>
      </c>
      <c r="G926" s="3">
        <f>D926/30.48</f>
        <v/>
      </c>
      <c r="H926" s="693" t="n"/>
      <c r="I926" s="693" t="n"/>
      <c r="J926" s="693" t="n"/>
    </row>
    <row r="927" ht="17.25" customFormat="1" customHeight="1" s="1">
      <c r="A927" s="8" t="n">
        <v>1190</v>
      </c>
      <c r="B927" s="5" t="n">
        <v>89</v>
      </c>
      <c r="C927" s="72" t="inlineStr">
        <is>
          <t>X</t>
        </is>
      </c>
      <c r="D927" s="5" t="n">
        <v>257</v>
      </c>
      <c r="E927" s="73">
        <f>B927*D927/10000</f>
        <v/>
      </c>
      <c r="F927" s="74">
        <f>B927/30.48</f>
        <v/>
      </c>
      <c r="G927" s="74">
        <f>D927/30.48</f>
        <v/>
      </c>
      <c r="H927" s="693" t="n"/>
      <c r="I927" s="694" t="n"/>
      <c r="J927" s="694" t="n"/>
    </row>
    <row r="928" ht="17.25" customFormat="1" customHeight="1" s="1">
      <c r="A928" s="8" t="inlineStr">
        <is>
          <t>Y 548</t>
        </is>
      </c>
      <c r="B928" s="5" t="n">
        <v>236</v>
      </c>
      <c r="C928" s="6" t="inlineStr">
        <is>
          <t>X</t>
        </is>
      </c>
      <c r="D928" s="5" t="n">
        <v>129</v>
      </c>
      <c r="E928" s="2">
        <f>B928*D928/10000</f>
        <v/>
      </c>
      <c r="F928" s="3">
        <f>B928/30.48</f>
        <v/>
      </c>
      <c r="G928" s="3">
        <f>D928/30.48</f>
        <v/>
      </c>
      <c r="H928" s="16" t="inlineStr">
        <is>
          <t>MCHD-OLD</t>
        </is>
      </c>
      <c r="I928" s="570" t="inlineStr">
        <is>
          <t>Molly Mayse</t>
        </is>
      </c>
      <c r="J928" s="557" t="n"/>
    </row>
    <row r="929" ht="17.25" customFormat="1" customHeight="1" s="1">
      <c r="A929" s="8" t="n">
        <v>1224</v>
      </c>
      <c r="B929" s="5" t="n">
        <v>73</v>
      </c>
      <c r="C929" s="72" t="inlineStr">
        <is>
          <t>X</t>
        </is>
      </c>
      <c r="D929" s="5" t="n">
        <v>143</v>
      </c>
      <c r="E929" s="73">
        <f>B929*D929/10000</f>
        <v/>
      </c>
      <c r="F929" s="74">
        <f>B929/30.48</f>
        <v/>
      </c>
      <c r="G929" s="74">
        <f>D929/30.48</f>
        <v/>
      </c>
      <c r="H929" s="16" t="inlineStr">
        <is>
          <t>MCHD-OLD</t>
        </is>
      </c>
      <c r="I929" s="570" t="inlineStr">
        <is>
          <t>Sasha Mayer</t>
        </is>
      </c>
      <c r="J929" s="557" t="inlineStr">
        <is>
          <t>US-323 422 4431</t>
        </is>
      </c>
    </row>
    <row r="930" ht="17.25" customFormat="1" customHeight="1" s="1">
      <c r="A930" s="8" t="inlineStr">
        <is>
          <t>C 528</t>
        </is>
      </c>
      <c r="B930" s="5" t="n">
        <v>98</v>
      </c>
      <c r="C930" s="6" t="inlineStr">
        <is>
          <t>X</t>
        </is>
      </c>
      <c r="D930" s="5" t="n">
        <v>342</v>
      </c>
      <c r="E930" s="2">
        <f>B930*D930/10000</f>
        <v/>
      </c>
      <c r="F930" s="3">
        <f>B930/30.48</f>
        <v/>
      </c>
      <c r="G930" s="3">
        <f>D930/30.48</f>
        <v/>
      </c>
      <c r="H930" s="503" t="inlineStr">
        <is>
          <t>MCHD-VR</t>
        </is>
      </c>
      <c r="I930" s="570" t="inlineStr">
        <is>
          <t>Sara Post</t>
        </is>
      </c>
      <c r="J930" s="557" t="inlineStr">
        <is>
          <t>US-918 764 0751</t>
        </is>
      </c>
    </row>
    <row r="931" ht="17.25" customFormat="1" customHeight="1" s="1">
      <c r="A931" s="8" t="n">
        <v>1259</v>
      </c>
      <c r="B931" s="5" t="n">
        <v>85</v>
      </c>
      <c r="C931" s="72" t="inlineStr">
        <is>
          <t>X</t>
        </is>
      </c>
      <c r="D931" s="5" t="n">
        <v>395</v>
      </c>
      <c r="E931" s="73">
        <f>B931*D931/10000</f>
        <v/>
      </c>
      <c r="F931" s="74">
        <f>B931/30.48</f>
        <v/>
      </c>
      <c r="G931" s="74">
        <f>D931/30.48</f>
        <v/>
      </c>
      <c r="H931" s="503" t="inlineStr">
        <is>
          <t>MCHD-VR</t>
        </is>
      </c>
      <c r="I931" s="570" t="inlineStr">
        <is>
          <t>Lilian Griffiths</t>
        </is>
      </c>
      <c r="J931" s="557" t="n"/>
    </row>
    <row r="932" ht="17.25" customFormat="1" customHeight="1" s="1">
      <c r="A932" s="8" t="inlineStr">
        <is>
          <t>C 854</t>
        </is>
      </c>
      <c r="B932" s="5" t="n">
        <v>145</v>
      </c>
      <c r="C932" s="6" t="inlineStr">
        <is>
          <t>X</t>
        </is>
      </c>
      <c r="D932" s="5" t="n">
        <v>234</v>
      </c>
      <c r="E932" s="2">
        <f>B932*D932/10000</f>
        <v/>
      </c>
      <c r="F932" s="3">
        <f>B932/30.48</f>
        <v/>
      </c>
      <c r="G932" s="3">
        <f>D932/30.48</f>
        <v/>
      </c>
      <c r="H932" s="503" t="inlineStr">
        <is>
          <t>MCHD-VR</t>
        </is>
      </c>
      <c r="I932" s="570" t="inlineStr">
        <is>
          <t>Naomi Stein</t>
        </is>
      </c>
      <c r="J932" s="557" t="n"/>
    </row>
    <row r="933" ht="17.25" customFormat="1" customHeight="1" s="1">
      <c r="A933" s="8" t="inlineStr">
        <is>
          <t>A 44</t>
        </is>
      </c>
      <c r="B933" s="5" t="n">
        <v>84</v>
      </c>
      <c r="C933" s="6" t="inlineStr">
        <is>
          <t>X</t>
        </is>
      </c>
      <c r="D933" s="5" t="n">
        <v>294</v>
      </c>
      <c r="E933" s="2">
        <f>B933*D933/10000</f>
        <v/>
      </c>
      <c r="F933" s="3">
        <f>B933/30.48</f>
        <v/>
      </c>
      <c r="G933" s="3">
        <f>D933/30.48</f>
        <v/>
      </c>
      <c r="H933" s="553" t="inlineStr">
        <is>
          <t>MCHD-PAC</t>
        </is>
      </c>
      <c r="I933" s="570" t="inlineStr">
        <is>
          <t>Lauren Louise Braud</t>
        </is>
      </c>
      <c r="J933" s="557" t="n"/>
    </row>
    <row r="934" ht="17.25" customFormat="1" customHeight="1" s="1">
      <c r="A934" s="8" t="inlineStr">
        <is>
          <t>A 23</t>
        </is>
      </c>
      <c r="B934" s="5" t="n">
        <v>90</v>
      </c>
      <c r="C934" s="6" t="inlineStr">
        <is>
          <t>X</t>
        </is>
      </c>
      <c r="D934" s="5" t="n">
        <v>351</v>
      </c>
      <c r="E934" s="2">
        <f>B934*D934/10000</f>
        <v/>
      </c>
      <c r="F934" s="3">
        <f>B934/30.48</f>
        <v/>
      </c>
      <c r="G934" s="3">
        <f>D934/30.48</f>
        <v/>
      </c>
      <c r="H934" s="594" t="inlineStr">
        <is>
          <t>MCHD-TR</t>
        </is>
      </c>
      <c r="I934" s="570" t="inlineStr">
        <is>
          <t>JAZMINE Sullivan</t>
        </is>
      </c>
      <c r="J934" s="557" t="n"/>
    </row>
    <row r="935" ht="17.25" customFormat="1" customHeight="1" s="1">
      <c r="A935" s="8" t="inlineStr">
        <is>
          <t>Y 920</t>
        </is>
      </c>
      <c r="B935" s="5" t="n">
        <v>290</v>
      </c>
      <c r="C935" s="6" t="inlineStr">
        <is>
          <t>X</t>
        </is>
      </c>
      <c r="D935" s="5" t="n">
        <v>81</v>
      </c>
      <c r="E935" s="2">
        <f>B935*D935/10000</f>
        <v/>
      </c>
      <c r="F935" s="3">
        <f>B935/30.48</f>
        <v/>
      </c>
      <c r="G935" s="3">
        <f>D935/30.48</f>
        <v/>
      </c>
      <c r="H935" s="594" t="inlineStr">
        <is>
          <t>MCHD-TR</t>
        </is>
      </c>
      <c r="I935" s="570" t="inlineStr">
        <is>
          <t>Monica Van Zandt</t>
        </is>
      </c>
      <c r="J935" s="557" t="inlineStr">
        <is>
          <t>US-724 344 8332</t>
        </is>
      </c>
    </row>
    <row r="936" ht="17.25" customFormat="1" customHeight="1" s="1">
      <c r="A936" s="8" t="inlineStr">
        <is>
          <t>A 211</t>
        </is>
      </c>
      <c r="B936" s="5" t="n">
        <v>298</v>
      </c>
      <c r="C936" s="6" t="inlineStr">
        <is>
          <t>X</t>
        </is>
      </c>
      <c r="D936" s="5" t="n">
        <v>388</v>
      </c>
      <c r="E936" s="2">
        <f>B936*D936/10000</f>
        <v/>
      </c>
      <c r="F936" s="3">
        <f>B936/30.48</f>
        <v/>
      </c>
      <c r="G936" s="3">
        <f>D936/30.48</f>
        <v/>
      </c>
      <c r="H936" s="553" t="inlineStr">
        <is>
          <t>MCHD-PAC</t>
        </is>
      </c>
      <c r="I936" s="570" t="inlineStr">
        <is>
          <t>Josh Hibbert</t>
        </is>
      </c>
      <c r="J936" s="557" t="n"/>
    </row>
    <row r="937">
      <c r="A937" s="536" t="inlineStr">
        <is>
          <t>-2023 TEMMUZ-57</t>
        </is>
      </c>
      <c r="H937" s="62" t="inlineStr">
        <is>
          <t>SATAN-SİTE</t>
        </is>
      </c>
      <c r="I937" s="98" t="inlineStr">
        <is>
          <t>MÜŞTERİ ADI</t>
        </is>
      </c>
      <c r="J937" s="63" t="inlineStr">
        <is>
          <t>MÜŞTERİ İLETİŞİM &amp; ÜLKE</t>
        </is>
      </c>
    </row>
    <row r="938" ht="17.25" customFormat="1" customHeight="1" s="1">
      <c r="A938" s="8" t="n">
        <v>1207</v>
      </c>
      <c r="B938" s="5" t="n">
        <v>112</v>
      </c>
      <c r="C938" s="72" t="inlineStr">
        <is>
          <t>X</t>
        </is>
      </c>
      <c r="D938" s="5" t="n">
        <v>182</v>
      </c>
      <c r="E938" s="73">
        <f>B938*D938/10000</f>
        <v/>
      </c>
      <c r="F938" s="74">
        <f>B938/30.48</f>
        <v/>
      </c>
      <c r="G938" s="74">
        <f>D938/30.48</f>
        <v/>
      </c>
      <c r="H938" s="594" t="inlineStr">
        <is>
          <t>MCHD-TR</t>
        </is>
      </c>
      <c r="I938" s="570" t="inlineStr">
        <is>
          <t>Megan Ridenhour</t>
        </is>
      </c>
      <c r="J938" s="557" t="inlineStr">
        <is>
          <t>US-704 840 6603</t>
        </is>
      </c>
    </row>
    <row r="939" ht="17.25" customFormat="1" customHeight="1" s="1">
      <c r="A939" s="8" t="inlineStr">
        <is>
          <t>A 74</t>
        </is>
      </c>
      <c r="B939" s="5" t="n">
        <v>71</v>
      </c>
      <c r="C939" s="72" t="inlineStr">
        <is>
          <t>X</t>
        </is>
      </c>
      <c r="D939" s="5" t="n">
        <v>230</v>
      </c>
      <c r="E939" s="73">
        <f>B939*D939/10000</f>
        <v/>
      </c>
      <c r="F939" s="74">
        <f>B939/30.48</f>
        <v/>
      </c>
      <c r="G939" s="74">
        <f>D939/30.48</f>
        <v/>
      </c>
      <c r="H939" s="594" t="inlineStr">
        <is>
          <t>MCHD-TR</t>
        </is>
      </c>
      <c r="I939" s="570" t="inlineStr">
        <is>
          <t>Julia Anaxagorou</t>
        </is>
      </c>
      <c r="J939" s="557" t="inlineStr">
        <is>
          <t>US-917 312 2167</t>
        </is>
      </c>
    </row>
    <row r="940" ht="17.25" customFormat="1" customHeight="1" s="1">
      <c r="A940" s="8" t="inlineStr">
        <is>
          <t>C 369</t>
        </is>
      </c>
      <c r="B940" s="5" t="n">
        <v>216</v>
      </c>
      <c r="C940" s="6" t="inlineStr">
        <is>
          <t>X</t>
        </is>
      </c>
      <c r="D940" s="5" t="n">
        <v>336</v>
      </c>
      <c r="E940" s="2">
        <f>B940*D940/10000</f>
        <v/>
      </c>
      <c r="F940" s="3">
        <f>B940/30.48</f>
        <v/>
      </c>
      <c r="G940" s="3">
        <f>D940/30.48</f>
        <v/>
      </c>
      <c r="H940" s="16" t="inlineStr">
        <is>
          <t>MCHD-OLD</t>
        </is>
      </c>
      <c r="I940" s="570" t="inlineStr">
        <is>
          <t>Sarah Richey</t>
        </is>
      </c>
      <c r="J940" s="557" t="inlineStr">
        <is>
          <t>IR-353 89 601 3414</t>
        </is>
      </c>
    </row>
    <row r="941" ht="17.25" customFormat="1" customHeight="1" s="1">
      <c r="A941" s="8" t="n">
        <v>410</v>
      </c>
      <c r="B941" s="5" t="n">
        <v>237</v>
      </c>
      <c r="C941" s="6" t="inlineStr">
        <is>
          <t>X</t>
        </is>
      </c>
      <c r="D941" s="5" t="n">
        <v>96</v>
      </c>
      <c r="E941" s="2">
        <f>B941*D941/10000</f>
        <v/>
      </c>
      <c r="F941" s="3">
        <f>B941/30.48</f>
        <v/>
      </c>
      <c r="G941" s="3">
        <f>D941/30.48</f>
        <v/>
      </c>
      <c r="H941" s="18" t="inlineStr">
        <is>
          <t>MCHD-TH</t>
        </is>
      </c>
      <c r="I941" s="534" t="inlineStr">
        <is>
          <t>Katherine Newton</t>
        </is>
      </c>
      <c r="J941" s="545" t="n"/>
    </row>
    <row r="942" ht="17.25" customFormat="1" customHeight="1" s="1">
      <c r="A942" s="8" t="n">
        <v>1070</v>
      </c>
      <c r="B942" s="5" t="n">
        <v>124</v>
      </c>
      <c r="C942" s="72" t="inlineStr">
        <is>
          <t>X</t>
        </is>
      </c>
      <c r="D942" s="5" t="n">
        <v>315</v>
      </c>
      <c r="E942" s="73">
        <f>B942*D942/10000</f>
        <v/>
      </c>
      <c r="F942" s="74">
        <f>B942/30.48</f>
        <v/>
      </c>
      <c r="G942" s="74">
        <f>D942/30.48</f>
        <v/>
      </c>
      <c r="H942" s="16" t="inlineStr">
        <is>
          <t>MCHD-OLD</t>
        </is>
      </c>
      <c r="I942" s="534" t="inlineStr">
        <is>
          <t>Branan White Design</t>
        </is>
      </c>
      <c r="J942" s="545" t="inlineStr">
        <is>
          <t>US-615 351 4415</t>
        </is>
      </c>
    </row>
    <row r="943" ht="17.25" customFormat="1" customHeight="1" s="1">
      <c r="A943" s="8" t="inlineStr">
        <is>
          <t>A 151</t>
        </is>
      </c>
      <c r="B943" s="5" t="n">
        <v>170</v>
      </c>
      <c r="C943" s="6" t="inlineStr">
        <is>
          <t>X</t>
        </is>
      </c>
      <c r="D943" s="5" t="n">
        <v>306</v>
      </c>
      <c r="E943" s="2">
        <f>B943*D943/10000</f>
        <v/>
      </c>
      <c r="F943" s="3">
        <f>B943/30.48</f>
        <v/>
      </c>
      <c r="G943" s="3">
        <f>D943/30.48</f>
        <v/>
      </c>
      <c r="H943" s="594" t="inlineStr">
        <is>
          <t>MCHD-TR</t>
        </is>
      </c>
      <c r="I943" s="570" t="inlineStr">
        <is>
          <t>Abby Weber</t>
        </is>
      </c>
      <c r="J943" s="557" t="inlineStr">
        <is>
          <t>US-347 703 4010</t>
        </is>
      </c>
    </row>
    <row r="944" ht="17.25" customFormat="1" customHeight="1" s="1">
      <c r="A944" s="8" t="inlineStr">
        <is>
          <t>Y 960</t>
        </is>
      </c>
      <c r="B944" s="5" t="n">
        <v>90</v>
      </c>
      <c r="C944" s="6" t="inlineStr">
        <is>
          <t>X</t>
        </is>
      </c>
      <c r="D944" s="5" t="n">
        <v>63</v>
      </c>
      <c r="E944" s="2">
        <f>B944*D944/10000</f>
        <v/>
      </c>
      <c r="F944" s="3">
        <f>B944/30.48</f>
        <v/>
      </c>
      <c r="G944" s="3">
        <f>D944/30.48</f>
        <v/>
      </c>
      <c r="H944" s="594" t="inlineStr">
        <is>
          <t>MCHD-TR</t>
        </is>
      </c>
      <c r="I944" s="570" t="inlineStr">
        <is>
          <t>Sarah Gibson</t>
        </is>
      </c>
      <c r="J944" s="557" t="n"/>
    </row>
    <row r="945" ht="17.25" customFormat="1" customHeight="1" s="1">
      <c r="A945" s="8" t="inlineStr">
        <is>
          <t>C 566</t>
        </is>
      </c>
      <c r="B945" s="5" t="n">
        <v>133</v>
      </c>
      <c r="C945" s="6" t="inlineStr">
        <is>
          <t>X</t>
        </is>
      </c>
      <c r="D945" s="5" t="n">
        <v>195</v>
      </c>
      <c r="E945" s="2">
        <f>B945*D945/10000</f>
        <v/>
      </c>
      <c r="F945" s="3">
        <f>B945/30.48</f>
        <v/>
      </c>
      <c r="G945" s="3">
        <f>D945/30.48</f>
        <v/>
      </c>
      <c r="H945" s="594" t="inlineStr">
        <is>
          <t>MCHD-TR</t>
        </is>
      </c>
      <c r="I945" s="570" t="inlineStr">
        <is>
          <t>Kelly Kassouf</t>
        </is>
      </c>
      <c r="J945" s="557" t="inlineStr">
        <is>
          <t>US-205 420 8201</t>
        </is>
      </c>
    </row>
    <row r="946" ht="17.25" customFormat="1" customHeight="1" s="1">
      <c r="A946" s="8" t="n">
        <v>1293</v>
      </c>
      <c r="B946" s="5" t="n">
        <v>137</v>
      </c>
      <c r="C946" s="72" t="inlineStr">
        <is>
          <t>X</t>
        </is>
      </c>
      <c r="D946" s="5" t="n">
        <v>376</v>
      </c>
      <c r="E946" s="73">
        <f>B946*D946/10000</f>
        <v/>
      </c>
      <c r="F946" s="74">
        <f>B946/30.48</f>
        <v/>
      </c>
      <c r="G946" s="74">
        <f>D946/30.48</f>
        <v/>
      </c>
      <c r="H946" s="16" t="inlineStr">
        <is>
          <t>MCHD-OLD</t>
        </is>
      </c>
      <c r="I946" s="534" t="inlineStr">
        <is>
          <t>Loralee Thompson</t>
        </is>
      </c>
      <c r="J946" s="545" t="n"/>
    </row>
    <row r="947" ht="17.25" customHeight="1" s="305">
      <c r="A947" s="8" t="inlineStr">
        <is>
          <t>D 49</t>
        </is>
      </c>
      <c r="B947" s="5" t="n">
        <v>53</v>
      </c>
      <c r="C947" s="72" t="inlineStr">
        <is>
          <t>X</t>
        </is>
      </c>
      <c r="D947" s="5" t="n">
        <v>95</v>
      </c>
      <c r="E947" s="73">
        <f>B947*D947/10000</f>
        <v/>
      </c>
      <c r="F947" s="74">
        <f>B947/30.48</f>
        <v/>
      </c>
      <c r="G947" s="74">
        <f>D947/30.48</f>
        <v/>
      </c>
      <c r="H947" s="16" t="inlineStr">
        <is>
          <t>MCHD-OLD</t>
        </is>
      </c>
      <c r="I947" s="570" t="inlineStr">
        <is>
          <t>Amy Lindsey</t>
        </is>
      </c>
      <c r="J947" s="557" t="n"/>
    </row>
    <row r="948" ht="17.25" customFormat="1" customHeight="1" s="1">
      <c r="A948" s="8" t="n">
        <v>1022</v>
      </c>
      <c r="B948" s="5" t="n">
        <v>110</v>
      </c>
      <c r="C948" s="72" t="inlineStr">
        <is>
          <t>X</t>
        </is>
      </c>
      <c r="D948" s="5" t="n">
        <v>186</v>
      </c>
      <c r="E948" s="73">
        <f>B948*D948/10000</f>
        <v/>
      </c>
      <c r="F948" s="74">
        <f>B948/30.48</f>
        <v/>
      </c>
      <c r="G948" s="74">
        <f>D948/30.48</f>
        <v/>
      </c>
      <c r="H948" s="594" t="inlineStr">
        <is>
          <t>MCHD-TR</t>
        </is>
      </c>
      <c r="I948" s="570" t="inlineStr">
        <is>
          <t>Tim Steele</t>
        </is>
      </c>
      <c r="J948" s="557" t="inlineStr">
        <is>
          <t>US-913 575 2038</t>
        </is>
      </c>
    </row>
    <row r="949" ht="17.25" customFormat="1" customHeight="1" s="1">
      <c r="A949" s="8" t="n">
        <v>313</v>
      </c>
      <c r="B949" s="5" t="n">
        <v>99</v>
      </c>
      <c r="C949" s="6" t="inlineStr">
        <is>
          <t>X</t>
        </is>
      </c>
      <c r="D949" s="5" t="n">
        <v>51</v>
      </c>
      <c r="E949" s="2">
        <f>B949*D949/10000</f>
        <v/>
      </c>
      <c r="F949" s="3">
        <f>B949/30.48</f>
        <v/>
      </c>
      <c r="G949" s="3">
        <f>D949/30.48</f>
        <v/>
      </c>
      <c r="H949" s="594" t="inlineStr">
        <is>
          <t>MCHD-TR</t>
        </is>
      </c>
      <c r="I949" s="570" t="inlineStr">
        <is>
          <t>Le Ann Tawney</t>
        </is>
      </c>
      <c r="J949" s="557" t="n"/>
    </row>
    <row r="950" ht="17.25" customFormat="1" customHeight="1" s="1">
      <c r="A950" s="8" t="inlineStr">
        <is>
          <t>Y 341</t>
        </is>
      </c>
      <c r="B950" s="5" t="n">
        <v>268</v>
      </c>
      <c r="C950" s="6" t="inlineStr">
        <is>
          <t>X</t>
        </is>
      </c>
      <c r="D950" s="5" t="n">
        <v>175</v>
      </c>
      <c r="E950" s="2">
        <f>B950*D950/10000</f>
        <v/>
      </c>
      <c r="F950" s="3">
        <f>B950/30.48</f>
        <v/>
      </c>
      <c r="G950" s="3">
        <f>D950/30.48</f>
        <v/>
      </c>
      <c r="H950" s="553" t="inlineStr">
        <is>
          <t>MCHD-PAC</t>
        </is>
      </c>
      <c r="I950" s="534" t="inlineStr">
        <is>
          <t>Sukayna Merchant</t>
        </is>
      </c>
      <c r="J950" s="545" t="n"/>
    </row>
    <row r="951" ht="17.25" customFormat="1" customHeight="1" s="1">
      <c r="A951" s="8" t="n">
        <v>1094</v>
      </c>
      <c r="B951" s="5" t="n">
        <v>76</v>
      </c>
      <c r="C951" s="72" t="inlineStr">
        <is>
          <t>X</t>
        </is>
      </c>
      <c r="D951" s="5" t="n">
        <v>371</v>
      </c>
      <c r="E951" s="73">
        <f>B951*D951/10000</f>
        <v/>
      </c>
      <c r="F951" s="74">
        <f>B951/30.48</f>
        <v/>
      </c>
      <c r="G951" s="74">
        <f>D951/30.48</f>
        <v/>
      </c>
      <c r="H951" s="594" t="inlineStr">
        <is>
          <t>MCHD-TR</t>
        </is>
      </c>
      <c r="I951" s="570" t="inlineStr">
        <is>
          <t>Sharon Gilbert</t>
        </is>
      </c>
      <c r="J951" s="557" t="inlineStr">
        <is>
          <t>US-205 243 1320</t>
        </is>
      </c>
    </row>
    <row r="952" ht="17.25" customFormat="1" customHeight="1" s="1">
      <c r="A952" s="8" t="inlineStr">
        <is>
          <t>A 123</t>
        </is>
      </c>
      <c r="B952" s="5" t="n">
        <v>68</v>
      </c>
      <c r="C952" s="6" t="inlineStr">
        <is>
          <t>X</t>
        </is>
      </c>
      <c r="D952" s="5" t="n">
        <v>309</v>
      </c>
      <c r="E952" s="2">
        <f>B952*D952/10000</f>
        <v/>
      </c>
      <c r="F952" s="3">
        <f>B952/30.48</f>
        <v/>
      </c>
      <c r="G952" s="3">
        <f>D952/30.48</f>
        <v/>
      </c>
      <c r="H952" s="503" t="inlineStr">
        <is>
          <t>MCHD-VR</t>
        </is>
      </c>
      <c r="I952" s="570" t="inlineStr">
        <is>
          <t>Cassidy Bunger</t>
        </is>
      </c>
      <c r="J952" s="557" t="n"/>
    </row>
    <row r="953" ht="17.25" customHeight="1" s="305">
      <c r="A953" s="8" t="inlineStr">
        <is>
          <t>D 36</t>
        </is>
      </c>
      <c r="B953" s="5" t="n">
        <v>50</v>
      </c>
      <c r="C953" s="72" t="inlineStr">
        <is>
          <t>X</t>
        </is>
      </c>
      <c r="D953" s="5" t="n">
        <v>97</v>
      </c>
      <c r="E953" s="73">
        <f>B953*D953/10000</f>
        <v/>
      </c>
      <c r="F953" s="74">
        <f>B953/30.48</f>
        <v/>
      </c>
      <c r="G953" s="74">
        <f>D953/30.48</f>
        <v/>
      </c>
      <c r="H953" s="16" t="inlineStr">
        <is>
          <t>MCHD-OLD</t>
        </is>
      </c>
      <c r="I953" s="570" t="inlineStr">
        <is>
          <t>MANAMI OOKAWARA</t>
        </is>
      </c>
      <c r="J953" s="557" t="inlineStr">
        <is>
          <t>JP-8190 4368 4858</t>
        </is>
      </c>
    </row>
    <row r="954" ht="17.25" customFormat="1" customHeight="1" s="1">
      <c r="A954" s="8" t="inlineStr">
        <is>
          <t>B 128</t>
        </is>
      </c>
      <c r="B954" s="5" t="n">
        <v>179</v>
      </c>
      <c r="C954" s="72" t="inlineStr">
        <is>
          <t>X</t>
        </is>
      </c>
      <c r="D954" s="5" t="n">
        <v>254</v>
      </c>
      <c r="E954" s="73">
        <f>B954*D954/10000</f>
        <v/>
      </c>
      <c r="F954" s="74">
        <f>B954/30.48</f>
        <v/>
      </c>
      <c r="G954" s="74">
        <f>D954/30.48</f>
        <v/>
      </c>
      <c r="H954" s="18" t="inlineStr">
        <is>
          <t>MCHD-TH</t>
        </is>
      </c>
      <c r="I954" s="570" t="inlineStr">
        <is>
          <t>Elana Steinberg</t>
        </is>
      </c>
      <c r="J954" s="557" t="n"/>
    </row>
    <row r="955" ht="17.25" customFormat="1" customHeight="1" s="1">
      <c r="A955" s="8" t="inlineStr">
        <is>
          <t>Y 20</t>
        </is>
      </c>
      <c r="B955" s="5" t="n">
        <v>342</v>
      </c>
      <c r="C955" s="6" t="inlineStr">
        <is>
          <t>X</t>
        </is>
      </c>
      <c r="D955" s="5" t="n">
        <v>90</v>
      </c>
      <c r="E955" s="2">
        <f>B955*D955/10000</f>
        <v/>
      </c>
      <c r="F955" s="3">
        <f>B955/30.48</f>
        <v/>
      </c>
      <c r="G955" s="3">
        <f>D955/30.48</f>
        <v/>
      </c>
      <c r="H955" s="553" t="inlineStr">
        <is>
          <t>MCHD-PAC</t>
        </is>
      </c>
      <c r="I955" s="570" t="inlineStr">
        <is>
          <t>Whitney Filimoeatu</t>
        </is>
      </c>
      <c r="J955" s="557" t="inlineStr">
        <is>
          <t>US-801 889 8779</t>
        </is>
      </c>
    </row>
    <row r="956" ht="17.25" customFormat="1" customHeight="1" s="1">
      <c r="A956" s="8" t="inlineStr">
        <is>
          <t>H 126</t>
        </is>
      </c>
      <c r="B956" s="5" t="n">
        <v>83</v>
      </c>
      <c r="C956" s="72" t="inlineStr">
        <is>
          <t>X</t>
        </is>
      </c>
      <c r="D956" s="5" t="n">
        <v>370</v>
      </c>
      <c r="E956" s="73">
        <f>B956*D956/10000</f>
        <v/>
      </c>
      <c r="F956" s="74">
        <f>B956/30.48</f>
        <v/>
      </c>
      <c r="G956" s="74">
        <f>D956/30.48</f>
        <v/>
      </c>
      <c r="H956" s="594" t="inlineStr">
        <is>
          <t>MCHD-TR</t>
        </is>
      </c>
      <c r="I956" s="570" t="inlineStr">
        <is>
          <t>Logan Fraser</t>
        </is>
      </c>
      <c r="J956" s="557" t="n"/>
    </row>
    <row r="957" ht="17.25" customFormat="1" customHeight="1" s="1">
      <c r="A957" s="8" t="inlineStr">
        <is>
          <t>C 836</t>
        </is>
      </c>
      <c r="B957" s="5" t="n">
        <v>143</v>
      </c>
      <c r="C957" s="6" t="inlineStr">
        <is>
          <t>X</t>
        </is>
      </c>
      <c r="D957" s="5" t="n">
        <v>196</v>
      </c>
      <c r="E957" s="2">
        <f>B957*D957/10000</f>
        <v/>
      </c>
      <c r="F957" s="3">
        <f>B957/30.48</f>
        <v/>
      </c>
      <c r="G957" s="3">
        <f>D957/30.48</f>
        <v/>
      </c>
      <c r="H957" s="594" t="inlineStr">
        <is>
          <t>MCHD-TR</t>
        </is>
      </c>
      <c r="I957" s="570" t="inlineStr">
        <is>
          <t>Fen Inman</t>
        </is>
      </c>
      <c r="J957" s="557" t="inlineStr">
        <is>
          <t>US-919 360 6428</t>
        </is>
      </c>
    </row>
    <row r="958" ht="17.25" customFormat="1" customHeight="1" s="1">
      <c r="A958" s="8" t="inlineStr">
        <is>
          <t>C 260</t>
        </is>
      </c>
      <c r="B958" s="5" t="n">
        <v>106</v>
      </c>
      <c r="C958" s="6" t="inlineStr">
        <is>
          <t>X</t>
        </is>
      </c>
      <c r="D958" s="5" t="n">
        <v>178</v>
      </c>
      <c r="E958" s="2">
        <f>B958*D958/10000</f>
        <v/>
      </c>
      <c r="F958" s="3">
        <f>B958/30.48</f>
        <v/>
      </c>
      <c r="G958" s="3">
        <f>D958/30.48</f>
        <v/>
      </c>
      <c r="H958" s="594" t="inlineStr">
        <is>
          <t>MCHD-TR</t>
        </is>
      </c>
      <c r="I958" s="570" t="inlineStr">
        <is>
          <t>xuan au-truong</t>
        </is>
      </c>
      <c r="J958" s="557" t="inlineStr">
        <is>
          <t>US-773 519 0524</t>
        </is>
      </c>
    </row>
    <row r="959" ht="17.25" customFormat="1" customHeight="1" s="1">
      <c r="A959" s="8" t="n">
        <v>1285</v>
      </c>
      <c r="B959" s="5" t="n">
        <v>65</v>
      </c>
      <c r="C959" s="72" t="inlineStr">
        <is>
          <t>X</t>
        </is>
      </c>
      <c r="D959" s="5" t="n">
        <v>90</v>
      </c>
      <c r="E959" s="73">
        <f>B959*D959/10000</f>
        <v/>
      </c>
      <c r="F959" s="74">
        <f>B959/30.48</f>
        <v/>
      </c>
      <c r="G959" s="74">
        <f>D959/30.48</f>
        <v/>
      </c>
      <c r="H959" s="594" t="inlineStr">
        <is>
          <t>MCHD-TR</t>
        </is>
      </c>
      <c r="I959" s="534" t="inlineStr">
        <is>
          <t>Isabel Castro</t>
        </is>
      </c>
      <c r="J959" s="545" t="n"/>
    </row>
    <row r="960" ht="17.25" customFormat="1" customHeight="1" s="1">
      <c r="A960" s="8" t="inlineStr">
        <is>
          <t>C 550</t>
        </is>
      </c>
      <c r="B960" s="5" t="n">
        <v>189</v>
      </c>
      <c r="C960" s="6" t="inlineStr">
        <is>
          <t>X</t>
        </is>
      </c>
      <c r="D960" s="5" t="n">
        <v>284</v>
      </c>
      <c r="E960" s="2">
        <f>B960*D960/10000</f>
        <v/>
      </c>
      <c r="F960" s="3">
        <f>B960/30.48</f>
        <v/>
      </c>
      <c r="G960" s="3">
        <f>D960/30.48</f>
        <v/>
      </c>
      <c r="H960" s="594" t="inlineStr">
        <is>
          <t>MCHD-TR</t>
        </is>
      </c>
      <c r="I960" s="570" t="inlineStr">
        <is>
          <t>Stephen Cargill</t>
        </is>
      </c>
      <c r="J960" s="557" t="n"/>
    </row>
    <row r="961" ht="17.25" customFormat="1" customHeight="1" s="1">
      <c r="A961" s="8" t="n">
        <v>1699</v>
      </c>
      <c r="B961" s="5" t="n">
        <v>282</v>
      </c>
      <c r="C961" s="72" t="inlineStr">
        <is>
          <t>X</t>
        </is>
      </c>
      <c r="D961" s="5" t="n">
        <v>366</v>
      </c>
      <c r="E961" s="73">
        <f>B961*D961/10000</f>
        <v/>
      </c>
      <c r="F961" s="74">
        <f>B961/30.48</f>
        <v/>
      </c>
      <c r="G961" s="74">
        <f>D961/30.48</f>
        <v/>
      </c>
      <c r="H961" s="553" t="inlineStr">
        <is>
          <t>MCHD-PAC</t>
        </is>
      </c>
      <c r="I961" s="570" t="inlineStr">
        <is>
          <t>Jenna kay H'Doubler</t>
        </is>
      </c>
      <c r="J961" s="557" t="inlineStr">
        <is>
          <t>US-417 306 7800</t>
        </is>
      </c>
    </row>
    <row r="962" ht="17.25" customFormat="1" customHeight="1" s="1">
      <c r="A962" s="8" t="inlineStr">
        <is>
          <t>C 983</t>
        </is>
      </c>
      <c r="B962" s="5" t="n">
        <v>64</v>
      </c>
      <c r="C962" s="72" t="inlineStr">
        <is>
          <t>X</t>
        </is>
      </c>
      <c r="D962" s="5" t="n">
        <v>182</v>
      </c>
      <c r="E962" s="73">
        <f>B962*D962/10000</f>
        <v/>
      </c>
      <c r="F962" s="74">
        <f>B962/30.48</f>
        <v/>
      </c>
      <c r="G962" s="74">
        <f>D962/30.48</f>
        <v/>
      </c>
      <c r="H962" s="594" t="inlineStr">
        <is>
          <t>MCHD-TR</t>
        </is>
      </c>
      <c r="I962" s="534" t="inlineStr">
        <is>
          <t>Isabel Castro</t>
        </is>
      </c>
      <c r="J962" s="545" t="n"/>
    </row>
    <row r="963" ht="17.25" customFormat="1" customHeight="1" s="1">
      <c r="A963" s="8" t="inlineStr">
        <is>
          <t>A 163</t>
        </is>
      </c>
      <c r="B963" s="5" t="n">
        <v>142</v>
      </c>
      <c r="C963" s="6" t="inlineStr">
        <is>
          <t>X</t>
        </is>
      </c>
      <c r="D963" s="5" t="n">
        <v>255</v>
      </c>
      <c r="E963" s="2">
        <f>B963*D963/10000</f>
        <v/>
      </c>
      <c r="F963" s="3">
        <f>B963/30.48</f>
        <v/>
      </c>
      <c r="G963" s="3">
        <f>D963/30.48</f>
        <v/>
      </c>
      <c r="H963" s="553" t="inlineStr">
        <is>
          <t>MCHD-PAC</t>
        </is>
      </c>
      <c r="I963" s="534" t="inlineStr">
        <is>
          <t>LAUREN MEISNER</t>
        </is>
      </c>
      <c r="J963" s="545" t="inlineStr">
        <is>
          <t>CA-902 679 7605</t>
        </is>
      </c>
    </row>
    <row r="964" ht="17.25" customHeight="1" s="305">
      <c r="A964" s="8" t="inlineStr">
        <is>
          <t>D 19</t>
        </is>
      </c>
      <c r="B964" s="5" t="n">
        <v>50</v>
      </c>
      <c r="C964" s="72" t="inlineStr">
        <is>
          <t>X</t>
        </is>
      </c>
      <c r="D964" s="5" t="n">
        <v>88</v>
      </c>
      <c r="E964" s="73">
        <f>B964*D964/10000</f>
        <v/>
      </c>
      <c r="F964" s="74">
        <f>B964/30.48</f>
        <v/>
      </c>
      <c r="G964" s="74">
        <f>D964/30.48</f>
        <v/>
      </c>
      <c r="H964" s="16" t="inlineStr">
        <is>
          <t>MCHD-OLD</t>
        </is>
      </c>
      <c r="I964" s="570" t="inlineStr">
        <is>
          <t>Chelsea Bennett</t>
        </is>
      </c>
      <c r="J964" s="557" t="n"/>
    </row>
    <row r="965" ht="17.25" customFormat="1" customHeight="1" s="1">
      <c r="A965" s="8" t="inlineStr">
        <is>
          <t>C 934</t>
        </is>
      </c>
      <c r="B965" s="5" t="n">
        <v>66</v>
      </c>
      <c r="C965" s="6" t="inlineStr">
        <is>
          <t>X</t>
        </is>
      </c>
      <c r="D965" s="5" t="n">
        <v>112</v>
      </c>
      <c r="E965" s="2">
        <f>B965*D965/10000</f>
        <v/>
      </c>
      <c r="F965" s="3">
        <f>B965/30.48</f>
        <v/>
      </c>
      <c r="G965" s="3">
        <f>D965/30.48</f>
        <v/>
      </c>
      <c r="H965" s="553" t="inlineStr">
        <is>
          <t>MCHD-PAC</t>
        </is>
      </c>
      <c r="I965" s="570" t="inlineStr">
        <is>
          <t>Jenna Hammer</t>
        </is>
      </c>
      <c r="J965" s="557" t="n"/>
    </row>
    <row r="966" ht="17.25" customFormat="1" customHeight="1" s="1">
      <c r="A966" s="8" t="n">
        <v>1026</v>
      </c>
      <c r="B966" s="5" t="n">
        <v>81</v>
      </c>
      <c r="C966" s="72" t="inlineStr">
        <is>
          <t>X</t>
        </is>
      </c>
      <c r="D966" s="5" t="n">
        <v>129</v>
      </c>
      <c r="E966" s="73">
        <f>B966*D966/10000</f>
        <v/>
      </c>
      <c r="F966" s="74">
        <f>B966/30.48</f>
        <v/>
      </c>
      <c r="G966" s="74">
        <f>D966/30.48</f>
        <v/>
      </c>
      <c r="H966" s="594" t="inlineStr">
        <is>
          <t>MCHD-TR</t>
        </is>
      </c>
      <c r="I966" s="534" t="inlineStr">
        <is>
          <t>Not Too Shabby</t>
        </is>
      </c>
      <c r="J966" s="545" t="n"/>
    </row>
    <row r="967" ht="17.25" customFormat="1" customHeight="1" s="1">
      <c r="A967" s="8" t="inlineStr">
        <is>
          <t>C 969</t>
        </is>
      </c>
      <c r="B967" s="5" t="n">
        <v>69</v>
      </c>
      <c r="C967" s="6" t="inlineStr">
        <is>
          <t>X</t>
        </is>
      </c>
      <c r="D967" s="5" t="n">
        <v>130</v>
      </c>
      <c r="E967" s="2">
        <f>B967*D967/10000</f>
        <v/>
      </c>
      <c r="F967" s="3">
        <f>B967/30.48</f>
        <v/>
      </c>
      <c r="G967" s="3">
        <f>D967/30.48</f>
        <v/>
      </c>
      <c r="H967" s="594" t="inlineStr">
        <is>
          <t>MCHD-TR</t>
        </is>
      </c>
      <c r="I967" s="570" t="inlineStr">
        <is>
          <t>Amy Lee</t>
        </is>
      </c>
      <c r="J967" s="557" t="n"/>
    </row>
    <row r="968" ht="17.25" customFormat="1" customHeight="1" s="1">
      <c r="A968" s="8" t="inlineStr">
        <is>
          <t>Y 779</t>
        </is>
      </c>
      <c r="B968" s="5" t="n">
        <v>225</v>
      </c>
      <c r="C968" s="6" t="inlineStr">
        <is>
          <t>X</t>
        </is>
      </c>
      <c r="D968" s="5" t="n">
        <v>92</v>
      </c>
      <c r="E968" s="2">
        <f>B968*D968/10000</f>
        <v/>
      </c>
      <c r="F968" s="3">
        <f>B968/30.48</f>
        <v/>
      </c>
      <c r="G968" s="3">
        <f>D968/30.48</f>
        <v/>
      </c>
      <c r="H968" s="16" t="inlineStr">
        <is>
          <t>MCHD-OLD</t>
        </is>
      </c>
      <c r="I968" s="570" t="inlineStr">
        <is>
          <t>Brandi Hyde</t>
        </is>
      </c>
      <c r="J968" s="557" t="inlineStr">
        <is>
          <t>US-713 294 3527</t>
        </is>
      </c>
    </row>
    <row r="969" ht="17.25" customFormat="1" customHeight="1" s="1">
      <c r="A969" s="8" t="n">
        <v>37</v>
      </c>
      <c r="B969" s="5" t="n">
        <v>82</v>
      </c>
      <c r="C969" s="6" t="inlineStr">
        <is>
          <t>X</t>
        </is>
      </c>
      <c r="D969" s="5" t="n">
        <v>48</v>
      </c>
      <c r="E969" s="2">
        <f>B969*D969/10000</f>
        <v/>
      </c>
      <c r="F969" s="3">
        <f>B969/30.48</f>
        <v/>
      </c>
      <c r="G969" s="3">
        <f>D969/30.48</f>
        <v/>
      </c>
      <c r="H969" s="16" t="inlineStr">
        <is>
          <t>MCHD-OLD</t>
        </is>
      </c>
      <c r="I969" s="570" t="inlineStr">
        <is>
          <t>Chelsea Bennett</t>
        </is>
      </c>
      <c r="J969" s="557" t="inlineStr">
        <is>
          <t>US-512 992 3384</t>
        </is>
      </c>
    </row>
    <row r="970" ht="17.25" customFormat="1" customHeight="1" s="1">
      <c r="A970" s="8" t="n">
        <v>41</v>
      </c>
      <c r="B970" s="5" t="n">
        <v>88</v>
      </c>
      <c r="C970" s="6" t="inlineStr">
        <is>
          <t>X</t>
        </is>
      </c>
      <c r="D970" s="5" t="n">
        <v>48</v>
      </c>
      <c r="E970" s="2">
        <f>B970*D970/10000</f>
        <v/>
      </c>
      <c r="F970" s="3">
        <f>B970/30.48</f>
        <v/>
      </c>
      <c r="G970" s="3">
        <f>D970/30.48</f>
        <v/>
      </c>
      <c r="H970" s="16" t="inlineStr">
        <is>
          <t>MCHD-OLD</t>
        </is>
      </c>
      <c r="I970" s="534" t="inlineStr">
        <is>
          <t>MEAGAN BOUDREAU</t>
        </is>
      </c>
      <c r="J970" s="545" t="inlineStr">
        <is>
          <t>CA-780 604 9406</t>
        </is>
      </c>
    </row>
    <row r="971" ht="17.25" customFormat="1" customHeight="1" s="1">
      <c r="A971" s="8" t="n">
        <v>1205</v>
      </c>
      <c r="B971" s="5" t="n">
        <v>102</v>
      </c>
      <c r="C971" s="72" t="inlineStr">
        <is>
          <t>X</t>
        </is>
      </c>
      <c r="D971" s="5" t="n">
        <v>397</v>
      </c>
      <c r="E971" s="73">
        <f>B971*D971/10000</f>
        <v/>
      </c>
      <c r="F971" s="74">
        <f>B971/30.48</f>
        <v/>
      </c>
      <c r="G971" s="74">
        <f>D971/30.48</f>
        <v/>
      </c>
      <c r="H971" s="594" t="inlineStr">
        <is>
          <t>MCHD-TR</t>
        </is>
      </c>
      <c r="I971" s="570" t="inlineStr">
        <is>
          <t>Lilly Warren</t>
        </is>
      </c>
      <c r="J971" s="557" t="inlineStr">
        <is>
          <t>US-414 517 3333</t>
        </is>
      </c>
    </row>
    <row r="972" ht="17.25" customFormat="1" customHeight="1" s="1">
      <c r="A972" s="8" t="inlineStr">
        <is>
          <t>A 43</t>
        </is>
      </c>
      <c r="B972" s="5" t="n">
        <v>77</v>
      </c>
      <c r="C972" s="6" t="inlineStr">
        <is>
          <t>X</t>
        </is>
      </c>
      <c r="D972" s="5" t="n">
        <v>328</v>
      </c>
      <c r="E972" s="2">
        <f>B972*D972/10000</f>
        <v/>
      </c>
      <c r="F972" s="3">
        <f>B972/30.48</f>
        <v/>
      </c>
      <c r="G972" s="3">
        <f>D972/30.48</f>
        <v/>
      </c>
      <c r="H972" s="594" t="inlineStr">
        <is>
          <t>MCHD-TR</t>
        </is>
      </c>
      <c r="I972" s="570" t="inlineStr">
        <is>
          <t>Kimberly AuBuchon</t>
        </is>
      </c>
      <c r="J972" s="557" t="inlineStr">
        <is>
          <t>US-815 403 5198</t>
        </is>
      </c>
    </row>
    <row r="973" ht="17.25" customFormat="1" customHeight="1" s="1">
      <c r="A973" s="8" t="n">
        <v>1077</v>
      </c>
      <c r="B973" s="5" t="n">
        <v>65</v>
      </c>
      <c r="C973" s="72" t="inlineStr">
        <is>
          <t>X</t>
        </is>
      </c>
      <c r="D973" s="5" t="n">
        <v>145</v>
      </c>
      <c r="E973" s="73">
        <f>B973*D973/10000</f>
        <v/>
      </c>
      <c r="F973" s="74">
        <f>B973/30.48</f>
        <v/>
      </c>
      <c r="G973" s="74">
        <f>D973/30.48</f>
        <v/>
      </c>
      <c r="H973" s="16" t="inlineStr">
        <is>
          <t>MCHD-OLD</t>
        </is>
      </c>
      <c r="I973" s="570" t="inlineStr">
        <is>
          <t>Christina Burnham</t>
        </is>
      </c>
      <c r="J973" s="557" t="n"/>
    </row>
    <row r="974" ht="17.25" customFormat="1" customHeight="1" s="1">
      <c r="A974" s="8" t="n">
        <v>133</v>
      </c>
      <c r="B974" s="5" t="n">
        <v>201</v>
      </c>
      <c r="C974" s="6" t="inlineStr">
        <is>
          <t>X</t>
        </is>
      </c>
      <c r="D974" s="5" t="n">
        <v>117</v>
      </c>
      <c r="E974" s="2">
        <f>B974*D974/10000</f>
        <v/>
      </c>
      <c r="F974" s="3">
        <f>B974/30.48</f>
        <v/>
      </c>
      <c r="G974" s="3">
        <f>D974/30.48</f>
        <v/>
      </c>
      <c r="H974" s="594" t="inlineStr">
        <is>
          <t>MCHD-TR</t>
        </is>
      </c>
      <c r="I974" s="570" t="inlineStr">
        <is>
          <t>Lora L Sabin</t>
        </is>
      </c>
      <c r="J974" s="557" t="n"/>
    </row>
    <row r="975" ht="17.25" customFormat="1" customHeight="1" s="1">
      <c r="A975" s="8" t="inlineStr">
        <is>
          <t>C 881</t>
        </is>
      </c>
      <c r="B975" s="5" t="n">
        <v>202</v>
      </c>
      <c r="C975" s="6" t="inlineStr">
        <is>
          <t>X</t>
        </is>
      </c>
      <c r="D975" s="5" t="n">
        <v>259</v>
      </c>
      <c r="E975" s="2">
        <f>B975*D975/10000</f>
        <v/>
      </c>
      <c r="F975" s="3">
        <f>B975/30.48</f>
        <v/>
      </c>
      <c r="G975" s="3">
        <f>D975/30.48</f>
        <v/>
      </c>
      <c r="H975" s="594" t="inlineStr">
        <is>
          <t>MCHD-TR</t>
        </is>
      </c>
      <c r="I975" s="570" t="inlineStr">
        <is>
          <t>Lindsey Niejadlik</t>
        </is>
      </c>
      <c r="J975" s="557" t="inlineStr">
        <is>
          <t>US-401 862 9032</t>
        </is>
      </c>
    </row>
    <row r="976" ht="17.25" customFormat="1" customHeight="1" s="1">
      <c r="A976" s="8" t="inlineStr">
        <is>
          <t>C 711</t>
        </is>
      </c>
      <c r="B976" s="5" t="n">
        <v>63</v>
      </c>
      <c r="C976" s="6" t="inlineStr">
        <is>
          <t>X</t>
        </is>
      </c>
      <c r="D976" s="5" t="n">
        <v>280</v>
      </c>
      <c r="E976" s="2">
        <f>B976*D976/10000</f>
        <v/>
      </c>
      <c r="F976" s="3">
        <f>B976/30.48</f>
        <v/>
      </c>
      <c r="G976" s="3">
        <f>D976/30.48</f>
        <v/>
      </c>
      <c r="H976" s="594" t="inlineStr">
        <is>
          <t>MCHD-TR</t>
        </is>
      </c>
      <c r="I976" s="570" t="inlineStr">
        <is>
          <t>Francesca priley</t>
        </is>
      </c>
      <c r="J976" s="557" t="inlineStr">
        <is>
          <t>US-612 298 9171</t>
        </is>
      </c>
    </row>
    <row r="977" ht="17.25" customFormat="1" customHeight="1" s="1">
      <c r="A977" s="8" t="n">
        <v>1015</v>
      </c>
      <c r="B977" s="5" t="n">
        <v>126</v>
      </c>
      <c r="C977" s="72" t="inlineStr">
        <is>
          <t>X</t>
        </is>
      </c>
      <c r="D977" s="5" t="n">
        <v>217</v>
      </c>
      <c r="E977" s="73">
        <f>B977*D977/10000</f>
        <v/>
      </c>
      <c r="F977" s="74">
        <f>B977/30.48</f>
        <v/>
      </c>
      <c r="G977" s="74">
        <f>D977/30.48</f>
        <v/>
      </c>
      <c r="H977" s="553" t="inlineStr">
        <is>
          <t>MCHD-PAC</t>
        </is>
      </c>
      <c r="I977" s="570" t="inlineStr">
        <is>
          <t>Peter Palko</t>
        </is>
      </c>
      <c r="J977" s="557" t="inlineStr">
        <is>
          <t>US-925 683 5756</t>
        </is>
      </c>
    </row>
    <row r="978" ht="17.25" customFormat="1" customHeight="1" s="1">
      <c r="A978" s="8" t="n">
        <v>1575</v>
      </c>
      <c r="B978" s="5" t="n">
        <v>152</v>
      </c>
      <c r="C978" s="72" t="inlineStr">
        <is>
          <t>X</t>
        </is>
      </c>
      <c r="D978" s="5" t="n">
        <v>81</v>
      </c>
      <c r="E978" s="73">
        <f>B978*D978/10000</f>
        <v/>
      </c>
      <c r="F978" s="74">
        <f>B978/30.48</f>
        <v/>
      </c>
      <c r="G978" s="74">
        <f>D978/30.48</f>
        <v/>
      </c>
      <c r="H978" s="37" t="inlineStr">
        <is>
          <t>MCHD-PAC</t>
        </is>
      </c>
      <c r="I978" s="534" t="inlineStr">
        <is>
          <t>Sarah Schlesinger</t>
        </is>
      </c>
      <c r="J978" s="545" t="n"/>
    </row>
    <row r="979" ht="17.25" customFormat="1" customHeight="1" s="1">
      <c r="A979" s="8" t="inlineStr">
        <is>
          <t>C 976</t>
        </is>
      </c>
      <c r="B979" s="5" t="n">
        <v>85</v>
      </c>
      <c r="C979" s="6" t="inlineStr">
        <is>
          <t>X</t>
        </is>
      </c>
      <c r="D979" s="5" t="n">
        <v>336</v>
      </c>
      <c r="E979" s="2">
        <f>B979*D979/10000</f>
        <v/>
      </c>
      <c r="F979" s="3">
        <f>B979/30.48</f>
        <v/>
      </c>
      <c r="G979" s="3">
        <f>D979/30.48</f>
        <v/>
      </c>
      <c r="H979" s="694" t="n"/>
      <c r="I979" s="693" t="n"/>
      <c r="J979" s="693" t="n"/>
    </row>
    <row r="980" ht="17.25" customFormat="1" customHeight="1" s="1">
      <c r="A980" s="8" t="n">
        <v>1410</v>
      </c>
      <c r="B980" s="5" t="n">
        <v>78</v>
      </c>
      <c r="C980" s="72" t="inlineStr">
        <is>
          <t>X</t>
        </is>
      </c>
      <c r="D980" s="5" t="n">
        <v>283</v>
      </c>
      <c r="E980" s="73">
        <f>B980*D980/10000</f>
        <v/>
      </c>
      <c r="F980" s="74">
        <f>B980/30.48</f>
        <v/>
      </c>
      <c r="G980" s="74">
        <f>D980/30.48</f>
        <v/>
      </c>
      <c r="H980" s="69" t="inlineStr">
        <is>
          <t>MCHD-TR</t>
        </is>
      </c>
      <c r="I980" s="570" t="inlineStr">
        <is>
          <t>Sharon Gilbert</t>
        </is>
      </c>
      <c r="J980" s="571" t="inlineStr">
        <is>
          <t>US-205 243 1320</t>
        </is>
      </c>
    </row>
    <row r="981" ht="17.25" customFormat="1" customHeight="1" s="1">
      <c r="A981" s="8" t="n">
        <v>1680</v>
      </c>
      <c r="B981" s="5" t="n">
        <v>280</v>
      </c>
      <c r="C981" s="72" t="inlineStr">
        <is>
          <t>X</t>
        </is>
      </c>
      <c r="D981" s="5" t="n">
        <v>81</v>
      </c>
      <c r="E981" s="73">
        <f>B981*D981/10000</f>
        <v/>
      </c>
      <c r="F981" s="74">
        <f>B981/30.48</f>
        <v/>
      </c>
      <c r="G981" s="74">
        <f>D981/30.48</f>
        <v/>
      </c>
      <c r="H981" s="699" t="n"/>
      <c r="I981" s="693" t="n"/>
      <c r="J981" s="697" t="n"/>
    </row>
    <row r="982" ht="17.25" customFormat="1" customHeight="1" s="1">
      <c r="A982" s="8" t="n">
        <v>1684</v>
      </c>
      <c r="B982" s="5" t="n">
        <v>234</v>
      </c>
      <c r="C982" s="72" t="inlineStr">
        <is>
          <t>X</t>
        </is>
      </c>
      <c r="D982" s="5" t="n">
        <v>162</v>
      </c>
      <c r="E982" s="73">
        <f>B982*D982/10000</f>
        <v/>
      </c>
      <c r="F982" s="74">
        <f>B982/30.48</f>
        <v/>
      </c>
      <c r="G982" s="74">
        <f>D982/30.48</f>
        <v/>
      </c>
      <c r="H982" s="700" t="n"/>
      <c r="I982" s="694" t="n"/>
      <c r="J982" s="697" t="n"/>
    </row>
    <row r="983" ht="17.25" customFormat="1" customHeight="1" s="1">
      <c r="A983" s="8" t="n">
        <v>1228</v>
      </c>
      <c r="B983" s="5" t="n">
        <v>88</v>
      </c>
      <c r="C983" s="72" t="inlineStr">
        <is>
          <t>X</t>
        </is>
      </c>
      <c r="D983" s="5" t="n">
        <v>308</v>
      </c>
      <c r="E983" s="73">
        <f>B983*D983/10000</f>
        <v/>
      </c>
      <c r="F983" s="74">
        <f>B983/30.48</f>
        <v/>
      </c>
      <c r="G983" s="74">
        <f>D983/30.48</f>
        <v/>
      </c>
      <c r="H983" s="594" t="inlineStr">
        <is>
          <t>MCHD-TR</t>
        </is>
      </c>
      <c r="I983" s="551" t="inlineStr">
        <is>
          <t>Valorie Johnson</t>
        </is>
      </c>
      <c r="J983" s="557" t="n"/>
    </row>
    <row r="984" ht="17.25" customFormat="1" customHeight="1" s="1">
      <c r="A984" s="8" t="inlineStr">
        <is>
          <t>H 207</t>
        </is>
      </c>
      <c r="B984" s="5" t="n">
        <v>104</v>
      </c>
      <c r="C984" s="6" t="inlineStr">
        <is>
          <t>X</t>
        </is>
      </c>
      <c r="D984" s="5" t="n">
        <v>353</v>
      </c>
      <c r="E984" s="2">
        <f>B984*D984/10000</f>
        <v/>
      </c>
      <c r="F984" s="3">
        <f>B984/30.48</f>
        <v/>
      </c>
      <c r="G984" s="3">
        <f>D984/30.48</f>
        <v/>
      </c>
      <c r="H984" s="594" t="inlineStr">
        <is>
          <t>MCHD-TR</t>
        </is>
      </c>
      <c r="I984" s="570" t="inlineStr">
        <is>
          <t>Louise Hart</t>
        </is>
      </c>
      <c r="J984" s="557" t="inlineStr">
        <is>
          <t>US-859 229 8478</t>
        </is>
      </c>
    </row>
    <row r="985" ht="17.25" customFormat="1" customHeight="1" s="1">
      <c r="A985" s="8" t="n">
        <v>1195</v>
      </c>
      <c r="B985" s="5" t="n">
        <v>95</v>
      </c>
      <c r="C985" s="72" t="inlineStr">
        <is>
          <t>X</t>
        </is>
      </c>
      <c r="D985" s="5" t="n">
        <v>207</v>
      </c>
      <c r="E985" s="73">
        <f>B985*D985/10000</f>
        <v/>
      </c>
      <c r="F985" s="74">
        <f>B985/30.48</f>
        <v/>
      </c>
      <c r="G985" s="74">
        <f>D985/30.48</f>
        <v/>
      </c>
      <c r="H985" s="553" t="inlineStr">
        <is>
          <t>MCHD-PAC</t>
        </is>
      </c>
      <c r="I985" s="570" t="inlineStr">
        <is>
          <t>Christine</t>
        </is>
      </c>
      <c r="J985" s="557" t="inlineStr">
        <is>
          <t>US-480 707 9781</t>
        </is>
      </c>
    </row>
    <row r="986" ht="17.25" customFormat="1" customHeight="1" s="1">
      <c r="A986" s="8" t="n">
        <v>1236</v>
      </c>
      <c r="B986" s="5" t="n">
        <v>93</v>
      </c>
      <c r="C986" s="72" t="inlineStr">
        <is>
          <t>X</t>
        </is>
      </c>
      <c r="D986" s="5" t="n">
        <v>419</v>
      </c>
      <c r="E986" s="73">
        <f>B986*D986/10000</f>
        <v/>
      </c>
      <c r="F986" s="74">
        <f>B986/30.48</f>
        <v/>
      </c>
      <c r="G986" s="74">
        <f>D986/30.48</f>
        <v/>
      </c>
      <c r="H986" s="594" t="inlineStr">
        <is>
          <t>MCHD-TR</t>
        </is>
      </c>
      <c r="I986" s="570" t="inlineStr">
        <is>
          <t>Lindsey Borchard</t>
        </is>
      </c>
      <c r="J986" s="557" t="inlineStr">
        <is>
          <t>US-323 559 3308</t>
        </is>
      </c>
    </row>
    <row r="987" ht="17.25" customFormat="1" customHeight="1" s="1">
      <c r="A987" s="8" t="n">
        <v>1711</v>
      </c>
      <c r="B987" s="5" t="n">
        <v>302</v>
      </c>
      <c r="C987" s="72" t="inlineStr">
        <is>
          <t>X</t>
        </is>
      </c>
      <c r="D987" s="5" t="n">
        <v>399</v>
      </c>
      <c r="E987" s="73">
        <f>B987*D987/10000</f>
        <v/>
      </c>
      <c r="F987" s="74">
        <f>B987/30.48</f>
        <v/>
      </c>
      <c r="G987" s="74">
        <f>D987/30.48</f>
        <v/>
      </c>
      <c r="H987" s="553" t="inlineStr">
        <is>
          <t>MCHD-PAC</t>
        </is>
      </c>
      <c r="I987" s="570" t="inlineStr">
        <is>
          <t>Walt Bowie</t>
        </is>
      </c>
      <c r="J987" s="557" t="inlineStr">
        <is>
          <t>US-769 234 7517</t>
        </is>
      </c>
    </row>
    <row r="988" ht="17.25" customFormat="1" customHeight="1" s="1">
      <c r="A988" s="8" t="inlineStr">
        <is>
          <t>C 4</t>
        </is>
      </c>
      <c r="B988" s="5" t="n">
        <v>344</v>
      </c>
      <c r="C988" s="6" t="inlineStr">
        <is>
          <t>X</t>
        </is>
      </c>
      <c r="D988" s="5" t="n">
        <v>86</v>
      </c>
      <c r="E988" s="2">
        <f>B988*D988/10000</f>
        <v/>
      </c>
      <c r="F988" s="3">
        <f>B988/30.48</f>
        <v/>
      </c>
      <c r="G988" s="3">
        <f>D988/30.48</f>
        <v/>
      </c>
      <c r="H988" s="594" t="inlineStr">
        <is>
          <t>MCHD-TR</t>
        </is>
      </c>
      <c r="I988" s="534" t="inlineStr">
        <is>
          <t>Sara Cannon</t>
        </is>
      </c>
      <c r="J988" s="545" t="inlineStr">
        <is>
          <t>US-336 287 5608</t>
        </is>
      </c>
    </row>
    <row r="989" ht="17.25" customFormat="1" customHeight="1" s="1">
      <c r="A989" s="8" t="n">
        <v>1063</v>
      </c>
      <c r="B989" s="5" t="n">
        <v>85</v>
      </c>
      <c r="C989" s="72" t="inlineStr">
        <is>
          <t>X</t>
        </is>
      </c>
      <c r="D989" s="5" t="n">
        <v>287</v>
      </c>
      <c r="E989" s="73">
        <f>B989*D989/10000</f>
        <v/>
      </c>
      <c r="F989" s="74">
        <f>B989/30.48</f>
        <v/>
      </c>
      <c r="G989" s="74">
        <f>D989/30.48</f>
        <v/>
      </c>
      <c r="H989" s="553" t="inlineStr">
        <is>
          <t>MCHD-PAC</t>
        </is>
      </c>
      <c r="I989" s="570" t="inlineStr">
        <is>
          <t>Cory Parkinson</t>
        </is>
      </c>
      <c r="J989" s="557" t="n"/>
    </row>
    <row r="990" ht="17.25" customFormat="1" customHeight="1" s="1">
      <c r="A990" s="8" t="n">
        <v>1016</v>
      </c>
      <c r="B990" s="5" t="n">
        <v>85</v>
      </c>
      <c r="C990" s="6" t="inlineStr">
        <is>
          <t>X</t>
        </is>
      </c>
      <c r="D990" s="5" t="n">
        <v>46</v>
      </c>
      <c r="E990" s="2">
        <f>B990*D990/10000</f>
        <v/>
      </c>
      <c r="F990" s="3">
        <f>B990/30.48</f>
        <v/>
      </c>
      <c r="G990" s="3">
        <f>D990/30.48</f>
        <v/>
      </c>
      <c r="H990" s="16" t="inlineStr">
        <is>
          <t>MCHD-OLD</t>
        </is>
      </c>
      <c r="I990" s="570" t="inlineStr">
        <is>
          <t>Kathy Swindle</t>
        </is>
      </c>
      <c r="J990" s="557" t="n"/>
    </row>
    <row r="991" ht="17.25" customFormat="1" customHeight="1" s="1">
      <c r="A991" s="8" t="inlineStr">
        <is>
          <t>C 428</t>
        </is>
      </c>
      <c r="B991" s="5" t="n">
        <v>161</v>
      </c>
      <c r="C991" s="6" t="inlineStr">
        <is>
          <t>X</t>
        </is>
      </c>
      <c r="D991" s="5" t="n">
        <v>226</v>
      </c>
      <c r="E991" s="2">
        <f>B991*D991/10000</f>
        <v/>
      </c>
      <c r="F991" s="3">
        <f>B991/30.48</f>
        <v/>
      </c>
      <c r="G991" s="3">
        <f>D991/30.48</f>
        <v/>
      </c>
      <c r="H991" s="594" t="inlineStr">
        <is>
          <t>MCHD-TR</t>
        </is>
      </c>
      <c r="I991" s="534" t="inlineStr">
        <is>
          <t>Callie Childs</t>
        </is>
      </c>
      <c r="J991" s="545" t="inlineStr">
        <is>
          <t>US-480 721 2018</t>
        </is>
      </c>
    </row>
    <row r="992" ht="17.25" customFormat="1" customHeight="1" s="1">
      <c r="A992" s="8" t="inlineStr">
        <is>
          <t>C 820</t>
        </is>
      </c>
      <c r="B992" s="5" t="n">
        <v>107</v>
      </c>
      <c r="C992" s="6" t="inlineStr">
        <is>
          <t>X</t>
        </is>
      </c>
      <c r="D992" s="5" t="n">
        <v>171</v>
      </c>
      <c r="E992" s="2">
        <f>B992*D992/10000</f>
        <v/>
      </c>
      <c r="F992" s="3">
        <f>B992/30.48</f>
        <v/>
      </c>
      <c r="G992" s="3">
        <f>D992/30.48</f>
        <v/>
      </c>
      <c r="H992" s="553" t="inlineStr">
        <is>
          <t>MCHD-PAC</t>
        </is>
      </c>
      <c r="I992" s="534" t="inlineStr">
        <is>
          <t>Regina Nelson</t>
        </is>
      </c>
      <c r="J992" s="545" t="n"/>
    </row>
    <row r="993" ht="17.25" customFormat="1" customHeight="1" s="1">
      <c r="A993" s="8" t="inlineStr">
        <is>
          <t>C 223</t>
        </is>
      </c>
      <c r="B993" s="5" t="n">
        <v>276</v>
      </c>
      <c r="C993" s="6" t="inlineStr">
        <is>
          <t>X</t>
        </is>
      </c>
      <c r="D993" s="5" t="n">
        <v>80</v>
      </c>
      <c r="E993" s="2">
        <f>B993*D993/10000</f>
        <v/>
      </c>
      <c r="F993" s="3">
        <f>B993/30.48</f>
        <v/>
      </c>
      <c r="G993" s="3">
        <f>D993/30.48</f>
        <v/>
      </c>
      <c r="H993" s="553" t="inlineStr">
        <is>
          <t>MCHD-PAC</t>
        </is>
      </c>
      <c r="I993" s="534" t="inlineStr">
        <is>
          <t>Ben Sargison</t>
        </is>
      </c>
      <c r="J993" s="545" t="inlineStr">
        <is>
          <t>UK-7971 409 427</t>
        </is>
      </c>
    </row>
    <row r="994" ht="17.25" customFormat="1" customHeight="1" s="1">
      <c r="A994" s="8" t="n">
        <v>1281</v>
      </c>
      <c r="B994" s="5" t="n">
        <v>53</v>
      </c>
      <c r="C994" s="72" t="inlineStr">
        <is>
          <t>X</t>
        </is>
      </c>
      <c r="D994" s="5" t="n">
        <v>88</v>
      </c>
      <c r="E994" s="73">
        <f>B994*D994/10000</f>
        <v/>
      </c>
      <c r="F994" s="74">
        <f>B994/30.48</f>
        <v/>
      </c>
      <c r="G994" s="74">
        <f>D994/30.48</f>
        <v/>
      </c>
      <c r="H994" s="553" t="inlineStr">
        <is>
          <t>MCHD-PAC</t>
        </is>
      </c>
      <c r="I994" s="570" t="inlineStr">
        <is>
          <t>Shira Gill</t>
        </is>
      </c>
      <c r="J994" s="557" t="inlineStr">
        <is>
          <t>US-510 227 9754</t>
        </is>
      </c>
    </row>
    <row r="995">
      <c r="A995" s="536" t="inlineStr">
        <is>
          <t>-2023 AĞUSTOS-83</t>
        </is>
      </c>
      <c r="H995" s="62" t="inlineStr">
        <is>
          <t>SATAN-SİTE</t>
        </is>
      </c>
      <c r="I995" s="98" t="inlineStr">
        <is>
          <t>MÜŞTERİ ADI</t>
        </is>
      </c>
      <c r="J995" s="63" t="inlineStr">
        <is>
          <t>MÜŞTERİ İLETİŞİM &amp; ÜLKE</t>
        </is>
      </c>
    </row>
    <row r="996" ht="17.25" customFormat="1" customHeight="1" s="1">
      <c r="A996" s="8" t="inlineStr">
        <is>
          <t>A 146</t>
        </is>
      </c>
      <c r="B996" s="5" t="n">
        <v>86</v>
      </c>
      <c r="C996" s="72" t="inlineStr">
        <is>
          <t>X</t>
        </is>
      </c>
      <c r="D996" s="5" t="n">
        <v>316</v>
      </c>
      <c r="E996" s="73">
        <f>B996*D996/10000</f>
        <v/>
      </c>
      <c r="F996" s="74">
        <f>B996/30.48</f>
        <v/>
      </c>
      <c r="G996" s="74">
        <f>D996/30.48</f>
        <v/>
      </c>
      <c r="H996" s="503" t="inlineStr">
        <is>
          <t>MCHD-VR</t>
        </is>
      </c>
      <c r="I996" s="570" t="inlineStr">
        <is>
          <t>Courtney allen</t>
        </is>
      </c>
      <c r="J996" s="557" t="n"/>
    </row>
    <row r="997" ht="17.25" customFormat="1" customHeight="1" s="1">
      <c r="A997" s="8" t="n">
        <v>1560</v>
      </c>
      <c r="B997" s="5" t="n">
        <v>259</v>
      </c>
      <c r="C997" s="72" t="inlineStr">
        <is>
          <t>X</t>
        </is>
      </c>
      <c r="D997" s="5" t="n">
        <v>64</v>
      </c>
      <c r="E997" s="73">
        <f>B997*D997/10000</f>
        <v/>
      </c>
      <c r="F997" s="74">
        <f>B997/30.48</f>
        <v/>
      </c>
      <c r="G997" s="74">
        <f>D997/30.48</f>
        <v/>
      </c>
      <c r="H997" s="553" t="inlineStr">
        <is>
          <t>MCHD-PAC</t>
        </is>
      </c>
      <c r="I997" s="570" t="inlineStr">
        <is>
          <t>A.J. Cirignano</t>
        </is>
      </c>
      <c r="J997" s="557" t="n"/>
    </row>
    <row r="998" ht="17.25" customFormat="1" customHeight="1" s="1">
      <c r="A998" s="8" t="inlineStr">
        <is>
          <t>C 515</t>
        </is>
      </c>
      <c r="B998" s="5" t="n">
        <v>85</v>
      </c>
      <c r="C998" s="6" t="inlineStr">
        <is>
          <t>X</t>
        </is>
      </c>
      <c r="D998" s="5" t="n">
        <v>281</v>
      </c>
      <c r="E998" s="2">
        <f>B998*D998/10000</f>
        <v/>
      </c>
      <c r="F998" s="3">
        <f>B998/30.48</f>
        <v/>
      </c>
      <c r="G998" s="3">
        <f>D998/30.48</f>
        <v/>
      </c>
      <c r="H998" s="553" t="inlineStr">
        <is>
          <t>MCHD-PAC</t>
        </is>
      </c>
      <c r="I998" s="349" t="inlineStr">
        <is>
          <t>Julie Rendle</t>
        </is>
      </c>
      <c r="J998" s="557" t="inlineStr">
        <is>
          <t>US-925 437 2183</t>
        </is>
      </c>
    </row>
    <row r="999" ht="17.25" customFormat="1" customHeight="1" s="1">
      <c r="A999" s="8" t="inlineStr">
        <is>
          <t>C 841</t>
        </is>
      </c>
      <c r="B999" s="5" t="n">
        <v>79</v>
      </c>
      <c r="C999" s="6" t="inlineStr">
        <is>
          <t>X</t>
        </is>
      </c>
      <c r="D999" s="5" t="n">
        <v>300</v>
      </c>
      <c r="E999" s="2">
        <f>B999*D999/10000</f>
        <v/>
      </c>
      <c r="F999" s="3">
        <f>B999/30.48</f>
        <v/>
      </c>
      <c r="G999" s="3">
        <f>D999/30.48</f>
        <v/>
      </c>
      <c r="H999" s="66" t="inlineStr">
        <is>
          <t>MCHD-TR</t>
        </is>
      </c>
      <c r="I999" s="693" t="n"/>
      <c r="J999" s="693" t="n"/>
    </row>
    <row r="1000" ht="17.25" customFormat="1" customHeight="1" s="1">
      <c r="A1000" s="8" t="inlineStr">
        <is>
          <t>A 88</t>
        </is>
      </c>
      <c r="B1000" s="5" t="n">
        <v>110</v>
      </c>
      <c r="C1000" s="72" t="inlineStr">
        <is>
          <t>X</t>
        </is>
      </c>
      <c r="D1000" s="5" t="n">
        <v>164</v>
      </c>
      <c r="E1000" s="73">
        <f>B1000*D1000/10000</f>
        <v/>
      </c>
      <c r="F1000" s="74">
        <f>B1000/30.48</f>
        <v/>
      </c>
      <c r="G1000" s="74">
        <f>D1000/30.48</f>
        <v/>
      </c>
      <c r="H1000" s="694" t="n"/>
      <c r="I1000" s="694" t="n"/>
      <c r="J1000" s="694" t="n"/>
    </row>
    <row r="1001" ht="17.25" customFormat="1" customHeight="1" s="1">
      <c r="A1001" s="8" t="inlineStr">
        <is>
          <t>A 97</t>
        </is>
      </c>
      <c r="B1001" s="5" t="n">
        <v>90</v>
      </c>
      <c r="C1001" s="6" t="inlineStr">
        <is>
          <t>X</t>
        </is>
      </c>
      <c r="D1001" s="5" t="n">
        <v>364</v>
      </c>
      <c r="E1001" s="2">
        <f>B1001*D1001/10000</f>
        <v/>
      </c>
      <c r="F1001" s="3">
        <f>B1001/30.48</f>
        <v/>
      </c>
      <c r="G1001" s="3">
        <f>D1001/30.48</f>
        <v/>
      </c>
      <c r="H1001" s="594" t="inlineStr">
        <is>
          <t>MCHD-TR</t>
        </is>
      </c>
      <c r="I1001" s="534" t="inlineStr">
        <is>
          <t>Amy Lee</t>
        </is>
      </c>
      <c r="J1001" s="545" t="inlineStr">
        <is>
          <t>US-704 274 3606</t>
        </is>
      </c>
    </row>
    <row r="1002" ht="17.25" customFormat="1" customHeight="1" s="1">
      <c r="A1002" s="8" t="n">
        <v>1089</v>
      </c>
      <c r="B1002" s="5" t="n">
        <v>90</v>
      </c>
      <c r="C1002" s="72" t="inlineStr">
        <is>
          <t>X</t>
        </is>
      </c>
      <c r="D1002" s="5" t="n">
        <v>341</v>
      </c>
      <c r="E1002" s="73">
        <f>B1002*D1002/10000</f>
        <v/>
      </c>
      <c r="F1002" s="74">
        <f>B1002/30.48</f>
        <v/>
      </c>
      <c r="G1002" s="74">
        <f>D1002/30.48</f>
        <v/>
      </c>
      <c r="H1002" s="594" t="inlineStr">
        <is>
          <t>MCHD-TR</t>
        </is>
      </c>
      <c r="I1002" s="570" t="inlineStr">
        <is>
          <t>meagan wernikoff</t>
        </is>
      </c>
      <c r="J1002" s="557" t="inlineStr">
        <is>
          <t>US-504 782 9664</t>
        </is>
      </c>
    </row>
    <row r="1003" ht="17.25" customFormat="1" customHeight="1" s="1">
      <c r="A1003" s="8" t="n">
        <v>1702</v>
      </c>
      <c r="B1003" s="5" t="n">
        <v>283</v>
      </c>
      <c r="C1003" s="72" t="inlineStr">
        <is>
          <t>X</t>
        </is>
      </c>
      <c r="D1003" s="5" t="n">
        <v>378</v>
      </c>
      <c r="E1003" s="73">
        <f>B1003*D1003/10000</f>
        <v/>
      </c>
      <c r="F1003" s="74">
        <f>B1003/30.48</f>
        <v/>
      </c>
      <c r="G1003" s="74">
        <f>D1003/30.48</f>
        <v/>
      </c>
      <c r="H1003" s="594" t="inlineStr">
        <is>
          <t>MCHD-TR</t>
        </is>
      </c>
      <c r="I1003" s="570" t="inlineStr">
        <is>
          <t>Amanda Haga</t>
        </is>
      </c>
      <c r="J1003" s="557" t="inlineStr">
        <is>
          <t>US-256 498 1235</t>
        </is>
      </c>
    </row>
    <row r="1004" ht="17.25" customFormat="1" customHeight="1" s="1">
      <c r="A1004" s="8" t="inlineStr">
        <is>
          <t>C 753</t>
        </is>
      </c>
      <c r="B1004" s="5" t="n">
        <v>162</v>
      </c>
      <c r="C1004" s="6" t="inlineStr">
        <is>
          <t>X</t>
        </is>
      </c>
      <c r="D1004" s="5" t="n">
        <v>254</v>
      </c>
      <c r="E1004" s="2">
        <f>B1004*D1004/10000</f>
        <v/>
      </c>
      <c r="F1004" s="3">
        <f>B1004/30.48</f>
        <v/>
      </c>
      <c r="G1004" s="3">
        <f>D1004/30.48</f>
        <v/>
      </c>
      <c r="H1004" s="594" t="inlineStr">
        <is>
          <t>MCHD-TR</t>
        </is>
      </c>
      <c r="I1004" s="570" t="inlineStr">
        <is>
          <t>Kristen Stigler</t>
        </is>
      </c>
      <c r="J1004" s="557" t="n"/>
    </row>
    <row r="1005" ht="17.25" customFormat="1" customHeight="1" s="1">
      <c r="A1005" s="8" t="inlineStr">
        <is>
          <t>A 195</t>
        </is>
      </c>
      <c r="B1005" s="5" t="n">
        <v>298</v>
      </c>
      <c r="C1005" s="6" t="inlineStr">
        <is>
          <t>X</t>
        </is>
      </c>
      <c r="D1005" s="5" t="n">
        <v>379</v>
      </c>
      <c r="E1005" s="2">
        <f>B1005*D1005/10000</f>
        <v/>
      </c>
      <c r="F1005" s="3">
        <f>B1005/30.48</f>
        <v/>
      </c>
      <c r="G1005" s="3">
        <f>D1005/30.48</f>
        <v/>
      </c>
      <c r="H1005" s="594" t="inlineStr">
        <is>
          <t>MCHD-TR</t>
        </is>
      </c>
      <c r="I1005" s="570" t="inlineStr">
        <is>
          <t>Shawna Michaels</t>
        </is>
      </c>
      <c r="J1005" s="557" t="n"/>
    </row>
    <row r="1006" ht="17.25" customFormat="1" customHeight="1" s="1">
      <c r="A1006" s="8" t="n">
        <v>79</v>
      </c>
      <c r="B1006" s="5" t="n">
        <v>284</v>
      </c>
      <c r="C1006" s="6" t="inlineStr">
        <is>
          <t>X</t>
        </is>
      </c>
      <c r="D1006" s="5" t="n">
        <v>178</v>
      </c>
      <c r="E1006" s="2">
        <f>B1006*D1006/10000</f>
        <v/>
      </c>
      <c r="F1006" s="3">
        <f>B1006/30.48</f>
        <v/>
      </c>
      <c r="G1006" s="3">
        <f>D1006/30.48</f>
        <v/>
      </c>
      <c r="H1006" s="594" t="inlineStr">
        <is>
          <t>MCHD-TR</t>
        </is>
      </c>
      <c r="I1006" s="570" t="inlineStr">
        <is>
          <t>Hayley Jenkins</t>
        </is>
      </c>
      <c r="J1006" s="557" t="inlineStr">
        <is>
          <t>US-410 490 6660</t>
        </is>
      </c>
    </row>
    <row r="1007" ht="17.25" customFormat="1" customHeight="1" s="1">
      <c r="A1007" s="8" t="n">
        <v>1574</v>
      </c>
      <c r="B1007" s="5" t="n">
        <v>308</v>
      </c>
      <c r="C1007" s="72" t="inlineStr">
        <is>
          <t>X</t>
        </is>
      </c>
      <c r="D1007" s="5" t="n">
        <v>118</v>
      </c>
      <c r="E1007" s="73">
        <f>B1007*D1007/10000</f>
        <v/>
      </c>
      <c r="F1007" s="74">
        <f>B1007/30.48</f>
        <v/>
      </c>
      <c r="G1007" s="74">
        <f>D1007/30.48</f>
        <v/>
      </c>
      <c r="H1007" s="553" t="inlineStr">
        <is>
          <t>MCHD-PAC</t>
        </is>
      </c>
      <c r="I1007" s="534" t="inlineStr">
        <is>
          <t>Katie Graham</t>
        </is>
      </c>
      <c r="J1007" s="545" t="n"/>
    </row>
    <row r="1008" ht="17.25" customFormat="1" customHeight="1" s="1">
      <c r="A1008" s="8" t="inlineStr">
        <is>
          <t>C 626</t>
        </is>
      </c>
      <c r="B1008" s="5" t="n">
        <v>113</v>
      </c>
      <c r="C1008" s="6" t="inlineStr">
        <is>
          <t>X</t>
        </is>
      </c>
      <c r="D1008" s="5" t="n">
        <v>203</v>
      </c>
      <c r="E1008" s="2">
        <f>B1008*D1008/10000</f>
        <v/>
      </c>
      <c r="F1008" s="3">
        <f>B1008/30.48</f>
        <v/>
      </c>
      <c r="G1008" s="3">
        <f>D1008/30.48</f>
        <v/>
      </c>
      <c r="H1008" s="594" t="inlineStr">
        <is>
          <t>MCHD-TR</t>
        </is>
      </c>
      <c r="I1008" s="570" t="inlineStr">
        <is>
          <t>Sharon Gilbert</t>
        </is>
      </c>
      <c r="J1008" s="102" t="inlineStr">
        <is>
          <t>US-205 243 1320</t>
        </is>
      </c>
    </row>
    <row r="1009" ht="17.25" customFormat="1" customHeight="1" s="1">
      <c r="A1009" s="8" t="inlineStr">
        <is>
          <t>A 32</t>
        </is>
      </c>
      <c r="B1009" s="5" t="n">
        <v>58</v>
      </c>
      <c r="C1009" s="6" t="inlineStr">
        <is>
          <t>X</t>
        </is>
      </c>
      <c r="D1009" s="5" t="n">
        <v>146</v>
      </c>
      <c r="E1009" s="2">
        <f>B1009*D1009/10000</f>
        <v/>
      </c>
      <c r="F1009" s="3">
        <f>B1009/30.48</f>
        <v/>
      </c>
      <c r="G1009" s="3">
        <f>D1009/30.48</f>
        <v/>
      </c>
      <c r="H1009" s="66" t="inlineStr">
        <is>
          <t>MCHD-TR</t>
        </is>
      </c>
      <c r="I1009" s="570" t="inlineStr">
        <is>
          <t>Michelle Cohen</t>
        </is>
      </c>
      <c r="J1009" s="557" t="inlineStr">
        <is>
          <t>US-949 903 3111</t>
        </is>
      </c>
    </row>
    <row r="1010" ht="17.25" customFormat="1" customHeight="1" s="1">
      <c r="A1010" s="8" t="inlineStr">
        <is>
          <t>A 36</t>
        </is>
      </c>
      <c r="B1010" s="5" t="n">
        <v>55</v>
      </c>
      <c r="C1010" s="6" t="inlineStr">
        <is>
          <t>X</t>
        </is>
      </c>
      <c r="D1010" s="5" t="n">
        <v>181</v>
      </c>
      <c r="E1010" s="2">
        <f>B1010*D1010/10000</f>
        <v/>
      </c>
      <c r="F1010" s="3">
        <f>B1010/30.48</f>
        <v/>
      </c>
      <c r="G1010" s="3">
        <f>D1010/30.48</f>
        <v/>
      </c>
      <c r="H1010" s="694" t="n"/>
      <c r="I1010" s="694" t="n"/>
      <c r="J1010" s="694" t="n"/>
    </row>
    <row r="1011" ht="17.25" customFormat="1" customHeight="1" s="1">
      <c r="A1011" s="8" t="inlineStr">
        <is>
          <t>Y 90</t>
        </is>
      </c>
      <c r="B1011" s="5" t="n">
        <v>296</v>
      </c>
      <c r="C1011" s="6" t="inlineStr">
        <is>
          <t>X</t>
        </is>
      </c>
      <c r="D1011" s="5" t="n">
        <v>96</v>
      </c>
      <c r="E1011" s="2">
        <f>B1011*D1011/10000</f>
        <v/>
      </c>
      <c r="F1011" s="3">
        <f>B1011/30.48</f>
        <v/>
      </c>
      <c r="G1011" s="3">
        <f>D1011/30.48</f>
        <v/>
      </c>
      <c r="H1011" s="16" t="inlineStr">
        <is>
          <t>MCHD-OLD</t>
        </is>
      </c>
      <c r="I1011" s="570" t="inlineStr">
        <is>
          <t>Hayley Landsberg</t>
        </is>
      </c>
      <c r="J1011" s="557" t="inlineStr">
        <is>
          <t>US-310 882 3105</t>
        </is>
      </c>
    </row>
    <row r="1012" ht="17.25" customFormat="1" customHeight="1" s="1">
      <c r="A1012" s="8" t="n">
        <v>1572</v>
      </c>
      <c r="B1012" s="5" t="n">
        <v>135</v>
      </c>
      <c r="C1012" s="72" t="inlineStr">
        <is>
          <t>X</t>
        </is>
      </c>
      <c r="D1012" s="5" t="n">
        <v>83</v>
      </c>
      <c r="E1012" s="73">
        <f>B1012*D1012/10000</f>
        <v/>
      </c>
      <c r="F1012" s="74">
        <f>B1012/30.48</f>
        <v/>
      </c>
      <c r="G1012" s="74">
        <f>D1012/30.48</f>
        <v/>
      </c>
      <c r="H1012" s="553" t="inlineStr">
        <is>
          <t>MCHD-PAC</t>
        </is>
      </c>
      <c r="I1012" s="570" t="inlineStr">
        <is>
          <t>Graci Interiors</t>
        </is>
      </c>
      <c r="J1012" s="557" t="n"/>
    </row>
    <row r="1013" ht="17.25" customFormat="1" customHeight="1" s="1">
      <c r="A1013" s="8" t="inlineStr">
        <is>
          <t>Y 891</t>
        </is>
      </c>
      <c r="B1013" s="5" t="n">
        <v>94</v>
      </c>
      <c r="C1013" s="6" t="inlineStr">
        <is>
          <t>X</t>
        </is>
      </c>
      <c r="D1013" s="5" t="n">
        <v>70</v>
      </c>
      <c r="E1013" s="2">
        <f>B1013*D1013/10000</f>
        <v/>
      </c>
      <c r="F1013" s="3">
        <f>B1013/30.48</f>
        <v/>
      </c>
      <c r="G1013" s="3">
        <f>D1013/30.48</f>
        <v/>
      </c>
      <c r="H1013" s="18" t="inlineStr">
        <is>
          <t>MCHD-TH</t>
        </is>
      </c>
      <c r="I1013" s="534" t="inlineStr">
        <is>
          <t>ann stone</t>
        </is>
      </c>
      <c r="J1013" s="545" t="n"/>
    </row>
    <row r="1014" ht="17.25" customFormat="1" customHeight="1" s="1">
      <c r="A1014" s="8" t="n">
        <v>1593</v>
      </c>
      <c r="B1014" s="5" t="n">
        <v>363</v>
      </c>
      <c r="C1014" s="72" t="inlineStr">
        <is>
          <t>X</t>
        </is>
      </c>
      <c r="D1014" s="5" t="n">
        <v>119</v>
      </c>
      <c r="E1014" s="73">
        <f>B1014*D1014/10000</f>
        <v/>
      </c>
      <c r="F1014" s="74">
        <f>B1014/30.48</f>
        <v/>
      </c>
      <c r="G1014" s="74">
        <f>D1014/30.48</f>
        <v/>
      </c>
      <c r="H1014" s="37" t="inlineStr">
        <is>
          <t>MCHD-PAC</t>
        </is>
      </c>
      <c r="I1014" s="570" t="inlineStr">
        <is>
          <t>lia aguirre</t>
        </is>
      </c>
      <c r="J1014" s="557" t="inlineStr">
        <is>
          <t>US-435 659 0872</t>
        </is>
      </c>
    </row>
    <row r="1015" ht="17.25" customFormat="1" customHeight="1" s="1">
      <c r="A1015" s="8" t="n">
        <v>1445</v>
      </c>
      <c r="B1015" s="5" t="n">
        <v>116</v>
      </c>
      <c r="C1015" s="72" t="inlineStr">
        <is>
          <t>X</t>
        </is>
      </c>
      <c r="D1015" s="5" t="n">
        <v>377</v>
      </c>
      <c r="E1015" s="73">
        <f>B1015*D1015/10000</f>
        <v/>
      </c>
      <c r="F1015" s="74">
        <f>B1015/30.48</f>
        <v/>
      </c>
      <c r="G1015" s="74">
        <f>D1015/30.48</f>
        <v/>
      </c>
      <c r="H1015" s="694" t="n"/>
      <c r="I1015" s="694" t="n"/>
      <c r="J1015" s="694" t="n"/>
    </row>
    <row r="1016" ht="17.25" customFormat="1" customHeight="1" s="1">
      <c r="A1016" s="8" t="inlineStr">
        <is>
          <t>C 953</t>
        </is>
      </c>
      <c r="B1016" s="5" t="n">
        <v>61</v>
      </c>
      <c r="C1016" s="6" t="inlineStr">
        <is>
          <t>X</t>
        </is>
      </c>
      <c r="D1016" s="5" t="n">
        <v>117</v>
      </c>
      <c r="E1016" s="2">
        <f>B1016*D1016/10000</f>
        <v/>
      </c>
      <c r="F1016" s="3">
        <f>B1016/30.48</f>
        <v/>
      </c>
      <c r="G1016" s="3">
        <f>D1016/30.48</f>
        <v/>
      </c>
      <c r="H1016" s="553" t="inlineStr">
        <is>
          <t>MCHD-PAC</t>
        </is>
      </c>
      <c r="I1016" s="570" t="inlineStr">
        <is>
          <t>Morgan Barnard</t>
        </is>
      </c>
      <c r="J1016" s="557" t="n"/>
    </row>
    <row r="1017" ht="17.25" customFormat="1" customHeight="1" s="1">
      <c r="A1017" s="8" t="inlineStr">
        <is>
          <t>C 562</t>
        </is>
      </c>
      <c r="B1017" s="5" t="n">
        <v>100</v>
      </c>
      <c r="C1017" s="6" t="inlineStr">
        <is>
          <t>X</t>
        </is>
      </c>
      <c r="D1017" s="5" t="n">
        <v>344</v>
      </c>
      <c r="E1017" s="2">
        <f>B1017*D1017/10000</f>
        <v/>
      </c>
      <c r="F1017" s="3">
        <f>B1017/30.48</f>
        <v/>
      </c>
      <c r="G1017" s="3">
        <f>D1017/30.48</f>
        <v/>
      </c>
      <c r="H1017" s="594" t="inlineStr">
        <is>
          <t>MCHD-TR</t>
        </is>
      </c>
      <c r="I1017" s="570" t="inlineStr">
        <is>
          <t>DSGNRSMOVINGSRVC BrophyHeinke</t>
        </is>
      </c>
      <c r="J1017" s="557" t="n"/>
    </row>
    <row r="1018" ht="17.25" customFormat="1" customHeight="1" s="1">
      <c r="A1018" s="8" t="inlineStr">
        <is>
          <t>C 187</t>
        </is>
      </c>
      <c r="B1018" s="5" t="n">
        <v>321</v>
      </c>
      <c r="C1018" s="6" t="inlineStr">
        <is>
          <t>X</t>
        </is>
      </c>
      <c r="D1018" s="5" t="n">
        <v>112</v>
      </c>
      <c r="E1018" s="2">
        <f>B1018*D1018/10000</f>
        <v/>
      </c>
      <c r="F1018" s="3">
        <f>B1018/30.48</f>
        <v/>
      </c>
      <c r="G1018" s="3">
        <f>D1018/30.48</f>
        <v/>
      </c>
      <c r="H1018" s="594" t="inlineStr">
        <is>
          <t>MCHD-TR</t>
        </is>
      </c>
      <c r="I1018" s="570" t="inlineStr">
        <is>
          <t>Claire Straty</t>
        </is>
      </c>
      <c r="J1018" s="557" t="inlineStr">
        <is>
          <t>US-214 538 0067</t>
        </is>
      </c>
    </row>
    <row r="1019" ht="17.25" customHeight="1" s="305">
      <c r="A1019" s="8" t="inlineStr">
        <is>
          <t>D 242</t>
        </is>
      </c>
      <c r="B1019" s="5" t="n">
        <v>51</v>
      </c>
      <c r="C1019" s="72" t="inlineStr">
        <is>
          <t>X</t>
        </is>
      </c>
      <c r="D1019" s="5" t="n">
        <v>107</v>
      </c>
      <c r="E1019" s="73">
        <f>B1019*D1019/10000</f>
        <v/>
      </c>
      <c r="F1019" s="74">
        <f>B1019/30.48</f>
        <v/>
      </c>
      <c r="G1019" s="74">
        <f>D1019/30.48</f>
        <v/>
      </c>
      <c r="H1019" s="503" t="inlineStr">
        <is>
          <t>MCHD-VR</t>
        </is>
      </c>
      <c r="I1019" s="534" t="inlineStr">
        <is>
          <t>Kathryn Callender</t>
        </is>
      </c>
      <c r="J1019" s="545" t="inlineStr">
        <is>
          <t>US-312 287 4743</t>
        </is>
      </c>
    </row>
    <row r="1020" ht="17.25" customHeight="1" s="305">
      <c r="A1020" s="8" t="inlineStr">
        <is>
          <t>D 299</t>
        </is>
      </c>
      <c r="B1020" s="5" t="n">
        <v>58</v>
      </c>
      <c r="C1020" s="72" t="inlineStr">
        <is>
          <t>X</t>
        </is>
      </c>
      <c r="D1020" s="5" t="n">
        <v>85</v>
      </c>
      <c r="E1020" s="73">
        <f>B1020*D1020/10000</f>
        <v/>
      </c>
      <c r="F1020" s="74">
        <f>B1020/30.48</f>
        <v/>
      </c>
      <c r="G1020" s="74">
        <f>D1020/30.48</f>
        <v/>
      </c>
      <c r="H1020" s="16" t="inlineStr">
        <is>
          <t>MCHD-OLD</t>
        </is>
      </c>
      <c r="I1020" s="534" t="inlineStr">
        <is>
          <t>Baylie Berry</t>
        </is>
      </c>
      <c r="J1020" s="545" t="n"/>
      <c r="N1020" s="1" t="n"/>
      <c r="O1020" s="1" t="n"/>
    </row>
    <row r="1021" ht="16.5" customFormat="1" customHeight="1" s="1">
      <c r="A1021" s="8" t="n">
        <v>1113</v>
      </c>
      <c r="B1021" s="5" t="n">
        <v>85</v>
      </c>
      <c r="C1021" s="72" t="inlineStr">
        <is>
          <t>X</t>
        </is>
      </c>
      <c r="D1021" s="5" t="n">
        <v>115</v>
      </c>
      <c r="E1021" s="73">
        <f>B1021*D1021/10000</f>
        <v/>
      </c>
      <c r="F1021" s="74">
        <f>B1021/30.48</f>
        <v/>
      </c>
      <c r="G1021" s="74">
        <f>D1021/30.48</f>
        <v/>
      </c>
      <c r="H1021" s="553" t="inlineStr">
        <is>
          <t>MCHD-PAC</t>
        </is>
      </c>
      <c r="I1021" s="570" t="inlineStr">
        <is>
          <t>Jerusha Oleksiuk</t>
        </is>
      </c>
      <c r="J1021" s="557" t="inlineStr">
        <is>
          <t>US-571 334 1520</t>
        </is>
      </c>
    </row>
    <row r="1022" ht="17.25" customFormat="1" customHeight="1" s="1">
      <c r="A1022" s="8" t="n">
        <v>1101</v>
      </c>
      <c r="B1022" s="5" t="n">
        <v>80</v>
      </c>
      <c r="C1022" s="72" t="inlineStr">
        <is>
          <t>X</t>
        </is>
      </c>
      <c r="D1022" s="5" t="n">
        <v>237</v>
      </c>
      <c r="E1022" s="73">
        <f>B1022*D1022/10000</f>
        <v/>
      </c>
      <c r="F1022" s="74">
        <f>B1022/30.48</f>
        <v/>
      </c>
      <c r="G1022" s="74">
        <f>D1022/30.48</f>
        <v/>
      </c>
      <c r="H1022" s="553" t="inlineStr">
        <is>
          <t>MCHD-PAC</t>
        </is>
      </c>
      <c r="I1022" s="534" t="inlineStr">
        <is>
          <t>Sandi Elliott</t>
        </is>
      </c>
      <c r="J1022" s="545" t="inlineStr">
        <is>
          <t>US-802 310 0661</t>
        </is>
      </c>
    </row>
    <row r="1023" ht="17.25" customFormat="1" customHeight="1" s="1">
      <c r="A1023" s="8" t="n">
        <v>64</v>
      </c>
      <c r="B1023" s="5" t="n">
        <v>84</v>
      </c>
      <c r="C1023" s="6" t="inlineStr">
        <is>
          <t>X</t>
        </is>
      </c>
      <c r="D1023" s="5" t="n">
        <v>50</v>
      </c>
      <c r="E1023" s="2">
        <f>B1023*D1023/10000</f>
        <v/>
      </c>
      <c r="F1023" s="3">
        <f>B1023/30.48</f>
        <v/>
      </c>
      <c r="G1023" s="3">
        <f>D1023/30.48</f>
        <v/>
      </c>
      <c r="H1023" s="16" t="inlineStr">
        <is>
          <t>MCHD-OLD</t>
        </is>
      </c>
      <c r="I1023" s="570" t="inlineStr">
        <is>
          <t>Jeanette Hourany</t>
        </is>
      </c>
      <c r="J1023" s="557" t="inlineStr">
        <is>
          <t>US-843 610 9939</t>
        </is>
      </c>
    </row>
    <row r="1024" ht="17.25" customHeight="1" s="305">
      <c r="A1024" s="8" t="inlineStr">
        <is>
          <t>D 27</t>
        </is>
      </c>
      <c r="B1024" s="5" t="n">
        <v>53</v>
      </c>
      <c r="C1024" s="72" t="inlineStr">
        <is>
          <t>X</t>
        </is>
      </c>
      <c r="D1024" s="5" t="n">
        <v>103</v>
      </c>
      <c r="E1024" s="73">
        <f>B1024*D1024/10000</f>
        <v/>
      </c>
      <c r="F1024" s="74">
        <f>B1024/30.48</f>
        <v/>
      </c>
      <c r="G1024" s="74">
        <f>D1024/30.48</f>
        <v/>
      </c>
      <c r="H1024" s="503" t="inlineStr">
        <is>
          <t>MCHD-VR</t>
        </is>
      </c>
      <c r="I1024" s="570" t="inlineStr">
        <is>
          <t>Anna Edmondson</t>
        </is>
      </c>
      <c r="J1024" s="557" t="inlineStr">
        <is>
          <t>US-843 509 4125</t>
        </is>
      </c>
      <c r="M1024" s="1" t="n"/>
      <c r="N1024" s="1" t="n"/>
      <c r="O1024" s="1" t="n"/>
    </row>
    <row r="1025" ht="17.25" customFormat="1" customHeight="1" s="1">
      <c r="A1025" s="8" t="n">
        <v>1301</v>
      </c>
      <c r="B1025" s="5" t="n">
        <v>77</v>
      </c>
      <c r="C1025" s="72" t="inlineStr">
        <is>
          <t>X</t>
        </is>
      </c>
      <c r="D1025" s="5" t="n">
        <v>268</v>
      </c>
      <c r="E1025" s="73">
        <f>B1025*D1025/10000</f>
        <v/>
      </c>
      <c r="F1025" s="74">
        <f>B1025/30.48</f>
        <v/>
      </c>
      <c r="G1025" s="74">
        <f>D1025/30.48</f>
        <v/>
      </c>
      <c r="H1025" s="37" t="inlineStr">
        <is>
          <t>MCHD-PAC</t>
        </is>
      </c>
      <c r="I1025" s="349" t="inlineStr">
        <is>
          <t>Alyssa Wachter</t>
        </is>
      </c>
      <c r="J1025" s="557" t="inlineStr">
        <is>
          <t>US-817 201 4355</t>
        </is>
      </c>
    </row>
    <row r="1026" ht="17.25" customFormat="1" customHeight="1" s="1">
      <c r="A1026" s="8" t="n">
        <v>1610</v>
      </c>
      <c r="B1026" s="5" t="n">
        <v>384</v>
      </c>
      <c r="C1026" s="72" t="inlineStr">
        <is>
          <t>X</t>
        </is>
      </c>
      <c r="D1026" s="5" t="n">
        <v>85</v>
      </c>
      <c r="E1026" s="73">
        <f>B1026*D1026/10000</f>
        <v/>
      </c>
      <c r="F1026" s="74">
        <f>B1026/30.48</f>
        <v/>
      </c>
      <c r="G1026" s="74">
        <f>D1026/30.48</f>
        <v/>
      </c>
      <c r="H1026" s="693" t="n"/>
      <c r="I1026" s="693" t="n"/>
      <c r="J1026" s="693" t="n"/>
    </row>
    <row r="1027" ht="17.25" customFormat="1" customHeight="1" s="1">
      <c r="A1027" s="8" t="inlineStr">
        <is>
          <t>C 522</t>
        </is>
      </c>
      <c r="B1027" s="5" t="n">
        <v>90</v>
      </c>
      <c r="C1027" s="6" t="inlineStr">
        <is>
          <t>X</t>
        </is>
      </c>
      <c r="D1027" s="5" t="n">
        <v>393</v>
      </c>
      <c r="E1027" s="2">
        <f>B1027*D1027/10000</f>
        <v/>
      </c>
      <c r="F1027" s="3">
        <f>B1027/30.48</f>
        <v/>
      </c>
      <c r="G1027" s="3">
        <f>D1027/30.48</f>
        <v/>
      </c>
      <c r="H1027" s="694" t="n"/>
      <c r="I1027" s="694" t="n"/>
      <c r="J1027" s="694" t="n"/>
    </row>
    <row r="1028" ht="17.25" customFormat="1" customHeight="1" s="1">
      <c r="A1028" s="8" t="inlineStr">
        <is>
          <t>A 140</t>
        </is>
      </c>
      <c r="B1028" s="5" t="n">
        <v>103</v>
      </c>
      <c r="C1028" s="6" t="inlineStr">
        <is>
          <t>X</t>
        </is>
      </c>
      <c r="D1028" s="5" t="n">
        <v>189</v>
      </c>
      <c r="E1028" s="2">
        <f>B1028*D1028/10000</f>
        <v/>
      </c>
      <c r="F1028" s="3">
        <f>B1028/30.48</f>
        <v/>
      </c>
      <c r="G1028" s="3">
        <f>D1028/30.48</f>
        <v/>
      </c>
      <c r="H1028" s="66" t="inlineStr">
        <is>
          <t>MCHD-TR</t>
        </is>
      </c>
      <c r="I1028" s="570" t="inlineStr">
        <is>
          <t>Aimee Gordon</t>
        </is>
      </c>
      <c r="J1028" s="557" t="inlineStr">
        <is>
          <t>US-917 755 2156</t>
        </is>
      </c>
    </row>
    <row r="1029" ht="17.25" customFormat="1" customHeight="1" s="1">
      <c r="A1029" s="8" t="inlineStr">
        <is>
          <t>Y 856</t>
        </is>
      </c>
      <c r="B1029" s="5" t="n">
        <v>216</v>
      </c>
      <c r="C1029" s="6" t="inlineStr">
        <is>
          <t>X</t>
        </is>
      </c>
      <c r="D1029" s="5" t="n">
        <v>131</v>
      </c>
      <c r="E1029" s="2">
        <f>B1029*D1029/10000</f>
        <v/>
      </c>
      <c r="F1029" s="3">
        <f>B1029/30.48</f>
        <v/>
      </c>
      <c r="G1029" s="3">
        <f>D1029/30.48</f>
        <v/>
      </c>
      <c r="H1029" s="694" t="n"/>
      <c r="I1029" s="694" t="n"/>
      <c r="J1029" s="694" t="n"/>
    </row>
    <row r="1030" ht="17.25" customFormat="1" customHeight="1" s="1">
      <c r="A1030" s="8" t="inlineStr">
        <is>
          <t>A 117</t>
        </is>
      </c>
      <c r="B1030" s="5" t="n">
        <v>68</v>
      </c>
      <c r="C1030" s="6" t="inlineStr">
        <is>
          <t>X</t>
        </is>
      </c>
      <c r="D1030" s="5" t="n">
        <v>182</v>
      </c>
      <c r="E1030" s="2">
        <f>B1030*D1030/10000</f>
        <v/>
      </c>
      <c r="F1030" s="3">
        <f>B1030/30.48</f>
        <v/>
      </c>
      <c r="G1030" s="3">
        <f>D1030/30.48</f>
        <v/>
      </c>
      <c r="H1030" s="594" t="inlineStr">
        <is>
          <t>MCHD-TR</t>
        </is>
      </c>
      <c r="I1030" s="570" t="inlineStr">
        <is>
          <t>Jalilia Abdul-Brown</t>
        </is>
      </c>
      <c r="J1030" s="557" t="n"/>
    </row>
    <row r="1031" ht="17.25" customFormat="1" customHeight="1" s="1">
      <c r="A1031" s="8" t="n">
        <v>1436</v>
      </c>
      <c r="B1031" s="5" t="n">
        <v>69</v>
      </c>
      <c r="C1031" s="72" t="inlineStr">
        <is>
          <t>X</t>
        </is>
      </c>
      <c r="D1031" s="5" t="n">
        <v>189</v>
      </c>
      <c r="E1031" s="73">
        <f>B1031*D1031/10000</f>
        <v/>
      </c>
      <c r="F1031" s="74">
        <f>B1031/30.48</f>
        <v/>
      </c>
      <c r="G1031" s="74">
        <f>D1031/30.48</f>
        <v/>
      </c>
      <c r="H1031" s="594" t="inlineStr">
        <is>
          <t>MCHD-TR</t>
        </is>
      </c>
      <c r="I1031" s="534" t="inlineStr">
        <is>
          <t>Allison Hollon</t>
        </is>
      </c>
      <c r="J1031" s="545" t="n"/>
    </row>
    <row r="1032" ht="17.25" customFormat="1" customHeight="1" s="1">
      <c r="A1032" s="8" t="inlineStr">
        <is>
          <t>C 3</t>
        </is>
      </c>
      <c r="B1032" s="5" t="n">
        <v>347</v>
      </c>
      <c r="C1032" s="6" t="inlineStr">
        <is>
          <t>X</t>
        </is>
      </c>
      <c r="D1032" s="5" t="n">
        <v>91</v>
      </c>
      <c r="E1032" s="2">
        <f>B1032*D1032/10000</f>
        <v/>
      </c>
      <c r="F1032" s="3">
        <f>B1032/30.48</f>
        <v/>
      </c>
      <c r="G1032" s="3">
        <f>D1032/30.48</f>
        <v/>
      </c>
      <c r="H1032" s="553" t="inlineStr">
        <is>
          <t>MCHD-PAC</t>
        </is>
      </c>
      <c r="I1032" s="80" t="inlineStr">
        <is>
          <t>Carolyn Smith</t>
        </is>
      </c>
      <c r="J1032" s="557" t="n"/>
    </row>
    <row r="1033" ht="17.25" customFormat="1" customHeight="1" s="1">
      <c r="A1033" s="8" t="n">
        <v>1416</v>
      </c>
      <c r="B1033" s="5" t="n">
        <v>78</v>
      </c>
      <c r="C1033" s="72" t="inlineStr">
        <is>
          <t>X</t>
        </is>
      </c>
      <c r="D1033" s="5" t="n">
        <v>338</v>
      </c>
      <c r="E1033" s="73">
        <f>B1033*D1033/10000</f>
        <v/>
      </c>
      <c r="F1033" s="74">
        <f>B1033/30.48</f>
        <v/>
      </c>
      <c r="G1033" s="74">
        <f>D1033/30.48</f>
        <v/>
      </c>
      <c r="H1033" s="594" t="inlineStr">
        <is>
          <t>MCHD-TR</t>
        </is>
      </c>
      <c r="I1033" s="240" t="inlineStr">
        <is>
          <t>ATI REED</t>
        </is>
      </c>
      <c r="J1033" s="557" t="n"/>
    </row>
    <row r="1034" ht="17.25" customHeight="1" s="305">
      <c r="A1034" s="8" t="inlineStr">
        <is>
          <t>D 68</t>
        </is>
      </c>
      <c r="B1034" s="5" t="n">
        <v>44</v>
      </c>
      <c r="C1034" s="72" t="inlineStr">
        <is>
          <t>X</t>
        </is>
      </c>
      <c r="D1034" s="5" t="n">
        <v>86</v>
      </c>
      <c r="E1034" s="73">
        <f>B1034*D1034/10000</f>
        <v/>
      </c>
      <c r="F1034" s="74">
        <f>B1034/30.48</f>
        <v/>
      </c>
      <c r="G1034" s="74">
        <f>D1034/30.48</f>
        <v/>
      </c>
      <c r="H1034" s="16" t="inlineStr">
        <is>
          <t>MCHD-OLD</t>
        </is>
      </c>
      <c r="I1034" s="570" t="inlineStr">
        <is>
          <t>June Clark</t>
        </is>
      </c>
      <c r="J1034" s="557" t="inlineStr">
        <is>
          <t>US-404 520 5191</t>
        </is>
      </c>
      <c r="M1034" s="1" t="n"/>
      <c r="N1034" s="1" t="n"/>
      <c r="O1034" s="1" t="n"/>
      <c r="P1034" s="1" t="n"/>
    </row>
    <row r="1035" ht="17.25" customHeight="1" s="305">
      <c r="A1035" s="8" t="inlineStr">
        <is>
          <t>D 136</t>
        </is>
      </c>
      <c r="B1035" s="5" t="n">
        <v>51</v>
      </c>
      <c r="C1035" s="72" t="inlineStr">
        <is>
          <t>X</t>
        </is>
      </c>
      <c r="D1035" s="5" t="n">
        <v>108</v>
      </c>
      <c r="E1035" s="73">
        <f>B1035*D1035/10000</f>
        <v/>
      </c>
      <c r="F1035" s="74">
        <f>B1035/30.48</f>
        <v/>
      </c>
      <c r="G1035" s="74">
        <f>D1035/30.48</f>
        <v/>
      </c>
      <c r="H1035" s="503" t="inlineStr">
        <is>
          <t>MCHD-VR</t>
        </is>
      </c>
      <c r="I1035" s="570" t="inlineStr">
        <is>
          <t>Julia Rohrbach</t>
        </is>
      </c>
      <c r="J1035" s="557" t="n"/>
      <c r="M1035" s="1" t="n"/>
      <c r="P1035" s="1" t="n"/>
    </row>
    <row r="1036" ht="17.25" customFormat="1" customHeight="1" s="1">
      <c r="A1036" s="8" t="inlineStr">
        <is>
          <t>C 559</t>
        </is>
      </c>
      <c r="B1036" s="5" t="n">
        <v>135</v>
      </c>
      <c r="C1036" s="6" t="inlineStr">
        <is>
          <t>X</t>
        </is>
      </c>
      <c r="D1036" s="5" t="n">
        <v>228</v>
      </c>
      <c r="E1036" s="2">
        <f>B1036*D1036/10000</f>
        <v/>
      </c>
      <c r="F1036" s="3">
        <f>B1036/30.48</f>
        <v/>
      </c>
      <c r="G1036" s="3">
        <f>D1036/30.48</f>
        <v/>
      </c>
      <c r="H1036" s="594" t="inlineStr">
        <is>
          <t>MCHD-TR</t>
        </is>
      </c>
      <c r="I1036" s="570" t="inlineStr">
        <is>
          <t>Lauren Zaleski</t>
        </is>
      </c>
      <c r="J1036" s="557" t="n"/>
    </row>
    <row r="1037" ht="17.25" customFormat="1" customHeight="1" s="1">
      <c r="A1037" s="8" t="inlineStr">
        <is>
          <t>Y 847</t>
        </is>
      </c>
      <c r="B1037" s="5" t="n">
        <v>294</v>
      </c>
      <c r="C1037" s="6" t="inlineStr">
        <is>
          <t>X</t>
        </is>
      </c>
      <c r="D1037" s="5" t="n">
        <v>201</v>
      </c>
      <c r="E1037" s="2">
        <f>B1037*D1037/10000</f>
        <v/>
      </c>
      <c r="F1037" s="3">
        <f>B1037/30.48</f>
        <v/>
      </c>
      <c r="G1037" s="3">
        <f>D1037/30.48</f>
        <v/>
      </c>
      <c r="H1037" s="594" t="inlineStr">
        <is>
          <t>MCHD-TR</t>
        </is>
      </c>
      <c r="I1037" s="534" t="inlineStr">
        <is>
          <t>Austa Obringer</t>
        </is>
      </c>
      <c r="J1037" s="545" t="inlineStr">
        <is>
          <t>US-419 733 7281</t>
        </is>
      </c>
    </row>
    <row r="1038" ht="17.25" customFormat="1" customHeight="1" s="1">
      <c r="A1038" s="8" t="n">
        <v>1455</v>
      </c>
      <c r="B1038" s="5" t="n">
        <v>104</v>
      </c>
      <c r="C1038" s="72" t="inlineStr">
        <is>
          <t>X</t>
        </is>
      </c>
      <c r="D1038" s="5" t="n">
        <v>171</v>
      </c>
      <c r="E1038" s="73">
        <f>B1038*D1038/10000</f>
        <v/>
      </c>
      <c r="F1038" s="74">
        <f>B1038/30.48</f>
        <v/>
      </c>
      <c r="G1038" s="74">
        <f>D1038/30.48</f>
        <v/>
      </c>
      <c r="H1038" s="594" t="inlineStr">
        <is>
          <t>MCHD-TR</t>
        </is>
      </c>
      <c r="I1038" s="534" t="inlineStr">
        <is>
          <t>Jody McKitrick</t>
        </is>
      </c>
      <c r="J1038" s="101" t="inlineStr">
        <is>
          <t>USUS-703 203 2286</t>
        </is>
      </c>
    </row>
    <row r="1039" ht="17.25" customFormat="1" customHeight="1" s="1">
      <c r="A1039" s="8" t="n">
        <v>1196</v>
      </c>
      <c r="B1039" s="5" t="n">
        <v>91</v>
      </c>
      <c r="C1039" s="72" t="inlineStr">
        <is>
          <t>X</t>
        </is>
      </c>
      <c r="D1039" s="5" t="n">
        <v>201</v>
      </c>
      <c r="E1039" s="73">
        <f>B1039*D1039/10000</f>
        <v/>
      </c>
      <c r="F1039" s="74">
        <f>B1039/30.48</f>
        <v/>
      </c>
      <c r="G1039" s="74">
        <f>D1039/30.48</f>
        <v/>
      </c>
      <c r="H1039" s="594" t="inlineStr">
        <is>
          <t>MCHD-TR</t>
        </is>
      </c>
      <c r="I1039" s="570" t="inlineStr">
        <is>
          <t>Kayla Harrah</t>
        </is>
      </c>
      <c r="J1039" s="557" t="n"/>
    </row>
    <row r="1040" ht="17.25" customFormat="1" customHeight="1" s="1">
      <c r="A1040" s="8" t="inlineStr">
        <is>
          <t>A 187</t>
        </is>
      </c>
      <c r="B1040" s="5" t="n">
        <v>310</v>
      </c>
      <c r="C1040" s="6" t="inlineStr">
        <is>
          <t>X</t>
        </is>
      </c>
      <c r="D1040" s="5" t="n">
        <v>405</v>
      </c>
      <c r="E1040" s="2">
        <f>B1040*D1040/10000</f>
        <v/>
      </c>
      <c r="F1040" s="3">
        <f>B1040/30.48</f>
        <v/>
      </c>
      <c r="G1040" s="3">
        <f>D1040/30.48</f>
        <v/>
      </c>
      <c r="H1040" s="553" t="inlineStr">
        <is>
          <t>MCHD-PAC</t>
        </is>
      </c>
      <c r="I1040" s="534" t="inlineStr">
        <is>
          <t>Chandler Young</t>
        </is>
      </c>
      <c r="J1040" s="545" t="n"/>
    </row>
    <row r="1041" ht="17.25" customFormat="1" customHeight="1" s="1">
      <c r="A1041" s="8" t="inlineStr">
        <is>
          <t>C 333</t>
        </is>
      </c>
      <c r="B1041" s="5" t="n">
        <v>140</v>
      </c>
      <c r="C1041" s="6" t="inlineStr">
        <is>
          <t>X</t>
        </is>
      </c>
      <c r="D1041" s="5" t="n">
        <v>221</v>
      </c>
      <c r="E1041" s="2">
        <f>B1041*D1041/10000</f>
        <v/>
      </c>
      <c r="F1041" s="3">
        <f>B1041/30.48</f>
        <v/>
      </c>
      <c r="G1041" s="3">
        <f>D1041/30.48</f>
        <v/>
      </c>
      <c r="H1041" s="594" t="inlineStr">
        <is>
          <t>MCHD-TR</t>
        </is>
      </c>
      <c r="I1041" s="570" t="inlineStr">
        <is>
          <t>Holly Herring c/o Micah &amp; Co.</t>
        </is>
      </c>
      <c r="J1041" s="557" t="inlineStr">
        <is>
          <t>US-405 517 8423</t>
        </is>
      </c>
    </row>
    <row r="1042" ht="17.25" customHeight="1" s="305">
      <c r="A1042" s="8" t="inlineStr">
        <is>
          <t>D 282</t>
        </is>
      </c>
      <c r="B1042" s="5" t="n">
        <v>54</v>
      </c>
      <c r="C1042" s="72" t="inlineStr">
        <is>
          <t>X</t>
        </is>
      </c>
      <c r="D1042" s="5" t="n">
        <v>103</v>
      </c>
      <c r="E1042" s="73">
        <f>B1042*D1042/10000</f>
        <v/>
      </c>
      <c r="F1042" s="74">
        <f>B1042/30.48</f>
        <v/>
      </c>
      <c r="G1042" s="74">
        <f>D1042/30.48</f>
        <v/>
      </c>
      <c r="H1042" s="16" t="inlineStr">
        <is>
          <t>MCHD-OLD</t>
        </is>
      </c>
      <c r="I1042" s="534" t="inlineStr">
        <is>
          <t>Kaitlyn Molitor</t>
        </is>
      </c>
      <c r="J1042" s="545" t="n"/>
      <c r="M1042" s="1" t="n"/>
      <c r="N1042" s="1" t="n"/>
      <c r="O1042" s="1" t="n"/>
    </row>
    <row r="1043" ht="17.25" customFormat="1" customHeight="1" s="1">
      <c r="A1043" s="8" t="n">
        <v>1633</v>
      </c>
      <c r="B1043" s="5" t="n">
        <v>420</v>
      </c>
      <c r="C1043" s="72" t="inlineStr">
        <is>
          <t>X</t>
        </is>
      </c>
      <c r="D1043" s="5" t="n">
        <v>110</v>
      </c>
      <c r="E1043" s="73">
        <f>B1043*D1043/10000</f>
        <v/>
      </c>
      <c r="F1043" s="74">
        <f>B1043/30.48</f>
        <v/>
      </c>
      <c r="G1043" s="74">
        <f>D1043/30.48</f>
        <v/>
      </c>
      <c r="H1043" s="594" t="inlineStr">
        <is>
          <t>MCHD-TR</t>
        </is>
      </c>
      <c r="I1043" s="80" t="inlineStr">
        <is>
          <t>Melissa Guinn Fauser</t>
        </is>
      </c>
      <c r="J1043" s="102" t="n"/>
    </row>
    <row r="1044" ht="17.25" customHeight="1" s="305">
      <c r="A1044" s="8" t="inlineStr">
        <is>
          <t>D 296</t>
        </is>
      </c>
      <c r="B1044" s="5" t="n">
        <v>55</v>
      </c>
      <c r="C1044" s="72" t="inlineStr">
        <is>
          <t>X</t>
        </is>
      </c>
      <c r="D1044" s="5" t="n">
        <v>93</v>
      </c>
      <c r="E1044" s="73">
        <f>B1044*D1044/10000</f>
        <v/>
      </c>
      <c r="F1044" s="74">
        <f>B1044/30.48</f>
        <v/>
      </c>
      <c r="G1044" s="74">
        <f>D1044/30.48</f>
        <v/>
      </c>
      <c r="H1044" s="16" t="inlineStr">
        <is>
          <t>MCHD-OLD</t>
        </is>
      </c>
      <c r="I1044" s="80" t="inlineStr">
        <is>
          <t>Tessa Vickers</t>
        </is>
      </c>
      <c r="J1044" s="102" t="n"/>
      <c r="M1044" s="1" t="n"/>
      <c r="N1044" s="1" t="n"/>
      <c r="O1044" s="1" t="n"/>
    </row>
    <row r="1045" ht="17.25" customFormat="1" customHeight="1" s="1">
      <c r="A1045" s="8" t="inlineStr">
        <is>
          <t>A 35</t>
        </is>
      </c>
      <c r="B1045" s="5" t="n">
        <v>65</v>
      </c>
      <c r="C1045" s="6" t="inlineStr">
        <is>
          <t>X</t>
        </is>
      </c>
      <c r="D1045" s="5" t="n">
        <v>196</v>
      </c>
      <c r="E1045" s="2">
        <f>B1045*D1045/10000</f>
        <v/>
      </c>
      <c r="F1045" s="3">
        <f>B1045/30.48</f>
        <v/>
      </c>
      <c r="G1045" s="3">
        <f>D1045/30.48</f>
        <v/>
      </c>
      <c r="H1045" s="553" t="inlineStr">
        <is>
          <t>MCHD-PAC</t>
        </is>
      </c>
      <c r="I1045" s="80" t="inlineStr">
        <is>
          <t>lauren woodard</t>
        </is>
      </c>
      <c r="J1045" s="103" t="inlineStr">
        <is>
          <t>lgwygant@gmail.com</t>
        </is>
      </c>
    </row>
    <row r="1046" ht="17.25" customFormat="1" customHeight="1" s="1">
      <c r="A1046" s="8" t="inlineStr">
        <is>
          <t>A 81</t>
        </is>
      </c>
      <c r="B1046" s="5" t="n">
        <v>120</v>
      </c>
      <c r="C1046" s="6" t="inlineStr">
        <is>
          <t>X</t>
        </is>
      </c>
      <c r="D1046" s="5" t="n">
        <v>195</v>
      </c>
      <c r="E1046" s="2">
        <f>B1046*D1046/10000</f>
        <v/>
      </c>
      <c r="F1046" s="3">
        <f>B1046/30.48</f>
        <v/>
      </c>
      <c r="G1046" s="3">
        <f>D1046/30.48</f>
        <v/>
      </c>
      <c r="H1046" s="594" t="inlineStr">
        <is>
          <t>MCHD-TR</t>
        </is>
      </c>
      <c r="I1046" s="80" t="inlineStr">
        <is>
          <t>Sharon J Gelfano</t>
        </is>
      </c>
      <c r="J1046" s="102" t="n"/>
    </row>
    <row r="1047" ht="17.25" customFormat="1" customHeight="1" s="1">
      <c r="A1047" s="8" t="n">
        <v>1343</v>
      </c>
      <c r="B1047" s="5" t="n">
        <v>104</v>
      </c>
      <c r="C1047" s="72" t="inlineStr">
        <is>
          <t>X</t>
        </is>
      </c>
      <c r="D1047" s="5" t="n">
        <v>160</v>
      </c>
      <c r="E1047" s="73">
        <f>B1047*D1047/10000</f>
        <v/>
      </c>
      <c r="F1047" s="74">
        <f>B1047/30.48</f>
        <v/>
      </c>
      <c r="G1047" s="74">
        <f>D1047/30.48</f>
        <v/>
      </c>
      <c r="H1047" s="594" t="inlineStr">
        <is>
          <t>MCHD-TR</t>
        </is>
      </c>
      <c r="I1047" s="80" t="inlineStr">
        <is>
          <t>Jessica Titko</t>
        </is>
      </c>
      <c r="J1047" s="102" t="n"/>
    </row>
    <row r="1048" ht="17.25" customHeight="1" s="305">
      <c r="A1048" s="8" t="inlineStr">
        <is>
          <t>D 248</t>
        </is>
      </c>
      <c r="B1048" s="5" t="n">
        <v>54</v>
      </c>
      <c r="C1048" s="72" t="inlineStr">
        <is>
          <t>X</t>
        </is>
      </c>
      <c r="D1048" s="5" t="n">
        <v>105</v>
      </c>
      <c r="E1048" s="73">
        <f>B1048*D1048/10000</f>
        <v/>
      </c>
      <c r="F1048" s="74">
        <f>B1048/30.48</f>
        <v/>
      </c>
      <c r="G1048" s="74">
        <f>D1048/30.48</f>
        <v/>
      </c>
      <c r="H1048" s="16" t="inlineStr">
        <is>
          <t>MCHD-OLD</t>
        </is>
      </c>
      <c r="I1048" s="80" t="inlineStr">
        <is>
          <t>Paula Ciesielski</t>
        </is>
      </c>
      <c r="J1048" s="102" t="n"/>
      <c r="M1048" s="1" t="n"/>
      <c r="N1048" s="1" t="n"/>
      <c r="O1048" s="1" t="n"/>
    </row>
    <row r="1049" ht="17.25" customHeight="1" s="305">
      <c r="A1049" s="8" t="inlineStr">
        <is>
          <t>D 297</t>
        </is>
      </c>
      <c r="B1049" s="5" t="n">
        <v>49</v>
      </c>
      <c r="C1049" s="72" t="inlineStr">
        <is>
          <t>X</t>
        </is>
      </c>
      <c r="D1049" s="5" t="n">
        <v>95</v>
      </c>
      <c r="E1049" s="73">
        <f>B1049*D1049/10000</f>
        <v/>
      </c>
      <c r="F1049" s="74">
        <f>B1049/30.48</f>
        <v/>
      </c>
      <c r="G1049" s="74">
        <f>D1049/30.48</f>
        <v/>
      </c>
      <c r="H1049" s="16" t="inlineStr">
        <is>
          <t>MCHD-OLD</t>
        </is>
      </c>
      <c r="I1049" s="80" t="inlineStr">
        <is>
          <t>Emma Beck</t>
        </is>
      </c>
      <c r="J1049" s="102" t="inlineStr">
        <is>
          <t>US-804 517 3395</t>
        </is>
      </c>
      <c r="M1049" s="1" t="n"/>
      <c r="N1049" s="1" t="n"/>
      <c r="O1049" s="1" t="n"/>
    </row>
    <row r="1050" ht="17.25" customFormat="1" customHeight="1" s="1">
      <c r="A1050" s="8" t="n">
        <v>7</v>
      </c>
      <c r="B1050" s="5" t="n">
        <v>90</v>
      </c>
      <c r="C1050" s="6" t="inlineStr">
        <is>
          <t>X</t>
        </is>
      </c>
      <c r="D1050" s="5" t="n">
        <v>256</v>
      </c>
      <c r="E1050" s="2">
        <f>B1050*D1050/10000</f>
        <v/>
      </c>
      <c r="F1050" s="3">
        <f>B1050/30.48</f>
        <v/>
      </c>
      <c r="G1050" s="3">
        <f>D1050/30.48</f>
        <v/>
      </c>
      <c r="H1050" s="16" t="inlineStr">
        <is>
          <t>MCHD-OLD</t>
        </is>
      </c>
      <c r="I1050" s="80" t="inlineStr">
        <is>
          <t>Ciera Ashley</t>
        </is>
      </c>
      <c r="J1050" s="102" t="inlineStr">
        <is>
          <t>US-415 412 3122</t>
        </is>
      </c>
    </row>
    <row r="1051" ht="17.25" customFormat="1" customHeight="1" s="1">
      <c r="A1051" s="8" t="n">
        <v>1639</v>
      </c>
      <c r="B1051" s="5" t="n">
        <v>311</v>
      </c>
      <c r="C1051" s="72" t="inlineStr">
        <is>
          <t>X</t>
        </is>
      </c>
      <c r="D1051" s="5" t="n">
        <v>80</v>
      </c>
      <c r="E1051" s="73">
        <f>B1051*D1051/10000</f>
        <v/>
      </c>
      <c r="F1051" s="74">
        <f>B1051/30.48</f>
        <v/>
      </c>
      <c r="G1051" s="74">
        <f>D1051/30.48</f>
        <v/>
      </c>
      <c r="H1051" s="553" t="inlineStr">
        <is>
          <t>MCHD-PAC</t>
        </is>
      </c>
      <c r="I1051" s="80" t="inlineStr">
        <is>
          <t>Tara Grom</t>
        </is>
      </c>
      <c r="J1051" s="102" t="n"/>
    </row>
    <row r="1052" ht="17.25" customHeight="1" s="305">
      <c r="A1052" s="8" t="inlineStr">
        <is>
          <t>D 246</t>
        </is>
      </c>
      <c r="B1052" s="5" t="n">
        <v>53</v>
      </c>
      <c r="C1052" s="72" t="inlineStr">
        <is>
          <t>X</t>
        </is>
      </c>
      <c r="D1052" s="5" t="n">
        <v>144</v>
      </c>
      <c r="E1052" s="73">
        <f>B1052*D1052/10000</f>
        <v/>
      </c>
      <c r="F1052" s="74">
        <f>B1052/30.48</f>
        <v/>
      </c>
      <c r="G1052" s="74">
        <f>D1052/30.48</f>
        <v/>
      </c>
      <c r="H1052" s="16" t="inlineStr">
        <is>
          <t>MCHD-OLD</t>
        </is>
      </c>
      <c r="I1052" s="80" t="inlineStr">
        <is>
          <t>Nasia Nyhoff</t>
        </is>
      </c>
      <c r="J1052" s="102" t="inlineStr">
        <is>
          <t>US-720 460 6204</t>
        </is>
      </c>
      <c r="M1052" s="1" t="n"/>
      <c r="N1052" s="1" t="n"/>
      <c r="O1052" s="1" t="n"/>
    </row>
    <row r="1053" ht="17.25" customFormat="1" customHeight="1" s="1">
      <c r="A1053" s="8" t="n">
        <v>28</v>
      </c>
      <c r="B1053" s="5" t="n">
        <v>80</v>
      </c>
      <c r="C1053" s="6" t="inlineStr">
        <is>
          <t>X</t>
        </is>
      </c>
      <c r="D1053" s="5" t="n">
        <v>48</v>
      </c>
      <c r="E1053" s="2">
        <f>B1053*D1053/10000</f>
        <v/>
      </c>
      <c r="F1053" s="3">
        <f>B1053/30.48</f>
        <v/>
      </c>
      <c r="G1053" s="3">
        <f>D1053/30.48</f>
        <v/>
      </c>
      <c r="H1053" s="16" t="inlineStr">
        <is>
          <t>MCHD-OLD</t>
        </is>
      </c>
      <c r="I1053" s="80" t="inlineStr">
        <is>
          <t>Jennifer Curtis</t>
        </is>
      </c>
      <c r="J1053" s="102" t="inlineStr">
        <is>
          <t>US-503 577 0905</t>
        </is>
      </c>
    </row>
    <row r="1054" ht="17.25" customHeight="1" s="305">
      <c r="A1054" s="8" t="inlineStr">
        <is>
          <t>KN 1</t>
        </is>
      </c>
      <c r="B1054" s="5" t="n">
        <v>376</v>
      </c>
      <c r="C1054" s="72" t="inlineStr">
        <is>
          <t>X</t>
        </is>
      </c>
      <c r="D1054" s="5" t="n">
        <v>394</v>
      </c>
      <c r="E1054" s="73">
        <f>B1054*D1054/10000</f>
        <v/>
      </c>
      <c r="F1054" s="74">
        <f>B1054/30.48</f>
        <v/>
      </c>
      <c r="G1054" s="74">
        <f>D1054/30.48</f>
        <v/>
      </c>
      <c r="H1054" s="553" t="inlineStr">
        <is>
          <t>MCHD-PAC</t>
        </is>
      </c>
      <c r="I1054" s="496" t="inlineStr">
        <is>
          <t>Elizabeth Allen</t>
        </is>
      </c>
      <c r="J1054" s="96" t="n"/>
      <c r="M1054" s="1" t="n"/>
      <c r="N1054" s="1" t="n"/>
      <c r="O1054" s="1" t="n"/>
    </row>
    <row r="1055" ht="17.25" customFormat="1" customHeight="1" s="1">
      <c r="A1055" s="8" t="n">
        <v>1250</v>
      </c>
      <c r="B1055" s="5" t="n">
        <v>92</v>
      </c>
      <c r="C1055" s="72" t="inlineStr">
        <is>
          <t>X</t>
        </is>
      </c>
      <c r="D1055" s="5" t="n">
        <v>218</v>
      </c>
      <c r="E1055" s="73">
        <f>B1055*D1055/10000</f>
        <v/>
      </c>
      <c r="F1055" s="74">
        <f>B1055/30.48</f>
        <v/>
      </c>
      <c r="G1055" s="74">
        <f>D1055/30.48</f>
        <v/>
      </c>
      <c r="H1055" s="16" t="inlineStr">
        <is>
          <t>MCHD-OLD</t>
        </is>
      </c>
      <c r="I1055" s="534" t="inlineStr">
        <is>
          <t>Elizabeth Millikin</t>
        </is>
      </c>
      <c r="J1055" s="545" t="n"/>
    </row>
    <row r="1056" ht="17.25" customFormat="1" customHeight="1" s="1">
      <c r="A1056" s="8" t="n">
        <v>1260</v>
      </c>
      <c r="B1056" s="5" t="n">
        <v>86</v>
      </c>
      <c r="C1056" s="72" t="inlineStr">
        <is>
          <t>X</t>
        </is>
      </c>
      <c r="D1056" s="5" t="n">
        <v>332</v>
      </c>
      <c r="E1056" s="73">
        <f>B1056*D1056/10000</f>
        <v/>
      </c>
      <c r="F1056" s="74">
        <f>B1056/30.48</f>
        <v/>
      </c>
      <c r="G1056" s="74">
        <f>D1056/30.48</f>
        <v/>
      </c>
      <c r="H1056" s="37" t="inlineStr">
        <is>
          <t>MCHD-PAC</t>
        </is>
      </c>
      <c r="I1056" s="534" t="inlineStr">
        <is>
          <t>Tribe Design Group/Castillo</t>
        </is>
      </c>
      <c r="J1056" s="545" t="n"/>
    </row>
    <row r="1057" ht="17.25" customFormat="1" customHeight="1" s="1">
      <c r="A1057" s="8" t="inlineStr">
        <is>
          <t>C 602</t>
        </is>
      </c>
      <c r="B1057" s="5" t="n">
        <v>91</v>
      </c>
      <c r="C1057" s="6" t="inlineStr">
        <is>
          <t>X</t>
        </is>
      </c>
      <c r="D1057" s="5" t="n">
        <v>344</v>
      </c>
      <c r="E1057" s="2">
        <f>B1057*D1057/10000</f>
        <v/>
      </c>
      <c r="F1057" s="3">
        <f>B1057/30.48</f>
        <v/>
      </c>
      <c r="G1057" s="3">
        <f>D1057/30.48</f>
        <v/>
      </c>
      <c r="H1057" s="694" t="n"/>
      <c r="I1057" s="693" t="n"/>
      <c r="J1057" s="693" t="n"/>
    </row>
    <row r="1058" ht="17.25" customFormat="1" customHeight="1" s="1">
      <c r="A1058" s="8" t="inlineStr">
        <is>
          <t>Y 253</t>
        </is>
      </c>
      <c r="B1058" s="5" t="n">
        <v>270</v>
      </c>
      <c r="C1058" s="6" t="inlineStr">
        <is>
          <t>X</t>
        </is>
      </c>
      <c r="D1058" s="5" t="n">
        <v>177</v>
      </c>
      <c r="E1058" s="2">
        <f>B1058*D1058/10000</f>
        <v/>
      </c>
      <c r="F1058" s="3">
        <f>B1058/30.48</f>
        <v/>
      </c>
      <c r="G1058" s="3">
        <f>D1058/30.48</f>
        <v/>
      </c>
      <c r="H1058" s="553" t="inlineStr">
        <is>
          <t>MCHD-PAC</t>
        </is>
      </c>
      <c r="I1058" s="570" t="inlineStr">
        <is>
          <t>Christopher xiong</t>
        </is>
      </c>
      <c r="J1058" s="557" t="inlineStr">
        <is>
          <t>US-980 334 4065</t>
        </is>
      </c>
    </row>
    <row r="1059" ht="17.25" customFormat="1" customHeight="1" s="1">
      <c r="A1059" s="8" t="inlineStr">
        <is>
          <t>C 691</t>
        </is>
      </c>
      <c r="B1059" s="5" t="n">
        <v>149</v>
      </c>
      <c r="C1059" s="6" t="inlineStr">
        <is>
          <t>X</t>
        </is>
      </c>
      <c r="D1059" s="5" t="n">
        <v>204</v>
      </c>
      <c r="E1059" s="2">
        <f>B1059*D1059/10000</f>
        <v/>
      </c>
      <c r="F1059" s="3">
        <f>B1059/30.48</f>
        <v/>
      </c>
      <c r="G1059" s="3">
        <f>D1059/30.48</f>
        <v/>
      </c>
      <c r="H1059" s="553" t="inlineStr">
        <is>
          <t>MCHD-PAC</t>
        </is>
      </c>
      <c r="I1059" s="570" t="inlineStr">
        <is>
          <t>Charlotte Neely</t>
        </is>
      </c>
      <c r="J1059" s="557" t="n"/>
    </row>
    <row r="1060" ht="17.25" customHeight="1" s="305">
      <c r="A1060" s="8" t="inlineStr">
        <is>
          <t>D 39</t>
        </is>
      </c>
      <c r="B1060" s="5" t="n">
        <v>50</v>
      </c>
      <c r="C1060" s="72" t="inlineStr">
        <is>
          <t>X</t>
        </is>
      </c>
      <c r="D1060" s="5" t="n">
        <v>97</v>
      </c>
      <c r="E1060" s="73">
        <f>B1060*D1060/10000</f>
        <v/>
      </c>
      <c r="F1060" s="74">
        <f>B1060/30.48</f>
        <v/>
      </c>
      <c r="G1060" s="74">
        <f>D1060/30.48</f>
        <v/>
      </c>
      <c r="H1060" s="16" t="inlineStr">
        <is>
          <t>MCHD-OLD</t>
        </is>
      </c>
      <c r="I1060" s="570" t="inlineStr">
        <is>
          <t>Christina Hennelly</t>
        </is>
      </c>
      <c r="J1060" s="557" t="inlineStr">
        <is>
          <t>US-971 275 5087</t>
        </is>
      </c>
      <c r="M1060" s="1" t="n"/>
      <c r="N1060" s="1" t="n"/>
      <c r="O1060" s="1" t="n"/>
    </row>
    <row r="1061" ht="17.25" customFormat="1" customHeight="1" s="1">
      <c r="A1061" s="8" t="inlineStr">
        <is>
          <t>C 507</t>
        </is>
      </c>
      <c r="B1061" s="5" t="n">
        <v>73</v>
      </c>
      <c r="C1061" s="6" t="inlineStr">
        <is>
          <t>X</t>
        </is>
      </c>
      <c r="D1061" s="5" t="n">
        <v>133</v>
      </c>
      <c r="E1061" s="2">
        <f>B1061*D1061/10000</f>
        <v/>
      </c>
      <c r="F1061" s="3">
        <f>B1061/30.48</f>
        <v/>
      </c>
      <c r="G1061" s="3">
        <f>D1061/30.48</f>
        <v/>
      </c>
      <c r="H1061" s="694" t="n"/>
      <c r="I1061" s="694" t="n"/>
      <c r="J1061" s="694" t="n"/>
    </row>
    <row r="1062" ht="17.25" customFormat="1" customHeight="1" s="1">
      <c r="A1062" s="8" t="inlineStr">
        <is>
          <t>C 10</t>
        </is>
      </c>
      <c r="B1062" s="5" t="n">
        <v>350</v>
      </c>
      <c r="C1062" s="6" t="inlineStr">
        <is>
          <t>X</t>
        </is>
      </c>
      <c r="D1062" s="5" t="n">
        <v>90</v>
      </c>
      <c r="E1062" s="2">
        <f>B1062*D1062/10000</f>
        <v/>
      </c>
      <c r="F1062" s="3">
        <f>B1062/30.48</f>
        <v/>
      </c>
      <c r="G1062" s="3">
        <f>D1062/30.48</f>
        <v/>
      </c>
      <c r="H1062" s="594" t="inlineStr">
        <is>
          <t>MCHD-TR</t>
        </is>
      </c>
      <c r="I1062" s="570" t="inlineStr">
        <is>
          <t>tiffany fulmer</t>
        </is>
      </c>
      <c r="J1062" s="557" t="n"/>
      <c r="P1062" s="1" t="inlineStr">
        <is>
          <t xml:space="preserve"> </t>
        </is>
      </c>
    </row>
    <row r="1063" ht="17.25" customFormat="1" customHeight="1" s="1">
      <c r="A1063" s="8" t="n">
        <v>1756</v>
      </c>
      <c r="B1063" s="5" t="n">
        <v>304</v>
      </c>
      <c r="C1063" s="72" t="inlineStr">
        <is>
          <t>X</t>
        </is>
      </c>
      <c r="D1063" s="5" t="n">
        <v>443</v>
      </c>
      <c r="E1063" s="73">
        <f>B1063*D1063/10000</f>
        <v/>
      </c>
      <c r="F1063" s="74">
        <f>B1063/30.48</f>
        <v/>
      </c>
      <c r="G1063" s="74">
        <f>D1063/30.48</f>
        <v/>
      </c>
      <c r="H1063" s="553" t="inlineStr">
        <is>
          <t>MCHD-PAC</t>
        </is>
      </c>
      <c r="I1063" s="80" t="inlineStr">
        <is>
          <t>margaret barnes koontz</t>
        </is>
      </c>
      <c r="J1063" s="557" t="inlineStr">
        <is>
          <t>US-210 823 1234</t>
        </is>
      </c>
    </row>
    <row r="1064" ht="17.25" customFormat="1" customHeight="1" s="1">
      <c r="A1064" s="8" t="inlineStr">
        <is>
          <t>C 505</t>
        </is>
      </c>
      <c r="B1064" s="5" t="n">
        <v>154</v>
      </c>
      <c r="C1064" s="6" t="inlineStr">
        <is>
          <t>X</t>
        </is>
      </c>
      <c r="D1064" s="5" t="n">
        <v>315</v>
      </c>
      <c r="E1064" s="2">
        <f>B1064*D1064/10000</f>
        <v/>
      </c>
      <c r="F1064" s="3">
        <f>B1064/30.48</f>
        <v/>
      </c>
      <c r="G1064" s="3">
        <f>D1064/30.48</f>
        <v/>
      </c>
      <c r="H1064" s="66" t="inlineStr">
        <is>
          <t>MCHD-TR</t>
        </is>
      </c>
      <c r="I1064" s="534" t="inlineStr">
        <is>
          <t>Tracy Bell</t>
        </is>
      </c>
      <c r="J1064" s="545" t="inlineStr">
        <is>
          <t>US-813 728 1104</t>
        </is>
      </c>
    </row>
    <row r="1065" ht="17.25" customFormat="1" customHeight="1" s="1">
      <c r="A1065" s="8" t="n">
        <v>1346</v>
      </c>
      <c r="B1065" s="5" t="n">
        <v>136</v>
      </c>
      <c r="C1065" s="72" t="inlineStr">
        <is>
          <t>X</t>
        </is>
      </c>
      <c r="D1065" s="5" t="n">
        <v>348</v>
      </c>
      <c r="E1065" s="73">
        <f>B1065*D1065/10000</f>
        <v/>
      </c>
      <c r="F1065" s="74">
        <f>B1065/30.48</f>
        <v/>
      </c>
      <c r="G1065" s="74">
        <f>D1065/30.48</f>
        <v/>
      </c>
      <c r="H1065" s="694" t="n"/>
      <c r="I1065" s="693" t="n"/>
      <c r="J1065" s="693" t="n"/>
    </row>
    <row r="1066" ht="17.25" customHeight="1" s="305">
      <c r="A1066" s="8" t="inlineStr">
        <is>
          <t>D 298</t>
        </is>
      </c>
      <c r="B1066" s="5" t="n">
        <v>57</v>
      </c>
      <c r="C1066" s="72" t="inlineStr">
        <is>
          <t>X</t>
        </is>
      </c>
      <c r="D1066" s="5" t="n">
        <v>106</v>
      </c>
      <c r="E1066" s="73">
        <f>B1066*D1066/10000</f>
        <v/>
      </c>
      <c r="F1066" s="74">
        <f>B1066/30.48</f>
        <v/>
      </c>
      <c r="G1066" s="74">
        <f>D1066/30.48</f>
        <v/>
      </c>
      <c r="H1066" s="16" t="inlineStr">
        <is>
          <t>MCHD-OLD</t>
        </is>
      </c>
      <c r="I1066" s="570" t="inlineStr">
        <is>
          <t>Elizabeth Murphy</t>
        </is>
      </c>
      <c r="J1066" s="557" t="n"/>
      <c r="M1066" s="1" t="n"/>
      <c r="N1066" s="1" t="n"/>
      <c r="O1066" s="1" t="n"/>
    </row>
    <row r="1067" ht="17.25" customHeight="1" s="305">
      <c r="A1067" s="8" t="inlineStr">
        <is>
          <t>D 266</t>
        </is>
      </c>
      <c r="B1067" s="5" t="n">
        <v>53</v>
      </c>
      <c r="C1067" s="72" t="inlineStr">
        <is>
          <t>X</t>
        </is>
      </c>
      <c r="D1067" s="5" t="n">
        <v>100</v>
      </c>
      <c r="E1067" s="73">
        <f>B1067*D1067/10000</f>
        <v/>
      </c>
      <c r="F1067" s="74">
        <f>B1067/30.48</f>
        <v/>
      </c>
      <c r="G1067" s="74">
        <f>D1067/30.48</f>
        <v/>
      </c>
      <c r="H1067" s="16" t="inlineStr">
        <is>
          <t>MCHD-OLD</t>
        </is>
      </c>
      <c r="I1067" s="570" t="inlineStr">
        <is>
          <t>Diana Livingston</t>
        </is>
      </c>
      <c r="J1067" s="557" t="n"/>
      <c r="M1067" s="1" t="n"/>
      <c r="N1067" s="1" t="n"/>
      <c r="O1067" s="1" t="n"/>
    </row>
    <row r="1068" ht="17.25" customHeight="1" s="305">
      <c r="A1068" s="8" t="inlineStr">
        <is>
          <t>D 231</t>
        </is>
      </c>
      <c r="B1068" s="5" t="n">
        <v>50</v>
      </c>
      <c r="C1068" s="72" t="inlineStr">
        <is>
          <t>X</t>
        </is>
      </c>
      <c r="D1068" s="5" t="n">
        <v>111</v>
      </c>
      <c r="E1068" s="73">
        <f>B1068*D1068/10000</f>
        <v/>
      </c>
      <c r="F1068" s="74">
        <f>B1068/30.48</f>
        <v/>
      </c>
      <c r="G1068" s="74">
        <f>D1068/30.48</f>
        <v/>
      </c>
      <c r="H1068" s="693" t="n"/>
      <c r="I1068" s="693" t="n"/>
      <c r="J1068" s="693" t="n"/>
      <c r="M1068" s="1" t="n"/>
      <c r="N1068" s="1" t="n"/>
      <c r="O1068" s="1" t="n"/>
    </row>
    <row r="1069" ht="17.25" customHeight="1" s="305">
      <c r="A1069" s="8" t="inlineStr">
        <is>
          <t>D 44</t>
        </is>
      </c>
      <c r="B1069" s="5" t="n">
        <v>55</v>
      </c>
      <c r="C1069" s="72" t="inlineStr">
        <is>
          <t>X</t>
        </is>
      </c>
      <c r="D1069" s="5" t="n">
        <v>97</v>
      </c>
      <c r="E1069" s="73">
        <f>B1069*D1069/10000</f>
        <v/>
      </c>
      <c r="F1069" s="74">
        <f>B1069/30.48</f>
        <v/>
      </c>
      <c r="G1069" s="74">
        <f>D1069/30.48</f>
        <v/>
      </c>
      <c r="H1069" s="694" t="n"/>
      <c r="I1069" s="694" t="n"/>
      <c r="J1069" s="694" t="n"/>
      <c r="M1069" s="1" t="n"/>
      <c r="N1069" s="1" t="n"/>
      <c r="O1069" s="1" t="n"/>
    </row>
    <row r="1070" ht="17.25" customFormat="1" customHeight="1" s="1">
      <c r="A1070" s="8" t="inlineStr">
        <is>
          <t>H 238</t>
        </is>
      </c>
      <c r="B1070" s="5" t="n">
        <v>96</v>
      </c>
      <c r="C1070" s="72" t="inlineStr">
        <is>
          <t>X</t>
        </is>
      </c>
      <c r="D1070" s="5" t="n">
        <v>204</v>
      </c>
      <c r="E1070" s="73">
        <f>B1070*D1070/10000</f>
        <v/>
      </c>
      <c r="F1070" s="74">
        <f>B1070/30.48</f>
        <v/>
      </c>
      <c r="G1070" s="74">
        <f>D1070/30.48</f>
        <v/>
      </c>
      <c r="H1070" s="16" t="inlineStr">
        <is>
          <t>MCHD-OLD</t>
        </is>
      </c>
      <c r="I1070" s="570" t="inlineStr">
        <is>
          <t>Mercy Drlelich</t>
        </is>
      </c>
      <c r="J1070" s="557" t="n"/>
    </row>
    <row r="1071" ht="17.25" customFormat="1" customHeight="1" s="1">
      <c r="A1071" s="8" t="inlineStr">
        <is>
          <t>C 433</t>
        </is>
      </c>
      <c r="B1071" s="5" t="n">
        <v>189</v>
      </c>
      <c r="C1071" s="6" t="inlineStr">
        <is>
          <t>X</t>
        </is>
      </c>
      <c r="D1071" s="5" t="n">
        <v>297</v>
      </c>
      <c r="E1071" s="2">
        <f>B1071*D1071/10000</f>
        <v/>
      </c>
      <c r="F1071" s="3">
        <f>B1071/30.48</f>
        <v/>
      </c>
      <c r="G1071" s="3">
        <f>D1071/30.48</f>
        <v/>
      </c>
      <c r="H1071" s="16" t="inlineStr">
        <is>
          <t>MCHD-OLD</t>
        </is>
      </c>
      <c r="I1071" s="534" t="inlineStr">
        <is>
          <t>Sheila Mauck</t>
        </is>
      </c>
      <c r="J1071" s="545" t="inlineStr">
        <is>
          <t>US-515 577 8979</t>
        </is>
      </c>
    </row>
    <row r="1072" ht="17.25" customFormat="1" customHeight="1" s="1">
      <c r="A1072" s="8" t="inlineStr">
        <is>
          <t>C 368</t>
        </is>
      </c>
      <c r="B1072" s="5" t="n">
        <v>117</v>
      </c>
      <c r="C1072" s="6" t="inlineStr">
        <is>
          <t>X</t>
        </is>
      </c>
      <c r="D1072" s="5" t="n">
        <v>170</v>
      </c>
      <c r="E1072" s="2">
        <f>B1072*D1072/10000</f>
        <v/>
      </c>
      <c r="F1072" s="3">
        <f>B1072/30.48</f>
        <v/>
      </c>
      <c r="G1072" s="3">
        <f>D1072/30.48</f>
        <v/>
      </c>
      <c r="H1072" s="594" t="inlineStr">
        <is>
          <t>MCHD-TR</t>
        </is>
      </c>
      <c r="I1072" s="570" t="inlineStr">
        <is>
          <t>Lisa Akin</t>
        </is>
      </c>
      <c r="J1072" s="557" t="inlineStr">
        <is>
          <t>US-617 314 0974</t>
        </is>
      </c>
    </row>
    <row r="1073" ht="17.25" customFormat="1" customHeight="1" s="1">
      <c r="A1073" s="8" t="n">
        <v>1602</v>
      </c>
      <c r="B1073" s="5" t="n">
        <v>285</v>
      </c>
      <c r="C1073" s="72" t="inlineStr">
        <is>
          <t>X</t>
        </is>
      </c>
      <c r="D1073" s="5" t="n">
        <v>93</v>
      </c>
      <c r="E1073" s="73">
        <f>B1073*D1073/10000</f>
        <v/>
      </c>
      <c r="F1073" s="74">
        <f>B1073/30.48</f>
        <v/>
      </c>
      <c r="G1073" s="74">
        <f>D1073/30.48</f>
        <v/>
      </c>
      <c r="H1073" s="594" t="inlineStr">
        <is>
          <t>MCHD-TR</t>
        </is>
      </c>
      <c r="I1073" s="570" t="inlineStr">
        <is>
          <t>Katharine Murphy</t>
        </is>
      </c>
      <c r="J1073" s="557" t="n"/>
    </row>
    <row r="1074" ht="17.25" customFormat="1" customHeight="1" s="1">
      <c r="A1074" s="8" t="inlineStr">
        <is>
          <t>A 45</t>
        </is>
      </c>
      <c r="B1074" s="5" t="n">
        <v>85</v>
      </c>
      <c r="C1074" s="6" t="inlineStr">
        <is>
          <t>X</t>
        </is>
      </c>
      <c r="D1074" s="5" t="n">
        <v>367</v>
      </c>
      <c r="E1074" s="2">
        <f>B1074*D1074/10000</f>
        <v/>
      </c>
      <c r="F1074" s="3">
        <f>B1074/30.48</f>
        <v/>
      </c>
      <c r="G1074" s="3">
        <f>D1074/30.48</f>
        <v/>
      </c>
      <c r="H1074" s="66" t="inlineStr">
        <is>
          <t>MCHD-TR</t>
        </is>
      </c>
      <c r="I1074" s="570" t="inlineStr">
        <is>
          <t>Paige Dvorak</t>
        </is>
      </c>
      <c r="J1074" s="557" t="inlineStr">
        <is>
          <t>US-210 422 3678</t>
        </is>
      </c>
    </row>
    <row r="1075" ht="17.25" customFormat="1" customHeight="1" s="1">
      <c r="A1075" s="8" t="inlineStr">
        <is>
          <t>C 966</t>
        </is>
      </c>
      <c r="B1075" s="5" t="n">
        <v>64</v>
      </c>
      <c r="C1075" s="6" t="inlineStr">
        <is>
          <t>X</t>
        </is>
      </c>
      <c r="D1075" s="5" t="n">
        <v>110</v>
      </c>
      <c r="E1075" s="2">
        <f>B1075*D1075/10000</f>
        <v/>
      </c>
      <c r="F1075" s="3">
        <f>B1075/30.48</f>
        <v/>
      </c>
      <c r="G1075" s="3">
        <f>D1075/30.48</f>
        <v/>
      </c>
      <c r="H1075" s="694" t="n"/>
      <c r="I1075" s="694" t="n"/>
      <c r="J1075" s="694" t="n"/>
    </row>
    <row r="1076" ht="17.25" customFormat="1" customHeight="1" s="1">
      <c r="A1076" s="8" t="inlineStr">
        <is>
          <t>C 907</t>
        </is>
      </c>
      <c r="B1076" s="5" t="n">
        <v>87</v>
      </c>
      <c r="C1076" s="6" t="inlineStr">
        <is>
          <t>X</t>
        </is>
      </c>
      <c r="D1076" s="5" t="n">
        <v>323</v>
      </c>
      <c r="E1076" s="2">
        <f>B1076*D1076/10000</f>
        <v/>
      </c>
      <c r="F1076" s="3">
        <f>B1076/30.48</f>
        <v/>
      </c>
      <c r="G1076" s="3">
        <f>D1076/30.48</f>
        <v/>
      </c>
      <c r="H1076" s="503" t="inlineStr">
        <is>
          <t>MCHD-VR</t>
        </is>
      </c>
      <c r="I1076" s="570" t="inlineStr">
        <is>
          <t>Robin Pfohman</t>
        </is>
      </c>
      <c r="J1076" s="557" t="n"/>
    </row>
    <row r="1077" ht="17.25" customFormat="1" customHeight="1" s="1">
      <c r="A1077" s="8" t="n">
        <v>1528</v>
      </c>
      <c r="B1077" s="5" t="n">
        <v>230</v>
      </c>
      <c r="C1077" s="72" t="inlineStr">
        <is>
          <t>X</t>
        </is>
      </c>
      <c r="D1077" s="5" t="n">
        <v>85</v>
      </c>
      <c r="E1077" s="73">
        <f>B1077*D1077/10000</f>
        <v/>
      </c>
      <c r="F1077" s="74">
        <f>B1077/30.48</f>
        <v/>
      </c>
      <c r="G1077" s="74">
        <f>D1077/30.48</f>
        <v/>
      </c>
      <c r="H1077" s="553" t="inlineStr">
        <is>
          <t>MCHD-PAC</t>
        </is>
      </c>
      <c r="I1077" s="570" t="inlineStr">
        <is>
          <t>Michelle Turley</t>
        </is>
      </c>
      <c r="J1077" s="557" t="n"/>
    </row>
    <row r="1078" ht="17.25" customFormat="1" customHeight="1" s="1">
      <c r="A1078" s="8" t="inlineStr">
        <is>
          <t>A 204</t>
        </is>
      </c>
      <c r="B1078" s="5" t="n">
        <v>288</v>
      </c>
      <c r="C1078" s="6" t="inlineStr">
        <is>
          <t>X</t>
        </is>
      </c>
      <c r="D1078" s="5" t="n">
        <v>368</v>
      </c>
      <c r="E1078" s="2">
        <f>B1078*D1078/10000</f>
        <v/>
      </c>
      <c r="F1078" s="3">
        <f>B1078/30.48</f>
        <v/>
      </c>
      <c r="G1078" s="3">
        <f>D1078/30.48</f>
        <v/>
      </c>
      <c r="H1078" s="594" t="inlineStr">
        <is>
          <t>MCHD-TR</t>
        </is>
      </c>
      <c r="I1078" s="570" t="inlineStr">
        <is>
          <t>Sharon Gilbert</t>
        </is>
      </c>
      <c r="J1078" s="557" t="inlineStr">
        <is>
          <t>US-205 243 1320</t>
        </is>
      </c>
    </row>
    <row r="1079" customFormat="1" s="1">
      <c r="A1079" s="536" t="inlineStr">
        <is>
          <t>-2023 EYLÜL-99</t>
        </is>
      </c>
      <c r="H1079" s="104" t="inlineStr">
        <is>
          <t>SATAN-SİTE</t>
        </is>
      </c>
      <c r="I1079" s="98" t="inlineStr">
        <is>
          <t>MÜŞTERİ ADI</t>
        </is>
      </c>
      <c r="J1079" s="63" t="inlineStr">
        <is>
          <t>MÜŞTERİ İLETİŞİM &amp; ÜLKE</t>
        </is>
      </c>
    </row>
    <row r="1080" ht="17.25" customFormat="1" customHeight="1" s="1">
      <c r="A1080" s="8" t="n">
        <v>1320</v>
      </c>
      <c r="B1080" s="5" t="n">
        <v>83</v>
      </c>
      <c r="C1080" s="72" t="inlineStr">
        <is>
          <t>X</t>
        </is>
      </c>
      <c r="D1080" s="5" t="n">
        <v>360</v>
      </c>
      <c r="E1080" s="73">
        <f>B1080*D1080/10000</f>
        <v/>
      </c>
      <c r="F1080" s="74">
        <f>B1080/30.48</f>
        <v/>
      </c>
      <c r="G1080" s="74">
        <f>D1080/30.48</f>
        <v/>
      </c>
      <c r="H1080" s="66" t="inlineStr">
        <is>
          <t>MCHD-TR</t>
        </is>
      </c>
      <c r="I1080" s="315" t="inlineStr">
        <is>
          <t>Tara Grom</t>
        </is>
      </c>
      <c r="J1080" s="557" t="n"/>
    </row>
    <row r="1081" ht="17.25" customFormat="1" customHeight="1" s="1">
      <c r="A1081" s="8" t="inlineStr">
        <is>
          <t>A 124</t>
        </is>
      </c>
      <c r="B1081" s="5" t="n">
        <v>175</v>
      </c>
      <c r="C1081" s="6" t="inlineStr">
        <is>
          <t>X</t>
        </is>
      </c>
      <c r="D1081" s="5" t="n">
        <v>271</v>
      </c>
      <c r="E1081" s="2">
        <f>B1081*D1081/10000</f>
        <v/>
      </c>
      <c r="F1081" s="3">
        <f>B1081/30.48</f>
        <v/>
      </c>
      <c r="G1081" s="3">
        <f>D1081/30.48</f>
        <v/>
      </c>
      <c r="H1081" s="594" t="inlineStr">
        <is>
          <t>MCHD-TR</t>
        </is>
      </c>
      <c r="I1081" s="570" t="inlineStr">
        <is>
          <t>Meaghan Lert</t>
        </is>
      </c>
      <c r="J1081" s="552" t="inlineStr">
        <is>
          <t>US-310 467 2579</t>
        </is>
      </c>
    </row>
    <row r="1082" ht="17.25" customFormat="1" customHeight="1" s="1">
      <c r="A1082" s="8" t="inlineStr">
        <is>
          <t>C 843</t>
        </is>
      </c>
      <c r="B1082" s="5" t="n">
        <v>72</v>
      </c>
      <c r="C1082" s="6" t="inlineStr">
        <is>
          <t>X</t>
        </is>
      </c>
      <c r="D1082" s="5" t="n">
        <v>256</v>
      </c>
      <c r="E1082" s="2">
        <f>B1082*D1082/10000</f>
        <v/>
      </c>
      <c r="F1082" s="3">
        <f>B1082/30.48</f>
        <v/>
      </c>
      <c r="G1082" s="3">
        <f>D1082/30.48</f>
        <v/>
      </c>
      <c r="H1082" s="16" t="inlineStr">
        <is>
          <t>MCHD-OLD</t>
        </is>
      </c>
      <c r="I1082" s="570" t="inlineStr">
        <is>
          <t>Sloan McChesney</t>
        </is>
      </c>
      <c r="J1082" s="557" t="n"/>
    </row>
    <row r="1083" ht="17.25" customFormat="1" customHeight="1" s="1">
      <c r="A1083" s="8" t="n">
        <v>1744</v>
      </c>
      <c r="B1083" s="5" t="n">
        <v>277</v>
      </c>
      <c r="C1083" s="72" t="inlineStr">
        <is>
          <t>X</t>
        </is>
      </c>
      <c r="D1083" s="5" t="n">
        <v>360</v>
      </c>
      <c r="E1083" s="73">
        <f>B1083*D1083/10000</f>
        <v/>
      </c>
      <c r="F1083" s="74">
        <f>B1083/30.48</f>
        <v/>
      </c>
      <c r="G1083" s="74">
        <f>D1083/30.48</f>
        <v/>
      </c>
      <c r="H1083" s="594" t="inlineStr">
        <is>
          <t>MCHD-TR</t>
        </is>
      </c>
      <c r="I1083" s="80" t="inlineStr">
        <is>
          <t>MARK POTVIN</t>
        </is>
      </c>
      <c r="J1083" s="557" t="inlineStr">
        <is>
          <t>CA-289 200 5130</t>
        </is>
      </c>
    </row>
    <row r="1084" ht="17.25" customFormat="1" customHeight="1" s="1">
      <c r="A1084" s="8" t="n">
        <v>1720</v>
      </c>
      <c r="B1084" s="5" t="n">
        <v>294</v>
      </c>
      <c r="C1084" s="72" t="inlineStr">
        <is>
          <t>X</t>
        </is>
      </c>
      <c r="D1084" s="5" t="n">
        <v>379</v>
      </c>
      <c r="E1084" s="73">
        <f>B1084*D1084/10000</f>
        <v/>
      </c>
      <c r="F1084" s="74">
        <f>B1084/30.48</f>
        <v/>
      </c>
      <c r="G1084" s="74">
        <f>D1084/30.48</f>
        <v/>
      </c>
      <c r="H1084" s="594" t="inlineStr">
        <is>
          <t>MCHD-TR</t>
        </is>
      </c>
      <c r="I1084" s="534" t="inlineStr">
        <is>
          <t>Kristi Reed</t>
        </is>
      </c>
      <c r="J1084" s="545" t="n"/>
    </row>
    <row r="1085" ht="17.25" customFormat="1" customHeight="1" s="1">
      <c r="A1085" s="8" t="n">
        <v>1267</v>
      </c>
      <c r="B1085" s="5" t="n">
        <v>104</v>
      </c>
      <c r="C1085" s="72" t="inlineStr">
        <is>
          <t>X</t>
        </is>
      </c>
      <c r="D1085" s="5" t="n">
        <v>380</v>
      </c>
      <c r="E1085" s="73">
        <f>B1085*D1085/10000</f>
        <v/>
      </c>
      <c r="F1085" s="74">
        <f>B1085/30.48</f>
        <v/>
      </c>
      <c r="G1085" s="74">
        <f>D1085/30.48</f>
        <v/>
      </c>
      <c r="H1085" s="16" t="inlineStr">
        <is>
          <t>MCHD-VR</t>
        </is>
      </c>
      <c r="I1085" s="341" t="inlineStr">
        <is>
          <t>Angela Dixon</t>
        </is>
      </c>
      <c r="J1085" s="557" t="inlineStr">
        <is>
          <t>AU-+6143 722 4855</t>
        </is>
      </c>
    </row>
    <row r="1086" ht="17.25" customFormat="1" customHeight="1" s="1">
      <c r="A1086" s="8" t="n">
        <v>1204</v>
      </c>
      <c r="B1086" s="5" t="n">
        <v>111</v>
      </c>
      <c r="C1086" s="72" t="inlineStr">
        <is>
          <t>X</t>
        </is>
      </c>
      <c r="D1086" s="5" t="n">
        <v>354</v>
      </c>
      <c r="E1086" s="73">
        <f>B1086*D1086/10000</f>
        <v/>
      </c>
      <c r="F1086" s="74">
        <f>B1086/30.48</f>
        <v/>
      </c>
      <c r="G1086" s="74">
        <f>D1086/30.48</f>
        <v/>
      </c>
      <c r="H1086" s="595" t="inlineStr">
        <is>
          <t>MCHD-TR</t>
        </is>
      </c>
      <c r="I1086" s="698" t="n"/>
      <c r="J1086" s="694" t="n"/>
    </row>
    <row r="1087" ht="17.25" customHeight="1" s="305">
      <c r="A1087" s="8" t="inlineStr">
        <is>
          <t>D 126</t>
        </is>
      </c>
      <c r="B1087" s="5" t="n">
        <v>59</v>
      </c>
      <c r="C1087" s="72" t="inlineStr">
        <is>
          <t>X</t>
        </is>
      </c>
      <c r="D1087" s="5" t="n">
        <v>98</v>
      </c>
      <c r="E1087" s="73">
        <f>B1087*D1087/10000</f>
        <v/>
      </c>
      <c r="F1087" s="74">
        <f>B1087/30.48</f>
        <v/>
      </c>
      <c r="G1087" s="74">
        <f>D1087/30.48</f>
        <v/>
      </c>
      <c r="H1087" s="503" t="inlineStr">
        <is>
          <t>MCHD-VR</t>
        </is>
      </c>
      <c r="I1087" s="570" t="inlineStr">
        <is>
          <t>Amanda Berger</t>
        </is>
      </c>
      <c r="J1087" s="557" t="inlineStr">
        <is>
          <t>US-513 505 2139</t>
        </is>
      </c>
      <c r="M1087" s="1" t="n"/>
      <c r="N1087" s="1" t="n"/>
      <c r="O1087" s="1" t="n"/>
    </row>
    <row r="1088" ht="17.25" customFormat="1" customHeight="1" s="1">
      <c r="A1088" s="8" t="inlineStr">
        <is>
          <t>C 412</t>
        </is>
      </c>
      <c r="B1088" s="5" t="n">
        <v>116</v>
      </c>
      <c r="C1088" s="6" t="inlineStr">
        <is>
          <t>X</t>
        </is>
      </c>
      <c r="D1088" s="5" t="n">
        <v>215</v>
      </c>
      <c r="E1088" s="2">
        <f>B1088*D1088/10000</f>
        <v/>
      </c>
      <c r="F1088" s="3">
        <f>B1088/30.48</f>
        <v/>
      </c>
      <c r="G1088" s="3">
        <f>D1088/30.48</f>
        <v/>
      </c>
      <c r="H1088" s="594" t="inlineStr">
        <is>
          <t>MCHD-TR</t>
        </is>
      </c>
      <c r="I1088" s="570" t="inlineStr">
        <is>
          <t>Elizabeth Olson</t>
        </is>
      </c>
      <c r="J1088" s="557" t="inlineStr">
        <is>
          <t>US-617 935 2526</t>
        </is>
      </c>
    </row>
    <row r="1089" ht="17.25" customFormat="1" customHeight="1" s="1">
      <c r="A1089" s="8" t="n">
        <v>1706</v>
      </c>
      <c r="B1089" s="5" t="n">
        <v>284</v>
      </c>
      <c r="C1089" s="72" t="inlineStr">
        <is>
          <t>X</t>
        </is>
      </c>
      <c r="D1089" s="5" t="n">
        <v>376</v>
      </c>
      <c r="E1089" s="73">
        <f>B1089*D1089/10000</f>
        <v/>
      </c>
      <c r="F1089" s="74">
        <f>B1089/30.48</f>
        <v/>
      </c>
      <c r="G1089" s="74">
        <f>D1089/30.48</f>
        <v/>
      </c>
      <c r="H1089" s="553" t="inlineStr">
        <is>
          <t>MCHD-PAC</t>
        </is>
      </c>
      <c r="I1089" s="570" t="inlineStr">
        <is>
          <t>Colby Ballard</t>
        </is>
      </c>
      <c r="J1089" s="557" t="inlineStr">
        <is>
          <t>US-917 434 3950</t>
        </is>
      </c>
    </row>
    <row r="1090" ht="17.25" customFormat="1" customHeight="1" s="1">
      <c r="A1090" s="8" t="n">
        <v>1112</v>
      </c>
      <c r="B1090" s="5" t="n">
        <v>119</v>
      </c>
      <c r="C1090" s="72" t="inlineStr">
        <is>
          <t>X</t>
        </is>
      </c>
      <c r="D1090" s="5" t="n">
        <v>188</v>
      </c>
      <c r="E1090" s="73">
        <f>B1090*D1090/10000</f>
        <v/>
      </c>
      <c r="F1090" s="74">
        <f>B1090/30.48</f>
        <v/>
      </c>
      <c r="G1090" s="74">
        <f>D1090/30.48</f>
        <v/>
      </c>
      <c r="H1090" s="16" t="inlineStr">
        <is>
          <t>MCHD-OLD</t>
        </is>
      </c>
      <c r="I1090" s="570" t="inlineStr">
        <is>
          <t>Desiree Low</t>
        </is>
      </c>
      <c r="J1090" s="557" t="inlineStr">
        <is>
          <t>US-972 408 6637</t>
        </is>
      </c>
    </row>
    <row r="1091" ht="17.25" customFormat="1" customHeight="1" s="1">
      <c r="A1091" s="8" t="inlineStr">
        <is>
          <t>A 166</t>
        </is>
      </c>
      <c r="B1091" s="5" t="n">
        <v>94</v>
      </c>
      <c r="C1091" s="6" t="inlineStr">
        <is>
          <t>X</t>
        </is>
      </c>
      <c r="D1091" s="5" t="n">
        <v>325</v>
      </c>
      <c r="E1091" s="2">
        <f>B1091*D1091/10000</f>
        <v/>
      </c>
      <c r="F1091" s="3">
        <f>B1091/30.48</f>
        <v/>
      </c>
      <c r="G1091" s="3">
        <f>D1091/30.48</f>
        <v/>
      </c>
      <c r="H1091" s="553" t="inlineStr">
        <is>
          <t>MCHD-PAC</t>
        </is>
      </c>
      <c r="I1091" s="570" t="inlineStr">
        <is>
          <t>Erica Diederichs</t>
        </is>
      </c>
      <c r="J1091" s="557" t="n"/>
    </row>
    <row r="1092" ht="17.25" customFormat="1" customHeight="1" s="1">
      <c r="A1092" s="8" t="n">
        <v>1721</v>
      </c>
      <c r="B1092" s="5" t="n">
        <v>292</v>
      </c>
      <c r="C1092" s="72" t="inlineStr">
        <is>
          <t>X</t>
        </is>
      </c>
      <c r="D1092" s="5" t="n">
        <v>392</v>
      </c>
      <c r="E1092" s="73">
        <f>B1092*D1092/10000</f>
        <v/>
      </c>
      <c r="F1092" s="74">
        <f>B1092/30.48</f>
        <v/>
      </c>
      <c r="G1092" s="74">
        <f>D1092/30.48</f>
        <v/>
      </c>
      <c r="H1092" s="553" t="inlineStr">
        <is>
          <t>MCHD-PAC</t>
        </is>
      </c>
      <c r="I1092" s="570" t="inlineStr">
        <is>
          <t>Chance Gunter</t>
        </is>
      </c>
      <c r="J1092" s="557" t="n"/>
    </row>
    <row r="1093" ht="17.25" customFormat="1" customHeight="1" s="1">
      <c r="A1093" s="8" t="n">
        <v>1057</v>
      </c>
      <c r="B1093" s="5" t="n">
        <v>113</v>
      </c>
      <c r="C1093" s="72" t="inlineStr">
        <is>
          <t>X</t>
        </is>
      </c>
      <c r="D1093" s="5" t="n">
        <v>350</v>
      </c>
      <c r="E1093" s="73">
        <f>B1093*D1093/10000</f>
        <v/>
      </c>
      <c r="F1093" s="74">
        <f>B1093/30.48</f>
        <v/>
      </c>
      <c r="G1093" s="74">
        <f>D1093/30.48</f>
        <v/>
      </c>
      <c r="H1093" s="553" t="inlineStr">
        <is>
          <t>MCHD-PAC</t>
        </is>
      </c>
      <c r="I1093" s="570" t="inlineStr">
        <is>
          <t>Hayley Middleton</t>
        </is>
      </c>
      <c r="J1093" s="557" t="n"/>
    </row>
    <row r="1094" ht="17.25" customFormat="1" customHeight="1" s="1">
      <c r="A1094" s="8" t="inlineStr">
        <is>
          <t>A 105</t>
        </is>
      </c>
      <c r="B1094" s="5" t="n">
        <v>83</v>
      </c>
      <c r="C1094" s="6" t="inlineStr">
        <is>
          <t>X</t>
        </is>
      </c>
      <c r="D1094" s="5" t="n">
        <v>305</v>
      </c>
      <c r="E1094" s="2">
        <f>B1094*D1094/10000</f>
        <v/>
      </c>
      <c r="F1094" s="3">
        <f>B1094/30.48</f>
        <v/>
      </c>
      <c r="G1094" s="3">
        <f>D1094/30.48</f>
        <v/>
      </c>
      <c r="H1094" s="66" t="inlineStr">
        <is>
          <t>MCHD-TR</t>
        </is>
      </c>
      <c r="I1094" s="570" t="inlineStr">
        <is>
          <t>Stephanie Ayers</t>
        </is>
      </c>
      <c r="J1094" s="557" t="n"/>
    </row>
    <row r="1095" ht="17.25" customFormat="1" customHeight="1" s="1">
      <c r="A1095" s="8" t="inlineStr">
        <is>
          <t>A 162</t>
        </is>
      </c>
      <c r="B1095" s="5" t="n">
        <v>181</v>
      </c>
      <c r="C1095" s="6" t="inlineStr">
        <is>
          <t>X</t>
        </is>
      </c>
      <c r="D1095" s="5" t="n">
        <v>270</v>
      </c>
      <c r="E1095" s="2">
        <f>B1095*D1095/10000</f>
        <v/>
      </c>
      <c r="F1095" s="3">
        <f>B1095/30.48</f>
        <v/>
      </c>
      <c r="G1095" s="3">
        <f>D1095/30.48</f>
        <v/>
      </c>
      <c r="H1095" s="694" t="n"/>
      <c r="I1095" s="694" t="n"/>
      <c r="J1095" s="694" t="n"/>
    </row>
    <row r="1096" ht="17.25" customHeight="1" s="305">
      <c r="A1096" s="8" t="inlineStr">
        <is>
          <t>D 81</t>
        </is>
      </c>
      <c r="B1096" s="5" t="n">
        <v>54</v>
      </c>
      <c r="C1096" s="72" t="inlineStr">
        <is>
          <t>X</t>
        </is>
      </c>
      <c r="D1096" s="5" t="n">
        <v>95</v>
      </c>
      <c r="E1096" s="73">
        <f>B1096*D1096/10000</f>
        <v/>
      </c>
      <c r="F1096" s="74">
        <f>B1096/30.48</f>
        <v/>
      </c>
      <c r="G1096" s="74">
        <f>D1096/30.48</f>
        <v/>
      </c>
      <c r="H1096" s="503" t="inlineStr">
        <is>
          <t>MCHD-VR</t>
        </is>
      </c>
      <c r="I1096" s="570" t="inlineStr">
        <is>
          <t>Page Isley</t>
        </is>
      </c>
      <c r="J1096" s="557" t="n"/>
      <c r="M1096" s="1" t="n"/>
      <c r="N1096" s="1" t="n"/>
      <c r="O1096" s="1" t="n"/>
    </row>
    <row r="1097" ht="17.25" customHeight="1" s="305">
      <c r="A1097" s="8" t="inlineStr">
        <is>
          <t>D 99</t>
        </is>
      </c>
      <c r="B1097" s="5" t="n">
        <v>48</v>
      </c>
      <c r="C1097" s="72" t="inlineStr">
        <is>
          <t>X</t>
        </is>
      </c>
      <c r="D1097" s="5" t="n">
        <v>99</v>
      </c>
      <c r="E1097" s="73">
        <f>B1097*D1097/10000</f>
        <v/>
      </c>
      <c r="F1097" s="74">
        <f>B1097/30.48</f>
        <v/>
      </c>
      <c r="G1097" s="74">
        <f>D1097/30.48</f>
        <v/>
      </c>
      <c r="H1097" s="16" t="inlineStr">
        <is>
          <t>MCHD-OLD</t>
        </is>
      </c>
      <c r="I1097" s="534" t="inlineStr">
        <is>
          <t>Angel A. Ramos</t>
        </is>
      </c>
      <c r="J1097" s="545" t="n"/>
      <c r="M1097" s="1" t="n"/>
      <c r="N1097" s="1" t="n"/>
      <c r="O1097" s="1" t="n"/>
    </row>
    <row r="1098" ht="17.25" customFormat="1" customHeight="1" s="1">
      <c r="A1098" s="8" t="n">
        <v>1019</v>
      </c>
      <c r="B1098" s="5" t="n">
        <v>99</v>
      </c>
      <c r="C1098" s="72" t="inlineStr">
        <is>
          <t>X</t>
        </is>
      </c>
      <c r="D1098" s="5" t="n">
        <v>163</v>
      </c>
      <c r="E1098" s="73">
        <f>B1098*D1098/10000</f>
        <v/>
      </c>
      <c r="F1098" s="74">
        <f>B1098/30.48</f>
        <v/>
      </c>
      <c r="G1098" s="74">
        <f>D1098/30.48</f>
        <v/>
      </c>
      <c r="H1098" s="594" t="inlineStr">
        <is>
          <t>MCHD-TR</t>
        </is>
      </c>
      <c r="I1098" s="570" t="inlineStr">
        <is>
          <t>Amy Kopp</t>
        </is>
      </c>
      <c r="J1098" s="557" t="inlineStr">
        <is>
          <t>US-415 786 8124</t>
        </is>
      </c>
    </row>
    <row r="1099" ht="17.25" customFormat="1" customHeight="1" s="1">
      <c r="A1099" s="8" t="inlineStr">
        <is>
          <t>A 186</t>
        </is>
      </c>
      <c r="B1099" s="5" t="n">
        <v>295</v>
      </c>
      <c r="C1099" s="6" t="inlineStr">
        <is>
          <t>X</t>
        </is>
      </c>
      <c r="D1099" s="5" t="n">
        <v>374</v>
      </c>
      <c r="E1099" s="2">
        <f>B1099*D1099/10000</f>
        <v/>
      </c>
      <c r="F1099" s="3">
        <f>B1099/30.48</f>
        <v/>
      </c>
      <c r="G1099" s="3">
        <f>D1099/30.48</f>
        <v/>
      </c>
      <c r="H1099" s="594" t="inlineStr">
        <is>
          <t>MCHD-TR</t>
        </is>
      </c>
      <c r="I1099" s="570" t="inlineStr">
        <is>
          <t>Amy Ilias</t>
        </is>
      </c>
      <c r="J1099" s="557" t="inlineStr">
        <is>
          <t>US-917 291 3708</t>
        </is>
      </c>
    </row>
    <row r="1100" ht="17.25" customHeight="1" s="305">
      <c r="A1100" s="8" t="inlineStr">
        <is>
          <t>D 73</t>
        </is>
      </c>
      <c r="B1100" s="5" t="n">
        <v>57</v>
      </c>
      <c r="C1100" s="72" t="inlineStr">
        <is>
          <t>X</t>
        </is>
      </c>
      <c r="D1100" s="5" t="n">
        <v>88</v>
      </c>
      <c r="E1100" s="73">
        <f>B1100*D1100/10000</f>
        <v/>
      </c>
      <c r="F1100" s="74">
        <f>B1100/30.48</f>
        <v/>
      </c>
      <c r="G1100" s="74">
        <f>D1100/30.48</f>
        <v/>
      </c>
      <c r="H1100" s="503" t="inlineStr">
        <is>
          <t>MCHD-VR</t>
        </is>
      </c>
      <c r="I1100" s="570" t="inlineStr">
        <is>
          <t>Cheyenne Hughes</t>
        </is>
      </c>
      <c r="J1100" s="557" t="n"/>
      <c r="M1100" s="1" t="n"/>
      <c r="N1100" s="1" t="n"/>
      <c r="O1100" s="1" t="n"/>
    </row>
    <row r="1101" ht="17.25" customFormat="1" customHeight="1" s="1">
      <c r="A1101" s="8" t="n">
        <v>1231</v>
      </c>
      <c r="B1101" s="5" t="n">
        <v>63</v>
      </c>
      <c r="C1101" s="72" t="inlineStr">
        <is>
          <t>X</t>
        </is>
      </c>
      <c r="D1101" s="5" t="n">
        <v>263</v>
      </c>
      <c r="E1101" s="73">
        <f>B1101*D1101/10000</f>
        <v/>
      </c>
      <c r="F1101" s="74">
        <f>B1101/30.48</f>
        <v/>
      </c>
      <c r="G1101" s="74">
        <f>D1101/30.48</f>
        <v/>
      </c>
      <c r="H1101" s="553" t="inlineStr">
        <is>
          <t>MCHD-PAC</t>
        </is>
      </c>
      <c r="I1101" s="570" t="inlineStr">
        <is>
          <t>Amy Kopp</t>
        </is>
      </c>
      <c r="J1101" s="557" t="inlineStr">
        <is>
          <t>US-415 786 8124</t>
        </is>
      </c>
    </row>
    <row r="1102" ht="17.25" customFormat="1" customHeight="1" s="1">
      <c r="A1102" s="8" t="n">
        <v>1012</v>
      </c>
      <c r="B1102" s="5" t="n">
        <v>91</v>
      </c>
      <c r="C1102" s="72" t="inlineStr">
        <is>
          <t>X</t>
        </is>
      </c>
      <c r="D1102" s="5" t="n">
        <v>312</v>
      </c>
      <c r="E1102" s="73">
        <f>B1102*D1102/10000</f>
        <v/>
      </c>
      <c r="F1102" s="74">
        <f>B1102/30.48</f>
        <v/>
      </c>
      <c r="G1102" s="74">
        <f>D1102/30.48</f>
        <v/>
      </c>
      <c r="H1102" s="553" t="inlineStr">
        <is>
          <t>MCHD-PAC</t>
        </is>
      </c>
      <c r="I1102" s="570" t="inlineStr">
        <is>
          <t>Leah Selvig</t>
        </is>
      </c>
      <c r="J1102" s="557" t="n"/>
    </row>
    <row r="1103" ht="17.25" customFormat="1" customHeight="1" s="1">
      <c r="A1103" s="8" t="n">
        <v>1582</v>
      </c>
      <c r="B1103" s="5" t="n">
        <v>295</v>
      </c>
      <c r="C1103" s="72" t="inlineStr">
        <is>
          <t>X</t>
        </is>
      </c>
      <c r="D1103" s="5" t="n">
        <v>81</v>
      </c>
      <c r="E1103" s="73">
        <f>B1103*D1103/10000</f>
        <v/>
      </c>
      <c r="F1103" s="74">
        <f>B1103/30.48</f>
        <v/>
      </c>
      <c r="G1103" s="74">
        <f>D1103/30.48</f>
        <v/>
      </c>
      <c r="H1103" s="594" t="inlineStr">
        <is>
          <t>MCHD-TR</t>
        </is>
      </c>
      <c r="I1103" s="570" t="inlineStr">
        <is>
          <t>Bubba Daugherity</t>
        </is>
      </c>
      <c r="J1103" s="557" t="inlineStr">
        <is>
          <t>US-901 483 9547</t>
        </is>
      </c>
    </row>
    <row r="1104" ht="17.25" customFormat="1" customHeight="1" s="1">
      <c r="A1104" s="8" t="inlineStr">
        <is>
          <t>A 14</t>
        </is>
      </c>
      <c r="B1104" s="5" t="n">
        <v>80</v>
      </c>
      <c r="C1104" s="6" t="inlineStr">
        <is>
          <t>X</t>
        </is>
      </c>
      <c r="D1104" s="5" t="n">
        <v>287</v>
      </c>
      <c r="E1104" s="2">
        <f>B1104*D1104/10000</f>
        <v/>
      </c>
      <c r="F1104" s="3">
        <f>B1104/30.48</f>
        <v/>
      </c>
      <c r="G1104" s="3">
        <f>D1104/30.48</f>
        <v/>
      </c>
      <c r="H1104" s="594" t="inlineStr">
        <is>
          <t>MCHD-TR</t>
        </is>
      </c>
      <c r="I1104" s="570" t="inlineStr">
        <is>
          <t>Meghan Martin</t>
        </is>
      </c>
      <c r="J1104" s="557" t="inlineStr">
        <is>
          <t>US-317 753 9183</t>
        </is>
      </c>
    </row>
    <row r="1105" ht="17.25" customFormat="1" customHeight="1" s="1">
      <c r="A1105" s="8" t="inlineStr">
        <is>
          <t>Y 301</t>
        </is>
      </c>
      <c r="B1105" s="5" t="n">
        <v>381</v>
      </c>
      <c r="C1105" s="6" t="inlineStr">
        <is>
          <t>X</t>
        </is>
      </c>
      <c r="D1105" s="5" t="n">
        <v>83</v>
      </c>
      <c r="E1105" s="2">
        <f>B1105*D1105/10000</f>
        <v/>
      </c>
      <c r="F1105" s="3">
        <f>B1105/30.48</f>
        <v/>
      </c>
      <c r="G1105" s="3">
        <f>D1105/30.48</f>
        <v/>
      </c>
      <c r="H1105" s="594" t="inlineStr">
        <is>
          <t>MCHD-TR</t>
        </is>
      </c>
      <c r="I1105" s="570" t="inlineStr">
        <is>
          <t>Arden Sidel</t>
        </is>
      </c>
      <c r="J1105" s="557" t="inlineStr">
        <is>
          <t>US-260 615 6639</t>
        </is>
      </c>
    </row>
    <row r="1106" ht="17.25" customFormat="1" customHeight="1" s="1">
      <c r="A1106" s="8" t="n">
        <v>46</v>
      </c>
      <c r="B1106" s="5" t="n">
        <v>78</v>
      </c>
      <c r="C1106" s="6" t="inlineStr">
        <is>
          <t>X</t>
        </is>
      </c>
      <c r="D1106" s="5" t="n">
        <v>49</v>
      </c>
      <c r="E1106" s="2">
        <f>B1106*D1106/10000</f>
        <v/>
      </c>
      <c r="F1106" s="3">
        <f>B1106/30.48</f>
        <v/>
      </c>
      <c r="G1106" s="3">
        <f>D1106/30.48</f>
        <v/>
      </c>
      <c r="H1106" s="16" t="inlineStr">
        <is>
          <t>MCHD-OLD</t>
        </is>
      </c>
      <c r="I1106" s="570" t="inlineStr">
        <is>
          <t>Farolyn Mobley</t>
        </is>
      </c>
      <c r="J1106" s="557" t="inlineStr">
        <is>
          <t>US-229 985 5544</t>
        </is>
      </c>
    </row>
    <row r="1107" ht="17.25" customHeight="1" s="305">
      <c r="A1107" s="8" t="inlineStr">
        <is>
          <t>D 82</t>
        </is>
      </c>
      <c r="B1107" s="5" t="n">
        <v>57</v>
      </c>
      <c r="C1107" s="72" t="inlineStr">
        <is>
          <t>X</t>
        </is>
      </c>
      <c r="D1107" s="5" t="n">
        <v>113</v>
      </c>
      <c r="E1107" s="73">
        <f>B1107*D1107/10000</f>
        <v/>
      </c>
      <c r="F1107" s="74">
        <f>B1107/30.48</f>
        <v/>
      </c>
      <c r="G1107" s="74">
        <f>D1107/30.48</f>
        <v/>
      </c>
      <c r="H1107" s="16" t="inlineStr">
        <is>
          <t>MCHD-OLD</t>
        </is>
      </c>
      <c r="I1107" s="570" t="inlineStr">
        <is>
          <t>Morgan Doyle</t>
        </is>
      </c>
      <c r="J1107" s="557" t="n"/>
      <c r="M1107" s="1" t="n"/>
      <c r="N1107" s="1" t="n"/>
      <c r="O1107" s="1" t="n"/>
    </row>
    <row r="1108" ht="17.25" customFormat="1" customHeight="1" s="1">
      <c r="A1108" s="8" t="n">
        <v>1596</v>
      </c>
      <c r="B1108" s="5" t="n">
        <v>354</v>
      </c>
      <c r="C1108" s="72" t="inlineStr">
        <is>
          <t>X</t>
        </is>
      </c>
      <c r="D1108" s="5" t="n">
        <v>184</v>
      </c>
      <c r="E1108" s="73">
        <f>B1108*D1108/10000</f>
        <v/>
      </c>
      <c r="F1108" s="74">
        <f>B1108/30.48</f>
        <v/>
      </c>
      <c r="G1108" s="74">
        <f>D1108/30.48</f>
        <v/>
      </c>
      <c r="H1108" s="594" t="inlineStr">
        <is>
          <t>MCHD-TR</t>
        </is>
      </c>
      <c r="I1108" s="551" t="inlineStr">
        <is>
          <t>Joanna M Stevens</t>
        </is>
      </c>
      <c r="J1108" s="552" t="n"/>
    </row>
    <row r="1109" ht="17.25" customFormat="1" customHeight="1" s="1">
      <c r="A1109" s="8" t="n">
        <v>1432</v>
      </c>
      <c r="B1109" s="5" t="n">
        <v>90</v>
      </c>
      <c r="C1109" s="72" t="inlineStr">
        <is>
          <t>X</t>
        </is>
      </c>
      <c r="D1109" s="5" t="n">
        <v>342</v>
      </c>
      <c r="E1109" s="73">
        <f>B1109*D1109/10000</f>
        <v/>
      </c>
      <c r="F1109" s="74">
        <f>B1109/30.48</f>
        <v/>
      </c>
      <c r="G1109" s="74">
        <f>D1109/30.48</f>
        <v/>
      </c>
      <c r="H1109" s="66" t="inlineStr">
        <is>
          <t>MCHD-TR</t>
        </is>
      </c>
      <c r="I1109" s="570" t="inlineStr">
        <is>
          <t>Sharon Gilbert</t>
        </is>
      </c>
      <c r="J1109" s="557" t="inlineStr">
        <is>
          <t>US-205 243 1320</t>
        </is>
      </c>
    </row>
    <row r="1110" ht="17.25" customFormat="1" customHeight="1" s="1">
      <c r="A1110" s="8" t="inlineStr">
        <is>
          <t>C 42</t>
        </is>
      </c>
      <c r="B1110" s="5" t="n">
        <v>372</v>
      </c>
      <c r="C1110" s="6" t="inlineStr">
        <is>
          <t>X</t>
        </is>
      </c>
      <c r="D1110" s="5" t="n">
        <v>285</v>
      </c>
      <c r="E1110" s="2">
        <f>B1110*D1110/10000</f>
        <v/>
      </c>
      <c r="F1110" s="3">
        <f>B1110/30.48</f>
        <v/>
      </c>
      <c r="G1110" s="3">
        <f>D1110/30.48</f>
        <v/>
      </c>
      <c r="H1110" s="694" t="n"/>
      <c r="I1110" s="694" t="n"/>
      <c r="J1110" s="694" t="n"/>
    </row>
    <row r="1111" ht="17.25" customFormat="1" customHeight="1" s="1">
      <c r="A1111" s="8" t="n">
        <v>1412</v>
      </c>
      <c r="B1111" s="5" t="n">
        <v>92</v>
      </c>
      <c r="C1111" s="72" t="inlineStr">
        <is>
          <t>X</t>
        </is>
      </c>
      <c r="D1111" s="5" t="n">
        <v>133</v>
      </c>
      <c r="E1111" s="73">
        <f>B1111*D1111/10000</f>
        <v/>
      </c>
      <c r="F1111" s="74">
        <f>B1111/30.48</f>
        <v/>
      </c>
      <c r="G1111" s="74">
        <f>D1111/30.48</f>
        <v/>
      </c>
      <c r="H1111" s="594" t="inlineStr">
        <is>
          <t>MCHD-TR</t>
        </is>
      </c>
      <c r="I1111" s="570" t="inlineStr">
        <is>
          <t>Kathy Bolde</t>
        </is>
      </c>
      <c r="J1111" s="557" t="n"/>
    </row>
    <row r="1112" ht="17.25" customFormat="1" customHeight="1" s="1">
      <c r="A1112" s="8" t="inlineStr">
        <is>
          <t>Y 905</t>
        </is>
      </c>
      <c r="B1112" s="5" t="n">
        <v>235</v>
      </c>
      <c r="C1112" s="6" t="inlineStr">
        <is>
          <t>X</t>
        </is>
      </c>
      <c r="D1112" s="5" t="n">
        <v>109</v>
      </c>
      <c r="E1112" s="2">
        <f>B1112*D1112/10000</f>
        <v/>
      </c>
      <c r="F1112" s="3">
        <f>B1112/30.48</f>
        <v/>
      </c>
      <c r="G1112" s="3">
        <f>D1112/30.48</f>
        <v/>
      </c>
      <c r="H1112" s="16" t="inlineStr">
        <is>
          <t>MCHD-OLD</t>
        </is>
      </c>
      <c r="I1112" s="570" t="inlineStr">
        <is>
          <t>Chad Perry</t>
        </is>
      </c>
      <c r="J1112" s="557" t="inlineStr">
        <is>
          <t>US-865 251 3286</t>
        </is>
      </c>
    </row>
    <row r="1113" ht="17.25" customHeight="1" s="305">
      <c r="A1113" s="8" t="inlineStr">
        <is>
          <t>D 23</t>
        </is>
      </c>
      <c r="B1113" s="5" t="n">
        <v>58</v>
      </c>
      <c r="C1113" s="72" t="inlineStr">
        <is>
          <t>X</t>
        </is>
      </c>
      <c r="D1113" s="5" t="n">
        <v>102</v>
      </c>
      <c r="E1113" s="73">
        <f>B1113*D1113/10000</f>
        <v/>
      </c>
      <c r="F1113" s="74">
        <f>B1113/30.48</f>
        <v/>
      </c>
      <c r="G1113" s="74">
        <f>D1113/30.48</f>
        <v/>
      </c>
      <c r="H1113" s="503" t="inlineStr">
        <is>
          <t>MCHD-VR</t>
        </is>
      </c>
      <c r="I1113" s="570" t="inlineStr">
        <is>
          <t>Chelsea Buckler</t>
        </is>
      </c>
      <c r="J1113" s="557" t="n"/>
      <c r="M1113" s="1" t="n"/>
      <c r="N1113" s="1" t="n"/>
      <c r="O1113" s="1" t="n"/>
    </row>
    <row r="1114" ht="17.25" customFormat="1" customHeight="1" s="1">
      <c r="A1114" s="8" t="n">
        <v>1265</v>
      </c>
      <c r="B1114" s="5" t="n">
        <v>114</v>
      </c>
      <c r="C1114" s="72" t="inlineStr">
        <is>
          <t>X</t>
        </is>
      </c>
      <c r="D1114" s="5" t="n">
        <v>187</v>
      </c>
      <c r="E1114" s="73">
        <f>B1114*D1114/10000</f>
        <v/>
      </c>
      <c r="F1114" s="74">
        <f>B1114/30.48</f>
        <v/>
      </c>
      <c r="G1114" s="74">
        <f>D1114/30.48</f>
        <v/>
      </c>
      <c r="H1114" s="553" t="inlineStr">
        <is>
          <t>MCHD-PAC</t>
        </is>
      </c>
      <c r="I1114" s="570" t="inlineStr">
        <is>
          <t>Lindsey McPherson</t>
        </is>
      </c>
      <c r="J1114" s="557" t="n"/>
    </row>
    <row r="1115" ht="17.25" customFormat="1" customHeight="1" s="1">
      <c r="A1115" s="8" t="n">
        <v>1486</v>
      </c>
      <c r="B1115" s="5" t="n">
        <v>93</v>
      </c>
      <c r="C1115" s="72" t="inlineStr">
        <is>
          <t>X</t>
        </is>
      </c>
      <c r="D1115" s="5" t="n">
        <v>364</v>
      </c>
      <c r="E1115" s="73">
        <f>B1115*D1115/10000</f>
        <v/>
      </c>
      <c r="F1115" s="74">
        <f>B1115/30.48</f>
        <v/>
      </c>
      <c r="G1115" s="74">
        <f>D1115/30.48</f>
        <v/>
      </c>
      <c r="H1115" s="553" t="inlineStr">
        <is>
          <t>MCHD-PAC</t>
        </is>
      </c>
      <c r="I1115" s="570" t="inlineStr">
        <is>
          <t>Melissa Waystack</t>
        </is>
      </c>
      <c r="J1115" s="557" t="inlineStr">
        <is>
          <t>US-917 292 0664</t>
        </is>
      </c>
    </row>
    <row r="1116" ht="17.25" customFormat="1" customHeight="1" s="1">
      <c r="A1116" s="8" t="n">
        <v>1288</v>
      </c>
      <c r="B1116" s="5" t="n">
        <v>80</v>
      </c>
      <c r="C1116" s="72" t="inlineStr">
        <is>
          <t>X</t>
        </is>
      </c>
      <c r="D1116" s="5" t="n">
        <v>367</v>
      </c>
      <c r="E1116" s="73">
        <f>B1116*D1116/10000</f>
        <v/>
      </c>
      <c r="F1116" s="74">
        <f>B1116/30.48</f>
        <v/>
      </c>
      <c r="G1116" s="74">
        <f>D1116/30.48</f>
        <v/>
      </c>
      <c r="H1116" s="594" t="inlineStr">
        <is>
          <t>MCHD-TR</t>
        </is>
      </c>
      <c r="I1116" s="694" t="n"/>
      <c r="J1116" s="694" t="n"/>
    </row>
    <row r="1117" ht="17.25" customFormat="1" customHeight="1" s="1">
      <c r="A1117" s="8" t="n">
        <v>1421</v>
      </c>
      <c r="B1117" s="5" t="n">
        <v>87</v>
      </c>
      <c r="C1117" s="72" t="inlineStr">
        <is>
          <t>X</t>
        </is>
      </c>
      <c r="D1117" s="5" t="n">
        <v>378</v>
      </c>
      <c r="E1117" s="73">
        <f>B1117*D1117/10000</f>
        <v/>
      </c>
      <c r="F1117" s="74">
        <f>B1117/30.48</f>
        <v/>
      </c>
      <c r="G1117" s="74">
        <f>D1117/30.48</f>
        <v/>
      </c>
      <c r="H1117" s="553" t="inlineStr">
        <is>
          <t>MCHD-PAC</t>
        </is>
      </c>
      <c r="I1117" s="570" t="inlineStr">
        <is>
          <t>Jessica Ko</t>
        </is>
      </c>
      <c r="J1117" s="557" t="inlineStr">
        <is>
          <t>US-425 591 3864</t>
        </is>
      </c>
    </row>
    <row r="1118" ht="17.25" customHeight="1" s="305">
      <c r="A1118" s="8" t="inlineStr">
        <is>
          <t>D 263</t>
        </is>
      </c>
      <c r="B1118" s="5" t="n">
        <v>51</v>
      </c>
      <c r="C1118" s="72" t="inlineStr">
        <is>
          <t>X</t>
        </is>
      </c>
      <c r="D1118" s="5" t="n">
        <v>99</v>
      </c>
      <c r="E1118" s="73">
        <f>B1118*D1118/10000</f>
        <v/>
      </c>
      <c r="F1118" s="74">
        <f>B1118/30.48</f>
        <v/>
      </c>
      <c r="G1118" s="74">
        <f>D1118/30.48</f>
        <v/>
      </c>
      <c r="H1118" s="16" t="inlineStr">
        <is>
          <t>MCHD-OLD</t>
        </is>
      </c>
      <c r="I1118" s="570" t="inlineStr">
        <is>
          <t>Jennifer Murphy</t>
        </is>
      </c>
      <c r="J1118" s="557" t="inlineStr">
        <is>
          <t>US-678 576 4555</t>
        </is>
      </c>
      <c r="M1118" s="1" t="n"/>
      <c r="N1118" s="1" t="n"/>
      <c r="O1118" s="1" t="n"/>
    </row>
    <row r="1119" ht="17.25" customHeight="1" s="305">
      <c r="A1119" s="8" t="inlineStr">
        <is>
          <t>D 114</t>
        </is>
      </c>
      <c r="B1119" s="5" t="n">
        <v>50</v>
      </c>
      <c r="C1119" s="72" t="inlineStr">
        <is>
          <t>X</t>
        </is>
      </c>
      <c r="D1119" s="5" t="n">
        <v>82</v>
      </c>
      <c r="E1119" s="73">
        <f>B1119*D1119/10000</f>
        <v/>
      </c>
      <c r="F1119" s="74">
        <f>B1119/30.48</f>
        <v/>
      </c>
      <c r="G1119" s="74">
        <f>D1119/30.48</f>
        <v/>
      </c>
      <c r="H1119" s="16" t="inlineStr">
        <is>
          <t>MCHD-OLD</t>
        </is>
      </c>
      <c r="I1119" s="570" t="inlineStr">
        <is>
          <t>Jaclyn Miller</t>
        </is>
      </c>
      <c r="J1119" s="557" t="n"/>
      <c r="M1119" s="1" t="n"/>
      <c r="N1119" s="1" t="n"/>
      <c r="O1119" s="1" t="n"/>
    </row>
    <row r="1120" ht="17.25" customFormat="1" customHeight="1" s="1">
      <c r="A1120" s="8" t="n">
        <v>1651</v>
      </c>
      <c r="B1120" s="5" t="n">
        <v>150</v>
      </c>
      <c r="C1120" s="72" t="inlineStr">
        <is>
          <t>X</t>
        </is>
      </c>
      <c r="D1120" s="5" t="n">
        <v>75</v>
      </c>
      <c r="E1120" s="73">
        <f>B1120*D1120/10000</f>
        <v/>
      </c>
      <c r="F1120" s="74">
        <f>B1120/30.48</f>
        <v/>
      </c>
      <c r="G1120" s="74">
        <f>D1120/30.48</f>
        <v/>
      </c>
      <c r="H1120" s="594" t="inlineStr">
        <is>
          <t>MCHD-TR</t>
        </is>
      </c>
      <c r="I1120" s="570" t="inlineStr">
        <is>
          <t>Jonathan Bywater</t>
        </is>
      </c>
      <c r="J1120" s="557" t="inlineStr">
        <is>
          <t>US-650 390 3022</t>
        </is>
      </c>
    </row>
    <row r="1121" ht="17.25" customFormat="1" customHeight="1" s="1">
      <c r="A1121" s="8" t="inlineStr">
        <is>
          <t>C 783</t>
        </is>
      </c>
      <c r="B1121" s="5" t="n">
        <v>91</v>
      </c>
      <c r="C1121" s="6" t="inlineStr">
        <is>
          <t>X</t>
        </is>
      </c>
      <c r="D1121" s="5" t="n">
        <v>360</v>
      </c>
      <c r="E1121" s="2">
        <f>B1121*D1121/10000</f>
        <v/>
      </c>
      <c r="F1121" s="3">
        <f>B1121/30.48</f>
        <v/>
      </c>
      <c r="G1121" s="3">
        <f>D1121/30.48</f>
        <v/>
      </c>
      <c r="H1121" s="594" t="inlineStr">
        <is>
          <t>MCHD-TR</t>
        </is>
      </c>
      <c r="I1121" s="534" t="inlineStr">
        <is>
          <t>DeAnna Moore</t>
        </is>
      </c>
      <c r="J1121" s="545" t="inlineStr">
        <is>
          <t>US-713 304 5208</t>
        </is>
      </c>
    </row>
    <row r="1122" ht="17.25" customFormat="1" customHeight="1" s="1">
      <c r="A1122" s="8" t="n">
        <v>102</v>
      </c>
      <c r="B1122" s="5" t="n">
        <v>83</v>
      </c>
      <c r="C1122" s="6" t="inlineStr">
        <is>
          <t>X</t>
        </is>
      </c>
      <c r="D1122" s="5" t="n">
        <v>50</v>
      </c>
      <c r="E1122" s="2">
        <f>B1122*D1122/10000</f>
        <v/>
      </c>
      <c r="F1122" s="3">
        <f>B1122/30.48</f>
        <v/>
      </c>
      <c r="G1122" s="3">
        <f>D1122/30.48</f>
        <v/>
      </c>
      <c r="H1122" s="16" t="inlineStr">
        <is>
          <t>MCHD-OLD</t>
        </is>
      </c>
      <c r="I1122" s="570" t="inlineStr">
        <is>
          <t>Eileen Levine</t>
        </is>
      </c>
      <c r="J1122" s="557" t="n"/>
    </row>
    <row r="1123" ht="17.25" customHeight="1" s="305">
      <c r="A1123" s="8" t="inlineStr">
        <is>
          <t>D 236</t>
        </is>
      </c>
      <c r="B1123" s="5" t="n">
        <v>50</v>
      </c>
      <c r="C1123" s="72" t="inlineStr">
        <is>
          <t>X</t>
        </is>
      </c>
      <c r="D1123" s="5" t="n">
        <v>104</v>
      </c>
      <c r="E1123" s="73">
        <f>B1123*D1123/10000</f>
        <v/>
      </c>
      <c r="F1123" s="74">
        <f>B1123/30.48</f>
        <v/>
      </c>
      <c r="G1123" s="74">
        <f>D1123/30.48</f>
        <v/>
      </c>
      <c r="H1123" s="16" t="inlineStr">
        <is>
          <t>MCHD-OLD</t>
        </is>
      </c>
      <c r="I1123" s="570" t="inlineStr">
        <is>
          <t>CHRISTINE HERRICK</t>
        </is>
      </c>
      <c r="J1123" s="557" t="inlineStr">
        <is>
          <t>CA-905 767 8060</t>
        </is>
      </c>
      <c r="M1123" s="1" t="n"/>
      <c r="N1123" s="1" t="n"/>
      <c r="O1123" s="1" t="n"/>
    </row>
    <row r="1124" ht="17.25" customFormat="1" customHeight="1" s="1">
      <c r="A1124" s="8" t="n">
        <v>1200</v>
      </c>
      <c r="B1124" s="5" t="n">
        <v>139</v>
      </c>
      <c r="C1124" s="72" t="inlineStr">
        <is>
          <t>X</t>
        </is>
      </c>
      <c r="D1124" s="5" t="n">
        <v>220</v>
      </c>
      <c r="E1124" s="73">
        <f>B1124*D1124/10000</f>
        <v/>
      </c>
      <c r="F1124" s="74">
        <f>B1124/30.48</f>
        <v/>
      </c>
      <c r="G1124" s="74">
        <f>D1124/30.48</f>
        <v/>
      </c>
      <c r="H1124" s="594" t="inlineStr">
        <is>
          <t>MCHD-TR</t>
        </is>
      </c>
      <c r="I1124" s="534" t="inlineStr">
        <is>
          <t>Tracy Kerkorian</t>
        </is>
      </c>
      <c r="J1124" s="545" t="inlineStr">
        <is>
          <t>US-310 459 3872</t>
        </is>
      </c>
    </row>
    <row r="1125" ht="17.25" customFormat="1" customHeight="1" s="1">
      <c r="A1125" s="8" t="n">
        <v>1577</v>
      </c>
      <c r="B1125" s="5" t="n">
        <v>175</v>
      </c>
      <c r="C1125" s="72" t="inlineStr">
        <is>
          <t>X</t>
        </is>
      </c>
      <c r="D1125" s="5" t="n">
        <v>92</v>
      </c>
      <c r="E1125" s="73">
        <f>B1125*D1125/10000</f>
        <v/>
      </c>
      <c r="F1125" s="74">
        <f>B1125/30.48</f>
        <v/>
      </c>
      <c r="G1125" s="74">
        <f>D1125/30.48</f>
        <v/>
      </c>
      <c r="H1125" s="594" t="inlineStr">
        <is>
          <t>MCHD-TR</t>
        </is>
      </c>
      <c r="I1125" s="570" t="inlineStr">
        <is>
          <t>Sandy Krauser</t>
        </is>
      </c>
      <c r="J1125" s="557" t="n"/>
    </row>
    <row r="1126" ht="17.25" customFormat="1" customHeight="1" s="1">
      <c r="A1126" s="8" t="inlineStr">
        <is>
          <t>C 281</t>
        </is>
      </c>
      <c r="B1126" s="5" t="n">
        <v>173</v>
      </c>
      <c r="C1126" s="6" t="inlineStr">
        <is>
          <t>X</t>
        </is>
      </c>
      <c r="D1126" s="5" t="n">
        <v>260</v>
      </c>
      <c r="E1126" s="2">
        <f>B1126*D1126/10000</f>
        <v/>
      </c>
      <c r="F1126" s="3">
        <f>B1126/30.48</f>
        <v/>
      </c>
      <c r="G1126" s="3">
        <f>D1126/30.48</f>
        <v/>
      </c>
      <c r="H1126" s="594" t="inlineStr">
        <is>
          <t>MCHD-TR</t>
        </is>
      </c>
      <c r="I1126" s="570" t="inlineStr">
        <is>
          <t>Katie Gebhardt</t>
        </is>
      </c>
      <c r="J1126" s="557" t="n"/>
    </row>
    <row r="1127" ht="17.25" customFormat="1" customHeight="1" s="1">
      <c r="A1127" s="8" t="inlineStr">
        <is>
          <t>C 397</t>
        </is>
      </c>
      <c r="B1127" s="5" t="n">
        <v>181</v>
      </c>
      <c r="C1127" s="6" t="inlineStr">
        <is>
          <t>X</t>
        </is>
      </c>
      <c r="D1127" s="5" t="n">
        <v>227</v>
      </c>
      <c r="E1127" s="2">
        <f>B1127*D1127/10000</f>
        <v/>
      </c>
      <c r="F1127" s="3">
        <f>B1127/30.48</f>
        <v/>
      </c>
      <c r="G1127" s="3">
        <f>D1127/30.48</f>
        <v/>
      </c>
      <c r="H1127" s="16" t="inlineStr">
        <is>
          <t>MCHD-OLD</t>
        </is>
      </c>
      <c r="I1127" s="570" t="inlineStr">
        <is>
          <t>Heather Trahan</t>
        </is>
      </c>
      <c r="J1127" s="557" t="inlineStr">
        <is>
          <t>US-504 453 3609</t>
        </is>
      </c>
    </row>
    <row r="1128" ht="17.25" customHeight="1" s="305">
      <c r="A1128" s="8" t="inlineStr">
        <is>
          <t>D 283</t>
        </is>
      </c>
      <c r="B1128" s="5" t="n">
        <v>56</v>
      </c>
      <c r="C1128" s="72" t="inlineStr">
        <is>
          <t>X</t>
        </is>
      </c>
      <c r="D1128" s="5" t="n">
        <v>104</v>
      </c>
      <c r="E1128" s="73">
        <f>B1128*D1128/10000</f>
        <v/>
      </c>
      <c r="F1128" s="74">
        <f>B1128/30.48</f>
        <v/>
      </c>
      <c r="G1128" s="74">
        <f>D1128/30.48</f>
        <v/>
      </c>
      <c r="H1128" s="16" t="inlineStr">
        <is>
          <t>MCHD-OLD</t>
        </is>
      </c>
      <c r="I1128" s="534" t="inlineStr">
        <is>
          <t>Karen Cooper</t>
        </is>
      </c>
      <c r="J1128" s="545" t="inlineStr">
        <is>
          <t>US-618 467 1055</t>
        </is>
      </c>
      <c r="M1128" s="1" t="n"/>
      <c r="N1128" s="1" t="n"/>
      <c r="O1128" s="1" t="n"/>
    </row>
    <row r="1129" ht="17.25" customFormat="1" customHeight="1" s="1">
      <c r="A1129" s="8" t="n">
        <v>1597</v>
      </c>
      <c r="B1129" s="5" t="n">
        <v>395</v>
      </c>
      <c r="C1129" s="72" t="inlineStr">
        <is>
          <t>X</t>
        </is>
      </c>
      <c r="D1129" s="5" t="n">
        <v>113</v>
      </c>
      <c r="E1129" s="73">
        <f>B1129*D1129/10000</f>
        <v/>
      </c>
      <c r="F1129" s="74">
        <f>B1129/30.48</f>
        <v/>
      </c>
      <c r="G1129" s="74">
        <f>D1129/30.48</f>
        <v/>
      </c>
      <c r="H1129" s="594" t="inlineStr">
        <is>
          <t>MCHD-TR</t>
        </is>
      </c>
      <c r="I1129" s="570" t="inlineStr">
        <is>
          <t>Johnna Boylan</t>
        </is>
      </c>
      <c r="J1129" s="557" t="n"/>
    </row>
    <row r="1130" ht="17.25" customFormat="1" customHeight="1" s="1">
      <c r="A1130" s="8" t="n">
        <v>1282</v>
      </c>
      <c r="B1130" s="5" t="n">
        <v>56</v>
      </c>
      <c r="C1130" s="72" t="inlineStr">
        <is>
          <t>X</t>
        </is>
      </c>
      <c r="D1130" s="5" t="n">
        <v>99</v>
      </c>
      <c r="E1130" s="73">
        <f>B1130*D1130/10000</f>
        <v/>
      </c>
      <c r="F1130" s="74">
        <f>B1130/30.48</f>
        <v/>
      </c>
      <c r="G1130" s="74">
        <f>D1130/30.48</f>
        <v/>
      </c>
      <c r="H1130" s="66" t="inlineStr">
        <is>
          <t>MCHD-TR</t>
        </is>
      </c>
      <c r="I1130" s="570" t="inlineStr">
        <is>
          <t>Paige Yim</t>
        </is>
      </c>
      <c r="J1130" s="557" t="n"/>
    </row>
    <row r="1131" ht="17.25" customFormat="1" customHeight="1" s="1">
      <c r="A1131" s="8" t="inlineStr">
        <is>
          <t xml:space="preserve">ne </t>
        </is>
      </c>
      <c r="B1131" s="5" t="n">
        <v>64</v>
      </c>
      <c r="C1131" s="72" t="inlineStr">
        <is>
          <t>X</t>
        </is>
      </c>
      <c r="D1131" s="5" t="n">
        <v>105</v>
      </c>
      <c r="E1131" s="73">
        <f>B1131*D1131/10000</f>
        <v/>
      </c>
      <c r="F1131" s="74">
        <f>B1131/30.48</f>
        <v/>
      </c>
      <c r="G1131" s="74">
        <f>D1131/30.48</f>
        <v/>
      </c>
      <c r="H1131" s="694" t="n"/>
      <c r="I1131" s="694" t="n"/>
      <c r="J1131" s="694" t="n"/>
    </row>
    <row r="1132" ht="17.25" customHeight="1" s="305">
      <c r="A1132" s="8" t="inlineStr">
        <is>
          <t>D 253</t>
        </is>
      </c>
      <c r="B1132" s="5" t="n">
        <v>48</v>
      </c>
      <c r="C1132" s="72" t="inlineStr">
        <is>
          <t>X</t>
        </is>
      </c>
      <c r="D1132" s="5" t="n">
        <v>95</v>
      </c>
      <c r="E1132" s="73">
        <f>B1132*D1132/10000</f>
        <v/>
      </c>
      <c r="F1132" s="74">
        <f>B1132/30.48</f>
        <v/>
      </c>
      <c r="G1132" s="74">
        <f>D1132/30.48</f>
        <v/>
      </c>
      <c r="H1132" s="16" t="inlineStr">
        <is>
          <t>MCHD-VR</t>
        </is>
      </c>
      <c r="I1132" s="570" t="inlineStr">
        <is>
          <t>Sherri Pullen</t>
        </is>
      </c>
      <c r="J1132" s="557" t="n"/>
      <c r="M1132" s="1" t="n"/>
      <c r="N1132" s="1" t="n"/>
      <c r="O1132" s="1" t="n"/>
    </row>
    <row r="1133" ht="17.25" customFormat="1" customHeight="1" s="1">
      <c r="A1133" s="8" t="inlineStr">
        <is>
          <t>C 661</t>
        </is>
      </c>
      <c r="B1133" s="5" t="n">
        <v>77</v>
      </c>
      <c r="C1133" s="6" t="inlineStr">
        <is>
          <t>X</t>
        </is>
      </c>
      <c r="D1133" s="5" t="n">
        <v>160</v>
      </c>
      <c r="E1133" s="2">
        <f>B1133*D1133/10000</f>
        <v/>
      </c>
      <c r="F1133" s="3">
        <f>B1133/30.48</f>
        <v/>
      </c>
      <c r="G1133" s="3">
        <f>D1133/30.48</f>
        <v/>
      </c>
      <c r="H1133" s="553" t="inlineStr">
        <is>
          <t>MCHD-PAC</t>
        </is>
      </c>
      <c r="I1133" s="570" t="inlineStr">
        <is>
          <t>Fashaya Hufnagel</t>
        </is>
      </c>
      <c r="J1133" s="557" t="n"/>
    </row>
    <row r="1134" ht="17.25" customFormat="1" customHeight="1" s="1">
      <c r="A1134" s="8" t="n">
        <v>1620</v>
      </c>
      <c r="B1134" s="5" t="n">
        <v>285</v>
      </c>
      <c r="C1134" s="72" t="inlineStr">
        <is>
          <t>X</t>
        </is>
      </c>
      <c r="D1134" s="5" t="n">
        <v>89</v>
      </c>
      <c r="E1134" s="73">
        <f>B1134*D1134/10000</f>
        <v/>
      </c>
      <c r="F1134" s="74">
        <f>B1134/30.48</f>
        <v/>
      </c>
      <c r="G1134" s="74">
        <f>D1134/30.48</f>
        <v/>
      </c>
      <c r="H1134" s="553" t="inlineStr">
        <is>
          <t>MCHD-PAC</t>
        </is>
      </c>
      <c r="I1134" s="570" t="inlineStr">
        <is>
          <t>Alan Young</t>
        </is>
      </c>
      <c r="J1134" s="557" t="n"/>
    </row>
    <row r="1135" ht="17.25" customFormat="1" customHeight="1" s="1">
      <c r="A1135" s="8" t="n">
        <v>1339</v>
      </c>
      <c r="B1135" s="5" t="n">
        <v>72</v>
      </c>
      <c r="C1135" s="72" t="inlineStr">
        <is>
          <t>X</t>
        </is>
      </c>
      <c r="D1135" s="5" t="n">
        <v>314</v>
      </c>
      <c r="E1135" s="73">
        <f>B1135*D1135/10000</f>
        <v/>
      </c>
      <c r="F1135" s="74">
        <f>B1135/30.48</f>
        <v/>
      </c>
      <c r="G1135" s="74">
        <f>D1135/30.48</f>
        <v/>
      </c>
      <c r="H1135" s="553" t="inlineStr">
        <is>
          <t>MCHD-PAC</t>
        </is>
      </c>
      <c r="I1135" s="570" t="inlineStr">
        <is>
          <t>Reed Weiss</t>
        </is>
      </c>
      <c r="J1135" s="557" t="n"/>
    </row>
    <row r="1136" ht="17.25" customHeight="1" s="305">
      <c r="A1136" s="8" t="inlineStr">
        <is>
          <t>D 107</t>
        </is>
      </c>
      <c r="B1136" s="5" t="n">
        <v>47</v>
      </c>
      <c r="C1136" s="72" t="inlineStr">
        <is>
          <t>X</t>
        </is>
      </c>
      <c r="D1136" s="5" t="n">
        <v>97</v>
      </c>
      <c r="E1136" s="73">
        <f>B1136*D1136/10000</f>
        <v/>
      </c>
      <c r="F1136" s="74">
        <f>B1136/30.48</f>
        <v/>
      </c>
      <c r="G1136" s="74">
        <f>D1136/30.48</f>
        <v/>
      </c>
      <c r="H1136" s="16" t="inlineStr">
        <is>
          <t>MCHD-OLD</t>
        </is>
      </c>
      <c r="I1136" s="570" t="inlineStr">
        <is>
          <t>Deborah A Young</t>
        </is>
      </c>
      <c r="J1136" s="557" t="inlineStr">
        <is>
          <t>US-202 674 8883</t>
        </is>
      </c>
      <c r="M1136" s="1" t="n"/>
      <c r="N1136" s="1" t="n"/>
      <c r="O1136" s="1" t="n"/>
    </row>
    <row r="1137" ht="17.25" customFormat="1" customHeight="1" s="1">
      <c r="A1137" s="8" t="n">
        <v>1754</v>
      </c>
      <c r="B1137" s="5" t="n">
        <v>279</v>
      </c>
      <c r="C1137" s="72" t="inlineStr">
        <is>
          <t>X</t>
        </is>
      </c>
      <c r="D1137" s="5" t="n">
        <v>360</v>
      </c>
      <c r="E1137" s="73">
        <f>B1137*D1137/10000</f>
        <v/>
      </c>
      <c r="F1137" s="74">
        <f>B1137/30.48</f>
        <v/>
      </c>
      <c r="G1137" s="74">
        <f>D1137/30.48</f>
        <v/>
      </c>
      <c r="H1137" s="594" t="inlineStr">
        <is>
          <t>MCHD-TR</t>
        </is>
      </c>
      <c r="I1137" s="534" t="inlineStr">
        <is>
          <t>Sandra Garcia- Hotel</t>
        </is>
      </c>
      <c r="J1137" s="545" t="inlineStr">
        <is>
          <t>US-254 218 3042</t>
        </is>
      </c>
    </row>
    <row r="1138" ht="17.25" customHeight="1" s="305">
      <c r="A1138" s="8" t="inlineStr">
        <is>
          <t>D 94</t>
        </is>
      </c>
      <c r="B1138" s="5" t="n">
        <v>42</v>
      </c>
      <c r="C1138" s="72" t="inlineStr">
        <is>
          <t>X</t>
        </is>
      </c>
      <c r="D1138" s="5" t="n">
        <v>100</v>
      </c>
      <c r="E1138" s="73">
        <f>B1138*D1138/10000</f>
        <v/>
      </c>
      <c r="F1138" s="74">
        <f>B1138/30.48</f>
        <v/>
      </c>
      <c r="G1138" s="74">
        <f>D1138/30.48</f>
        <v/>
      </c>
      <c r="H1138" s="16" t="inlineStr">
        <is>
          <t>MCHD-VR</t>
        </is>
      </c>
      <c r="I1138" s="570" t="inlineStr">
        <is>
          <t>Ashley Smith</t>
        </is>
      </c>
      <c r="J1138" s="557" t="inlineStr">
        <is>
          <t>US-321 615 0278</t>
        </is>
      </c>
      <c r="M1138" s="1" t="n"/>
      <c r="N1138" s="1" t="n"/>
      <c r="O1138" s="1" t="n"/>
    </row>
    <row r="1139" ht="17.25" customHeight="1" s="305">
      <c r="A1139" s="8" t="inlineStr">
        <is>
          <t>D 207</t>
        </is>
      </c>
      <c r="B1139" s="5" t="n">
        <v>67</v>
      </c>
      <c r="C1139" s="72" t="inlineStr">
        <is>
          <t>X</t>
        </is>
      </c>
      <c r="D1139" s="5" t="n">
        <v>91</v>
      </c>
      <c r="E1139" s="73">
        <f>B1139*D1139/10000</f>
        <v/>
      </c>
      <c r="F1139" s="74">
        <f>B1139/30.48</f>
        <v/>
      </c>
      <c r="G1139" s="74">
        <f>D1139/30.48</f>
        <v/>
      </c>
      <c r="H1139" s="16" t="inlineStr">
        <is>
          <t>MCHD-VR</t>
        </is>
      </c>
      <c r="I1139" s="570" t="inlineStr">
        <is>
          <t>Brita Horton</t>
        </is>
      </c>
      <c r="J1139" s="557" t="n"/>
      <c r="M1139" s="1" t="n"/>
      <c r="N1139" s="1" t="n"/>
      <c r="O1139" s="1" t="n"/>
    </row>
    <row r="1140" ht="17.25" customHeight="1" s="305">
      <c r="A1140" s="8" t="inlineStr">
        <is>
          <t>D 10</t>
        </is>
      </c>
      <c r="B1140" s="5" t="n">
        <v>48</v>
      </c>
      <c r="C1140" s="72" t="inlineStr">
        <is>
          <t>X</t>
        </is>
      </c>
      <c r="D1140" s="5" t="n">
        <v>107</v>
      </c>
      <c r="E1140" s="73">
        <f>B1140*D1140/10000</f>
        <v/>
      </c>
      <c r="F1140" s="74">
        <f>B1140/30.48</f>
        <v/>
      </c>
      <c r="G1140" s="74">
        <f>D1140/30.48</f>
        <v/>
      </c>
      <c r="H1140" s="16" t="inlineStr">
        <is>
          <t>MCHD-VR</t>
        </is>
      </c>
      <c r="I1140" s="570" t="inlineStr">
        <is>
          <t>Johanna Denmark</t>
        </is>
      </c>
      <c r="J1140" s="557" t="inlineStr">
        <is>
          <t>US-208 602 5412</t>
        </is>
      </c>
      <c r="M1140" s="1" t="n"/>
      <c r="N1140" s="1" t="n"/>
      <c r="O1140" s="1" t="n"/>
    </row>
    <row r="1141" ht="17.25" customHeight="1" s="305">
      <c r="A1141" s="8" t="inlineStr">
        <is>
          <t>D 232</t>
        </is>
      </c>
      <c r="B1141" s="5" t="n">
        <v>48</v>
      </c>
      <c r="C1141" s="72" t="inlineStr">
        <is>
          <t>X</t>
        </is>
      </c>
      <c r="D1141" s="5" t="n">
        <v>102</v>
      </c>
      <c r="E1141" s="73">
        <f>B1141*D1141/10000</f>
        <v/>
      </c>
      <c r="F1141" s="74">
        <f>B1141/30.48</f>
        <v/>
      </c>
      <c r="G1141" s="74">
        <f>D1141/30.48</f>
        <v/>
      </c>
      <c r="H1141" s="16" t="inlineStr">
        <is>
          <t>MCHD-OLD</t>
        </is>
      </c>
      <c r="I1141" s="570" t="inlineStr">
        <is>
          <t>Sara Cordell</t>
        </is>
      </c>
      <c r="J1141" s="557" t="inlineStr">
        <is>
          <t>US-205 715 3648</t>
        </is>
      </c>
      <c r="M1141" s="1" t="n"/>
      <c r="N1141" s="1" t="n"/>
      <c r="O1141" s="1" t="n"/>
    </row>
    <row r="1142" ht="17.25" customFormat="1" customHeight="1" s="1">
      <c r="A1142" s="8" t="inlineStr">
        <is>
          <t>C 979</t>
        </is>
      </c>
      <c r="B1142" s="5" t="n">
        <v>90</v>
      </c>
      <c r="C1142" s="72" t="inlineStr">
        <is>
          <t>X</t>
        </is>
      </c>
      <c r="D1142" s="5" t="n">
        <v>370</v>
      </c>
      <c r="E1142" s="73">
        <f>B1142*D1142/10000</f>
        <v/>
      </c>
      <c r="F1142" s="74">
        <f>B1142/30.48</f>
        <v/>
      </c>
      <c r="G1142" s="74">
        <f>D1142/30.48</f>
        <v/>
      </c>
      <c r="H1142" s="594" t="inlineStr">
        <is>
          <t>MCHD-TR</t>
        </is>
      </c>
      <c r="I1142" s="570" t="inlineStr">
        <is>
          <t>Molly Peters</t>
        </is>
      </c>
      <c r="J1142" s="557" t="inlineStr">
        <is>
          <t>US-773 710 3272</t>
        </is>
      </c>
    </row>
    <row r="1143" ht="17.25" customFormat="1" customHeight="1" s="1">
      <c r="A1143" s="8" t="inlineStr">
        <is>
          <t>C 922</t>
        </is>
      </c>
      <c r="B1143" s="5" t="n">
        <v>87</v>
      </c>
      <c r="C1143" s="6" t="inlineStr">
        <is>
          <t>X</t>
        </is>
      </c>
      <c r="D1143" s="5" t="n">
        <v>362</v>
      </c>
      <c r="E1143" s="2">
        <f>B1143*D1143/10000</f>
        <v/>
      </c>
      <c r="F1143" s="3">
        <f>B1143/30.48</f>
        <v/>
      </c>
      <c r="G1143" s="3">
        <f>D1143/30.48</f>
        <v/>
      </c>
      <c r="H1143" s="594" t="inlineStr">
        <is>
          <t>MCHD-TR</t>
        </is>
      </c>
      <c r="I1143" s="570" t="inlineStr">
        <is>
          <t>Kiki ballas</t>
        </is>
      </c>
      <c r="J1143" s="557" t="n"/>
    </row>
    <row r="1144" ht="17.25" customFormat="1" customHeight="1" s="1">
      <c r="A1144" s="8" t="n">
        <v>1453</v>
      </c>
      <c r="B1144" s="5" t="n">
        <v>65</v>
      </c>
      <c r="C1144" s="72" t="inlineStr">
        <is>
          <t>X</t>
        </is>
      </c>
      <c r="D1144" s="5" t="n">
        <v>120</v>
      </c>
      <c r="E1144" s="73">
        <f>B1144*D1144/10000</f>
        <v/>
      </c>
      <c r="F1144" s="74">
        <f>B1144/30.48</f>
        <v/>
      </c>
      <c r="G1144" s="74">
        <f>D1144/30.48</f>
        <v/>
      </c>
      <c r="H1144" s="594" t="inlineStr">
        <is>
          <t>MCHD-TR</t>
        </is>
      </c>
      <c r="I1144" s="570" t="inlineStr">
        <is>
          <t>Kathryn Folloder</t>
        </is>
      </c>
      <c r="J1144" s="557" t="n"/>
    </row>
    <row r="1145" ht="17.25" customFormat="1" customHeight="1" s="1">
      <c r="A1145" s="8" t="n">
        <v>1031</v>
      </c>
      <c r="B1145" s="5" t="n">
        <v>98</v>
      </c>
      <c r="C1145" s="72" t="inlineStr">
        <is>
          <t>X</t>
        </is>
      </c>
      <c r="D1145" s="5" t="n">
        <v>190</v>
      </c>
      <c r="E1145" s="73">
        <f>B1145*D1145/10000</f>
        <v/>
      </c>
      <c r="F1145" s="74">
        <f>B1145/30.48</f>
        <v/>
      </c>
      <c r="G1145" s="74">
        <f>D1145/30.48</f>
        <v/>
      </c>
      <c r="H1145" s="594" t="inlineStr">
        <is>
          <t>MCHD-TR</t>
        </is>
      </c>
      <c r="I1145" s="570" t="inlineStr">
        <is>
          <t>Judith Kamien</t>
        </is>
      </c>
      <c r="J1145" s="557" t="inlineStr">
        <is>
          <t>US-917 952 3718</t>
        </is>
      </c>
    </row>
    <row r="1146" ht="17.25" customFormat="1" customHeight="1" s="1">
      <c r="A1146" s="8" t="inlineStr">
        <is>
          <t>C 366</t>
        </is>
      </c>
      <c r="B1146" s="5" t="n">
        <v>94</v>
      </c>
      <c r="C1146" s="6" t="inlineStr">
        <is>
          <t>X</t>
        </is>
      </c>
      <c r="D1146" s="5" t="n">
        <v>357</v>
      </c>
      <c r="E1146" s="2">
        <f>B1146*D1146/10000</f>
        <v/>
      </c>
      <c r="F1146" s="3">
        <f>B1146/30.48</f>
        <v/>
      </c>
      <c r="G1146" s="3">
        <f>D1146/30.48</f>
        <v/>
      </c>
      <c r="H1146" s="66" t="inlineStr">
        <is>
          <t>MCHD-TR</t>
        </is>
      </c>
      <c r="I1146" s="570" t="inlineStr">
        <is>
          <t>sarah stammen</t>
        </is>
      </c>
      <c r="J1146" s="557" t="inlineStr">
        <is>
          <t>US-617 780 6063</t>
        </is>
      </c>
    </row>
    <row r="1147" ht="17.25" customFormat="1" customHeight="1" s="1">
      <c r="A1147" s="8" t="n">
        <v>1045</v>
      </c>
      <c r="B1147" s="5" t="n">
        <v>86</v>
      </c>
      <c r="C1147" s="72" t="inlineStr">
        <is>
          <t>X</t>
        </is>
      </c>
      <c r="D1147" s="5" t="n">
        <v>306</v>
      </c>
      <c r="E1147" s="73">
        <f>B1147*D1147/10000</f>
        <v/>
      </c>
      <c r="F1147" s="74">
        <f>B1147/30.48</f>
        <v/>
      </c>
      <c r="G1147" s="74">
        <f>D1147/30.48</f>
        <v/>
      </c>
      <c r="H1147" s="693" t="n"/>
      <c r="I1147" s="693" t="n"/>
      <c r="J1147" s="693" t="n"/>
    </row>
    <row r="1148" ht="17.25" customFormat="1" customHeight="1" s="1">
      <c r="A1148" s="8" t="n">
        <v>1106</v>
      </c>
      <c r="B1148" s="5" t="n">
        <v>116</v>
      </c>
      <c r="C1148" s="72" t="inlineStr">
        <is>
          <t>X</t>
        </is>
      </c>
      <c r="D1148" s="5" t="n">
        <v>165</v>
      </c>
      <c r="E1148" s="73">
        <f>B1148*D1148/10000</f>
        <v/>
      </c>
      <c r="F1148" s="74">
        <f>B1148/30.48</f>
        <v/>
      </c>
      <c r="G1148" s="74">
        <f>D1148/30.48</f>
        <v/>
      </c>
      <c r="H1148" s="694" t="n"/>
      <c r="I1148" s="694" t="n"/>
      <c r="J1148" s="694" t="n"/>
    </row>
    <row r="1149" ht="17.25" customFormat="1" customHeight="1" s="1">
      <c r="A1149" s="8" t="n">
        <v>1442</v>
      </c>
      <c r="B1149" s="5" t="n">
        <v>91</v>
      </c>
      <c r="C1149" s="72" t="inlineStr">
        <is>
          <t>X</t>
        </is>
      </c>
      <c r="D1149" s="5" t="n">
        <v>277</v>
      </c>
      <c r="E1149" s="73">
        <f>B1149*D1149/10000</f>
        <v/>
      </c>
      <c r="F1149" s="74">
        <f>B1149/30.48</f>
        <v/>
      </c>
      <c r="G1149" s="74">
        <f>D1149/30.48</f>
        <v/>
      </c>
      <c r="H1149" s="594" t="inlineStr">
        <is>
          <t>MCHD-TR</t>
        </is>
      </c>
      <c r="I1149" s="534" t="inlineStr">
        <is>
          <t>Katelynn Fellows</t>
        </is>
      </c>
      <c r="J1149" s="545" t="inlineStr">
        <is>
          <t>US-352 538 7199</t>
        </is>
      </c>
    </row>
    <row r="1150" ht="17.25" customHeight="1" s="305">
      <c r="A1150" s="8" t="inlineStr">
        <is>
          <t>D 21</t>
        </is>
      </c>
      <c r="B1150" s="5" t="n">
        <v>54</v>
      </c>
      <c r="C1150" s="72" t="inlineStr">
        <is>
          <t>X</t>
        </is>
      </c>
      <c r="D1150" s="5" t="n">
        <v>110</v>
      </c>
      <c r="E1150" s="73">
        <f>B1150*D1150/10000</f>
        <v/>
      </c>
      <c r="F1150" s="74">
        <f>B1150/30.48</f>
        <v/>
      </c>
      <c r="G1150" s="74">
        <f>D1150/30.48</f>
        <v/>
      </c>
      <c r="H1150" s="16" t="inlineStr">
        <is>
          <t>MCHD-VR</t>
        </is>
      </c>
      <c r="I1150" s="570" t="inlineStr">
        <is>
          <t>Patricia Roe</t>
        </is>
      </c>
      <c r="J1150" s="557" t="n"/>
      <c r="M1150" s="1" t="n"/>
      <c r="N1150" s="1" t="n"/>
      <c r="O1150" s="1" t="n"/>
    </row>
    <row r="1151" ht="17.25" customHeight="1" s="305">
      <c r="A1151" s="8" t="inlineStr">
        <is>
          <t>D 24</t>
        </is>
      </c>
      <c r="B1151" s="5" t="n">
        <v>54</v>
      </c>
      <c r="C1151" s="72" t="inlineStr">
        <is>
          <t>X</t>
        </is>
      </c>
      <c r="D1151" s="5" t="n">
        <v>107</v>
      </c>
      <c r="E1151" s="73">
        <f>B1151*D1151/10000</f>
        <v/>
      </c>
      <c r="F1151" s="74">
        <f>B1151/30.48</f>
        <v/>
      </c>
      <c r="G1151" s="74">
        <f>D1151/30.48</f>
        <v/>
      </c>
      <c r="H1151" s="693" t="n"/>
      <c r="I1151" s="693" t="n"/>
      <c r="J1151" s="693" t="n"/>
      <c r="M1151" s="1" t="n"/>
      <c r="N1151" s="1" t="n"/>
      <c r="O1151" s="1" t="n"/>
    </row>
    <row r="1152" ht="17.25" customHeight="1" s="305">
      <c r="A1152" s="8" t="inlineStr">
        <is>
          <t>D 170</t>
        </is>
      </c>
      <c r="B1152" s="5" t="n">
        <v>58</v>
      </c>
      <c r="C1152" s="72" t="inlineStr">
        <is>
          <t>X</t>
        </is>
      </c>
      <c r="D1152" s="5" t="n">
        <v>121</v>
      </c>
      <c r="E1152" s="73">
        <f>B1152*D1152/10000</f>
        <v/>
      </c>
      <c r="F1152" s="74">
        <f>B1152/30.48</f>
        <v/>
      </c>
      <c r="G1152" s="74">
        <f>D1152/30.48</f>
        <v/>
      </c>
      <c r="H1152" s="694" t="n"/>
      <c r="I1152" s="694" t="n"/>
      <c r="J1152" s="694" t="n"/>
      <c r="M1152" s="1" t="n"/>
      <c r="N1152" s="1" t="n"/>
      <c r="O1152" s="1" t="n"/>
    </row>
    <row r="1153" ht="17.25" customFormat="1" customHeight="1" s="1">
      <c r="A1153" s="8" t="inlineStr">
        <is>
          <t>Y 393</t>
        </is>
      </c>
      <c r="B1153" s="5" t="n">
        <v>180</v>
      </c>
      <c r="C1153" s="6" t="inlineStr">
        <is>
          <t>X</t>
        </is>
      </c>
      <c r="D1153" s="5" t="n">
        <v>76</v>
      </c>
      <c r="E1153" s="2">
        <f>B1153*D1153/10000</f>
        <v/>
      </c>
      <c r="F1153" s="3">
        <f>B1153/30.48</f>
        <v/>
      </c>
      <c r="G1153" s="3">
        <f>D1153/30.48</f>
        <v/>
      </c>
      <c r="H1153" s="16" t="inlineStr">
        <is>
          <t>MCHD-VR</t>
        </is>
      </c>
      <c r="I1153" s="570" t="inlineStr">
        <is>
          <t>Juliana Cox</t>
        </is>
      </c>
      <c r="J1153" s="557" t="inlineStr">
        <is>
          <t>US-310 719 5338</t>
        </is>
      </c>
    </row>
    <row r="1154" ht="17.25" customHeight="1" s="305">
      <c r="A1154" s="8" t="inlineStr">
        <is>
          <t>D 9</t>
        </is>
      </c>
      <c r="B1154" s="5" t="n">
        <v>45</v>
      </c>
      <c r="C1154" s="72" t="inlineStr">
        <is>
          <t>X</t>
        </is>
      </c>
      <c r="D1154" s="5" t="n">
        <v>89</v>
      </c>
      <c r="E1154" s="73">
        <f>B1154*D1154/10000</f>
        <v/>
      </c>
      <c r="F1154" s="74">
        <f>B1154/30.48</f>
        <v/>
      </c>
      <c r="G1154" s="74">
        <f>D1154/30.48</f>
        <v/>
      </c>
      <c r="H1154" s="16" t="inlineStr">
        <is>
          <t>MCHD-VR</t>
        </is>
      </c>
      <c r="I1154" s="570" t="inlineStr">
        <is>
          <t>Allyson Goff</t>
        </is>
      </c>
      <c r="J1154" s="557" t="n"/>
      <c r="M1154" s="1" t="n"/>
      <c r="N1154" s="1" t="n"/>
      <c r="O1154" s="1" t="n"/>
    </row>
    <row r="1155" ht="17.25" customFormat="1" customHeight="1" s="1">
      <c r="A1155" s="8" t="n">
        <v>1246</v>
      </c>
      <c r="B1155" s="5" t="n">
        <v>106</v>
      </c>
      <c r="C1155" s="72" t="inlineStr">
        <is>
          <t>X</t>
        </is>
      </c>
      <c r="D1155" s="5" t="n">
        <v>390</v>
      </c>
      <c r="E1155" s="73">
        <f>B1155*D1155/10000</f>
        <v/>
      </c>
      <c r="F1155" s="74">
        <f>B1155/30.48</f>
        <v/>
      </c>
      <c r="G1155" s="74">
        <f>D1155/30.48</f>
        <v/>
      </c>
      <c r="H1155" s="553" t="inlineStr">
        <is>
          <t>MCHD-PAC</t>
        </is>
      </c>
      <c r="I1155" s="534" t="inlineStr">
        <is>
          <t>Kathy Nienhuis</t>
        </is>
      </c>
      <c r="J1155" s="545" t="n"/>
    </row>
    <row r="1156" ht="17.25" customFormat="1" customHeight="1" s="1">
      <c r="A1156" s="8" t="n">
        <v>1763</v>
      </c>
      <c r="B1156" s="5" t="n">
        <v>287</v>
      </c>
      <c r="C1156" s="72" t="inlineStr">
        <is>
          <t>X</t>
        </is>
      </c>
      <c r="D1156" s="5" t="n">
        <v>378</v>
      </c>
      <c r="E1156" s="73">
        <f>B1156*D1156/10000</f>
        <v/>
      </c>
      <c r="F1156" s="74">
        <f>B1156/30.48</f>
        <v/>
      </c>
      <c r="G1156" s="74">
        <f>D1156/30.48</f>
        <v/>
      </c>
      <c r="H1156" s="66" t="inlineStr">
        <is>
          <t>MCHD-PAC</t>
        </is>
      </c>
      <c r="I1156" s="570" t="inlineStr">
        <is>
          <t>Kellyann Tocicki</t>
        </is>
      </c>
      <c r="J1156" s="557" t="inlineStr">
        <is>
          <t>US-610 324 0056</t>
        </is>
      </c>
    </row>
    <row r="1157" ht="17.25" customFormat="1" customHeight="1" s="1">
      <c r="A1157" s="8" t="n">
        <v>1717</v>
      </c>
      <c r="B1157" s="5" t="n">
        <v>280</v>
      </c>
      <c r="C1157" s="72" t="inlineStr">
        <is>
          <t>X</t>
        </is>
      </c>
      <c r="D1157" s="5" t="n">
        <v>357</v>
      </c>
      <c r="E1157" s="73">
        <f>B1157*D1157/10000</f>
        <v/>
      </c>
      <c r="F1157" s="74">
        <f>B1157/30.48</f>
        <v/>
      </c>
      <c r="G1157" s="74">
        <f>D1157/30.48</f>
        <v/>
      </c>
      <c r="H1157" s="694" t="n"/>
      <c r="I1157" s="694" t="n"/>
      <c r="J1157" s="694" t="n"/>
    </row>
    <row r="1158" ht="17.25" customHeight="1" s="305">
      <c r="A1158" s="8" t="inlineStr">
        <is>
          <t>D 30</t>
        </is>
      </c>
      <c r="B1158" s="5" t="n">
        <v>56</v>
      </c>
      <c r="C1158" s="72" t="inlineStr">
        <is>
          <t>X</t>
        </is>
      </c>
      <c r="D1158" s="5" t="n">
        <v>107</v>
      </c>
      <c r="E1158" s="73">
        <f>B1158*D1158/10000</f>
        <v/>
      </c>
      <c r="F1158" s="74">
        <f>B1158/30.48</f>
        <v/>
      </c>
      <c r="G1158" s="74">
        <f>D1158/30.48</f>
        <v/>
      </c>
      <c r="H1158" s="16" t="inlineStr">
        <is>
          <t>MCHD-VR</t>
        </is>
      </c>
      <c r="I1158" s="570" t="inlineStr">
        <is>
          <t>carmelita l domingo</t>
        </is>
      </c>
      <c r="J1158" s="557" t="n"/>
      <c r="M1158" s="1" t="n"/>
      <c r="N1158" s="1" t="n"/>
      <c r="O1158" s="1" t="n"/>
    </row>
    <row r="1159" ht="17.25" customFormat="1" customHeight="1" s="1">
      <c r="A1159" s="8" t="n">
        <v>1569</v>
      </c>
      <c r="B1159" s="5" t="n">
        <v>241</v>
      </c>
      <c r="C1159" s="72" t="inlineStr">
        <is>
          <t>X</t>
        </is>
      </c>
      <c r="D1159" s="5" t="n">
        <v>86</v>
      </c>
      <c r="E1159" s="73">
        <f>B1159*D1159/10000</f>
        <v/>
      </c>
      <c r="F1159" s="74">
        <f>B1159/30.48</f>
        <v/>
      </c>
      <c r="G1159" s="74">
        <f>D1159/30.48</f>
        <v/>
      </c>
      <c r="H1159" s="594" t="inlineStr">
        <is>
          <t>MCHD-TR</t>
        </is>
      </c>
      <c r="I1159" s="570" t="inlineStr">
        <is>
          <t>mkjohnson0510</t>
        </is>
      </c>
      <c r="J1159" s="557" t="inlineStr">
        <is>
          <t>US-912 580 9592</t>
        </is>
      </c>
    </row>
    <row r="1160" ht="17.25" customFormat="1" customHeight="1" s="1">
      <c r="A1160" s="8" t="inlineStr">
        <is>
          <t>Y 353</t>
        </is>
      </c>
      <c r="B1160" s="5" t="n">
        <v>297</v>
      </c>
      <c r="C1160" s="6" t="inlineStr">
        <is>
          <t>X</t>
        </is>
      </c>
      <c r="D1160" s="5" t="n">
        <v>176</v>
      </c>
      <c r="E1160" s="2">
        <f>B1160*D1160/10000</f>
        <v/>
      </c>
      <c r="F1160" s="3">
        <f>B1160/30.48</f>
        <v/>
      </c>
      <c r="G1160" s="3">
        <f>D1160/30.48</f>
        <v/>
      </c>
      <c r="H1160" s="594" t="inlineStr">
        <is>
          <t>MCHD-TR</t>
        </is>
      </c>
      <c r="I1160" s="570" t="inlineStr">
        <is>
          <t>Jenny</t>
        </is>
      </c>
      <c r="J1160" s="557" t="inlineStr">
        <is>
          <t>US-443 756 6913</t>
        </is>
      </c>
    </row>
    <row r="1161" ht="18" customFormat="1" customHeight="1" s="1">
      <c r="A1161" s="8" t="n">
        <v>1622</v>
      </c>
      <c r="B1161" s="5" t="n">
        <v>325</v>
      </c>
      <c r="C1161" s="72" t="inlineStr">
        <is>
          <t>X</t>
        </is>
      </c>
      <c r="D1161" s="5" t="n">
        <v>90</v>
      </c>
      <c r="E1161" s="73">
        <f>B1161*D1161/10000</f>
        <v/>
      </c>
      <c r="F1161" s="74">
        <f>B1161/30.48</f>
        <v/>
      </c>
      <c r="G1161" s="74">
        <f>D1161/30.48</f>
        <v/>
      </c>
      <c r="H1161" s="594" t="inlineStr">
        <is>
          <t>MCHD-TR</t>
        </is>
      </c>
      <c r="I1161" s="570" t="inlineStr">
        <is>
          <t>Tammy Schmidt</t>
        </is>
      </c>
      <c r="J1161" s="557" t="inlineStr">
        <is>
          <t>US-608 438 4713</t>
        </is>
      </c>
    </row>
    <row r="1162" ht="17.25" customFormat="1" customHeight="1" s="1">
      <c r="A1162" s="8" t="n">
        <v>1104</v>
      </c>
      <c r="B1162" s="5" t="n">
        <v>81</v>
      </c>
      <c r="C1162" s="72" t="inlineStr">
        <is>
          <t>X</t>
        </is>
      </c>
      <c r="D1162" s="5" t="n">
        <v>243</v>
      </c>
      <c r="E1162" s="73">
        <f>B1162*D1162/10000</f>
        <v/>
      </c>
      <c r="F1162" s="74">
        <f>B1162/30.48</f>
        <v/>
      </c>
      <c r="G1162" s="74">
        <f>D1162/30.48</f>
        <v/>
      </c>
      <c r="H1162" s="553" t="inlineStr">
        <is>
          <t>MCHD-PAC</t>
        </is>
      </c>
      <c r="I1162" s="570" t="inlineStr">
        <is>
          <t>Ellen Fleckenstein</t>
        </is>
      </c>
      <c r="J1162" s="557" t="n"/>
    </row>
    <row r="1163" ht="17.25" customFormat="1" customHeight="1" s="1">
      <c r="A1163" s="8" t="n">
        <v>1690</v>
      </c>
      <c r="B1163" s="5" t="n">
        <v>97</v>
      </c>
      <c r="C1163" s="72" t="inlineStr">
        <is>
          <t>X</t>
        </is>
      </c>
      <c r="D1163" s="5" t="n">
        <v>293</v>
      </c>
      <c r="E1163" s="73">
        <f>B1163*D1163/10000</f>
        <v/>
      </c>
      <c r="F1163" s="74">
        <f>B1163/30.48</f>
        <v/>
      </c>
      <c r="G1163" s="74">
        <f>D1163/30.48</f>
        <v/>
      </c>
      <c r="H1163" s="553" t="inlineStr">
        <is>
          <t>MCHD-PAC</t>
        </is>
      </c>
      <c r="I1163" s="570" t="inlineStr">
        <is>
          <t>mary beth christopher</t>
        </is>
      </c>
      <c r="J1163" s="103" t="inlineStr">
        <is>
          <t>mbchristo@yahoo.com</t>
        </is>
      </c>
    </row>
    <row r="1164" ht="17.25" customFormat="1" customHeight="1" s="1">
      <c r="A1164" s="8" t="inlineStr">
        <is>
          <t>C 427</t>
        </is>
      </c>
      <c r="B1164" s="5" t="n">
        <v>83</v>
      </c>
      <c r="C1164" s="6" t="inlineStr">
        <is>
          <t>X</t>
        </is>
      </c>
      <c r="D1164" s="5" t="n">
        <v>203</v>
      </c>
      <c r="E1164" s="2">
        <f>B1164*D1164/10000</f>
        <v/>
      </c>
      <c r="F1164" s="3">
        <f>B1164/30.48</f>
        <v/>
      </c>
      <c r="G1164" s="3">
        <f>D1164/30.48</f>
        <v/>
      </c>
      <c r="H1164" s="16" t="inlineStr">
        <is>
          <t>MCHD-OLD</t>
        </is>
      </c>
      <c r="I1164" s="570" t="inlineStr">
        <is>
          <t>Meghan Parrish</t>
        </is>
      </c>
      <c r="J1164" s="557" t="inlineStr">
        <is>
          <t>US-310 745 4575</t>
        </is>
      </c>
    </row>
    <row r="1165" ht="17.25" customFormat="1" customHeight="1" s="1">
      <c r="A1165" s="8" t="n">
        <v>1595</v>
      </c>
      <c r="B1165" s="5" t="n">
        <v>197</v>
      </c>
      <c r="C1165" s="72" t="inlineStr">
        <is>
          <t>X</t>
        </is>
      </c>
      <c r="D1165" s="5" t="n">
        <v>117</v>
      </c>
      <c r="E1165" s="73">
        <f>B1165*D1165/10000</f>
        <v/>
      </c>
      <c r="F1165" s="74">
        <f>B1165/30.48</f>
        <v/>
      </c>
      <c r="G1165" s="74">
        <f>D1165/30.48</f>
        <v/>
      </c>
      <c r="H1165" s="594" t="inlineStr">
        <is>
          <t>MCHD-TR</t>
        </is>
      </c>
      <c r="I1165" s="570" t="inlineStr">
        <is>
          <t>Caitlin Peterson</t>
        </is>
      </c>
      <c r="J1165" s="557" t="inlineStr">
        <is>
          <t>US-801 400 2144</t>
        </is>
      </c>
    </row>
    <row r="1166" ht="17.25" customFormat="1" customHeight="1" s="1">
      <c r="A1166" s="8" t="n">
        <v>1159</v>
      </c>
      <c r="B1166" s="5" t="n">
        <v>75</v>
      </c>
      <c r="C1166" s="72" t="inlineStr">
        <is>
          <t>X</t>
        </is>
      </c>
      <c r="D1166" s="5" t="n">
        <v>183</v>
      </c>
      <c r="E1166" s="73">
        <f>B1166*D1166/10000</f>
        <v/>
      </c>
      <c r="F1166" s="74">
        <f>B1166/30.48</f>
        <v/>
      </c>
      <c r="G1166" s="74">
        <f>D1166/30.48</f>
        <v/>
      </c>
      <c r="H1166" s="594" t="inlineStr">
        <is>
          <t>MCHD-TR</t>
        </is>
      </c>
      <c r="I1166" s="570" t="inlineStr">
        <is>
          <t>Rachel Thompson</t>
        </is>
      </c>
      <c r="J1166" s="557" t="inlineStr">
        <is>
          <t>US-940 704 0159</t>
        </is>
      </c>
    </row>
    <row r="1167" ht="17.25" customFormat="1" customHeight="1" s="1">
      <c r="A1167" s="8" t="inlineStr">
        <is>
          <t>Y 627</t>
        </is>
      </c>
      <c r="B1167" s="5" t="n">
        <v>353</v>
      </c>
      <c r="C1167" s="6" t="inlineStr">
        <is>
          <t>X</t>
        </is>
      </c>
      <c r="D1167" s="5" t="n">
        <v>103</v>
      </c>
      <c r="E1167" s="2">
        <f>B1167*D1167/10000</f>
        <v/>
      </c>
      <c r="F1167" s="3">
        <f>B1167/30.48</f>
        <v/>
      </c>
      <c r="G1167" s="3">
        <f>D1167/30.48</f>
        <v/>
      </c>
      <c r="H1167" s="594" t="inlineStr">
        <is>
          <t>MCHD-TR</t>
        </is>
      </c>
      <c r="I1167" s="570" t="inlineStr">
        <is>
          <t>Stacie Calad-Thomson</t>
        </is>
      </c>
      <c r="J1167" s="557" t="inlineStr">
        <is>
          <t>US-949 413 6696</t>
        </is>
      </c>
    </row>
    <row r="1168" ht="17.25" customFormat="1" customHeight="1" s="1">
      <c r="A1168" s="8" t="inlineStr">
        <is>
          <t>C 910</t>
        </is>
      </c>
      <c r="B1168" s="5" t="n">
        <v>141</v>
      </c>
      <c r="C1168" s="6" t="inlineStr">
        <is>
          <t>X</t>
        </is>
      </c>
      <c r="D1168" s="5" t="n">
        <v>214</v>
      </c>
      <c r="E1168" s="2">
        <f>B1168*D1168/10000</f>
        <v/>
      </c>
      <c r="F1168" s="3">
        <f>B1168/30.48</f>
        <v/>
      </c>
      <c r="G1168" s="3">
        <f>D1168/30.48</f>
        <v/>
      </c>
      <c r="H1168" s="594" t="inlineStr">
        <is>
          <t>MCHD-TR</t>
        </is>
      </c>
      <c r="I1168" s="570" t="inlineStr">
        <is>
          <t>Bridget Eklund</t>
        </is>
      </c>
      <c r="J1168" s="557" t="inlineStr">
        <is>
          <t>US-616 469 8457</t>
        </is>
      </c>
    </row>
    <row r="1169" ht="17.25" customFormat="1" customHeight="1" s="1">
      <c r="A1169" s="8" t="inlineStr">
        <is>
          <t>Y 705</t>
        </is>
      </c>
      <c r="B1169" s="5" t="n">
        <v>314</v>
      </c>
      <c r="C1169" s="6" t="inlineStr">
        <is>
          <t>X</t>
        </is>
      </c>
      <c r="D1169" s="5" t="n">
        <v>94</v>
      </c>
      <c r="E1169" s="2">
        <f>B1169*D1169/10000</f>
        <v/>
      </c>
      <c r="F1169" s="3">
        <f>B1169/30.48</f>
        <v/>
      </c>
      <c r="G1169" s="3">
        <f>D1169/30.48</f>
        <v/>
      </c>
      <c r="H1169" s="594" t="inlineStr">
        <is>
          <t>MCHD-TR</t>
        </is>
      </c>
      <c r="I1169" s="534" t="inlineStr">
        <is>
          <t>Carla Wolters</t>
        </is>
      </c>
      <c r="J1169" s="545" t="n"/>
    </row>
    <row r="1170" ht="17.25" customFormat="1" customHeight="1" s="1">
      <c r="A1170" s="8" t="n">
        <v>1676</v>
      </c>
      <c r="B1170" s="5" t="n">
        <v>388</v>
      </c>
      <c r="C1170" s="72" t="inlineStr">
        <is>
          <t>X</t>
        </is>
      </c>
      <c r="D1170" s="5" t="n">
        <v>106</v>
      </c>
      <c r="E1170" s="73">
        <f>B1170*D1170/10000</f>
        <v/>
      </c>
      <c r="F1170" s="74">
        <f>B1170/30.48</f>
        <v/>
      </c>
      <c r="G1170" s="74">
        <f>D1170/30.48</f>
        <v/>
      </c>
      <c r="H1170" s="553" t="inlineStr">
        <is>
          <t>MCHD-PAC</t>
        </is>
      </c>
      <c r="I1170" s="570" t="inlineStr">
        <is>
          <t>Mary Knight</t>
        </is>
      </c>
      <c r="J1170" s="557" t="n"/>
    </row>
    <row r="1171" ht="19.5" customFormat="1" customHeight="1" s="1">
      <c r="A1171" s="8" t="inlineStr">
        <is>
          <t>C 986</t>
        </is>
      </c>
      <c r="B1171" s="5" t="n">
        <v>81</v>
      </c>
      <c r="C1171" s="72" t="inlineStr">
        <is>
          <t>X</t>
        </is>
      </c>
      <c r="D1171" s="5" t="n">
        <v>350</v>
      </c>
      <c r="E1171" s="73">
        <f>B1171*D1171/10000</f>
        <v/>
      </c>
      <c r="F1171" s="74">
        <f>B1171/30.48</f>
        <v/>
      </c>
      <c r="G1171" s="74">
        <f>D1171/30.48</f>
        <v/>
      </c>
      <c r="H1171" s="594" t="inlineStr">
        <is>
          <t>MCHD-TR</t>
        </is>
      </c>
      <c r="I1171" s="534" t="inlineStr">
        <is>
          <t>Nicole Buck</t>
        </is>
      </c>
      <c r="J1171" s="545" t="inlineStr">
        <is>
          <t>US-615 838 0071</t>
        </is>
      </c>
    </row>
    <row r="1172" ht="17.25" customFormat="1" customHeight="1" s="1">
      <c r="A1172" s="8" t="n">
        <v>1520</v>
      </c>
      <c r="B1172" s="5" t="n">
        <v>225</v>
      </c>
      <c r="C1172" s="72" t="inlineStr">
        <is>
          <t>X</t>
        </is>
      </c>
      <c r="D1172" s="5" t="n">
        <v>99</v>
      </c>
      <c r="E1172" s="73">
        <f>B1172*D1172/10000</f>
        <v/>
      </c>
      <c r="F1172" s="74">
        <f>B1172/30.48</f>
        <v/>
      </c>
      <c r="G1172" s="74">
        <f>D1172/30.48</f>
        <v/>
      </c>
      <c r="H1172" s="594" t="inlineStr">
        <is>
          <t>MCHD-TR</t>
        </is>
      </c>
      <c r="I1172" s="570" t="inlineStr">
        <is>
          <t>Dave Scialabba</t>
        </is>
      </c>
      <c r="J1172" s="557" t="inlineStr">
        <is>
          <t>US-917 696 8474</t>
        </is>
      </c>
    </row>
    <row r="1173" ht="17.25" customFormat="1" customHeight="1" s="1">
      <c r="A1173" s="8" t="inlineStr">
        <is>
          <t>A 73</t>
        </is>
      </c>
      <c r="B1173" s="5" t="n">
        <v>60</v>
      </c>
      <c r="C1173" s="72" t="inlineStr">
        <is>
          <t>X</t>
        </is>
      </c>
      <c r="D1173" s="5" t="n">
        <v>208</v>
      </c>
      <c r="E1173" s="73">
        <f>B1173*D1173/10000</f>
        <v/>
      </c>
      <c r="F1173" s="74">
        <f>B1173/30.48</f>
        <v/>
      </c>
      <c r="G1173" s="74">
        <f>D1173/30.48</f>
        <v/>
      </c>
      <c r="H1173" s="594" t="inlineStr">
        <is>
          <t>MCHD-TR</t>
        </is>
      </c>
      <c r="I1173" s="570" t="inlineStr">
        <is>
          <t>Malu Grasso</t>
        </is>
      </c>
      <c r="J1173" s="557" t="n"/>
    </row>
    <row r="1174" ht="17.25" customFormat="1" customHeight="1" s="1">
      <c r="A1174" s="8" t="n">
        <v>1354</v>
      </c>
      <c r="B1174" s="5" t="n">
        <v>90</v>
      </c>
      <c r="C1174" s="72" t="inlineStr">
        <is>
          <t>X</t>
        </is>
      </c>
      <c r="D1174" s="5" t="n">
        <v>377</v>
      </c>
      <c r="E1174" s="73">
        <f>B1174*D1174/10000</f>
        <v/>
      </c>
      <c r="F1174" s="74">
        <f>B1174/30.48</f>
        <v/>
      </c>
      <c r="G1174" s="74">
        <f>D1174/30.48</f>
        <v/>
      </c>
      <c r="H1174" s="553" t="inlineStr">
        <is>
          <t>MCHD-PAC</t>
        </is>
      </c>
      <c r="I1174" s="570" t="inlineStr">
        <is>
          <t>Vivian Kardow</t>
        </is>
      </c>
      <c r="J1174" s="557" t="n"/>
    </row>
    <row r="1175" ht="17.25" customHeight="1" s="305">
      <c r="A1175" s="8" t="inlineStr">
        <is>
          <t>Y 861</t>
        </is>
      </c>
      <c r="B1175" s="5" t="n">
        <v>300</v>
      </c>
      <c r="C1175" s="72" t="inlineStr">
        <is>
          <t>X</t>
        </is>
      </c>
      <c r="D1175" s="5" t="n">
        <v>303</v>
      </c>
      <c r="E1175" s="73">
        <f>B1175*D1175/10000</f>
        <v/>
      </c>
      <c r="F1175" s="74">
        <f>B1175/30.48</f>
        <v/>
      </c>
      <c r="G1175" s="74">
        <f>D1175/30.48</f>
        <v/>
      </c>
      <c r="H1175" s="553" t="inlineStr">
        <is>
          <t>MCHD-RK</t>
        </is>
      </c>
      <c r="I1175" s="534" t="inlineStr">
        <is>
          <t>Sarah Reilly</t>
        </is>
      </c>
      <c r="J1175" s="545" t="n"/>
      <c r="M1175" s="1" t="n"/>
      <c r="N1175" s="1" t="n"/>
      <c r="O1175" s="1" t="n"/>
    </row>
    <row r="1176" ht="17.25" customFormat="1" customHeight="1" s="1">
      <c r="A1176" s="8" t="n">
        <v>1515</v>
      </c>
      <c r="B1176" s="5" t="n">
        <v>213</v>
      </c>
      <c r="C1176" s="72" t="inlineStr">
        <is>
          <t>X</t>
        </is>
      </c>
      <c r="D1176" s="5" t="n">
        <v>119</v>
      </c>
      <c r="E1176" s="73">
        <f>B1176*D1176/10000</f>
        <v/>
      </c>
      <c r="F1176" s="74">
        <f>B1176/30.48</f>
        <v/>
      </c>
      <c r="G1176" s="74">
        <f>D1176/30.48</f>
        <v/>
      </c>
      <c r="H1176" s="553" t="inlineStr">
        <is>
          <t>MCHD-PAC</t>
        </is>
      </c>
      <c r="I1176" s="570" t="inlineStr">
        <is>
          <t>Desiree Blocker</t>
        </is>
      </c>
      <c r="J1176" s="557" t="inlineStr">
        <is>
          <t>US-310 200 3450</t>
        </is>
      </c>
    </row>
    <row r="1177" ht="17.25" customFormat="1" customHeight="1" s="1">
      <c r="A1177" s="8" t="n">
        <v>1722</v>
      </c>
      <c r="B1177" s="5" t="n">
        <v>289</v>
      </c>
      <c r="C1177" s="72" t="inlineStr">
        <is>
          <t>X</t>
        </is>
      </c>
      <c r="D1177" s="5" t="n">
        <v>381</v>
      </c>
      <c r="E1177" s="73">
        <f>B1177*D1177/10000</f>
        <v/>
      </c>
      <c r="F1177" s="74">
        <f>B1177/30.48</f>
        <v/>
      </c>
      <c r="G1177" s="74">
        <f>D1177/30.48</f>
        <v/>
      </c>
      <c r="H1177" s="553" t="inlineStr">
        <is>
          <t>MCHD-PAC</t>
        </is>
      </c>
      <c r="I1177" s="570" t="inlineStr">
        <is>
          <t>ERIN PASSAN</t>
        </is>
      </c>
      <c r="J1177" s="557" t="n"/>
    </row>
    <row r="1178" ht="17.25" customHeight="1" s="305">
      <c r="A1178" s="8" t="inlineStr">
        <is>
          <t>D 109</t>
        </is>
      </c>
      <c r="B1178" s="5" t="n">
        <v>57</v>
      </c>
      <c r="C1178" s="72" t="inlineStr">
        <is>
          <t>X</t>
        </is>
      </c>
      <c r="D1178" s="5" t="n">
        <v>107</v>
      </c>
      <c r="E1178" s="73">
        <f>B1178*D1178/10000</f>
        <v/>
      </c>
      <c r="F1178" s="74">
        <f>B1178/30.48</f>
        <v/>
      </c>
      <c r="G1178" s="74">
        <f>D1178/30.48</f>
        <v/>
      </c>
      <c r="H1178" s="16" t="inlineStr">
        <is>
          <t>MCHD-OLD</t>
        </is>
      </c>
      <c r="I1178" s="570" t="inlineStr">
        <is>
          <t>Anne Van Itallie</t>
        </is>
      </c>
      <c r="J1178" s="557" t="n"/>
      <c r="M1178" s="1" t="n"/>
      <c r="N1178" s="1" t="n"/>
      <c r="O1178" s="1" t="n"/>
    </row>
    <row r="1179">
      <c r="A1179" s="536" t="inlineStr">
        <is>
          <t>-2023 EKİM-79</t>
        </is>
      </c>
      <c r="H1179" s="104" t="inlineStr">
        <is>
          <t>SATAN-SİTE</t>
        </is>
      </c>
      <c r="I1179" s="98" t="inlineStr">
        <is>
          <t>MÜŞTERİ ADI</t>
        </is>
      </c>
      <c r="J1179" s="63" t="inlineStr">
        <is>
          <t>MÜŞTERİ İLETİŞİM &amp; ÜLKE</t>
        </is>
      </c>
      <c r="M1179" s="1" t="n"/>
      <c r="N1179" s="1" t="n"/>
      <c r="O1179" s="1" t="n"/>
    </row>
    <row r="1180" ht="17.25" customFormat="1" customHeight="1" s="1">
      <c r="A1180" s="8" t="inlineStr">
        <is>
          <t>Y 603</t>
        </is>
      </c>
      <c r="B1180" s="5" t="n">
        <v>244</v>
      </c>
      <c r="C1180" s="6" t="inlineStr">
        <is>
          <t>X</t>
        </is>
      </c>
      <c r="D1180" s="5" t="n">
        <v>89</v>
      </c>
      <c r="E1180" s="2">
        <f>B1180*D1180/10000</f>
        <v/>
      </c>
      <c r="F1180" s="3">
        <f>B1180/30.48</f>
        <v/>
      </c>
      <c r="G1180" s="3">
        <f>D1180/30.48</f>
        <v/>
      </c>
      <c r="H1180" s="503" t="inlineStr">
        <is>
          <t>MCHD-OLD</t>
        </is>
      </c>
      <c r="I1180" s="570" t="inlineStr">
        <is>
          <t>Tia Zoldan</t>
        </is>
      </c>
      <c r="J1180" s="557" t="n"/>
    </row>
    <row r="1181" ht="17.25" customFormat="1" customHeight="1" s="1">
      <c r="A1181" s="8" t="inlineStr">
        <is>
          <t>H 153</t>
        </is>
      </c>
      <c r="B1181" s="5" t="n">
        <v>373</v>
      </c>
      <c r="C1181" s="6" t="inlineStr">
        <is>
          <t>X</t>
        </is>
      </c>
      <c r="D1181" s="5" t="n">
        <v>128</v>
      </c>
      <c r="E1181" s="2">
        <f>B1181*D1181/10000</f>
        <v/>
      </c>
      <c r="F1181" s="3">
        <f>B1181/30.48</f>
        <v/>
      </c>
      <c r="G1181" s="3">
        <f>D1181/30.48</f>
        <v/>
      </c>
      <c r="H1181" s="66" t="inlineStr">
        <is>
          <t>MCHD-TR</t>
        </is>
      </c>
      <c r="I1181" s="616" t="inlineStr">
        <is>
          <t>Emma Koch</t>
        </is>
      </c>
      <c r="J1181" s="545" t="n"/>
    </row>
    <row r="1182" ht="17.25" customHeight="1" s="305">
      <c r="A1182" s="8" t="inlineStr">
        <is>
          <t>D 244</t>
        </is>
      </c>
      <c r="B1182" s="5" t="n">
        <v>53</v>
      </c>
      <c r="C1182" s="72" t="inlineStr">
        <is>
          <t>X</t>
        </is>
      </c>
      <c r="D1182" s="5" t="n">
        <v>99</v>
      </c>
      <c r="E1182" s="73">
        <f>B1182*D1182/10000</f>
        <v/>
      </c>
      <c r="F1182" s="74">
        <f>B1182/30.48</f>
        <v/>
      </c>
      <c r="G1182" s="74">
        <f>D1182/30.48</f>
        <v/>
      </c>
      <c r="H1182" s="16" t="inlineStr">
        <is>
          <t>MCHD-OLD</t>
        </is>
      </c>
      <c r="I1182" s="570" t="inlineStr">
        <is>
          <t>Jenna Grimley</t>
        </is>
      </c>
      <c r="J1182" s="557" t="n"/>
      <c r="M1182" s="1" t="n"/>
      <c r="N1182" s="1" t="n"/>
      <c r="O1182" s="1" t="n"/>
    </row>
    <row r="1183" ht="17.25" customFormat="1" customHeight="1" s="1">
      <c r="A1183" s="8" t="inlineStr">
        <is>
          <t>Y 691</t>
        </is>
      </c>
      <c r="B1183" s="5" t="n">
        <v>262</v>
      </c>
      <c r="C1183" s="6" t="inlineStr">
        <is>
          <t>X</t>
        </is>
      </c>
      <c r="D1183" s="5" t="n">
        <v>80</v>
      </c>
      <c r="E1183" s="2">
        <f>B1183*D1183/10000</f>
        <v/>
      </c>
      <c r="F1183" s="3">
        <f>B1183/30.48</f>
        <v/>
      </c>
      <c r="G1183" s="3">
        <f>D1183/30.48</f>
        <v/>
      </c>
      <c r="H1183" s="66" t="inlineStr">
        <is>
          <t>MCHD-TR</t>
        </is>
      </c>
      <c r="I1183" s="570" t="inlineStr">
        <is>
          <t>Joni Hansen</t>
        </is>
      </c>
      <c r="J1183" s="557" t="n"/>
    </row>
    <row r="1184" ht="17.25" customFormat="1" customHeight="1" s="1">
      <c r="A1184" s="8" t="inlineStr">
        <is>
          <t>C 539</t>
        </is>
      </c>
      <c r="B1184" s="5" t="n">
        <v>131</v>
      </c>
      <c r="C1184" s="6" t="inlineStr">
        <is>
          <t>X</t>
        </is>
      </c>
      <c r="D1184" s="5" t="n">
        <v>210</v>
      </c>
      <c r="E1184" s="2">
        <f>B1184*D1184/10000</f>
        <v/>
      </c>
      <c r="F1184" s="3">
        <f>B1184/30.48</f>
        <v/>
      </c>
      <c r="G1184" s="3">
        <f>D1184/30.48</f>
        <v/>
      </c>
      <c r="H1184" s="553" t="inlineStr">
        <is>
          <t>MCHD-PAC</t>
        </is>
      </c>
      <c r="I1184" s="570" t="inlineStr">
        <is>
          <t>Hannah Winters</t>
        </is>
      </c>
      <c r="J1184" s="557" t="inlineStr">
        <is>
          <t>US-205 317 6762</t>
        </is>
      </c>
    </row>
    <row r="1185" ht="17.25" customFormat="1" customHeight="1" s="1">
      <c r="A1185" s="8" t="inlineStr">
        <is>
          <t>C 627</t>
        </is>
      </c>
      <c r="B1185" s="5" t="n">
        <v>68</v>
      </c>
      <c r="C1185" s="6" t="inlineStr">
        <is>
          <t>X</t>
        </is>
      </c>
      <c r="D1185" s="5" t="n">
        <v>270</v>
      </c>
      <c r="E1185" s="2">
        <f>B1185*D1185/10000</f>
        <v/>
      </c>
      <c r="F1185" s="3">
        <f>B1185/30.48</f>
        <v/>
      </c>
      <c r="G1185" s="3">
        <f>D1185/30.48</f>
        <v/>
      </c>
      <c r="H1185" s="16" t="inlineStr">
        <is>
          <t>MCHD-OLD</t>
        </is>
      </c>
      <c r="I1185" s="534" t="inlineStr">
        <is>
          <t>Susan Schiff</t>
        </is>
      </c>
      <c r="J1185" s="545" t="inlineStr">
        <is>
          <t>US-203 671 9798</t>
        </is>
      </c>
    </row>
    <row r="1186" ht="17.25" customFormat="1" customHeight="1" s="1">
      <c r="A1186" s="8" t="n">
        <v>1491</v>
      </c>
      <c r="B1186" s="5" t="n">
        <v>82</v>
      </c>
      <c r="C1186" s="72" t="inlineStr">
        <is>
          <t>X</t>
        </is>
      </c>
      <c r="D1186" s="5" t="n">
        <v>400</v>
      </c>
      <c r="E1186" s="73">
        <f>B1186*D1186/10000</f>
        <v/>
      </c>
      <c r="F1186" s="74">
        <f>B1186/30.48</f>
        <v/>
      </c>
      <c r="G1186" s="74">
        <f>D1186/30.48</f>
        <v/>
      </c>
      <c r="H1186" s="66" t="inlineStr">
        <is>
          <t>MCHD-TR</t>
        </is>
      </c>
      <c r="I1186" s="570" t="inlineStr">
        <is>
          <t>Carolyn Abbey</t>
        </is>
      </c>
      <c r="J1186" s="557" t="inlineStr">
        <is>
          <t>US-615 804 9402</t>
        </is>
      </c>
    </row>
    <row r="1187" ht="17.25" customFormat="1" customHeight="1" s="1">
      <c r="A1187" s="8" t="inlineStr">
        <is>
          <t>C 318</t>
        </is>
      </c>
      <c r="B1187" s="5" t="n">
        <v>117</v>
      </c>
      <c r="C1187" s="6" t="inlineStr">
        <is>
          <t>X</t>
        </is>
      </c>
      <c r="D1187" s="5" t="n">
        <v>386</v>
      </c>
      <c r="E1187" s="2">
        <f>B1187*D1187/10000</f>
        <v/>
      </c>
      <c r="F1187" s="3">
        <f>B1187/30.48</f>
        <v/>
      </c>
      <c r="G1187" s="3">
        <f>D1187/30.48</f>
        <v/>
      </c>
      <c r="H1187" s="553" t="inlineStr">
        <is>
          <t>MCHD-PAC</t>
        </is>
      </c>
      <c r="I1187" s="570" t="inlineStr">
        <is>
          <t>Donald F Harang III</t>
        </is>
      </c>
      <c r="J1187" s="557" t="inlineStr">
        <is>
          <t>US-832 576 7959</t>
        </is>
      </c>
    </row>
    <row r="1188" ht="17.25" customFormat="1" customHeight="1" s="1">
      <c r="A1188" s="8" t="n">
        <v>1188</v>
      </c>
      <c r="B1188" s="5" t="n">
        <v>126</v>
      </c>
      <c r="C1188" s="72" t="inlineStr">
        <is>
          <t>X</t>
        </is>
      </c>
      <c r="D1188" s="5" t="n">
        <v>175</v>
      </c>
      <c r="E1188" s="73">
        <f>B1188*D1188/10000</f>
        <v/>
      </c>
      <c r="F1188" s="74">
        <f>B1188/30.48</f>
        <v/>
      </c>
      <c r="G1188" s="74">
        <f>D1188/30.48</f>
        <v/>
      </c>
      <c r="H1188" s="66" t="inlineStr">
        <is>
          <t>MCHD-TR</t>
        </is>
      </c>
      <c r="I1188" s="570" t="inlineStr">
        <is>
          <t>KKID MENKEMELLER PROJECT</t>
        </is>
      </c>
      <c r="J1188" s="557" t="n"/>
    </row>
    <row r="1189" ht="17.25" customHeight="1" s="305">
      <c r="A1189" s="8" t="inlineStr">
        <is>
          <t>D 58</t>
        </is>
      </c>
      <c r="B1189" s="5" t="n">
        <v>50</v>
      </c>
      <c r="C1189" s="72" t="inlineStr">
        <is>
          <t>X</t>
        </is>
      </c>
      <c r="D1189" s="5" t="n">
        <v>79</v>
      </c>
      <c r="E1189" s="73">
        <f>B1189*D1189/10000</f>
        <v/>
      </c>
      <c r="F1189" s="74">
        <f>B1189/30.48</f>
        <v/>
      </c>
      <c r="G1189" s="74">
        <f>D1189/30.48</f>
        <v/>
      </c>
      <c r="H1189" s="16" t="inlineStr">
        <is>
          <t>MCHD-VR</t>
        </is>
      </c>
      <c r="I1189" s="570" t="inlineStr">
        <is>
          <t>Sierra oxendine</t>
        </is>
      </c>
      <c r="J1189" s="557" t="n"/>
      <c r="M1189" s="1" t="n"/>
      <c r="N1189" s="1" t="n"/>
      <c r="O1189" s="1" t="n"/>
    </row>
    <row r="1190" ht="17.25" customFormat="1" customHeight="1" s="1">
      <c r="A1190" s="8" t="inlineStr">
        <is>
          <t>C 781</t>
        </is>
      </c>
      <c r="B1190" s="5" t="n">
        <v>82</v>
      </c>
      <c r="C1190" s="6" t="inlineStr">
        <is>
          <t>X</t>
        </is>
      </c>
      <c r="D1190" s="5" t="n">
        <v>234</v>
      </c>
      <c r="E1190" s="2">
        <f>B1190*D1190/10000</f>
        <v/>
      </c>
      <c r="F1190" s="3">
        <f>B1190/30.48</f>
        <v/>
      </c>
      <c r="G1190" s="3">
        <f>D1190/30.48</f>
        <v/>
      </c>
      <c r="H1190" s="66" t="inlineStr">
        <is>
          <t>MCHD-TR</t>
        </is>
      </c>
      <c r="I1190" s="570" t="inlineStr">
        <is>
          <t>Courtni Neff</t>
        </is>
      </c>
      <c r="J1190" s="557" t="inlineStr">
        <is>
          <t>US-805 284 1013</t>
        </is>
      </c>
    </row>
    <row r="1191" ht="17.25" customFormat="1" customHeight="1" s="1">
      <c r="A1191" s="8" t="n">
        <v>1452</v>
      </c>
      <c r="B1191" s="5" t="n">
        <v>113</v>
      </c>
      <c r="C1191" s="72" t="inlineStr">
        <is>
          <t>X</t>
        </is>
      </c>
      <c r="D1191" s="5" t="n">
        <v>370</v>
      </c>
      <c r="E1191" s="73">
        <f>B1191*D1191/10000</f>
        <v/>
      </c>
      <c r="F1191" s="74">
        <f>B1191/30.48</f>
        <v/>
      </c>
      <c r="G1191" s="74">
        <f>D1191/30.48</f>
        <v/>
      </c>
      <c r="H1191" s="693" t="n"/>
      <c r="I1191" s="693" t="n"/>
      <c r="J1191" s="693" t="n"/>
    </row>
    <row r="1192" ht="17.25" customFormat="1" customHeight="1" s="1">
      <c r="A1192" s="8" t="n">
        <v>1124</v>
      </c>
      <c r="B1192" s="5" t="n">
        <v>104</v>
      </c>
      <c r="C1192" s="72" t="inlineStr">
        <is>
          <t>X</t>
        </is>
      </c>
      <c r="D1192" s="5" t="n">
        <v>337</v>
      </c>
      <c r="E1192" s="73">
        <f>B1192*D1192/10000</f>
        <v/>
      </c>
      <c r="F1192" s="74">
        <f>B1192/30.48</f>
        <v/>
      </c>
      <c r="G1192" s="74">
        <f>D1192/30.48</f>
        <v/>
      </c>
      <c r="H1192" s="694" t="n"/>
      <c r="I1192" s="694" t="n"/>
      <c r="J1192" s="694" t="n"/>
    </row>
    <row r="1193" ht="17.25" customFormat="1" customHeight="1" s="1">
      <c r="A1193" s="8" t="inlineStr">
        <is>
          <t>C 152</t>
        </is>
      </c>
      <c r="B1193" s="5" t="n">
        <v>230</v>
      </c>
      <c r="C1193" s="6" t="inlineStr">
        <is>
          <t>X</t>
        </is>
      </c>
      <c r="D1193" s="5" t="n">
        <v>133</v>
      </c>
      <c r="E1193" s="2">
        <f>B1193*D1193/10000</f>
        <v/>
      </c>
      <c r="F1193" s="3">
        <f>B1193/30.48</f>
        <v/>
      </c>
      <c r="G1193" s="3">
        <f>D1193/30.48</f>
        <v/>
      </c>
      <c r="H1193" s="553" t="inlineStr">
        <is>
          <t>MCHD-PAC</t>
        </is>
      </c>
      <c r="I1193" s="570" t="inlineStr">
        <is>
          <t>Kalliopi Patrikis</t>
        </is>
      </c>
      <c r="J1193" s="557" t="n"/>
    </row>
    <row r="1194" ht="17.25" customHeight="1" s="305">
      <c r="A1194" s="8" t="inlineStr">
        <is>
          <t>D 300</t>
        </is>
      </c>
      <c r="B1194" s="5" t="n">
        <v>46</v>
      </c>
      <c r="C1194" s="72" t="inlineStr">
        <is>
          <t>X</t>
        </is>
      </c>
      <c r="D1194" s="5" t="n">
        <v>103</v>
      </c>
      <c r="E1194" s="73">
        <f>B1194*D1194/10000</f>
        <v/>
      </c>
      <c r="F1194" s="74">
        <f>B1194/30.48</f>
        <v/>
      </c>
      <c r="G1194" s="74">
        <f>D1194/30.48</f>
        <v/>
      </c>
      <c r="H1194" s="16" t="inlineStr">
        <is>
          <t>MCHD-OLD</t>
        </is>
      </c>
      <c r="I1194" s="534" t="inlineStr">
        <is>
          <t>Seth Bossingham</t>
        </is>
      </c>
      <c r="J1194" s="545" t="n"/>
      <c r="M1194" s="1" t="n"/>
      <c r="N1194" s="1" t="n"/>
      <c r="O1194" s="1" t="n"/>
    </row>
    <row r="1195" ht="17.25" customFormat="1" customHeight="1" s="1">
      <c r="A1195" s="8" t="n">
        <v>1005</v>
      </c>
      <c r="B1195" s="5" t="n">
        <v>111</v>
      </c>
      <c r="C1195" s="72" t="inlineStr">
        <is>
          <t>X</t>
        </is>
      </c>
      <c r="D1195" s="5" t="n">
        <v>281</v>
      </c>
      <c r="E1195" s="73">
        <f>B1195*D1195/10000</f>
        <v/>
      </c>
      <c r="F1195" s="74">
        <f>B1195/30.48</f>
        <v/>
      </c>
      <c r="G1195" s="74">
        <f>D1195/30.48</f>
        <v/>
      </c>
      <c r="H1195" s="553" t="inlineStr">
        <is>
          <t>MCHD-PAC</t>
        </is>
      </c>
      <c r="I1195" s="570" t="inlineStr">
        <is>
          <t>Allison Henricks</t>
        </is>
      </c>
      <c r="J1195" s="557" t="inlineStr">
        <is>
          <t>US-801 703 1746</t>
        </is>
      </c>
    </row>
    <row r="1196" ht="17.25" customFormat="1" customHeight="1" s="1">
      <c r="A1196" s="8" t="n">
        <v>1073</v>
      </c>
      <c r="B1196" s="5" t="n">
        <v>78</v>
      </c>
      <c r="C1196" s="72" t="inlineStr">
        <is>
          <t>X</t>
        </is>
      </c>
      <c r="D1196" s="5" t="n">
        <v>346</v>
      </c>
      <c r="E1196" s="73">
        <f>B1196*D1196/10000</f>
        <v/>
      </c>
      <c r="F1196" s="74">
        <f>B1196/30.48</f>
        <v/>
      </c>
      <c r="G1196" s="74">
        <f>D1196/30.48</f>
        <v/>
      </c>
      <c r="H1196" s="553" t="inlineStr">
        <is>
          <t>MCHD-PAC</t>
        </is>
      </c>
      <c r="I1196" s="570" t="inlineStr">
        <is>
          <t>Christina Di Loreto</t>
        </is>
      </c>
      <c r="J1196" s="557" t="n"/>
    </row>
    <row r="1197" ht="17.25" customFormat="1" customHeight="1" s="1">
      <c r="A1197" s="8" t="inlineStr">
        <is>
          <t>C 440</t>
        </is>
      </c>
      <c r="B1197" s="5" t="n">
        <v>105</v>
      </c>
      <c r="C1197" s="6" t="inlineStr">
        <is>
          <t>X</t>
        </is>
      </c>
      <c r="D1197" s="5" t="n">
        <v>176</v>
      </c>
      <c r="E1197" s="2">
        <f>B1197*D1197/10000</f>
        <v/>
      </c>
      <c r="F1197" s="3">
        <f>B1197/30.48</f>
        <v/>
      </c>
      <c r="G1197" s="3">
        <f>D1197/30.48</f>
        <v/>
      </c>
      <c r="H1197" s="553" t="inlineStr">
        <is>
          <t>MCHD-PAC</t>
        </is>
      </c>
      <c r="I1197" s="570" t="inlineStr">
        <is>
          <t>Jack Pruitt</t>
        </is>
      </c>
      <c r="J1197" s="557" t="inlineStr">
        <is>
          <t>US-504 390 5439</t>
        </is>
      </c>
    </row>
    <row r="1198" ht="17.25" customFormat="1" customHeight="1" s="1">
      <c r="A1198" s="8" t="n">
        <v>1085</v>
      </c>
      <c r="B1198" s="5" t="n">
        <v>70</v>
      </c>
      <c r="C1198" s="72" t="inlineStr">
        <is>
          <t>X</t>
        </is>
      </c>
      <c r="D1198" s="5" t="n">
        <v>161</v>
      </c>
      <c r="E1198" s="73">
        <f>B1198*D1198/10000</f>
        <v/>
      </c>
      <c r="F1198" s="74">
        <f>B1198/30.48</f>
        <v/>
      </c>
      <c r="G1198" s="74">
        <f>D1198/30.48</f>
        <v/>
      </c>
      <c r="H1198" s="16" t="inlineStr">
        <is>
          <t>MCHD-OLD</t>
        </is>
      </c>
      <c r="I1198" s="570" t="inlineStr">
        <is>
          <t>Gia Coats</t>
        </is>
      </c>
      <c r="J1198" s="557" t="inlineStr">
        <is>
          <t>US-434 760 0148</t>
        </is>
      </c>
    </row>
    <row r="1199" ht="17.25" customHeight="1" s="305">
      <c r="A1199" s="8" t="inlineStr">
        <is>
          <t>D 48</t>
        </is>
      </c>
      <c r="B1199" s="5" t="n">
        <v>48</v>
      </c>
      <c r="C1199" s="72" t="inlineStr">
        <is>
          <t>X</t>
        </is>
      </c>
      <c r="D1199" s="5" t="n">
        <v>96</v>
      </c>
      <c r="E1199" s="73">
        <f>B1199*D1199/10000</f>
        <v/>
      </c>
      <c r="F1199" s="74">
        <f>B1199/30.48</f>
        <v/>
      </c>
      <c r="G1199" s="74">
        <f>D1199/30.48</f>
        <v/>
      </c>
      <c r="H1199" s="16" t="inlineStr">
        <is>
          <t>MCHD-OLD</t>
        </is>
      </c>
      <c r="I1199" s="570" t="inlineStr">
        <is>
          <t>Kent Rogowski</t>
        </is>
      </c>
      <c r="J1199" s="557" t="n"/>
      <c r="M1199" s="1" t="n"/>
      <c r="N1199" s="1" t="n"/>
      <c r="O1199" s="1" t="n"/>
    </row>
    <row r="1200" ht="17.25" customFormat="1" customHeight="1" s="1">
      <c r="A1200" s="8" t="n">
        <v>1709</v>
      </c>
      <c r="B1200" s="5" t="n">
        <v>292</v>
      </c>
      <c r="C1200" s="72" t="inlineStr">
        <is>
          <t>X</t>
        </is>
      </c>
      <c r="D1200" s="5" t="n">
        <v>394</v>
      </c>
      <c r="E1200" s="73">
        <f>B1200*D1200/10000</f>
        <v/>
      </c>
      <c r="F1200" s="74">
        <f>B1200/30.48</f>
        <v/>
      </c>
      <c r="G1200" s="74">
        <f>D1200/30.48</f>
        <v/>
      </c>
      <c r="H1200" s="66" t="inlineStr">
        <is>
          <t>MCHD-TR</t>
        </is>
      </c>
      <c r="I1200" s="570" t="inlineStr">
        <is>
          <t>Elizabeth Scott</t>
        </is>
      </c>
      <c r="J1200" s="557" t="n"/>
    </row>
    <row r="1201" ht="17.25" customFormat="1" customHeight="1" s="1">
      <c r="A1201" s="8" t="inlineStr">
        <is>
          <t>C 534</t>
        </is>
      </c>
      <c r="B1201" s="5" t="n">
        <v>104</v>
      </c>
      <c r="C1201" s="6" t="inlineStr">
        <is>
          <t>X</t>
        </is>
      </c>
      <c r="D1201" s="5" t="n">
        <v>406</v>
      </c>
      <c r="E1201" s="2">
        <f>B1201*D1201/10000</f>
        <v/>
      </c>
      <c r="F1201" s="3">
        <f>B1201/30.48</f>
        <v/>
      </c>
      <c r="G1201" s="3">
        <f>D1201/30.48</f>
        <v/>
      </c>
      <c r="H1201" s="66" t="inlineStr">
        <is>
          <t>MCHD-TR</t>
        </is>
      </c>
      <c r="I1201" s="534" t="inlineStr">
        <is>
          <t>Quadra FS Inc Warehouse</t>
        </is>
      </c>
      <c r="J1201" s="545" t="n"/>
    </row>
    <row r="1202" ht="17.25" customFormat="1" customHeight="1" s="1">
      <c r="A1202" s="8" t="inlineStr">
        <is>
          <t>C 516</t>
        </is>
      </c>
      <c r="B1202" s="5" t="n">
        <v>89</v>
      </c>
      <c r="C1202" s="6" t="inlineStr">
        <is>
          <t>X</t>
        </is>
      </c>
      <c r="D1202" s="5" t="n">
        <v>321</v>
      </c>
      <c r="E1202" s="2">
        <f>B1202*D1202/10000</f>
        <v/>
      </c>
      <c r="F1202" s="3">
        <f>B1202/30.48</f>
        <v/>
      </c>
      <c r="G1202" s="3">
        <f>D1202/30.48</f>
        <v/>
      </c>
      <c r="H1202" s="66" t="inlineStr">
        <is>
          <t>MCHD-TR</t>
        </is>
      </c>
      <c r="I1202" s="570" t="inlineStr">
        <is>
          <t>Anna Steward</t>
        </is>
      </c>
      <c r="J1202" s="557" t="n"/>
    </row>
    <row r="1203" ht="17.25" customFormat="1" customHeight="1" s="1">
      <c r="A1203" s="8" t="n">
        <v>1524</v>
      </c>
      <c r="B1203" s="5" t="n">
        <v>321</v>
      </c>
      <c r="C1203" s="72" t="inlineStr">
        <is>
          <t>X</t>
        </is>
      </c>
      <c r="D1203" s="5" t="n">
        <v>135</v>
      </c>
      <c r="E1203" s="73">
        <f>B1203*D1203/10000</f>
        <v/>
      </c>
      <c r="F1203" s="74">
        <f>B1203/30.48</f>
        <v/>
      </c>
      <c r="G1203" s="74">
        <f>D1203/30.48</f>
        <v/>
      </c>
      <c r="H1203" s="66" t="inlineStr">
        <is>
          <t>MCHD-TR</t>
        </is>
      </c>
      <c r="I1203" s="570" t="inlineStr">
        <is>
          <t>Branan White Design</t>
        </is>
      </c>
      <c r="J1203" s="557" t="n"/>
    </row>
    <row r="1204" ht="17.25" customFormat="1" customHeight="1" s="1">
      <c r="A1204" s="8" t="inlineStr">
        <is>
          <t>H 109</t>
        </is>
      </c>
      <c r="B1204" s="5" t="n">
        <v>85</v>
      </c>
      <c r="C1204" s="72" t="inlineStr">
        <is>
          <t>X</t>
        </is>
      </c>
      <c r="D1204" s="5" t="n">
        <v>415</v>
      </c>
      <c r="E1204" s="73">
        <f>B1204*D1204/10000</f>
        <v/>
      </c>
      <c r="F1204" s="74">
        <f>B1204/30.48</f>
        <v/>
      </c>
      <c r="G1204" s="74">
        <f>D1204/30.48</f>
        <v/>
      </c>
      <c r="H1204" s="16" t="inlineStr">
        <is>
          <t>MCHD-VR</t>
        </is>
      </c>
      <c r="I1204" s="534" t="inlineStr">
        <is>
          <t>Lana House</t>
        </is>
      </c>
      <c r="J1204" s="545" t="n"/>
    </row>
    <row r="1205" ht="17.25" customHeight="1" s="305">
      <c r="A1205" s="8" t="inlineStr">
        <is>
          <t>D 158</t>
        </is>
      </c>
      <c r="B1205" s="5" t="n">
        <v>49</v>
      </c>
      <c r="C1205" s="72" t="inlineStr">
        <is>
          <t>X</t>
        </is>
      </c>
      <c r="D1205" s="5" t="n">
        <v>86</v>
      </c>
      <c r="E1205" s="73">
        <f>B1205*D1205/10000</f>
        <v/>
      </c>
      <c r="F1205" s="74">
        <f>B1205/30.48</f>
        <v/>
      </c>
      <c r="G1205" s="74">
        <f>D1205/30.48</f>
        <v/>
      </c>
      <c r="H1205" s="16" t="inlineStr">
        <is>
          <t>MCHD-OLD</t>
        </is>
      </c>
      <c r="I1205" s="570" t="inlineStr">
        <is>
          <t>Brandy Veazey</t>
        </is>
      </c>
      <c r="J1205" s="557" t="n"/>
    </row>
    <row r="1206" ht="17.25" customHeight="1" s="305">
      <c r="A1206" s="8" t="inlineStr">
        <is>
          <t>KN 3</t>
        </is>
      </c>
      <c r="B1206" s="5" t="n">
        <v>193</v>
      </c>
      <c r="C1206" s="72" t="inlineStr">
        <is>
          <t>X</t>
        </is>
      </c>
      <c r="D1206" s="5" t="n">
        <v>270</v>
      </c>
      <c r="E1206" s="73">
        <f>B1206*D1206/10000</f>
        <v/>
      </c>
      <c r="F1206" s="74">
        <f>B1206/30.48</f>
        <v/>
      </c>
      <c r="G1206" s="74">
        <f>D1206/30.48</f>
        <v/>
      </c>
      <c r="H1206" s="553" t="inlineStr">
        <is>
          <t>MCHD-PAC</t>
        </is>
      </c>
      <c r="I1206" s="496" t="inlineStr">
        <is>
          <t>Alicia Nolan</t>
        </is>
      </c>
      <c r="J1206" s="96" t="n"/>
    </row>
    <row r="1207" ht="17.25" customFormat="1" customHeight="1" s="1">
      <c r="A1207" s="8" t="n">
        <v>1729</v>
      </c>
      <c r="B1207" s="5" t="n">
        <v>300</v>
      </c>
      <c r="C1207" s="72" t="inlineStr">
        <is>
          <t>X</t>
        </is>
      </c>
      <c r="D1207" s="5" t="n">
        <v>389</v>
      </c>
      <c r="E1207" s="73">
        <f>B1207*D1207/10000</f>
        <v/>
      </c>
      <c r="F1207" s="74">
        <f>B1207/30.48</f>
        <v/>
      </c>
      <c r="G1207" s="74">
        <f>D1207/30.48</f>
        <v/>
      </c>
      <c r="H1207" s="66" t="inlineStr">
        <is>
          <t>MCHD-TR</t>
        </is>
      </c>
      <c r="I1207" s="570" t="inlineStr">
        <is>
          <t>Millie Turner</t>
        </is>
      </c>
      <c r="J1207" s="557" t="n"/>
    </row>
    <row r="1208" ht="17.25" customFormat="1" customHeight="1" s="1">
      <c r="A1208" s="8" t="n">
        <v>1624</v>
      </c>
      <c r="B1208" s="5" t="n">
        <v>247</v>
      </c>
      <c r="C1208" s="72" t="inlineStr">
        <is>
          <t>X</t>
        </is>
      </c>
      <c r="D1208" s="5" t="n">
        <v>85</v>
      </c>
      <c r="E1208" s="73">
        <f>B1208*D1208/10000</f>
        <v/>
      </c>
      <c r="F1208" s="74">
        <f>B1208/30.48</f>
        <v/>
      </c>
      <c r="G1208" s="74">
        <f>D1208/30.48</f>
        <v/>
      </c>
      <c r="H1208" s="66" t="inlineStr">
        <is>
          <t>MCHD-TR</t>
        </is>
      </c>
      <c r="I1208" s="80" t="inlineStr">
        <is>
          <t>Sarah Kennedy</t>
        </is>
      </c>
      <c r="J1208" s="557" t="inlineStr">
        <is>
          <t>US-334 868 2001</t>
        </is>
      </c>
    </row>
    <row r="1209" ht="17.25" customFormat="1" customHeight="1" s="1">
      <c r="A1209" s="8" t="inlineStr">
        <is>
          <t>B 174</t>
        </is>
      </c>
      <c r="B1209" s="5" t="n">
        <v>80</v>
      </c>
      <c r="C1209" s="72" t="inlineStr">
        <is>
          <t>X</t>
        </is>
      </c>
      <c r="D1209" s="5" t="n">
        <v>301</v>
      </c>
      <c r="E1209" s="73">
        <f>B1209*D1209/10000</f>
        <v/>
      </c>
      <c r="F1209" s="74">
        <f>B1209/30.48</f>
        <v/>
      </c>
      <c r="G1209" s="74">
        <f>D1209/30.48</f>
        <v/>
      </c>
      <c r="H1209" s="66" t="inlineStr">
        <is>
          <t>MCHD-TH</t>
        </is>
      </c>
      <c r="I1209" s="570" t="inlineStr">
        <is>
          <t>Angel Kinney</t>
        </is>
      </c>
      <c r="J1209" s="557" t="n"/>
    </row>
    <row r="1210" ht="17.25" customHeight="1" s="305">
      <c r="A1210" s="8" t="inlineStr">
        <is>
          <t>D 140</t>
        </is>
      </c>
      <c r="B1210" s="5" t="n">
        <v>46</v>
      </c>
      <c r="C1210" s="72" t="inlineStr">
        <is>
          <t>X</t>
        </is>
      </c>
      <c r="D1210" s="5" t="n">
        <v>91</v>
      </c>
      <c r="E1210" s="73">
        <f>B1210*D1210/10000</f>
        <v/>
      </c>
      <c r="F1210" s="74">
        <f>B1210/30.48</f>
        <v/>
      </c>
      <c r="G1210" s="74">
        <f>D1210/30.48</f>
        <v/>
      </c>
      <c r="H1210" s="16" t="inlineStr">
        <is>
          <t>MCHD-VR</t>
        </is>
      </c>
      <c r="I1210" s="570" t="inlineStr">
        <is>
          <t>JANET SHAVER</t>
        </is>
      </c>
      <c r="J1210" s="557" t="n"/>
    </row>
    <row r="1211" ht="17.25" customHeight="1" s="305">
      <c r="A1211" s="8" t="inlineStr">
        <is>
          <t>D 164</t>
        </is>
      </c>
      <c r="B1211" s="5" t="n">
        <v>54</v>
      </c>
      <c r="C1211" s="72" t="inlineStr">
        <is>
          <t>X</t>
        </is>
      </c>
      <c r="D1211" s="5" t="n">
        <v>99</v>
      </c>
      <c r="E1211" s="73">
        <f>B1211*D1211/10000</f>
        <v/>
      </c>
      <c r="F1211" s="74">
        <f>B1211/30.48</f>
        <v/>
      </c>
      <c r="G1211" s="74">
        <f>D1211/30.48</f>
        <v/>
      </c>
      <c r="H1211" s="16" t="inlineStr">
        <is>
          <t>MCHD-OLD</t>
        </is>
      </c>
      <c r="I1211" s="570" t="inlineStr">
        <is>
          <t>Giuliana Fanucchi-Boyar</t>
        </is>
      </c>
      <c r="J1211" s="557" t="n"/>
    </row>
    <row r="1212" ht="17.25" customFormat="1" customHeight="1" s="1">
      <c r="A1212" s="8" t="n">
        <v>1748</v>
      </c>
      <c r="B1212" s="5" t="n">
        <v>244</v>
      </c>
      <c r="C1212" s="72" t="inlineStr">
        <is>
          <t>X</t>
        </is>
      </c>
      <c r="D1212" s="5" t="n">
        <v>348</v>
      </c>
      <c r="E1212" s="73">
        <f>B1212*D1212/10000</f>
        <v/>
      </c>
      <c r="F1212" s="74">
        <f>B1212/30.48</f>
        <v/>
      </c>
      <c r="G1212" s="74">
        <f>D1212/30.48</f>
        <v/>
      </c>
      <c r="H1212" s="66" t="inlineStr">
        <is>
          <t>MCHD-TR</t>
        </is>
      </c>
      <c r="I1212" s="570" t="inlineStr">
        <is>
          <t>Laura Hodges</t>
        </is>
      </c>
      <c r="J1212" s="557" t="inlineStr">
        <is>
          <t>US-631 793 6119</t>
        </is>
      </c>
    </row>
    <row r="1213" ht="17.25" customFormat="1" customHeight="1" s="1">
      <c r="A1213" s="8" t="n">
        <v>1691</v>
      </c>
      <c r="B1213" s="5" t="n">
        <v>150</v>
      </c>
      <c r="C1213" s="72" t="inlineStr">
        <is>
          <t>X</t>
        </is>
      </c>
      <c r="D1213" s="5" t="n">
        <v>92</v>
      </c>
      <c r="E1213" s="73">
        <f>B1213*D1213/10000</f>
        <v/>
      </c>
      <c r="F1213" s="74">
        <f>B1213/30.48</f>
        <v/>
      </c>
      <c r="G1213" s="74">
        <f>D1213/30.48</f>
        <v/>
      </c>
      <c r="H1213" s="66" t="inlineStr">
        <is>
          <t>MCHD-TR</t>
        </is>
      </c>
      <c r="I1213" s="570" t="inlineStr">
        <is>
          <t>Ellen Evans</t>
        </is>
      </c>
      <c r="J1213" s="557" t="inlineStr">
        <is>
          <t>US-678 333 4904</t>
        </is>
      </c>
    </row>
    <row r="1214" ht="17.25" customFormat="1" customHeight="1" s="1">
      <c r="A1214" s="8" t="inlineStr">
        <is>
          <t>C 924</t>
        </is>
      </c>
      <c r="B1214" s="5" t="n">
        <v>113</v>
      </c>
      <c r="C1214" s="6" t="inlineStr">
        <is>
          <t>X</t>
        </is>
      </c>
      <c r="D1214" s="5" t="n">
        <v>232</v>
      </c>
      <c r="E1214" s="2">
        <f>B1214*D1214/10000</f>
        <v/>
      </c>
      <c r="F1214" s="3">
        <f>B1214/30.48</f>
        <v/>
      </c>
      <c r="G1214" s="3">
        <f>D1214/30.48</f>
        <v/>
      </c>
      <c r="H1214" s="66" t="inlineStr">
        <is>
          <t>MCHD-TR</t>
        </is>
      </c>
      <c r="I1214" s="570" t="inlineStr">
        <is>
          <t>Jennifer Welsh</t>
        </is>
      </c>
      <c r="J1214" s="557" t="n"/>
    </row>
    <row r="1215" ht="17.25" customFormat="1" customHeight="1" s="1">
      <c r="A1215" s="8" t="n">
        <v>1183</v>
      </c>
      <c r="B1215" s="5" t="n">
        <v>85</v>
      </c>
      <c r="C1215" s="72" t="inlineStr">
        <is>
          <t>X</t>
        </is>
      </c>
      <c r="D1215" s="5" t="n">
        <v>426</v>
      </c>
      <c r="E1215" s="73">
        <f>B1215*D1215/10000</f>
        <v/>
      </c>
      <c r="F1215" s="74">
        <f>B1215/30.48</f>
        <v/>
      </c>
      <c r="G1215" s="74">
        <f>D1215/30.48</f>
        <v/>
      </c>
      <c r="H1215" s="66" t="inlineStr">
        <is>
          <t>MCHD-TR</t>
        </is>
      </c>
      <c r="I1215" s="570" t="inlineStr">
        <is>
          <t>Gizela Laskowska</t>
        </is>
      </c>
      <c r="J1215" s="557" t="n"/>
    </row>
    <row r="1216" ht="17.25" customFormat="1" customHeight="1" s="1">
      <c r="A1216" s="8" t="inlineStr">
        <is>
          <t>A 101</t>
        </is>
      </c>
      <c r="B1216" s="5" t="n">
        <v>142</v>
      </c>
      <c r="C1216" s="72" t="inlineStr">
        <is>
          <t>X</t>
        </is>
      </c>
      <c r="D1216" s="5" t="n">
        <v>240</v>
      </c>
      <c r="E1216" s="73">
        <f>B1216*D1216/10000</f>
        <v/>
      </c>
      <c r="F1216" s="74">
        <f>B1216/30.48</f>
        <v/>
      </c>
      <c r="G1216" s="74">
        <f>D1216/30.48</f>
        <v/>
      </c>
      <c r="H1216" s="553" t="inlineStr">
        <is>
          <t>MCHD-PAC</t>
        </is>
      </c>
      <c r="I1216" s="570" t="inlineStr">
        <is>
          <t>Hannah Winters</t>
        </is>
      </c>
      <c r="J1216" s="557" t="inlineStr">
        <is>
          <t>US-205 317 6762</t>
        </is>
      </c>
    </row>
    <row r="1217" ht="17.25" customFormat="1" customHeight="1" s="1">
      <c r="A1217" s="8" t="inlineStr">
        <is>
          <t>C 958</t>
        </is>
      </c>
      <c r="B1217" s="5" t="n">
        <v>62</v>
      </c>
      <c r="C1217" s="6" t="inlineStr">
        <is>
          <t>X</t>
        </is>
      </c>
      <c r="D1217" s="5" t="n">
        <v>127</v>
      </c>
      <c r="E1217" s="2">
        <f>B1217*D1217/10000</f>
        <v/>
      </c>
      <c r="F1217" s="3">
        <f>B1217/30.48</f>
        <v/>
      </c>
      <c r="G1217" s="3">
        <f>D1217/30.48</f>
        <v/>
      </c>
      <c r="H1217" s="553" t="inlineStr">
        <is>
          <t>MCHD-PAC</t>
        </is>
      </c>
      <c r="I1217" s="570" t="inlineStr">
        <is>
          <t>Sarah Ulizio</t>
        </is>
      </c>
      <c r="J1217" s="557" t="inlineStr">
        <is>
          <t>US-203 586 6386</t>
        </is>
      </c>
    </row>
    <row r="1218" ht="17.25" customFormat="1" customHeight="1" s="1">
      <c r="A1218" s="8" t="inlineStr">
        <is>
          <t>C 57</t>
        </is>
      </c>
      <c r="B1218" s="5" t="n">
        <v>336</v>
      </c>
      <c r="C1218" s="6" t="inlineStr">
        <is>
          <t>X</t>
        </is>
      </c>
      <c r="D1218" s="5" t="n">
        <v>84</v>
      </c>
      <c r="E1218" s="2">
        <f>B1218*D1218/10000</f>
        <v/>
      </c>
      <c r="F1218" s="3">
        <f>B1218/30.48</f>
        <v/>
      </c>
      <c r="G1218" s="3">
        <f>D1218/30.48</f>
        <v/>
      </c>
      <c r="H1218" s="553" t="inlineStr">
        <is>
          <t>MCHD-PAC</t>
        </is>
      </c>
      <c r="I1218" s="570" t="inlineStr">
        <is>
          <t>Sara Elizabeth Keeler</t>
        </is>
      </c>
      <c r="J1218" s="557" t="n"/>
    </row>
    <row r="1219" ht="17.25" customFormat="1" customHeight="1" s="1">
      <c r="A1219" s="8" t="inlineStr">
        <is>
          <t>C 235</t>
        </is>
      </c>
      <c r="B1219" s="5" t="n">
        <v>173</v>
      </c>
      <c r="C1219" s="6" t="inlineStr">
        <is>
          <t>X</t>
        </is>
      </c>
      <c r="D1219" s="5" t="n">
        <v>102</v>
      </c>
      <c r="E1219" s="2">
        <f>B1219*D1219/10000</f>
        <v/>
      </c>
      <c r="F1219" s="3">
        <f>B1219/30.48</f>
        <v/>
      </c>
      <c r="G1219" s="3">
        <f>D1219/30.48</f>
        <v/>
      </c>
      <c r="H1219" s="16" t="inlineStr">
        <is>
          <t>MCHD-OLD</t>
        </is>
      </c>
      <c r="I1219" s="570" t="inlineStr">
        <is>
          <t>Karen Knell</t>
        </is>
      </c>
      <c r="J1219" s="557" t="inlineStr">
        <is>
          <t>US-925 270 8477</t>
        </is>
      </c>
    </row>
    <row r="1220" ht="17.25" customFormat="1" customHeight="1" s="1">
      <c r="A1220" s="8" t="n">
        <v>1302</v>
      </c>
      <c r="B1220" s="5" t="n">
        <v>81</v>
      </c>
      <c r="C1220" s="72" t="inlineStr">
        <is>
          <t>X</t>
        </is>
      </c>
      <c r="D1220" s="5" t="n">
        <v>184</v>
      </c>
      <c r="E1220" s="73">
        <f>B1220*D1220/10000</f>
        <v/>
      </c>
      <c r="F1220" s="74">
        <f>B1220/30.48</f>
        <v/>
      </c>
      <c r="G1220" s="74">
        <f>D1220/30.48</f>
        <v/>
      </c>
      <c r="H1220" s="16" t="inlineStr">
        <is>
          <t>MCHD-OLD</t>
        </is>
      </c>
      <c r="I1220" s="534" t="inlineStr">
        <is>
          <t>Juliana Cox</t>
        </is>
      </c>
      <c r="J1220" s="545" t="n"/>
    </row>
    <row r="1221" ht="17.25" customFormat="1" customHeight="1" s="1">
      <c r="A1221" s="8" t="inlineStr">
        <is>
          <t>Y 942</t>
        </is>
      </c>
      <c r="B1221" s="5" t="n">
        <v>389</v>
      </c>
      <c r="C1221" s="6" t="inlineStr">
        <is>
          <t>X</t>
        </is>
      </c>
      <c r="D1221" s="5" t="n">
        <v>79</v>
      </c>
      <c r="E1221" s="2">
        <f>B1221*D1221/10000</f>
        <v/>
      </c>
      <c r="F1221" s="3">
        <f>B1221/30.48</f>
        <v/>
      </c>
      <c r="G1221" s="3">
        <f>D1221/30.48</f>
        <v/>
      </c>
      <c r="H1221" s="16" t="inlineStr">
        <is>
          <t>MCHD-OLD</t>
        </is>
      </c>
      <c r="I1221" s="570" t="inlineStr">
        <is>
          <t>Antique Exchange</t>
        </is>
      </c>
      <c r="J1221" s="557" t="n"/>
    </row>
    <row r="1222" ht="17.25" customHeight="1" s="305">
      <c r="A1222" s="8" t="inlineStr">
        <is>
          <t>D 273</t>
        </is>
      </c>
      <c r="B1222" s="5" t="n">
        <v>53</v>
      </c>
      <c r="C1222" s="72" t="inlineStr">
        <is>
          <t>X</t>
        </is>
      </c>
      <c r="D1222" s="5" t="n">
        <v>101</v>
      </c>
      <c r="E1222" s="73">
        <f>B1222*D1222/10000</f>
        <v/>
      </c>
      <c r="F1222" s="74">
        <f>B1222/30.48</f>
        <v/>
      </c>
      <c r="G1222" s="74">
        <f>D1222/30.48</f>
        <v/>
      </c>
      <c r="H1222" s="16" t="inlineStr">
        <is>
          <t>MCHD-OLD</t>
        </is>
      </c>
      <c r="I1222" s="570" t="inlineStr">
        <is>
          <t>Anna Steward</t>
        </is>
      </c>
      <c r="J1222" s="557" t="n"/>
    </row>
    <row r="1223" ht="17.25" customHeight="1" s="305">
      <c r="A1223" s="8" t="inlineStr">
        <is>
          <t>KN 179</t>
        </is>
      </c>
      <c r="B1223" s="5" t="n">
        <v>305</v>
      </c>
      <c r="C1223" s="72" t="inlineStr">
        <is>
          <t>X</t>
        </is>
      </c>
      <c r="D1223" s="5" t="n">
        <v>397</v>
      </c>
      <c r="E1223" s="73">
        <f>B1223*D1223/10000</f>
        <v/>
      </c>
      <c r="F1223" s="74">
        <f>B1223/30.48</f>
        <v/>
      </c>
      <c r="G1223" s="74">
        <f>D1223/30.48</f>
        <v/>
      </c>
      <c r="H1223" s="553" t="inlineStr">
        <is>
          <t>MCHD-PAC</t>
        </is>
      </c>
      <c r="I1223" s="570" t="inlineStr">
        <is>
          <t>Nicholas Giannetti</t>
        </is>
      </c>
      <c r="J1223" s="545" t="inlineStr">
        <is>
          <t>US-310 990 7009</t>
        </is>
      </c>
    </row>
    <row r="1224" ht="17.25" customFormat="1" customHeight="1" s="1">
      <c r="A1224" s="8" t="n">
        <v>248</v>
      </c>
      <c r="B1224" s="5" t="n">
        <v>90</v>
      </c>
      <c r="C1224" s="6" t="inlineStr">
        <is>
          <t>X</t>
        </is>
      </c>
      <c r="D1224" s="5" t="n">
        <v>45</v>
      </c>
      <c r="E1224" s="2">
        <f>B1224*D1224/10000</f>
        <v/>
      </c>
      <c r="F1224" s="3">
        <f>B1224/30.48</f>
        <v/>
      </c>
      <c r="G1224" s="3">
        <f>D1224/30.48</f>
        <v/>
      </c>
      <c r="H1224" s="16" t="inlineStr">
        <is>
          <t>MCHD-OLD</t>
        </is>
      </c>
      <c r="I1224" s="548" t="inlineStr">
        <is>
          <t>Katherine  Newman
1942 East 8th Street 
CHARLOTTE, NC 28204
United States</t>
        </is>
      </c>
      <c r="J1224" s="556" t="inlineStr">
        <is>
          <t>US-704 333 2552
Mail: studio@k-interiors.com</t>
        </is>
      </c>
    </row>
    <row r="1225" ht="17.25" customFormat="1" customHeight="1" s="1">
      <c r="A1225" s="8" t="n">
        <v>209</v>
      </c>
      <c r="B1225" s="5" t="n">
        <v>95</v>
      </c>
      <c r="C1225" s="6" t="inlineStr">
        <is>
          <t>X</t>
        </is>
      </c>
      <c r="D1225" s="5" t="n">
        <v>46</v>
      </c>
      <c r="E1225" s="2">
        <f>B1225*D1225/10000</f>
        <v/>
      </c>
      <c r="F1225" s="3">
        <f>B1225/30.48</f>
        <v/>
      </c>
      <c r="G1225" s="3">
        <f>D1225/30.48</f>
        <v/>
      </c>
      <c r="H1225" s="693" t="n"/>
      <c r="I1225" s="699" t="n"/>
      <c r="J1225" s="693" t="n"/>
    </row>
    <row r="1226" ht="17.25" customHeight="1" s="305">
      <c r="A1226" s="8" t="inlineStr">
        <is>
          <t>D 41</t>
        </is>
      </c>
      <c r="B1226" s="5" t="n">
        <v>43</v>
      </c>
      <c r="C1226" s="72" t="inlineStr">
        <is>
          <t>X</t>
        </is>
      </c>
      <c r="D1226" s="5" t="n">
        <v>65</v>
      </c>
      <c r="E1226" s="73">
        <f>B1226*D1226/10000</f>
        <v/>
      </c>
      <c r="F1226" s="74">
        <f>B1226/30.48</f>
        <v/>
      </c>
      <c r="G1226" s="74">
        <f>D1226/30.48</f>
        <v/>
      </c>
      <c r="H1226" s="693" t="n"/>
      <c r="I1226" s="699" t="n"/>
      <c r="J1226" s="693" t="n"/>
    </row>
    <row r="1227" ht="17.25" customHeight="1" s="305">
      <c r="A1227" s="8" t="inlineStr">
        <is>
          <t>D 88</t>
        </is>
      </c>
      <c r="B1227" s="5" t="n">
        <v>48</v>
      </c>
      <c r="C1227" s="72" t="inlineStr">
        <is>
          <t>X</t>
        </is>
      </c>
      <c r="D1227" s="5" t="n">
        <v>82</v>
      </c>
      <c r="E1227" s="73">
        <f>B1227*D1227/10000</f>
        <v/>
      </c>
      <c r="F1227" s="74">
        <f>B1227/30.48</f>
        <v/>
      </c>
      <c r="G1227" s="74">
        <f>D1227/30.48</f>
        <v/>
      </c>
      <c r="H1227" s="693" t="n"/>
      <c r="I1227" s="699" t="n"/>
      <c r="J1227" s="693" t="n"/>
    </row>
    <row r="1228" ht="17.25" customHeight="1" s="305">
      <c r="A1228" s="8" t="inlineStr">
        <is>
          <t>D 100</t>
        </is>
      </c>
      <c r="B1228" s="5" t="n">
        <v>43</v>
      </c>
      <c r="C1228" s="72" t="inlineStr">
        <is>
          <t>X</t>
        </is>
      </c>
      <c r="D1228" s="5" t="n">
        <v>74</v>
      </c>
      <c r="E1228" s="73">
        <f>B1228*D1228/10000</f>
        <v/>
      </c>
      <c r="F1228" s="74">
        <f>B1228/30.48</f>
        <v/>
      </c>
      <c r="G1228" s="74">
        <f>D1228/30.48</f>
        <v/>
      </c>
      <c r="H1228" s="693" t="n"/>
      <c r="I1228" s="699" t="n"/>
      <c r="J1228" s="693" t="n"/>
    </row>
    <row r="1229" ht="17.25" customHeight="1" s="305">
      <c r="A1229" s="8" t="inlineStr">
        <is>
          <t>D 169</t>
        </is>
      </c>
      <c r="B1229" s="5" t="n">
        <v>51</v>
      </c>
      <c r="C1229" s="72" t="inlineStr">
        <is>
          <t>X</t>
        </is>
      </c>
      <c r="D1229" s="5" t="n">
        <v>100</v>
      </c>
      <c r="E1229" s="73">
        <f>B1229*D1229/10000</f>
        <v/>
      </c>
      <c r="F1229" s="74">
        <f>B1229/30.48</f>
        <v/>
      </c>
      <c r="G1229" s="74">
        <f>D1229/30.48</f>
        <v/>
      </c>
      <c r="H1229" s="693" t="n"/>
      <c r="I1229" s="699" t="n"/>
      <c r="J1229" s="693" t="n"/>
    </row>
    <row r="1230" ht="17.25" customHeight="1" s="305">
      <c r="A1230" s="8" t="inlineStr">
        <is>
          <t>D 181</t>
        </is>
      </c>
      <c r="B1230" s="5" t="n">
        <v>56</v>
      </c>
      <c r="C1230" s="72" t="inlineStr">
        <is>
          <t>X</t>
        </is>
      </c>
      <c r="D1230" s="5" t="n">
        <v>106</v>
      </c>
      <c r="E1230" s="73">
        <f>B1230*D1230/10000</f>
        <v/>
      </c>
      <c r="F1230" s="74">
        <f>B1230/30.48</f>
        <v/>
      </c>
      <c r="G1230" s="74">
        <f>D1230/30.48</f>
        <v/>
      </c>
      <c r="H1230" s="693" t="n"/>
      <c r="I1230" s="699" t="n"/>
      <c r="J1230" s="693" t="n"/>
    </row>
    <row r="1231" ht="17.25" customHeight="1" s="305">
      <c r="A1231" s="8" t="inlineStr">
        <is>
          <t>D 255</t>
        </is>
      </c>
      <c r="B1231" s="5" t="n">
        <v>45</v>
      </c>
      <c r="C1231" s="72" t="inlineStr">
        <is>
          <t>X</t>
        </is>
      </c>
      <c r="D1231" s="5" t="n">
        <v>93</v>
      </c>
      <c r="E1231" s="73">
        <f>B1231*D1231/10000</f>
        <v/>
      </c>
      <c r="F1231" s="74">
        <f>B1231/30.48</f>
        <v/>
      </c>
      <c r="G1231" s="74">
        <f>D1231/30.48</f>
        <v/>
      </c>
      <c r="H1231" s="693" t="n"/>
      <c r="I1231" s="699" t="n"/>
      <c r="J1231" s="693" t="n"/>
    </row>
    <row r="1232" ht="17.25" customFormat="1" customHeight="1" s="1">
      <c r="A1232" s="8" t="inlineStr">
        <is>
          <t>H 66</t>
        </is>
      </c>
      <c r="B1232" s="5" t="n">
        <v>85</v>
      </c>
      <c r="C1232" s="72" t="inlineStr">
        <is>
          <t>X</t>
        </is>
      </c>
      <c r="D1232" s="5" t="n">
        <v>285</v>
      </c>
      <c r="E1232" s="73">
        <f>B1232*D1232/10000</f>
        <v/>
      </c>
      <c r="F1232" s="74">
        <f>B1232/30.48</f>
        <v/>
      </c>
      <c r="G1232" s="74">
        <f>D1232/30.48</f>
        <v/>
      </c>
      <c r="H1232" s="693" t="n"/>
      <c r="I1232" s="699" t="n"/>
      <c r="J1232" s="693" t="n"/>
    </row>
    <row r="1233" ht="17.25" customFormat="1" customHeight="1" s="1">
      <c r="A1233" s="8" t="inlineStr">
        <is>
          <t>C 474</t>
        </is>
      </c>
      <c r="B1233" s="5" t="n">
        <v>88</v>
      </c>
      <c r="C1233" s="6" t="inlineStr">
        <is>
          <t>X</t>
        </is>
      </c>
      <c r="D1233" s="5" t="n">
        <v>274</v>
      </c>
      <c r="E1233" s="2">
        <f>B1233*D1233/10000</f>
        <v/>
      </c>
      <c r="F1233" s="3">
        <f>B1233/30.48</f>
        <v/>
      </c>
      <c r="G1233" s="3">
        <f>D1233/30.48</f>
        <v/>
      </c>
      <c r="H1233" s="693" t="n"/>
      <c r="I1233" s="699" t="n"/>
      <c r="J1233" s="693" t="n"/>
    </row>
    <row r="1234" ht="17.25" customFormat="1" customHeight="1" s="1">
      <c r="A1234" s="8" t="n">
        <v>1091</v>
      </c>
      <c r="B1234" s="5" t="n">
        <v>93</v>
      </c>
      <c r="C1234" s="72" t="inlineStr">
        <is>
          <t>X</t>
        </is>
      </c>
      <c r="D1234" s="5" t="n">
        <v>312</v>
      </c>
      <c r="E1234" s="73">
        <f>B1234*D1234/10000</f>
        <v/>
      </c>
      <c r="F1234" s="74">
        <f>B1234/30.48</f>
        <v/>
      </c>
      <c r="G1234" s="74">
        <f>D1234/30.48</f>
        <v/>
      </c>
      <c r="H1234" s="694" t="n"/>
      <c r="I1234" s="699" t="n"/>
      <c r="J1234" s="694" t="n"/>
    </row>
    <row r="1235" ht="17.25" customFormat="1" customHeight="1" s="1">
      <c r="A1235" s="8" t="n">
        <v>1335</v>
      </c>
      <c r="B1235" s="5" t="n">
        <v>139</v>
      </c>
      <c r="C1235" s="72" t="inlineStr">
        <is>
          <t>X</t>
        </is>
      </c>
      <c r="D1235" s="5" t="n">
        <v>297</v>
      </c>
      <c r="E1235" s="73">
        <f>B1235*D1235/10000</f>
        <v/>
      </c>
      <c r="F1235" s="74">
        <f>B1235/30.48</f>
        <v/>
      </c>
      <c r="G1235" s="74">
        <f>D1235/30.48</f>
        <v/>
      </c>
      <c r="H1235" s="553" t="inlineStr">
        <is>
          <t>MCHD-PAC</t>
        </is>
      </c>
      <c r="I1235" s="570" t="inlineStr">
        <is>
          <t>Audrey Straus</t>
        </is>
      </c>
      <c r="J1235" s="552" t="n"/>
    </row>
    <row r="1236" ht="17.25" customFormat="1" customHeight="1" s="1">
      <c r="A1236" s="8" t="n">
        <v>1395</v>
      </c>
      <c r="B1236" s="5" t="n">
        <v>71</v>
      </c>
      <c r="C1236" s="72" t="inlineStr">
        <is>
          <t>X</t>
        </is>
      </c>
      <c r="D1236" s="5" t="n">
        <v>197</v>
      </c>
      <c r="E1236" s="73">
        <f>B1236*D1236/10000</f>
        <v/>
      </c>
      <c r="F1236" s="74">
        <f>B1236/30.48</f>
        <v/>
      </c>
      <c r="G1236" s="74">
        <f>D1236/30.48</f>
        <v/>
      </c>
      <c r="H1236" s="553" t="inlineStr">
        <is>
          <t>MCHD-PAC</t>
        </is>
      </c>
      <c r="I1236" s="570" t="inlineStr">
        <is>
          <t>Aimee Phillips</t>
        </is>
      </c>
      <c r="J1236" s="557" t="n"/>
    </row>
    <row r="1237" ht="17.25" customFormat="1" customHeight="1" s="1">
      <c r="A1237" s="8" t="inlineStr">
        <is>
          <t>H 165</t>
        </is>
      </c>
      <c r="B1237" s="5" t="n">
        <v>314</v>
      </c>
      <c r="C1237" s="6" t="inlineStr">
        <is>
          <t>X</t>
        </is>
      </c>
      <c r="D1237" s="5" t="n">
        <v>89</v>
      </c>
      <c r="E1237" s="2">
        <f>B1237*D1237/10000</f>
        <v/>
      </c>
      <c r="F1237" s="3">
        <f>B1237/30.48</f>
        <v/>
      </c>
      <c r="G1237" s="3">
        <f>D1237/30.48</f>
        <v/>
      </c>
      <c r="H1237" s="66" t="inlineStr">
        <is>
          <t>MCHD-TR</t>
        </is>
      </c>
      <c r="I1237" s="570" t="inlineStr">
        <is>
          <t>Sarah Ross</t>
        </is>
      </c>
      <c r="J1237" s="557" t="n"/>
    </row>
    <row r="1238" ht="17.25" customFormat="1" customHeight="1" s="1">
      <c r="A1238" s="8" t="n">
        <v>1290</v>
      </c>
      <c r="B1238" s="5" t="n">
        <v>90</v>
      </c>
      <c r="C1238" s="72" t="inlineStr">
        <is>
          <t>X</t>
        </is>
      </c>
      <c r="D1238" s="5" t="n">
        <v>502</v>
      </c>
      <c r="E1238" s="73">
        <f>B1238*D1238/10000</f>
        <v/>
      </c>
      <c r="F1238" s="74">
        <f>B1238/30.48</f>
        <v/>
      </c>
      <c r="G1238" s="74">
        <f>D1238/30.48</f>
        <v/>
      </c>
      <c r="H1238" s="16" t="inlineStr">
        <is>
          <t>MCHD-VR</t>
        </is>
      </c>
      <c r="I1238" s="570" t="inlineStr">
        <is>
          <t>Jennifer Coghill</t>
        </is>
      </c>
      <c r="J1238" s="557" t="inlineStr">
        <is>
          <t>US-312 823 4574</t>
        </is>
      </c>
    </row>
    <row r="1239" ht="17.25" customFormat="1" customHeight="1" s="1">
      <c r="A1239" s="8" t="n">
        <v>1352</v>
      </c>
      <c r="B1239" s="5" t="n">
        <v>90</v>
      </c>
      <c r="C1239" s="72" t="inlineStr">
        <is>
          <t>X</t>
        </is>
      </c>
      <c r="D1239" s="5" t="n">
        <v>493</v>
      </c>
      <c r="E1239" s="73">
        <f>B1239*D1239/10000</f>
        <v/>
      </c>
      <c r="F1239" s="74">
        <f>B1239/30.48</f>
        <v/>
      </c>
      <c r="G1239" s="74">
        <f>D1239/30.48</f>
        <v/>
      </c>
      <c r="H1239" s="16" t="inlineStr">
        <is>
          <t>MCHD-OLD</t>
        </is>
      </c>
      <c r="I1239" s="694" t="n"/>
      <c r="J1239" s="694" t="n"/>
    </row>
    <row r="1240" ht="17.25" customFormat="1" customHeight="1" s="1">
      <c r="A1240" s="8" t="n">
        <v>1557</v>
      </c>
      <c r="B1240" s="5" t="n">
        <v>340</v>
      </c>
      <c r="C1240" s="72" t="inlineStr">
        <is>
          <t>X</t>
        </is>
      </c>
      <c r="D1240" s="5" t="n">
        <v>66</v>
      </c>
      <c r="E1240" s="73">
        <f>B1240*D1240/10000</f>
        <v/>
      </c>
      <c r="F1240" s="74">
        <f>B1240/30.48</f>
        <v/>
      </c>
      <c r="G1240" s="74">
        <f>D1240/30.48</f>
        <v/>
      </c>
      <c r="H1240" s="553" t="inlineStr">
        <is>
          <t>MCHD-PAC</t>
        </is>
      </c>
      <c r="I1240" s="570" t="inlineStr">
        <is>
          <t>Meg Daniel</t>
        </is>
      </c>
      <c r="J1240" s="557" t="n"/>
    </row>
    <row r="1241" ht="17.25" customFormat="1" customHeight="1" s="1">
      <c r="A1241" s="8" t="n">
        <v>1661</v>
      </c>
      <c r="B1241" s="5" t="n">
        <v>257</v>
      </c>
      <c r="C1241" s="72" t="inlineStr">
        <is>
          <t>X</t>
        </is>
      </c>
      <c r="D1241" s="5" t="n">
        <v>86</v>
      </c>
      <c r="E1241" s="73">
        <f>B1241*D1241/10000</f>
        <v/>
      </c>
      <c r="F1241" s="74">
        <f>B1241/30.48</f>
        <v/>
      </c>
      <c r="G1241" s="74">
        <f>D1241/30.48</f>
        <v/>
      </c>
      <c r="H1241" s="553" t="inlineStr">
        <is>
          <t>MCHD-PAC</t>
        </is>
      </c>
      <c r="I1241" s="534" t="inlineStr">
        <is>
          <t>Katie Rees</t>
        </is>
      </c>
      <c r="J1241" s="545" t="n"/>
    </row>
    <row r="1242" ht="17.25" customFormat="1" customHeight="1" s="1">
      <c r="A1242" s="8" t="n">
        <v>1517</v>
      </c>
      <c r="B1242" s="5" t="n">
        <v>313</v>
      </c>
      <c r="C1242" s="72" t="inlineStr">
        <is>
          <t>X</t>
        </is>
      </c>
      <c r="D1242" s="5" t="n">
        <v>80</v>
      </c>
      <c r="E1242" s="73">
        <f>B1242*D1242/10000</f>
        <v/>
      </c>
      <c r="F1242" s="74">
        <f>B1242/30.48</f>
        <v/>
      </c>
      <c r="G1242" s="74">
        <f>D1242/30.48</f>
        <v/>
      </c>
      <c r="H1242" s="66" t="inlineStr">
        <is>
          <t>MCHD-TR</t>
        </is>
      </c>
      <c r="I1242" s="570" t="inlineStr">
        <is>
          <t>JENNIFER KNIGHT</t>
        </is>
      </c>
      <c r="J1242" s="557" t="inlineStr">
        <is>
          <t>US-204 504 4373</t>
        </is>
      </c>
    </row>
    <row r="1243" ht="17.25" customFormat="1" customHeight="1" s="1">
      <c r="A1243" s="8" t="n">
        <v>1580</v>
      </c>
      <c r="B1243" s="5" t="n">
        <v>416</v>
      </c>
      <c r="C1243" s="72" t="inlineStr">
        <is>
          <t>X</t>
        </is>
      </c>
      <c r="D1243" s="5" t="n">
        <v>82</v>
      </c>
      <c r="E1243" s="73">
        <f>B1243*D1243/10000</f>
        <v/>
      </c>
      <c r="F1243" s="74">
        <f>B1243/30.48</f>
        <v/>
      </c>
      <c r="G1243" s="74">
        <f>D1243/30.48</f>
        <v/>
      </c>
      <c r="H1243" s="66" t="inlineStr">
        <is>
          <t>MCHD-TR</t>
        </is>
      </c>
      <c r="I1243" s="570" t="inlineStr">
        <is>
          <t>Karissa Abbott</t>
        </is>
      </c>
      <c r="J1243" s="557" t="n"/>
    </row>
    <row r="1244" ht="17.25" customFormat="1" customHeight="1" s="1">
      <c r="A1244" s="8" t="n">
        <v>1418</v>
      </c>
      <c r="B1244" s="5" t="n">
        <v>66</v>
      </c>
      <c r="C1244" s="72" t="inlineStr">
        <is>
          <t>X</t>
        </is>
      </c>
      <c r="D1244" s="5" t="n">
        <v>273</v>
      </c>
      <c r="E1244" s="73">
        <f>B1244*D1244/10000</f>
        <v/>
      </c>
      <c r="F1244" s="74">
        <f>B1244/30.48</f>
        <v/>
      </c>
      <c r="G1244" s="74">
        <f>D1244/30.48</f>
        <v/>
      </c>
      <c r="H1244" s="553" t="inlineStr">
        <is>
          <t>MCHD-PAC</t>
        </is>
      </c>
      <c r="I1244" s="570" t="inlineStr">
        <is>
          <t>Jane Adams</t>
        </is>
      </c>
      <c r="J1244" s="557" t="n"/>
    </row>
    <row r="1245" ht="17.25" customFormat="1" customHeight="1" s="1">
      <c r="A1245" s="8" t="n">
        <v>1338</v>
      </c>
      <c r="B1245" s="5" t="n">
        <v>80</v>
      </c>
      <c r="C1245" s="72" t="inlineStr">
        <is>
          <t>X</t>
        </is>
      </c>
      <c r="D1245" s="5" t="n">
        <v>430</v>
      </c>
      <c r="E1245" s="73">
        <f>B1245*D1245/10000</f>
        <v/>
      </c>
      <c r="F1245" s="74">
        <f>B1245/30.48</f>
        <v/>
      </c>
      <c r="G1245" s="74">
        <f>D1245/30.48</f>
        <v/>
      </c>
      <c r="H1245" s="553" t="inlineStr">
        <is>
          <t>MCHD-PAC</t>
        </is>
      </c>
      <c r="I1245" s="534" t="inlineStr">
        <is>
          <t>Carrie Delany</t>
        </is>
      </c>
      <c r="J1245" s="545" t="n"/>
    </row>
    <row r="1246" ht="17.25" customFormat="1" customHeight="1" s="1">
      <c r="A1246" s="8" t="inlineStr">
        <is>
          <t>C 707</t>
        </is>
      </c>
      <c r="B1246" s="5" t="n">
        <v>90</v>
      </c>
      <c r="C1246" s="6" t="inlineStr">
        <is>
          <t>X</t>
        </is>
      </c>
      <c r="D1246" s="5" t="n">
        <v>193</v>
      </c>
      <c r="E1246" s="2">
        <f>B1246*D1246/10000</f>
        <v/>
      </c>
      <c r="F1246" s="3">
        <f>B1246/30.48</f>
        <v/>
      </c>
      <c r="G1246" s="3">
        <f>D1246/30.48</f>
        <v/>
      </c>
      <c r="H1246" s="69" t="inlineStr">
        <is>
          <t>MCHD-TR</t>
        </is>
      </c>
      <c r="I1246" s="534" t="inlineStr">
        <is>
          <t>ATI FRIST</t>
        </is>
      </c>
      <c r="J1246" s="545" t="inlineStr">
        <is>
          <t>US-951 707 8888</t>
        </is>
      </c>
      <c r="R1246" s="1" t="inlineStr">
        <is>
          <t xml:space="preserve"> </t>
        </is>
      </c>
    </row>
    <row r="1247" ht="17.25" customFormat="1" customHeight="1" s="1">
      <c r="A1247" s="8" t="inlineStr">
        <is>
          <t>Y 915</t>
        </is>
      </c>
      <c r="B1247" s="5" t="n">
        <v>254</v>
      </c>
      <c r="C1247" s="6" t="inlineStr">
        <is>
          <t>X</t>
        </is>
      </c>
      <c r="D1247" s="5" t="n">
        <v>158</v>
      </c>
      <c r="E1247" s="2">
        <f>B1247*D1247/10000</f>
        <v/>
      </c>
      <c r="F1247" s="3">
        <f>B1247/30.48</f>
        <v/>
      </c>
      <c r="G1247" s="3">
        <f>D1247/30.48</f>
        <v/>
      </c>
      <c r="H1247" s="69" t="inlineStr">
        <is>
          <t>MCHD-TR</t>
        </is>
      </c>
      <c r="I1247" s="534" t="inlineStr">
        <is>
          <t>Pro Movers Creer/Kasteler</t>
        </is>
      </c>
      <c r="J1247" s="545" t="inlineStr">
        <is>
          <t>US-801 666 7919</t>
        </is>
      </c>
    </row>
    <row r="1248" ht="17.25" customFormat="1" customHeight="1" s="1">
      <c r="A1248" s="8" t="inlineStr">
        <is>
          <t>H 33</t>
        </is>
      </c>
      <c r="B1248" s="5" t="n">
        <v>83</v>
      </c>
      <c r="C1248" s="72" t="inlineStr">
        <is>
          <t>X</t>
        </is>
      </c>
      <c r="D1248" s="5" t="n">
        <v>370</v>
      </c>
      <c r="E1248" s="73">
        <f>B1248*D1248/10000</f>
        <v/>
      </c>
      <c r="F1248" s="74">
        <f>B1248/30.48</f>
        <v/>
      </c>
      <c r="G1248" s="74">
        <f>D1248/30.48</f>
        <v/>
      </c>
      <c r="H1248" s="69" t="inlineStr">
        <is>
          <t>HASAN</t>
        </is>
      </c>
      <c r="I1248" s="626" t="inlineStr">
        <is>
          <t>Veysel Amca</t>
        </is>
      </c>
      <c r="J1248" s="557" t="n"/>
    </row>
    <row r="1249" ht="17.25" customFormat="1" customHeight="1" s="1">
      <c r="A1249" s="8" t="inlineStr">
        <is>
          <t>A 30</t>
        </is>
      </c>
      <c r="B1249" s="5" t="n">
        <v>53</v>
      </c>
      <c r="C1249" s="6" t="inlineStr">
        <is>
          <t>X</t>
        </is>
      </c>
      <c r="D1249" s="5" t="n">
        <v>133</v>
      </c>
      <c r="E1249" s="2">
        <f>B1249*D1249/10000</f>
        <v/>
      </c>
      <c r="F1249" s="3">
        <f>B1249/30.48</f>
        <v/>
      </c>
      <c r="G1249" s="3">
        <f>D1249/30.48</f>
        <v/>
      </c>
      <c r="H1249" s="553" t="inlineStr">
        <is>
          <t>MCHD-PAC</t>
        </is>
      </c>
      <c r="I1249" s="570" t="inlineStr">
        <is>
          <t>HB Services HW - NOEL</t>
        </is>
      </c>
      <c r="J1249" s="557" t="n"/>
    </row>
    <row r="1250" ht="17.25" customFormat="1" customHeight="1" s="1">
      <c r="A1250" s="8" t="inlineStr">
        <is>
          <t>Y 904</t>
        </is>
      </c>
      <c r="B1250" s="5" t="n">
        <v>186</v>
      </c>
      <c r="C1250" s="6" t="inlineStr">
        <is>
          <t>X</t>
        </is>
      </c>
      <c r="D1250" s="5" t="n">
        <v>76</v>
      </c>
      <c r="E1250" s="2">
        <f>B1250*D1250/10000</f>
        <v/>
      </c>
      <c r="F1250" s="3">
        <f>B1250/30.48</f>
        <v/>
      </c>
      <c r="G1250" s="3">
        <f>D1250/30.48</f>
        <v/>
      </c>
      <c r="H1250" s="69" t="inlineStr">
        <is>
          <t>MCHD-TR</t>
        </is>
      </c>
      <c r="I1250" s="534" t="inlineStr">
        <is>
          <t>Jess Taylor</t>
        </is>
      </c>
      <c r="J1250" s="545" t="inlineStr">
        <is>
          <t>US-203 858 5153</t>
        </is>
      </c>
    </row>
    <row r="1251" ht="17.25" customFormat="1" customHeight="1" s="1">
      <c r="A1251" s="8" t="n">
        <v>1388</v>
      </c>
      <c r="B1251" s="5" t="n">
        <v>73</v>
      </c>
      <c r="C1251" s="72" t="inlineStr">
        <is>
          <t>X</t>
        </is>
      </c>
      <c r="D1251" s="5" t="n">
        <v>127</v>
      </c>
      <c r="E1251" s="73">
        <f>B1251*D1251/10000</f>
        <v/>
      </c>
      <c r="F1251" s="74">
        <f>B1251/30.48</f>
        <v/>
      </c>
      <c r="G1251" s="74">
        <f>D1251/30.48</f>
        <v/>
      </c>
      <c r="H1251" s="69" t="inlineStr">
        <is>
          <t>MCHD-TR</t>
        </is>
      </c>
      <c r="I1251" s="570" t="inlineStr">
        <is>
          <t>Kimberly Murray</t>
        </is>
      </c>
      <c r="J1251" s="557" t="inlineStr">
        <is>
          <t>US-508 428 8014</t>
        </is>
      </c>
    </row>
    <row r="1252" ht="17.25" customFormat="1" customHeight="1" s="1">
      <c r="A1252" s="8" t="inlineStr">
        <is>
          <t>C 597</t>
        </is>
      </c>
      <c r="B1252" s="5" t="n">
        <v>81</v>
      </c>
      <c r="C1252" s="6" t="inlineStr">
        <is>
          <t>X</t>
        </is>
      </c>
      <c r="D1252" s="5" t="n">
        <v>159</v>
      </c>
      <c r="E1252" s="2">
        <f>B1252*D1252/10000</f>
        <v/>
      </c>
      <c r="F1252" s="3">
        <f>B1252/30.48</f>
        <v/>
      </c>
      <c r="G1252" s="3">
        <f>D1252/30.48</f>
        <v/>
      </c>
      <c r="H1252" s="69" t="inlineStr">
        <is>
          <t>MCHD-TR</t>
        </is>
      </c>
      <c r="I1252" s="570" t="inlineStr">
        <is>
          <t>Kendall Snellgrove</t>
        </is>
      </c>
      <c r="J1252" s="557" t="n"/>
    </row>
    <row r="1253" ht="17.25" customFormat="1" customHeight="1" s="1">
      <c r="A1253" s="8" t="n">
        <v>1728</v>
      </c>
      <c r="B1253" s="5" t="n">
        <v>280</v>
      </c>
      <c r="C1253" s="72" t="inlineStr">
        <is>
          <t>X</t>
        </is>
      </c>
      <c r="D1253" s="5" t="n">
        <v>368</v>
      </c>
      <c r="E1253" s="73">
        <f>B1253*D1253/10000</f>
        <v/>
      </c>
      <c r="F1253" s="74">
        <f>B1253/30.48</f>
        <v/>
      </c>
      <c r="G1253" s="74">
        <f>D1253/30.48</f>
        <v/>
      </c>
      <c r="H1253" s="553" t="inlineStr">
        <is>
          <t>MCHD-PAC</t>
        </is>
      </c>
      <c r="I1253" s="570" t="inlineStr">
        <is>
          <t>Linsey Lewis</t>
        </is>
      </c>
      <c r="J1253" s="557" t="n"/>
    </row>
    <row r="1254" ht="17.25" customHeight="1" s="305">
      <c r="A1254" s="8" t="inlineStr">
        <is>
          <t>D 185</t>
        </is>
      </c>
      <c r="B1254" s="5" t="n">
        <v>52</v>
      </c>
      <c r="C1254" s="72" t="inlineStr">
        <is>
          <t>X</t>
        </is>
      </c>
      <c r="D1254" s="5" t="n">
        <v>100</v>
      </c>
      <c r="E1254" s="73">
        <f>B1254*D1254/10000</f>
        <v/>
      </c>
      <c r="F1254" s="74">
        <f>B1254/30.48</f>
        <v/>
      </c>
      <c r="G1254" s="74">
        <f>D1254/30.48</f>
        <v/>
      </c>
      <c r="H1254" s="16" t="inlineStr">
        <is>
          <t>MCHD-VR</t>
        </is>
      </c>
      <c r="I1254" s="534" t="inlineStr">
        <is>
          <t>Brenna Pease</t>
        </is>
      </c>
      <c r="J1254" s="545" t="n"/>
    </row>
    <row r="1255" ht="17.25" customHeight="1" s="305">
      <c r="A1255" s="8" t="inlineStr">
        <is>
          <t>D 241</t>
        </is>
      </c>
      <c r="B1255" s="5" t="n">
        <v>55</v>
      </c>
      <c r="C1255" s="72" t="inlineStr">
        <is>
          <t>X</t>
        </is>
      </c>
      <c r="D1255" s="5" t="n">
        <v>107</v>
      </c>
      <c r="E1255" s="73">
        <f>B1255*D1255/10000</f>
        <v/>
      </c>
      <c r="F1255" s="74">
        <f>B1255/30.48</f>
        <v/>
      </c>
      <c r="G1255" s="74">
        <f>D1255/30.48</f>
        <v/>
      </c>
      <c r="H1255" s="16" t="inlineStr">
        <is>
          <t>MCHD-OLD</t>
        </is>
      </c>
      <c r="I1255" s="570" t="inlineStr">
        <is>
          <t>Long Transfer ATTN HULL</t>
        </is>
      </c>
      <c r="J1255" s="557" t="n"/>
    </row>
    <row r="1256" ht="17.25" customFormat="1" customHeight="1" s="1">
      <c r="A1256" s="8" t="n">
        <v>1087</v>
      </c>
      <c r="B1256" s="5" t="n">
        <v>71</v>
      </c>
      <c r="C1256" s="72" t="inlineStr">
        <is>
          <t>X</t>
        </is>
      </c>
      <c r="D1256" s="5" t="n">
        <v>129</v>
      </c>
      <c r="E1256" s="73">
        <f>B1256*D1256/10000</f>
        <v/>
      </c>
      <c r="F1256" s="74">
        <f>B1256/30.48</f>
        <v/>
      </c>
      <c r="G1256" s="74">
        <f>D1256/30.48</f>
        <v/>
      </c>
      <c r="H1256" s="694" t="n"/>
      <c r="I1256" s="694" t="n"/>
      <c r="J1256" s="694" t="n"/>
    </row>
    <row r="1257" ht="17.25" customHeight="1" s="305">
      <c r="A1257" s="8" t="inlineStr">
        <is>
          <t>D 224</t>
        </is>
      </c>
      <c r="B1257" s="5" t="n">
        <v>51</v>
      </c>
      <c r="C1257" s="72" t="inlineStr">
        <is>
          <t>X</t>
        </is>
      </c>
      <c r="D1257" s="5" t="n">
        <v>87</v>
      </c>
      <c r="E1257" s="73">
        <f>B1257*D1257/10000</f>
        <v/>
      </c>
      <c r="F1257" s="74">
        <f>B1257/30.48</f>
        <v/>
      </c>
      <c r="G1257" s="74">
        <f>D1257/30.48</f>
        <v/>
      </c>
      <c r="H1257" s="16" t="inlineStr">
        <is>
          <t>MCHD-OLD</t>
        </is>
      </c>
      <c r="I1257" s="534" t="inlineStr">
        <is>
          <t>Kendall Namin</t>
        </is>
      </c>
      <c r="J1257" s="545" t="n"/>
    </row>
    <row r="1258" ht="17.25" customHeight="1" s="305">
      <c r="A1258" s="8" t="inlineStr">
        <is>
          <t>D 223</t>
        </is>
      </c>
      <c r="B1258" s="5" t="n">
        <v>50</v>
      </c>
      <c r="C1258" s="72" t="inlineStr">
        <is>
          <t>X</t>
        </is>
      </c>
      <c r="D1258" s="5" t="n">
        <v>84</v>
      </c>
      <c r="E1258" s="73">
        <f>B1258*D1258/10000</f>
        <v/>
      </c>
      <c r="F1258" s="74">
        <f>B1258/30.48</f>
        <v/>
      </c>
      <c r="G1258" s="74">
        <f>D1258/30.48</f>
        <v/>
      </c>
      <c r="H1258" s="16" t="inlineStr">
        <is>
          <t>MCHD-VR</t>
        </is>
      </c>
      <c r="I1258" s="570" t="inlineStr">
        <is>
          <t>Jessica Baker</t>
        </is>
      </c>
      <c r="J1258" s="557" t="n"/>
    </row>
    <row r="1259">
      <c r="A1259" s="536" t="inlineStr">
        <is>
          <t>-2023 KASIM-60</t>
        </is>
      </c>
      <c r="H1259" s="104" t="inlineStr">
        <is>
          <t>SATAN-SİTE</t>
        </is>
      </c>
      <c r="I1259" s="98" t="inlineStr">
        <is>
          <t>MÜŞTERİ ADI</t>
        </is>
      </c>
      <c r="J1259" s="63" t="inlineStr">
        <is>
          <t>MÜŞTERİ İLETİŞİM &amp; ÜLKE</t>
        </is>
      </c>
    </row>
    <row r="1260" ht="17.25" customFormat="1" customHeight="1" s="1">
      <c r="A1260" s="8" t="n">
        <v>1489</v>
      </c>
      <c r="B1260" s="5" t="n">
        <v>75</v>
      </c>
      <c r="C1260" s="72" t="inlineStr">
        <is>
          <t>X</t>
        </is>
      </c>
      <c r="D1260" s="5" t="n">
        <v>287</v>
      </c>
      <c r="E1260" s="73">
        <f>B1260*D1260/10000</f>
        <v/>
      </c>
      <c r="F1260" s="74">
        <f>B1260/30.48</f>
        <v/>
      </c>
      <c r="G1260" s="74">
        <f>D1260/30.48</f>
        <v/>
      </c>
      <c r="H1260" s="66" t="inlineStr">
        <is>
          <t>MCHD-TR</t>
        </is>
      </c>
      <c r="I1260" s="570" t="inlineStr">
        <is>
          <t>Alyssa McCamey</t>
        </is>
      </c>
      <c r="J1260" s="557" t="n"/>
    </row>
    <row r="1261" ht="17.25" customFormat="1" customHeight="1" s="1">
      <c r="A1261" s="8" t="n">
        <v>1291</v>
      </c>
      <c r="B1261" s="5" t="n">
        <v>91</v>
      </c>
      <c r="C1261" s="72" t="inlineStr">
        <is>
          <t>X</t>
        </is>
      </c>
      <c r="D1261" s="5" t="n">
        <v>228</v>
      </c>
      <c r="E1261" s="73">
        <f>B1261*D1261/10000</f>
        <v/>
      </c>
      <c r="F1261" s="74">
        <f>B1261/30.48</f>
        <v/>
      </c>
      <c r="G1261" s="74">
        <f>D1261/30.48</f>
        <v/>
      </c>
      <c r="H1261" s="694" t="n"/>
      <c r="I1261" s="694" t="n"/>
      <c r="J1261" s="694" t="n"/>
    </row>
    <row r="1262" ht="17.25" customFormat="1" customHeight="1" s="1">
      <c r="A1262" s="8" t="inlineStr">
        <is>
          <t>C 430</t>
        </is>
      </c>
      <c r="B1262" s="5" t="n">
        <v>145</v>
      </c>
      <c r="C1262" s="6" t="inlineStr">
        <is>
          <t>X</t>
        </is>
      </c>
      <c r="D1262" s="5" t="n">
        <v>72</v>
      </c>
      <c r="E1262" s="2">
        <f>B1262*D1262/10000</f>
        <v/>
      </c>
      <c r="F1262" s="3">
        <f>B1262/30.48</f>
        <v/>
      </c>
      <c r="G1262" s="3">
        <f>D1262/30.48</f>
        <v/>
      </c>
      <c r="H1262" s="69" t="inlineStr">
        <is>
          <t>MCHD-TR</t>
        </is>
      </c>
      <c r="I1262" s="570" t="inlineStr">
        <is>
          <t>Amanda Wyatt</t>
        </is>
      </c>
      <c r="J1262" s="557" t="inlineStr">
        <is>
          <t>US-206 250 7926</t>
        </is>
      </c>
    </row>
    <row r="1263" ht="17.25" customFormat="1" customHeight="1" s="1">
      <c r="A1263" s="8" t="inlineStr">
        <is>
          <t>A 139</t>
        </is>
      </c>
      <c r="B1263" s="5" t="n">
        <v>90</v>
      </c>
      <c r="C1263" s="6" t="inlineStr">
        <is>
          <t>X</t>
        </is>
      </c>
      <c r="D1263" s="5" t="n">
        <v>329</v>
      </c>
      <c r="E1263" s="2">
        <f>B1263*D1263/10000</f>
        <v/>
      </c>
      <c r="F1263" s="3">
        <f>B1263/30.48</f>
        <v/>
      </c>
      <c r="G1263" s="3">
        <f>D1263/30.48</f>
        <v/>
      </c>
      <c r="H1263" s="553" t="inlineStr">
        <is>
          <t>MCHD-PAC</t>
        </is>
      </c>
      <c r="I1263" s="534" t="inlineStr">
        <is>
          <t>Claire Sperry</t>
        </is>
      </c>
      <c r="J1263" s="545" t="n"/>
    </row>
    <row r="1264" ht="17.25" customHeight="1" s="305">
      <c r="A1264" s="8" t="inlineStr">
        <is>
          <t>D 251</t>
        </is>
      </c>
      <c r="B1264" s="5" t="n">
        <v>53</v>
      </c>
      <c r="C1264" s="72" t="inlineStr">
        <is>
          <t>X</t>
        </is>
      </c>
      <c r="D1264" s="5" t="n">
        <v>90</v>
      </c>
      <c r="E1264" s="73">
        <f>B1264*D1264/10000</f>
        <v/>
      </c>
      <c r="F1264" s="74">
        <f>B1264/30.48</f>
        <v/>
      </c>
      <c r="G1264" s="74">
        <f>D1264/30.48</f>
        <v/>
      </c>
      <c r="H1264" s="16" t="inlineStr">
        <is>
          <t>MCHD-VR</t>
        </is>
      </c>
      <c r="I1264" s="570" t="inlineStr">
        <is>
          <t>LINDSAY MENS CRAIG</t>
        </is>
      </c>
      <c r="J1264" s="557" t="n"/>
    </row>
    <row r="1265" ht="17.25" customFormat="1" customHeight="1" s="1">
      <c r="A1265" s="8" t="inlineStr">
        <is>
          <t>C 273</t>
        </is>
      </c>
      <c r="B1265" s="5" t="n">
        <v>160</v>
      </c>
      <c r="C1265" s="6" t="inlineStr">
        <is>
          <t>X</t>
        </is>
      </c>
      <c r="D1265" s="5" t="n">
        <v>256</v>
      </c>
      <c r="E1265" s="2">
        <f>B1265*D1265/10000</f>
        <v/>
      </c>
      <c r="F1265" s="3">
        <f>B1265/30.48</f>
        <v/>
      </c>
      <c r="G1265" s="3">
        <f>D1265/30.48</f>
        <v/>
      </c>
      <c r="H1265" s="69" t="inlineStr">
        <is>
          <t>MCHD-TR</t>
        </is>
      </c>
      <c r="I1265" s="570" t="inlineStr">
        <is>
          <t>Javier Pena Guerra</t>
        </is>
      </c>
      <c r="J1265" s="557" t="inlineStr">
        <is>
          <t>US-305 801 1380</t>
        </is>
      </c>
    </row>
    <row r="1266" ht="17.25" customFormat="1" customHeight="1" s="1">
      <c r="A1266" s="8" t="n">
        <v>1419</v>
      </c>
      <c r="B1266" s="5" t="n">
        <v>78</v>
      </c>
      <c r="C1266" s="72" t="inlineStr">
        <is>
          <t>X</t>
        </is>
      </c>
      <c r="D1266" s="5" t="n">
        <v>378</v>
      </c>
      <c r="E1266" s="73">
        <f>B1266*D1266/10000</f>
        <v/>
      </c>
      <c r="F1266" s="74">
        <f>B1266/30.48</f>
        <v/>
      </c>
      <c r="G1266" s="74">
        <f>D1266/30.48</f>
        <v/>
      </c>
      <c r="H1266" s="69" t="inlineStr">
        <is>
          <t>MCHD-TR</t>
        </is>
      </c>
      <c r="I1266" s="570" t="inlineStr">
        <is>
          <t>Lauren Simpson</t>
        </is>
      </c>
      <c r="J1266" s="557" t="n"/>
    </row>
    <row r="1267" ht="17.25" customHeight="1" s="305">
      <c r="A1267" s="8" t="inlineStr">
        <is>
          <t>KN 88</t>
        </is>
      </c>
      <c r="B1267" s="5" t="n">
        <v>226</v>
      </c>
      <c r="C1267" s="72" t="inlineStr">
        <is>
          <t>X</t>
        </is>
      </c>
      <c r="D1267" s="5" t="n">
        <v>410</v>
      </c>
      <c r="E1267" s="73">
        <f>B1267*D1267/10000</f>
        <v/>
      </c>
      <c r="F1267" s="74">
        <f>B1267/30.48</f>
        <v/>
      </c>
      <c r="G1267" s="74">
        <f>D1267/30.48</f>
        <v/>
      </c>
      <c r="H1267" s="553" t="inlineStr">
        <is>
          <t>MCHD-PAC</t>
        </is>
      </c>
      <c r="I1267" s="496" t="inlineStr">
        <is>
          <t>Kathleen Powers</t>
        </is>
      </c>
      <c r="J1267" s="96" t="inlineStr">
        <is>
          <t>US-805 907 1222</t>
        </is>
      </c>
    </row>
    <row r="1268" ht="17.25" customFormat="1" customHeight="1" s="1">
      <c r="A1268" s="8" t="n">
        <v>368</v>
      </c>
      <c r="B1268" s="5" t="n">
        <v>185</v>
      </c>
      <c r="C1268" s="6" t="inlineStr">
        <is>
          <t>X</t>
        </is>
      </c>
      <c r="D1268" s="5" t="n">
        <v>104</v>
      </c>
      <c r="E1268" s="2">
        <f>B1268*D1268/10000</f>
        <v/>
      </c>
      <c r="F1268" s="3">
        <f>B1268/30.48</f>
        <v/>
      </c>
      <c r="G1268" s="3">
        <f>D1268/30.48</f>
        <v/>
      </c>
      <c r="H1268" s="69" t="inlineStr">
        <is>
          <t>MCHD-TR</t>
        </is>
      </c>
      <c r="I1268" s="570" t="inlineStr">
        <is>
          <t>Aimee Gordon</t>
        </is>
      </c>
      <c r="J1268" s="557" t="inlineStr">
        <is>
          <t>US-917 755 2156</t>
        </is>
      </c>
    </row>
    <row r="1269" ht="17.25" customFormat="1" customHeight="1" s="1">
      <c r="A1269" s="8" t="inlineStr">
        <is>
          <t>C 725</t>
        </is>
      </c>
      <c r="B1269" s="5" t="n">
        <v>112</v>
      </c>
      <c r="C1269" s="6" t="inlineStr">
        <is>
          <t>X</t>
        </is>
      </c>
      <c r="D1269" s="5" t="n">
        <v>188</v>
      </c>
      <c r="E1269" s="2">
        <f>B1269*D1269/10000</f>
        <v/>
      </c>
      <c r="F1269" s="3">
        <f>B1269/30.48</f>
        <v/>
      </c>
      <c r="G1269" s="3">
        <f>D1269/30.48</f>
        <v/>
      </c>
      <c r="H1269" s="16" t="inlineStr">
        <is>
          <t>MCHD-VR</t>
        </is>
      </c>
      <c r="I1269" s="570" t="inlineStr">
        <is>
          <t>Lindsay Herda</t>
        </is>
      </c>
      <c r="J1269" s="557" t="n"/>
    </row>
    <row r="1270" ht="17.25" customFormat="1" customHeight="1" s="1">
      <c r="A1270" s="8" t="inlineStr">
        <is>
          <t>A 189</t>
        </is>
      </c>
      <c r="B1270" s="5" t="n">
        <v>304</v>
      </c>
      <c r="C1270" s="6" t="inlineStr">
        <is>
          <t>X</t>
        </is>
      </c>
      <c r="D1270" s="5" t="n">
        <v>383</v>
      </c>
      <c r="E1270" s="2">
        <f>B1270*D1270/10000</f>
        <v/>
      </c>
      <c r="F1270" s="3">
        <f>B1270/30.48</f>
        <v/>
      </c>
      <c r="G1270" s="3">
        <f>D1270/30.48</f>
        <v/>
      </c>
      <c r="H1270" s="553" t="inlineStr">
        <is>
          <t>MCHD-PAC</t>
        </is>
      </c>
      <c r="I1270" s="534" t="inlineStr">
        <is>
          <t>HOUSE SANJAY</t>
        </is>
      </c>
      <c r="J1270" s="545" t="inlineStr">
        <is>
          <t>CA-514 824 2433</t>
        </is>
      </c>
    </row>
    <row r="1271" ht="17.25" customFormat="1" customHeight="1" s="1">
      <c r="A1271" s="8" t="inlineStr">
        <is>
          <t>C 719</t>
        </is>
      </c>
      <c r="B1271" s="5" t="n">
        <v>122</v>
      </c>
      <c r="C1271" s="6" t="inlineStr">
        <is>
          <t>X</t>
        </is>
      </c>
      <c r="D1271" s="5" t="n">
        <v>182</v>
      </c>
      <c r="E1271" s="2">
        <f>B1271*D1271/10000</f>
        <v/>
      </c>
      <c r="F1271" s="3">
        <f>B1271/30.48</f>
        <v/>
      </c>
      <c r="G1271" s="3">
        <f>D1271/30.48</f>
        <v/>
      </c>
      <c r="H1271" s="69" t="inlineStr">
        <is>
          <t>MCHD-TR</t>
        </is>
      </c>
      <c r="I1271" s="570" t="inlineStr">
        <is>
          <t>Mackenzie Dyer</t>
        </is>
      </c>
      <c r="J1271" s="557" t="n"/>
    </row>
    <row r="1272" ht="17.25" customFormat="1" customHeight="1" s="1">
      <c r="A1272" s="8" t="inlineStr">
        <is>
          <t>H 143</t>
        </is>
      </c>
      <c r="B1272" s="5" t="n">
        <v>261</v>
      </c>
      <c r="C1272" s="6" t="inlineStr">
        <is>
          <t>X</t>
        </is>
      </c>
      <c r="D1272" s="5" t="n">
        <v>78</v>
      </c>
      <c r="E1272" s="2">
        <f>B1272*D1272/10000</f>
        <v/>
      </c>
      <c r="F1272" s="3">
        <f>B1272/30.48</f>
        <v/>
      </c>
      <c r="G1272" s="3">
        <f>D1272/30.48</f>
        <v/>
      </c>
      <c r="H1272" s="69" t="inlineStr">
        <is>
          <t>MCHD-TR</t>
        </is>
      </c>
      <c r="I1272" s="570" t="inlineStr">
        <is>
          <t>Jody Colombie</t>
        </is>
      </c>
      <c r="J1272" s="557" t="n"/>
    </row>
    <row r="1273" ht="17.25" customFormat="1" customHeight="1" s="1">
      <c r="A1273" s="8" t="inlineStr">
        <is>
          <t>A 217</t>
        </is>
      </c>
      <c r="B1273" s="5" t="n">
        <v>127</v>
      </c>
      <c r="C1273" s="72" t="inlineStr">
        <is>
          <t>X</t>
        </is>
      </c>
      <c r="D1273" s="5" t="n">
        <v>185</v>
      </c>
      <c r="E1273" s="73">
        <f>B1273*D1273/10000</f>
        <v/>
      </c>
      <c r="F1273" s="74">
        <f>B1273/30.48</f>
        <v/>
      </c>
      <c r="G1273" s="74">
        <f>D1273/30.48</f>
        <v/>
      </c>
      <c r="H1273" s="69" t="inlineStr">
        <is>
          <t>MCHD-TR</t>
        </is>
      </c>
      <c r="I1273" s="570" t="inlineStr">
        <is>
          <t>Linnea Geger</t>
        </is>
      </c>
      <c r="J1273" s="557" t="n"/>
    </row>
    <row r="1274" ht="17.25" customFormat="1" customHeight="1" s="1">
      <c r="A1274" s="8" t="n">
        <v>1064</v>
      </c>
      <c r="B1274" s="5" t="n">
        <v>75</v>
      </c>
      <c r="C1274" s="72" t="inlineStr">
        <is>
          <t>X</t>
        </is>
      </c>
      <c r="D1274" s="5" t="n">
        <v>237</v>
      </c>
      <c r="E1274" s="73">
        <f>B1274*D1274/10000</f>
        <v/>
      </c>
      <c r="F1274" s="74">
        <f>B1274/30.48</f>
        <v/>
      </c>
      <c r="G1274" s="74">
        <f>D1274/30.48</f>
        <v/>
      </c>
      <c r="H1274" s="69" t="inlineStr">
        <is>
          <t>MCHD-TR</t>
        </is>
      </c>
      <c r="I1274" s="534" t="inlineStr">
        <is>
          <t>Rubell Residence/MFD</t>
        </is>
      </c>
      <c r="J1274" s="545" t="n"/>
    </row>
    <row r="1275" ht="17.25" customFormat="1" customHeight="1" s="1">
      <c r="A1275" s="8" t="inlineStr">
        <is>
          <t>C 267</t>
        </is>
      </c>
      <c r="B1275" s="5" t="n">
        <v>240</v>
      </c>
      <c r="C1275" s="6" t="inlineStr">
        <is>
          <t>X</t>
        </is>
      </c>
      <c r="D1275" s="5" t="n">
        <v>338</v>
      </c>
      <c r="E1275" s="2">
        <f>B1275*D1275/10000</f>
        <v/>
      </c>
      <c r="F1275" s="3">
        <f>B1275/30.48</f>
        <v/>
      </c>
      <c r="G1275" s="3">
        <f>D1275/30.48</f>
        <v/>
      </c>
      <c r="H1275" s="69" t="inlineStr">
        <is>
          <t>MCHD-TR</t>
        </is>
      </c>
      <c r="I1275" s="570" t="inlineStr">
        <is>
          <t>Veronica Zorrilla</t>
        </is>
      </c>
      <c r="J1275" s="557" t="inlineStr">
        <is>
          <t>US-617 596 7017</t>
        </is>
      </c>
    </row>
    <row r="1276" ht="17.25" customFormat="1" customHeight="1" s="1">
      <c r="A1276" s="8" t="inlineStr">
        <is>
          <t>C 973</t>
        </is>
      </c>
      <c r="B1276" s="5" t="n">
        <v>84</v>
      </c>
      <c r="C1276" s="6" t="inlineStr">
        <is>
          <t>X</t>
        </is>
      </c>
      <c r="D1276" s="5" t="n">
        <v>292</v>
      </c>
      <c r="E1276" s="2">
        <f>B1276*D1276/10000</f>
        <v/>
      </c>
      <c r="F1276" s="3">
        <f>B1276/30.48</f>
        <v/>
      </c>
      <c r="G1276" s="3">
        <f>D1276/30.48</f>
        <v/>
      </c>
      <c r="H1276" s="69" t="inlineStr">
        <is>
          <t>MCHD-TR</t>
        </is>
      </c>
      <c r="I1276" s="570" t="inlineStr">
        <is>
          <t>WILL OUD</t>
        </is>
      </c>
      <c r="J1276" s="557" t="inlineStr">
        <is>
          <t>CA-902 365 3077</t>
        </is>
      </c>
    </row>
    <row r="1277" ht="17.25" customFormat="1" customHeight="1" s="1">
      <c r="A1277" s="8" t="n">
        <v>1667</v>
      </c>
      <c r="B1277" s="5" t="n">
        <v>226</v>
      </c>
      <c r="C1277" s="72" t="inlineStr">
        <is>
          <t>X</t>
        </is>
      </c>
      <c r="D1277" s="5" t="n">
        <v>96</v>
      </c>
      <c r="E1277" s="73">
        <f>B1277*D1277/10000</f>
        <v/>
      </c>
      <c r="F1277" s="74">
        <f>B1277/30.48</f>
        <v/>
      </c>
      <c r="G1277" s="74">
        <f>D1277/30.48</f>
        <v/>
      </c>
      <c r="H1277" s="69" t="inlineStr">
        <is>
          <t>MCHD-TR</t>
        </is>
      </c>
      <c r="I1277" s="570" t="inlineStr">
        <is>
          <t>Caitlin O'Keeffe</t>
        </is>
      </c>
      <c r="J1277" s="557" t="inlineStr">
        <is>
          <t>US-973 886 8059</t>
        </is>
      </c>
    </row>
    <row r="1278" ht="17.25" customHeight="1" s="305">
      <c r="A1278" s="8" t="inlineStr">
        <is>
          <t>D 92</t>
        </is>
      </c>
      <c r="B1278" s="5" t="n">
        <v>46</v>
      </c>
      <c r="C1278" s="72" t="inlineStr">
        <is>
          <t>X</t>
        </is>
      </c>
      <c r="D1278" s="5" t="n">
        <v>100</v>
      </c>
      <c r="E1278" s="73">
        <f>B1278*D1278/10000</f>
        <v/>
      </c>
      <c r="F1278" s="74">
        <f>B1278/30.48</f>
        <v/>
      </c>
      <c r="G1278" s="74">
        <f>D1278/30.48</f>
        <v/>
      </c>
      <c r="H1278" s="16" t="inlineStr">
        <is>
          <t>MCHD-VR</t>
        </is>
      </c>
      <c r="I1278" s="570" t="inlineStr">
        <is>
          <t>Sarah Clark</t>
        </is>
      </c>
      <c r="J1278" s="557" t="n"/>
    </row>
    <row r="1279" ht="17.25" customFormat="1" customHeight="1" s="1">
      <c r="A1279" s="8" t="n">
        <v>1327</v>
      </c>
      <c r="B1279" s="5" t="n">
        <v>133</v>
      </c>
      <c r="C1279" s="72" t="inlineStr">
        <is>
          <t>X</t>
        </is>
      </c>
      <c r="D1279" s="5" t="n">
        <v>294</v>
      </c>
      <c r="E1279" s="73">
        <f>B1279*D1279/10000</f>
        <v/>
      </c>
      <c r="F1279" s="74">
        <f>B1279/30.48</f>
        <v/>
      </c>
      <c r="G1279" s="74">
        <f>D1279/30.48</f>
        <v/>
      </c>
      <c r="H1279" s="16" t="inlineStr">
        <is>
          <t>MCHD-RK</t>
        </is>
      </c>
      <c r="I1279" s="534" t="inlineStr">
        <is>
          <t>Whitney Zipser</t>
        </is>
      </c>
      <c r="J1279" s="545" t="inlineStr">
        <is>
          <t>US-207 317 1021</t>
        </is>
      </c>
    </row>
    <row r="1280" ht="17.25" customFormat="1" customHeight="1" s="1">
      <c r="A1280" s="8" t="inlineStr">
        <is>
          <t>C 904</t>
        </is>
      </c>
      <c r="B1280" s="5" t="n">
        <v>96</v>
      </c>
      <c r="C1280" s="6" t="inlineStr">
        <is>
          <t>X</t>
        </is>
      </c>
      <c r="D1280" s="5" t="n">
        <v>167</v>
      </c>
      <c r="E1280" s="2">
        <f>B1280*D1280/10000</f>
        <v/>
      </c>
      <c r="F1280" s="3">
        <f>B1280/30.48</f>
        <v/>
      </c>
      <c r="G1280" s="3">
        <f>D1280/30.48</f>
        <v/>
      </c>
      <c r="H1280" s="694" t="n"/>
      <c r="I1280" s="693" t="n"/>
      <c r="J1280" s="693" t="n"/>
    </row>
    <row r="1281" ht="17.25" customFormat="1" customHeight="1" s="1">
      <c r="A1281" s="8" t="inlineStr">
        <is>
          <t>Y 330</t>
        </is>
      </c>
      <c r="B1281" s="5" t="n">
        <v>247</v>
      </c>
      <c r="C1281" s="6" t="inlineStr">
        <is>
          <t>X</t>
        </is>
      </c>
      <c r="D1281" s="5" t="n">
        <v>161</v>
      </c>
      <c r="E1281" s="2">
        <f>B1281*D1281/10000</f>
        <v/>
      </c>
      <c r="F1281" s="3">
        <f>B1281/30.48</f>
        <v/>
      </c>
      <c r="G1281" s="3">
        <f>D1281/30.48</f>
        <v/>
      </c>
      <c r="H1281" s="69" t="inlineStr">
        <is>
          <t>MCHD-TR</t>
        </is>
      </c>
      <c r="I1281" s="570" t="inlineStr">
        <is>
          <t>Parada Ornelas</t>
        </is>
      </c>
      <c r="J1281" s="557" t="n"/>
    </row>
    <row r="1282" ht="17.25" customHeight="1" s="305">
      <c r="A1282" s="8" t="inlineStr">
        <is>
          <t>D 123</t>
        </is>
      </c>
      <c r="B1282" s="5" t="n">
        <v>52</v>
      </c>
      <c r="C1282" s="72" t="inlineStr">
        <is>
          <t>X</t>
        </is>
      </c>
      <c r="D1282" s="5" t="n">
        <v>92</v>
      </c>
      <c r="E1282" s="73">
        <f>B1282*D1282/10000</f>
        <v/>
      </c>
      <c r="F1282" s="74">
        <f>B1282/30.48</f>
        <v/>
      </c>
      <c r="G1282" s="74">
        <f>D1282/30.48</f>
        <v/>
      </c>
      <c r="H1282" s="16" t="inlineStr">
        <is>
          <t>MCHD-OLD</t>
        </is>
      </c>
      <c r="I1282" s="534" t="inlineStr">
        <is>
          <t>Aubrey Slye</t>
        </is>
      </c>
      <c r="J1282" s="545" t="n"/>
    </row>
    <row r="1283" ht="17.25" customFormat="1" customHeight="1" s="1">
      <c r="A1283" s="8" t="n">
        <v>159</v>
      </c>
      <c r="B1283" s="5" t="n">
        <v>89</v>
      </c>
      <c r="C1283" s="6" t="inlineStr">
        <is>
          <t>X</t>
        </is>
      </c>
      <c r="D1283" s="5" t="n">
        <v>45</v>
      </c>
      <c r="E1283" s="2">
        <f>B1283*D1283/10000</f>
        <v/>
      </c>
      <c r="F1283" s="3">
        <f>B1283/30.48</f>
        <v/>
      </c>
      <c r="G1283" s="3">
        <f>D1283/30.48</f>
        <v/>
      </c>
      <c r="H1283" s="16" t="inlineStr">
        <is>
          <t>MCHD-OLD</t>
        </is>
      </c>
      <c r="I1283" s="570" t="inlineStr">
        <is>
          <t>Leslie Welch</t>
        </is>
      </c>
      <c r="J1283" s="557" t="n"/>
    </row>
    <row r="1284" ht="17.25" customHeight="1" s="305">
      <c r="A1284" s="8" t="inlineStr">
        <is>
          <t>D 116</t>
        </is>
      </c>
      <c r="B1284" s="5" t="n">
        <v>43</v>
      </c>
      <c r="C1284" s="72" t="inlineStr">
        <is>
          <t>X</t>
        </is>
      </c>
      <c r="D1284" s="5" t="n">
        <v>100</v>
      </c>
      <c r="E1284" s="73">
        <f>B1284*D1284/10000</f>
        <v/>
      </c>
      <c r="F1284" s="74">
        <f>B1284/30.48</f>
        <v/>
      </c>
      <c r="G1284" s="74">
        <f>D1284/30.48</f>
        <v/>
      </c>
      <c r="H1284" s="16" t="inlineStr">
        <is>
          <t>MCHD-OLD</t>
        </is>
      </c>
      <c r="I1284" s="534" t="inlineStr">
        <is>
          <t>Kathryn Brashear</t>
        </is>
      </c>
      <c r="J1284" s="545" t="n"/>
    </row>
    <row r="1285" ht="17.25" customHeight="1" s="305">
      <c r="A1285" s="8" t="inlineStr">
        <is>
          <t>D 167</t>
        </is>
      </c>
      <c r="B1285" s="5" t="n">
        <v>51</v>
      </c>
      <c r="C1285" s="72" t="inlineStr">
        <is>
          <t>X</t>
        </is>
      </c>
      <c r="D1285" s="5" t="n">
        <v>104</v>
      </c>
      <c r="E1285" s="73">
        <f>B1285*D1285/10000</f>
        <v/>
      </c>
      <c r="F1285" s="74">
        <f>B1285/30.48</f>
        <v/>
      </c>
      <c r="G1285" s="74">
        <f>D1285/30.48</f>
        <v/>
      </c>
      <c r="H1285" s="16" t="inlineStr">
        <is>
          <t>MCHD-OLD</t>
        </is>
      </c>
      <c r="I1285" s="570" t="inlineStr">
        <is>
          <t>Lindsay Bensimon</t>
        </is>
      </c>
      <c r="J1285" s="557" t="inlineStr">
        <is>
          <t>US-516 884 7524</t>
        </is>
      </c>
    </row>
    <row r="1286" ht="17.25" customHeight="1" s="305">
      <c r="A1286" s="8" t="inlineStr">
        <is>
          <t>D 184</t>
        </is>
      </c>
      <c r="B1286" s="5" t="n">
        <v>54</v>
      </c>
      <c r="C1286" s="72" t="inlineStr">
        <is>
          <t>X</t>
        </is>
      </c>
      <c r="D1286" s="5" t="n">
        <v>106</v>
      </c>
      <c r="E1286" s="73">
        <f>B1286*D1286/10000</f>
        <v/>
      </c>
      <c r="F1286" s="74">
        <f>B1286/30.48</f>
        <v/>
      </c>
      <c r="G1286" s="74">
        <f>D1286/30.48</f>
        <v/>
      </c>
      <c r="H1286" s="16" t="inlineStr">
        <is>
          <t>MCHD-OLD</t>
        </is>
      </c>
      <c r="I1286" s="570" t="inlineStr">
        <is>
          <t>Martha Devore</t>
        </is>
      </c>
      <c r="J1286" s="557" t="inlineStr">
        <is>
          <t>US-818 445 2558</t>
        </is>
      </c>
    </row>
    <row r="1287" ht="17.25" customFormat="1" customHeight="1" s="1">
      <c r="A1287" s="8" t="n">
        <v>1514</v>
      </c>
      <c r="B1287" s="5" t="n">
        <v>289</v>
      </c>
      <c r="C1287" s="72" t="inlineStr">
        <is>
          <t>X</t>
        </is>
      </c>
      <c r="D1287" s="5" t="n">
        <v>371</v>
      </c>
      <c r="E1287" s="73">
        <f>B1287*D1287/10000</f>
        <v/>
      </c>
      <c r="F1287" s="74">
        <f>B1287/30.48</f>
        <v/>
      </c>
      <c r="G1287" s="74">
        <f>D1287/30.48</f>
        <v/>
      </c>
      <c r="H1287" s="69" t="inlineStr">
        <is>
          <t>MCHD-TR</t>
        </is>
      </c>
      <c r="I1287" s="534" t="inlineStr">
        <is>
          <t>deirdre doherty interiors</t>
        </is>
      </c>
      <c r="J1287" s="545" t="inlineStr">
        <is>
          <t>US-323 377 4840</t>
        </is>
      </c>
    </row>
    <row r="1288" ht="17.25" customFormat="1" customHeight="1" s="1">
      <c r="A1288" s="8" t="inlineStr">
        <is>
          <t>C 879</t>
        </is>
      </c>
      <c r="B1288" s="5" t="n">
        <v>177</v>
      </c>
      <c r="C1288" s="6" t="inlineStr">
        <is>
          <t>X</t>
        </is>
      </c>
      <c r="D1288" s="5" t="n">
        <v>295</v>
      </c>
      <c r="E1288" s="2">
        <f>B1288*D1288/10000</f>
        <v/>
      </c>
      <c r="F1288" s="3">
        <f>B1288/30.48</f>
        <v/>
      </c>
      <c r="G1288" s="3">
        <f>D1288/30.48</f>
        <v/>
      </c>
      <c r="H1288" s="69" t="inlineStr">
        <is>
          <t>MCHD-RK</t>
        </is>
      </c>
      <c r="I1288" s="570" t="inlineStr">
        <is>
          <t>Reagan Mamer</t>
        </is>
      </c>
      <c r="J1288" s="557" t="n"/>
    </row>
    <row r="1289" ht="17.25" customFormat="1" customHeight="1" s="1">
      <c r="A1289" s="8" t="n">
        <v>1719</v>
      </c>
      <c r="B1289" s="5" t="n">
        <v>286</v>
      </c>
      <c r="C1289" s="72" t="inlineStr">
        <is>
          <t>X</t>
        </is>
      </c>
      <c r="D1289" s="5" t="n">
        <v>366</v>
      </c>
      <c r="E1289" s="73">
        <f>B1289*D1289/10000</f>
        <v/>
      </c>
      <c r="F1289" s="74">
        <f>B1289/30.48</f>
        <v/>
      </c>
      <c r="G1289" s="74">
        <f>D1289/30.48</f>
        <v/>
      </c>
      <c r="H1289" s="553" t="inlineStr">
        <is>
          <t>MCHD-PAC</t>
        </is>
      </c>
      <c r="I1289" s="534" t="inlineStr">
        <is>
          <t>Polly Morgan</t>
        </is>
      </c>
      <c r="J1289" s="545" t="inlineStr">
        <is>
          <t>US-901 246 4733</t>
        </is>
      </c>
    </row>
    <row r="1290" ht="17.25" customFormat="1" customHeight="1" s="1">
      <c r="A1290" s="8" t="inlineStr">
        <is>
          <t>C 653</t>
        </is>
      </c>
      <c r="B1290" s="5" t="n">
        <v>85</v>
      </c>
      <c r="C1290" s="6" t="inlineStr">
        <is>
          <t>X</t>
        </is>
      </c>
      <c r="D1290" s="5" t="n">
        <v>140</v>
      </c>
      <c r="E1290" s="2">
        <f>B1290*D1290/10000</f>
        <v/>
      </c>
      <c r="F1290" s="3">
        <f>B1290/30.48</f>
        <v/>
      </c>
      <c r="G1290" s="3">
        <f>D1290/30.48</f>
        <v/>
      </c>
      <c r="H1290" s="553" t="inlineStr">
        <is>
          <t>MCHD-PAC</t>
        </is>
      </c>
      <c r="I1290" s="570" t="inlineStr">
        <is>
          <t>Kandace Youmans</t>
        </is>
      </c>
      <c r="J1290" s="557" t="inlineStr">
        <is>
          <t>US-843 814 1779</t>
        </is>
      </c>
      <c r="R1290" s="1" t="inlineStr">
        <is>
          <t xml:space="preserve"> </t>
        </is>
      </c>
    </row>
    <row r="1291" ht="17.25" customFormat="1" customHeight="1" s="1">
      <c r="A1291" s="8" t="inlineStr">
        <is>
          <t>A 72</t>
        </is>
      </c>
      <c r="B1291" s="5" t="n">
        <v>74</v>
      </c>
      <c r="C1291" s="6" t="inlineStr">
        <is>
          <t>X</t>
        </is>
      </c>
      <c r="D1291" s="5" t="n">
        <v>155</v>
      </c>
      <c r="E1291" s="2">
        <f>B1291*D1291/10000</f>
        <v/>
      </c>
      <c r="F1291" s="3">
        <f>B1291/30.48</f>
        <v/>
      </c>
      <c r="G1291" s="3">
        <f>D1291/30.48</f>
        <v/>
      </c>
      <c r="H1291" s="553" t="inlineStr">
        <is>
          <t>MCHD-PAC</t>
        </is>
      </c>
      <c r="I1291" s="570" t="inlineStr">
        <is>
          <t>Cheryl Busch</t>
        </is>
      </c>
      <c r="J1291" s="557" t="inlineStr">
        <is>
          <t>US-609 240 4459</t>
        </is>
      </c>
    </row>
    <row r="1292" ht="17.25" customFormat="1" customHeight="1" s="1">
      <c r="A1292" s="8" t="inlineStr">
        <is>
          <t>Y 906</t>
        </is>
      </c>
      <c r="B1292" s="5" t="n">
        <v>214</v>
      </c>
      <c r="C1292" s="6" t="inlineStr">
        <is>
          <t>X</t>
        </is>
      </c>
      <c r="D1292" s="5" t="n">
        <v>110</v>
      </c>
      <c r="E1292" s="2">
        <f>B1292*D1292/10000</f>
        <v/>
      </c>
      <c r="F1292" s="3">
        <f>B1292/30.48</f>
        <v/>
      </c>
      <c r="G1292" s="3">
        <f>D1292/30.48</f>
        <v/>
      </c>
      <c r="H1292" s="553" t="inlineStr">
        <is>
          <t>MCHD-PAC</t>
        </is>
      </c>
      <c r="I1292" s="570" t="inlineStr">
        <is>
          <t>Liz Beinfield</t>
        </is>
      </c>
      <c r="J1292" s="557" t="n"/>
    </row>
    <row r="1293" ht="17.25" customFormat="1" customHeight="1" s="1">
      <c r="A1293" s="8" t="inlineStr">
        <is>
          <t>A 80</t>
        </is>
      </c>
      <c r="B1293" s="5" t="n">
        <v>111</v>
      </c>
      <c r="C1293" s="6" t="inlineStr">
        <is>
          <t>X</t>
        </is>
      </c>
      <c r="D1293" s="5" t="n">
        <v>172</v>
      </c>
      <c r="E1293" s="2">
        <f>B1293*D1293/10000</f>
        <v/>
      </c>
      <c r="F1293" s="3">
        <f>B1293/30.48</f>
        <v/>
      </c>
      <c r="G1293" s="3">
        <f>D1293/30.48</f>
        <v/>
      </c>
      <c r="H1293" s="553" t="inlineStr">
        <is>
          <t>MCHD-PAC</t>
        </is>
      </c>
      <c r="I1293" s="570" t="inlineStr">
        <is>
          <t>Alison Lake</t>
        </is>
      </c>
      <c r="J1293" s="557" t="inlineStr">
        <is>
          <t>US-202 247 7027</t>
        </is>
      </c>
    </row>
    <row r="1294" ht="17.25" customFormat="1" customHeight="1" s="1">
      <c r="A1294" s="8" t="inlineStr">
        <is>
          <t>C 865</t>
        </is>
      </c>
      <c r="B1294" s="5" t="n">
        <v>80</v>
      </c>
      <c r="C1294" s="6" t="inlineStr">
        <is>
          <t>X</t>
        </is>
      </c>
      <c r="D1294" s="5" t="n">
        <v>356</v>
      </c>
      <c r="E1294" s="2">
        <f>B1294*D1294/10000</f>
        <v/>
      </c>
      <c r="F1294" s="3">
        <f>B1294/30.48</f>
        <v/>
      </c>
      <c r="G1294" s="3">
        <f>D1294/30.48</f>
        <v/>
      </c>
      <c r="H1294" s="69" t="inlineStr">
        <is>
          <t>MCHD-TR</t>
        </is>
      </c>
      <c r="I1294" s="570" t="n"/>
      <c r="J1294" s="557" t="n"/>
    </row>
    <row r="1295" ht="17.25" customHeight="1" s="305">
      <c r="A1295" s="8" t="inlineStr">
        <is>
          <t>D 194</t>
        </is>
      </c>
      <c r="B1295" s="5" t="n">
        <v>54</v>
      </c>
      <c r="C1295" s="72" t="inlineStr">
        <is>
          <t>X</t>
        </is>
      </c>
      <c r="D1295" s="5" t="n">
        <v>87</v>
      </c>
      <c r="E1295" s="73">
        <f>B1295*D1295/10000</f>
        <v/>
      </c>
      <c r="F1295" s="74">
        <f>B1295/30.48</f>
        <v/>
      </c>
      <c r="G1295" s="74">
        <f>D1295/30.48</f>
        <v/>
      </c>
      <c r="H1295" s="16" t="inlineStr">
        <is>
          <t>MCHD-VR</t>
        </is>
      </c>
      <c r="I1295" s="570" t="inlineStr">
        <is>
          <t>VERA COOLS</t>
        </is>
      </c>
      <c r="J1295" s="557" t="n"/>
    </row>
    <row r="1296" ht="17.25" customHeight="1" s="305">
      <c r="A1296" s="8" t="inlineStr">
        <is>
          <t>D 102</t>
        </is>
      </c>
      <c r="B1296" s="5" t="n">
        <v>50</v>
      </c>
      <c r="C1296" s="72" t="inlineStr">
        <is>
          <t>X</t>
        </is>
      </c>
      <c r="D1296" s="5" t="n">
        <v>115</v>
      </c>
      <c r="E1296" s="73">
        <f>B1296*D1296/10000</f>
        <v/>
      </c>
      <c r="F1296" s="74">
        <f>B1296/30.48</f>
        <v/>
      </c>
      <c r="G1296" s="74">
        <f>D1296/30.48</f>
        <v/>
      </c>
      <c r="H1296" s="16" t="inlineStr">
        <is>
          <t>MCHD-OLD</t>
        </is>
      </c>
      <c r="I1296" s="570" t="inlineStr">
        <is>
          <t>Boyd, Megan</t>
        </is>
      </c>
      <c r="J1296" s="557" t="inlineStr">
        <is>
          <t>US-727 643 9578</t>
        </is>
      </c>
    </row>
    <row r="1297" ht="17.25" customHeight="1" s="305">
      <c r="A1297" s="8" t="inlineStr">
        <is>
          <t>D 150</t>
        </is>
      </c>
      <c r="B1297" s="5" t="n">
        <v>55</v>
      </c>
      <c r="C1297" s="72" t="inlineStr">
        <is>
          <t>X</t>
        </is>
      </c>
      <c r="D1297" s="5" t="n">
        <v>98</v>
      </c>
      <c r="E1297" s="73">
        <f>B1297*D1297/10000</f>
        <v/>
      </c>
      <c r="F1297" s="74">
        <f>B1297/30.48</f>
        <v/>
      </c>
      <c r="G1297" s="74">
        <f>D1297/30.48</f>
        <v/>
      </c>
      <c r="H1297" s="16" t="inlineStr">
        <is>
          <t>MCHD-OLD</t>
        </is>
      </c>
      <c r="I1297" s="570" t="inlineStr">
        <is>
          <t>Marcos Kohler</t>
        </is>
      </c>
      <c r="J1297" s="557" t="inlineStr">
        <is>
          <t>US-732 547 7914</t>
        </is>
      </c>
    </row>
    <row r="1298" ht="17.25" customHeight="1" s="305">
      <c r="A1298" s="8" t="inlineStr">
        <is>
          <t>D 64</t>
        </is>
      </c>
      <c r="B1298" s="5" t="n">
        <v>54</v>
      </c>
      <c r="C1298" s="72" t="inlineStr">
        <is>
          <t>X</t>
        </is>
      </c>
      <c r="D1298" s="5" t="n">
        <v>106</v>
      </c>
      <c r="E1298" s="73">
        <f>B1298*D1298/10000</f>
        <v/>
      </c>
      <c r="F1298" s="74">
        <f>B1298/30.48</f>
        <v/>
      </c>
      <c r="G1298" s="74">
        <f>D1298/30.48</f>
        <v/>
      </c>
      <c r="H1298" s="16" t="inlineStr">
        <is>
          <t>MCHD-VR</t>
        </is>
      </c>
      <c r="I1298" s="570" t="inlineStr">
        <is>
          <t>Catherine Jones</t>
        </is>
      </c>
      <c r="J1298" s="557" t="n"/>
    </row>
    <row r="1299" ht="17.25" customFormat="1" customHeight="1" s="1">
      <c r="A1299" s="8" t="n">
        <v>1598</v>
      </c>
      <c r="B1299" s="5" t="n">
        <v>178</v>
      </c>
      <c r="C1299" s="72" t="inlineStr">
        <is>
          <t>X</t>
        </is>
      </c>
      <c r="D1299" s="5" t="n">
        <v>107</v>
      </c>
      <c r="E1299" s="73">
        <f>B1299*D1299/10000</f>
        <v/>
      </c>
      <c r="F1299" s="74">
        <f>B1299/30.48</f>
        <v/>
      </c>
      <c r="G1299" s="74">
        <f>D1299/30.48</f>
        <v/>
      </c>
      <c r="H1299" s="69" t="inlineStr">
        <is>
          <t>MCHD-TR</t>
        </is>
      </c>
      <c r="I1299" s="570" t="inlineStr">
        <is>
          <t>Jenny Bush</t>
        </is>
      </c>
      <c r="J1299" s="557" t="n"/>
    </row>
    <row r="1300" ht="17.25" customFormat="1" customHeight="1" s="1">
      <c r="A1300" s="8" t="n">
        <v>1152</v>
      </c>
      <c r="B1300" s="5" t="n">
        <v>231</v>
      </c>
      <c r="C1300" s="72" t="inlineStr">
        <is>
          <t>X</t>
        </is>
      </c>
      <c r="D1300" s="5" t="n">
        <v>313</v>
      </c>
      <c r="E1300" s="73">
        <f>B1300*D1300/10000</f>
        <v/>
      </c>
      <c r="F1300" s="74">
        <f>B1300/30.48</f>
        <v/>
      </c>
      <c r="G1300" s="74">
        <f>D1300/30.48</f>
        <v/>
      </c>
      <c r="H1300" s="69" t="inlineStr">
        <is>
          <t>MCHD-TR</t>
        </is>
      </c>
      <c r="I1300" s="570" t="inlineStr">
        <is>
          <t>Sheila Clancy Waugh</t>
        </is>
      </c>
      <c r="J1300" s="557" t="n"/>
    </row>
    <row r="1301" ht="17.25" customHeight="1" s="305">
      <c r="A1301" s="8" t="inlineStr">
        <is>
          <t>D 182</t>
        </is>
      </c>
      <c r="B1301" s="5" t="n">
        <v>55</v>
      </c>
      <c r="C1301" s="72" t="inlineStr">
        <is>
          <t>X</t>
        </is>
      </c>
      <c r="D1301" s="5" t="n">
        <v>102</v>
      </c>
      <c r="E1301" s="73">
        <f>B1301*D1301/10000</f>
        <v/>
      </c>
      <c r="F1301" s="74">
        <f>B1301/30.48</f>
        <v/>
      </c>
      <c r="G1301" s="74">
        <f>D1301/30.48</f>
        <v/>
      </c>
      <c r="H1301" s="16" t="inlineStr">
        <is>
          <t>MCHD-OLD</t>
        </is>
      </c>
      <c r="I1301" s="570" t="inlineStr">
        <is>
          <t>Jill Wolff</t>
        </is>
      </c>
      <c r="J1301" s="557" t="n"/>
    </row>
    <row r="1302" ht="17.25" customHeight="1" s="305">
      <c r="A1302" s="8" t="inlineStr">
        <is>
          <t>D 165</t>
        </is>
      </c>
      <c r="B1302" s="5" t="n">
        <v>54</v>
      </c>
      <c r="C1302" s="72" t="inlineStr">
        <is>
          <t>X</t>
        </is>
      </c>
      <c r="D1302" s="5" t="n">
        <v>106</v>
      </c>
      <c r="E1302" s="73">
        <f>B1302*D1302/10000</f>
        <v/>
      </c>
      <c r="F1302" s="74">
        <f>B1302/30.48</f>
        <v/>
      </c>
      <c r="G1302" s="74">
        <f>D1302/30.48</f>
        <v/>
      </c>
      <c r="H1302" s="16" t="inlineStr">
        <is>
          <t>MCHD-OLD</t>
        </is>
      </c>
      <c r="I1302" s="570" t="inlineStr">
        <is>
          <t>amanda Dean</t>
        </is>
      </c>
      <c r="J1302" s="557" t="n"/>
    </row>
    <row r="1303" ht="17.25" customFormat="1" customHeight="1" s="1">
      <c r="A1303" s="8" t="n">
        <v>1533</v>
      </c>
      <c r="B1303" s="5" t="n">
        <v>277</v>
      </c>
      <c r="C1303" s="72" t="inlineStr">
        <is>
          <t>X</t>
        </is>
      </c>
      <c r="D1303" s="5" t="n">
        <v>96</v>
      </c>
      <c r="E1303" s="73">
        <f>B1303*D1303/10000</f>
        <v/>
      </c>
      <c r="F1303" s="74">
        <f>B1303/30.48</f>
        <v/>
      </c>
      <c r="G1303" s="74">
        <f>D1303/30.48</f>
        <v/>
      </c>
      <c r="H1303" s="69" t="inlineStr">
        <is>
          <t>MCHD-TR</t>
        </is>
      </c>
      <c r="I1303" s="570" t="inlineStr">
        <is>
          <t>Sally Ann Smith</t>
        </is>
      </c>
      <c r="J1303" s="557" t="inlineStr">
        <is>
          <t>US-804 938 4186</t>
        </is>
      </c>
    </row>
    <row r="1304" ht="17.25" customFormat="1" customHeight="1" s="1">
      <c r="A1304" s="8" t="inlineStr">
        <is>
          <t>Y 564</t>
        </is>
      </c>
      <c r="B1304" s="5" t="n">
        <v>209</v>
      </c>
      <c r="C1304" s="6" t="inlineStr">
        <is>
          <t>X</t>
        </is>
      </c>
      <c r="D1304" s="5" t="n">
        <v>117</v>
      </c>
      <c r="E1304" s="2">
        <f>B1304*D1304/10000</f>
        <v/>
      </c>
      <c r="F1304" s="3">
        <f>B1304/30.48</f>
        <v/>
      </c>
      <c r="G1304" s="3">
        <f>D1304/30.48</f>
        <v/>
      </c>
      <c r="H1304" s="69" t="inlineStr">
        <is>
          <t>MCHD-TR</t>
        </is>
      </c>
      <c r="I1304" s="570" t="inlineStr">
        <is>
          <t>Genevieve Trousdale</t>
        </is>
      </c>
      <c r="J1304" s="557" t="inlineStr">
        <is>
          <t>US-323 547 0288</t>
        </is>
      </c>
    </row>
    <row r="1305" ht="17.25" customFormat="1" customHeight="1" s="1">
      <c r="A1305" s="8" t="inlineStr">
        <is>
          <t>C 796</t>
        </is>
      </c>
      <c r="B1305" s="5" t="n">
        <v>93</v>
      </c>
      <c r="C1305" s="6" t="inlineStr">
        <is>
          <t>X</t>
        </is>
      </c>
      <c r="D1305" s="5" t="n">
        <v>428</v>
      </c>
      <c r="E1305" s="2">
        <f>B1305*D1305/10000</f>
        <v/>
      </c>
      <c r="F1305" s="3">
        <f>B1305/30.48</f>
        <v/>
      </c>
      <c r="G1305" s="3">
        <f>D1305/30.48</f>
        <v/>
      </c>
      <c r="H1305" s="69" t="inlineStr">
        <is>
          <t>MCHD-TR</t>
        </is>
      </c>
      <c r="I1305" s="570" t="inlineStr">
        <is>
          <t>Sarah B Kling</t>
        </is>
      </c>
      <c r="J1305" s="557" t="inlineStr">
        <is>
          <t>US-941 388 1426</t>
        </is>
      </c>
    </row>
    <row r="1306" ht="17.25" customFormat="1" customHeight="1" s="1">
      <c r="A1306" s="8" t="n">
        <v>1055</v>
      </c>
      <c r="B1306" s="5" t="n">
        <v>112</v>
      </c>
      <c r="C1306" s="72" t="inlineStr">
        <is>
          <t>X</t>
        </is>
      </c>
      <c r="D1306" s="5" t="n">
        <v>321</v>
      </c>
      <c r="E1306" s="73">
        <f>B1306*D1306/10000</f>
        <v/>
      </c>
      <c r="F1306" s="74">
        <f>B1306/30.48</f>
        <v/>
      </c>
      <c r="G1306" s="74">
        <f>D1306/30.48</f>
        <v/>
      </c>
      <c r="H1306" s="69" t="inlineStr">
        <is>
          <t>MCHD-TR</t>
        </is>
      </c>
      <c r="I1306" s="570" t="inlineStr">
        <is>
          <t>Tammy Schmidt</t>
        </is>
      </c>
      <c r="J1306" s="557" t="inlineStr">
        <is>
          <t>US-608 438 4713</t>
        </is>
      </c>
    </row>
    <row r="1307" ht="17.25" customFormat="1" customHeight="1" s="1">
      <c r="A1307" s="8" t="n">
        <v>1360</v>
      </c>
      <c r="B1307" s="5" t="n">
        <v>214</v>
      </c>
      <c r="C1307" s="72" t="inlineStr">
        <is>
          <t>X</t>
        </is>
      </c>
      <c r="D1307" s="5" t="n">
        <v>282</v>
      </c>
      <c r="E1307" s="73">
        <f>B1307*D1307/10000</f>
        <v/>
      </c>
      <c r="F1307" s="74">
        <f>B1307/30.48</f>
        <v/>
      </c>
      <c r="G1307" s="74">
        <f>D1307/30.48</f>
        <v/>
      </c>
      <c r="H1307" s="69" t="inlineStr">
        <is>
          <t>MCHD-TR</t>
        </is>
      </c>
      <c r="I1307" s="626" t="inlineStr">
        <is>
          <t>Simon Costello</t>
        </is>
      </c>
      <c r="J1307" s="557" t="inlineStr">
        <is>
          <t>AU-413 206 465</t>
        </is>
      </c>
    </row>
    <row r="1308" ht="17.25" customFormat="1" customHeight="1" s="1">
      <c r="A1308" s="8" t="n">
        <v>1169</v>
      </c>
      <c r="B1308" s="5" t="n">
        <v>125</v>
      </c>
      <c r="C1308" s="72" t="inlineStr">
        <is>
          <t>X</t>
        </is>
      </c>
      <c r="D1308" s="5" t="n">
        <v>205</v>
      </c>
      <c r="E1308" s="73">
        <f>B1308*D1308/10000</f>
        <v/>
      </c>
      <c r="F1308" s="74">
        <f>B1308/30.48</f>
        <v/>
      </c>
      <c r="G1308" s="74">
        <f>D1308/30.48</f>
        <v/>
      </c>
      <c r="H1308" s="16" t="inlineStr">
        <is>
          <t>MCHD-VR</t>
        </is>
      </c>
      <c r="I1308" s="570" t="inlineStr">
        <is>
          <t>jayne goodridge</t>
        </is>
      </c>
      <c r="J1308" s="557" t="n"/>
    </row>
    <row r="1309" ht="17.25" customFormat="1" customHeight="1" s="1">
      <c r="A1309" s="8" t="n">
        <v>1322</v>
      </c>
      <c r="B1309" s="5" t="n">
        <v>86</v>
      </c>
      <c r="C1309" s="72" t="inlineStr">
        <is>
          <t>X</t>
        </is>
      </c>
      <c r="D1309" s="5" t="n">
        <v>236</v>
      </c>
      <c r="E1309" s="73">
        <f>B1309*D1309/10000</f>
        <v/>
      </c>
      <c r="F1309" s="74">
        <f>B1309/30.48</f>
        <v/>
      </c>
      <c r="G1309" s="74">
        <f>D1309/30.48</f>
        <v/>
      </c>
      <c r="H1309" s="16" t="inlineStr">
        <is>
          <t>MCHD-VR</t>
        </is>
      </c>
      <c r="I1309" s="570" t="inlineStr">
        <is>
          <t>EMILIE MCDUNNOUGH</t>
        </is>
      </c>
      <c r="J1309" s="557" t="n"/>
    </row>
    <row r="1310" ht="17.25" customFormat="1" customHeight="1" s="1">
      <c r="A1310" s="8" t="inlineStr">
        <is>
          <t>C 429</t>
        </is>
      </c>
      <c r="B1310" s="5" t="n">
        <v>113</v>
      </c>
      <c r="C1310" s="6" t="inlineStr">
        <is>
          <t>X</t>
        </is>
      </c>
      <c r="D1310" s="5" t="n">
        <v>73</v>
      </c>
      <c r="E1310" s="2">
        <f>B1310*D1310/10000</f>
        <v/>
      </c>
      <c r="F1310" s="3">
        <f>B1310/30.48</f>
        <v/>
      </c>
      <c r="G1310" s="3">
        <f>D1310/30.48</f>
        <v/>
      </c>
      <c r="H1310" s="16" t="inlineStr">
        <is>
          <t>MCHD-VR</t>
        </is>
      </c>
      <c r="I1310" s="570" t="inlineStr">
        <is>
          <t>Tracey Fraser</t>
        </is>
      </c>
      <c r="J1310" s="557" t="inlineStr">
        <is>
          <t>US-770 331 9889</t>
        </is>
      </c>
    </row>
    <row r="1311" ht="17.25" customFormat="1" customHeight="1" s="1">
      <c r="A1311" s="8" t="inlineStr">
        <is>
          <t>Y 639</t>
        </is>
      </c>
      <c r="B1311" s="5" t="n">
        <v>178</v>
      </c>
      <c r="C1311" s="6" t="inlineStr">
        <is>
          <t>X</t>
        </is>
      </c>
      <c r="D1311" s="5" t="n">
        <v>114</v>
      </c>
      <c r="E1311" s="2">
        <f>B1311*D1311/10000</f>
        <v/>
      </c>
      <c r="F1311" s="3">
        <f>B1311/30.48</f>
        <v/>
      </c>
      <c r="G1311" s="3">
        <f>D1311/30.48</f>
        <v/>
      </c>
      <c r="H1311" s="16" t="inlineStr">
        <is>
          <t>MCHD-VR</t>
        </is>
      </c>
      <c r="I1311" s="534" t="inlineStr">
        <is>
          <t>Francie MacCauley</t>
        </is>
      </c>
      <c r="J1311" s="545" t="n"/>
    </row>
    <row r="1312" ht="17.25" customFormat="1" customHeight="1" s="1">
      <c r="A1312" s="8" t="n">
        <v>1121</v>
      </c>
      <c r="B1312" s="5" t="n">
        <v>136</v>
      </c>
      <c r="C1312" s="72" t="inlineStr">
        <is>
          <t>X</t>
        </is>
      </c>
      <c r="D1312" s="5" t="n">
        <v>212</v>
      </c>
      <c r="E1312" s="73">
        <f>B1312*D1312/10000</f>
        <v/>
      </c>
      <c r="F1312" s="74">
        <f>B1312/30.48</f>
        <v/>
      </c>
      <c r="G1312" s="74">
        <f>D1312/30.48</f>
        <v/>
      </c>
      <c r="H1312" s="69" t="inlineStr">
        <is>
          <t>MCHD-TR</t>
        </is>
      </c>
      <c r="I1312" s="570" t="inlineStr">
        <is>
          <t>Amy Ilias</t>
        </is>
      </c>
      <c r="J1312" s="557" t="inlineStr">
        <is>
          <t>US-917 291 3708</t>
        </is>
      </c>
    </row>
    <row r="1313" ht="17.25" customFormat="1" customHeight="1" s="1">
      <c r="A1313" s="8" t="n">
        <v>1247</v>
      </c>
      <c r="B1313" s="5" t="n">
        <v>91</v>
      </c>
      <c r="C1313" s="72" t="inlineStr">
        <is>
          <t>X</t>
        </is>
      </c>
      <c r="D1313" s="5" t="n">
        <v>380</v>
      </c>
      <c r="E1313" s="73">
        <f>B1313*D1313/10000</f>
        <v/>
      </c>
      <c r="F1313" s="74">
        <f>B1313/30.48</f>
        <v/>
      </c>
      <c r="G1313" s="74">
        <f>D1313/30.48</f>
        <v/>
      </c>
      <c r="H1313" s="16" t="inlineStr">
        <is>
          <t>MCHD-OLD</t>
        </is>
      </c>
      <c r="I1313" s="570" t="inlineStr">
        <is>
          <t>Sarah Solis Design Studio</t>
        </is>
      </c>
      <c r="J1313" s="557" t="n"/>
    </row>
    <row r="1314" ht="18" customFormat="1" customHeight="1" s="1">
      <c r="A1314" s="8" t="n">
        <v>1178</v>
      </c>
      <c r="B1314" s="5" t="n">
        <v>191</v>
      </c>
      <c r="C1314" s="72" t="inlineStr">
        <is>
          <t>X</t>
        </is>
      </c>
      <c r="D1314" s="5" t="n">
        <v>195</v>
      </c>
      <c r="E1314" s="73">
        <f>B1314*D1314/10000</f>
        <v/>
      </c>
      <c r="F1314" s="74">
        <f>B1314/30.48</f>
        <v/>
      </c>
      <c r="G1314" s="74">
        <f>D1314/30.48</f>
        <v/>
      </c>
      <c r="H1314" s="69" t="inlineStr">
        <is>
          <t>MCHD-RK</t>
        </is>
      </c>
      <c r="I1314" s="534" t="inlineStr">
        <is>
          <t>Melina Kinder</t>
        </is>
      </c>
      <c r="J1314" s="545" t="n"/>
    </row>
    <row r="1315" ht="17.25" customFormat="1" customHeight="1" s="1">
      <c r="A1315" s="8" t="inlineStr">
        <is>
          <t>A 60</t>
        </is>
      </c>
      <c r="B1315" s="5" t="n">
        <v>116</v>
      </c>
      <c r="C1315" s="6" t="inlineStr">
        <is>
          <t>X</t>
        </is>
      </c>
      <c r="D1315" s="5" t="n">
        <v>199</v>
      </c>
      <c r="E1315" s="2">
        <f>B1315*D1315/10000</f>
        <v/>
      </c>
      <c r="F1315" s="3">
        <f>B1315/30.48</f>
        <v/>
      </c>
      <c r="G1315" s="3">
        <f>D1315/30.48</f>
        <v/>
      </c>
      <c r="H1315" s="69" t="inlineStr">
        <is>
          <t>MCHD-TR</t>
        </is>
      </c>
      <c r="I1315" s="570" t="inlineStr">
        <is>
          <t>lia aguirre</t>
        </is>
      </c>
      <c r="J1315" s="557" t="inlineStr">
        <is>
          <t>US-435 659 0872</t>
        </is>
      </c>
    </row>
    <row r="1316" ht="17.25" customFormat="1" customHeight="1" s="1">
      <c r="A1316" s="8" t="n">
        <v>1146</v>
      </c>
      <c r="B1316" s="5" t="n">
        <v>177</v>
      </c>
      <c r="C1316" s="72" t="inlineStr">
        <is>
          <t>X</t>
        </is>
      </c>
      <c r="D1316" s="5" t="n">
        <v>258</v>
      </c>
      <c r="E1316" s="73">
        <f>B1316*D1316/10000</f>
        <v/>
      </c>
      <c r="F1316" s="74">
        <f>B1316/30.48</f>
        <v/>
      </c>
      <c r="G1316" s="74">
        <f>D1316/30.48</f>
        <v/>
      </c>
      <c r="H1316" s="69" t="inlineStr">
        <is>
          <t>MCHD-TR</t>
        </is>
      </c>
      <c r="I1316" s="534" t="inlineStr">
        <is>
          <t>Rita Feikema</t>
        </is>
      </c>
      <c r="J1316" s="545" t="n"/>
    </row>
    <row r="1317" ht="17.25" customFormat="1" customHeight="1" s="1">
      <c r="A1317" s="8" t="n">
        <v>1414</v>
      </c>
      <c r="B1317" s="5" t="n">
        <v>153</v>
      </c>
      <c r="C1317" s="72" t="inlineStr">
        <is>
          <t>X</t>
        </is>
      </c>
      <c r="D1317" s="5" t="n">
        <v>250</v>
      </c>
      <c r="E1317" s="73">
        <f>B1317*D1317/10000</f>
        <v/>
      </c>
      <c r="F1317" s="74">
        <f>B1317/30.48</f>
        <v/>
      </c>
      <c r="G1317" s="74">
        <f>D1317/30.48</f>
        <v/>
      </c>
      <c r="H1317" s="553" t="inlineStr">
        <is>
          <t>MCHD-PAC</t>
        </is>
      </c>
      <c r="I1317" s="570" t="inlineStr">
        <is>
          <t>Liz Hurst</t>
        </is>
      </c>
      <c r="J1317" s="557" t="inlineStr">
        <is>
          <t>US-972 768 1926</t>
        </is>
      </c>
    </row>
    <row r="1318" ht="17.25" customFormat="1" customHeight="1" s="1">
      <c r="A1318" s="8" t="inlineStr">
        <is>
          <t>H 223</t>
        </is>
      </c>
      <c r="B1318" s="5" t="n">
        <v>93</v>
      </c>
      <c r="C1318" s="6" t="inlineStr">
        <is>
          <t>X</t>
        </is>
      </c>
      <c r="D1318" s="5" t="n">
        <v>420</v>
      </c>
      <c r="E1318" s="2">
        <f>B1318*D1318/10000</f>
        <v/>
      </c>
      <c r="F1318" s="3">
        <f>B1318/30.48</f>
        <v/>
      </c>
      <c r="G1318" s="3">
        <f>D1318/30.48</f>
        <v/>
      </c>
      <c r="H1318" s="16" t="inlineStr">
        <is>
          <t>MCHD-VR</t>
        </is>
      </c>
      <c r="I1318" s="570" t="inlineStr">
        <is>
          <t>Hazard / Perrier</t>
        </is>
      </c>
      <c r="J1318" s="557" t="inlineStr">
        <is>
          <t>US-504 418 3064</t>
        </is>
      </c>
    </row>
    <row r="1319" ht="17.25" customHeight="1" s="305">
      <c r="A1319" s="8" t="inlineStr">
        <is>
          <t>D 250</t>
        </is>
      </c>
      <c r="B1319" s="5" t="n">
        <v>58</v>
      </c>
      <c r="C1319" s="72" t="inlineStr">
        <is>
          <t>X</t>
        </is>
      </c>
      <c r="D1319" s="5" t="n">
        <v>96</v>
      </c>
      <c r="E1319" s="73">
        <f>B1319*D1319/10000</f>
        <v/>
      </c>
      <c r="F1319" s="74">
        <f>B1319/30.48</f>
        <v/>
      </c>
      <c r="G1319" s="74">
        <f>D1319/30.48</f>
        <v/>
      </c>
      <c r="H1319" s="16" t="inlineStr">
        <is>
          <t>MCHD-OLD</t>
        </is>
      </c>
      <c r="I1319" s="570" t="inlineStr">
        <is>
          <t>Loren Cole</t>
        </is>
      </c>
      <c r="J1319" s="557" t="n"/>
    </row>
    <row r="1320">
      <c r="A1320" s="536" t="inlineStr">
        <is>
          <t>-2023 ARALIK-37</t>
        </is>
      </c>
      <c r="H1320" s="104" t="inlineStr">
        <is>
          <t>SATAN-SİTE</t>
        </is>
      </c>
      <c r="I1320" s="98" t="inlineStr">
        <is>
          <t>MÜŞTERİ ADI</t>
        </is>
      </c>
      <c r="J1320" s="63" t="inlineStr">
        <is>
          <t>MÜŞTERİ İLETİŞİM &amp; ÜLKE</t>
        </is>
      </c>
    </row>
    <row r="1321" ht="17.25" customHeight="1" s="305">
      <c r="A1321" s="8" t="inlineStr">
        <is>
          <t>D 47</t>
        </is>
      </c>
      <c r="B1321" s="5" t="n">
        <v>50</v>
      </c>
      <c r="C1321" s="72" t="inlineStr">
        <is>
          <t>X</t>
        </is>
      </c>
      <c r="D1321" s="5" t="n">
        <v>100</v>
      </c>
      <c r="E1321" s="73">
        <f>B1321*D1321/10000</f>
        <v/>
      </c>
      <c r="F1321" s="74">
        <f>B1321/30.48</f>
        <v/>
      </c>
      <c r="G1321" s="74">
        <f>D1321/30.48</f>
        <v/>
      </c>
      <c r="H1321" s="16" t="inlineStr">
        <is>
          <t>MCHD-OLD</t>
        </is>
      </c>
      <c r="I1321" s="570" t="inlineStr">
        <is>
          <t>JEFFREY FARIAS</t>
        </is>
      </c>
      <c r="J1321" s="557" t="inlineStr">
        <is>
          <t>US-508 821 8296</t>
        </is>
      </c>
    </row>
    <row r="1322" ht="17.25" customFormat="1" customHeight="1" s="1">
      <c r="A1322" s="8" t="inlineStr">
        <is>
          <t>C 371</t>
        </is>
      </c>
      <c r="B1322" s="5" t="n">
        <v>91</v>
      </c>
      <c r="C1322" s="6" t="inlineStr">
        <is>
          <t>X</t>
        </is>
      </c>
      <c r="D1322" s="5" t="n">
        <v>344</v>
      </c>
      <c r="E1322" s="2">
        <f>B1322*D1322/10000</f>
        <v/>
      </c>
      <c r="F1322" s="3">
        <f>B1322/30.48</f>
        <v/>
      </c>
      <c r="G1322" s="3">
        <f>D1322/30.48</f>
        <v/>
      </c>
      <c r="H1322" s="69" t="inlineStr">
        <is>
          <t>MCHD-TR</t>
        </is>
      </c>
      <c r="I1322" s="534" t="inlineStr">
        <is>
          <t>Jennifer Hahn</t>
        </is>
      </c>
      <c r="J1322" s="545" t="n"/>
    </row>
    <row r="1323" ht="17.25" customFormat="1" customHeight="1" s="1">
      <c r="A1323" s="8" t="n">
        <v>1300</v>
      </c>
      <c r="B1323" s="5" t="n">
        <v>85</v>
      </c>
      <c r="C1323" s="72" t="inlineStr">
        <is>
          <t>X</t>
        </is>
      </c>
      <c r="D1323" s="5" t="n">
        <v>241</v>
      </c>
      <c r="E1323" s="73">
        <f>B1323*D1323/10000</f>
        <v/>
      </c>
      <c r="F1323" s="74">
        <f>B1323/30.48</f>
        <v/>
      </c>
      <c r="G1323" s="74">
        <f>D1323/30.48</f>
        <v/>
      </c>
      <c r="H1323" s="69" t="inlineStr">
        <is>
          <t>MCHD-TR</t>
        </is>
      </c>
      <c r="I1323" s="570" t="inlineStr">
        <is>
          <t>Meredith Duell</t>
        </is>
      </c>
      <c r="J1323" s="557" t="inlineStr">
        <is>
          <t>US-386 216 3412</t>
        </is>
      </c>
    </row>
    <row r="1324" ht="17.25" customFormat="1" customHeight="1" s="1">
      <c r="A1324" s="8" t="n">
        <v>1166</v>
      </c>
      <c r="B1324" s="5" t="n">
        <v>66</v>
      </c>
      <c r="C1324" s="72" t="inlineStr">
        <is>
          <t>X</t>
        </is>
      </c>
      <c r="D1324" s="5" t="n">
        <v>170</v>
      </c>
      <c r="E1324" s="73">
        <f>B1324*D1324/10000</f>
        <v/>
      </c>
      <c r="F1324" s="74">
        <f>B1324/30.48</f>
        <v/>
      </c>
      <c r="G1324" s="74">
        <f>D1324/30.48</f>
        <v/>
      </c>
      <c r="H1324" s="69" t="inlineStr">
        <is>
          <t>MCHD-TR</t>
        </is>
      </c>
      <c r="I1324" s="570" t="inlineStr">
        <is>
          <t>Delanie Lowe</t>
        </is>
      </c>
      <c r="J1324" s="557" t="n"/>
    </row>
    <row r="1325" ht="17.25" customFormat="1" customHeight="1" s="1">
      <c r="A1325" s="8" t="inlineStr">
        <is>
          <t>C 988</t>
        </is>
      </c>
      <c r="B1325" s="5" t="n">
        <v>88</v>
      </c>
      <c r="C1325" s="6" t="inlineStr">
        <is>
          <t>X</t>
        </is>
      </c>
      <c r="D1325" s="5" t="n">
        <v>402</v>
      </c>
      <c r="E1325" s="2">
        <f>B1325*D1325/10000</f>
        <v/>
      </c>
      <c r="F1325" s="3">
        <f>B1325/30.48</f>
        <v/>
      </c>
      <c r="G1325" s="3">
        <f>D1325/30.48</f>
        <v/>
      </c>
      <c r="H1325" s="69" t="inlineStr">
        <is>
          <t>MCHD-TR</t>
        </is>
      </c>
      <c r="I1325" s="570" t="inlineStr">
        <is>
          <t>Mary Best</t>
        </is>
      </c>
      <c r="J1325" s="557" t="inlineStr">
        <is>
          <t>US-414 975 8565</t>
        </is>
      </c>
    </row>
    <row r="1326" ht="17.25" customFormat="1" customHeight="1" s="1">
      <c r="A1326" s="8" t="inlineStr">
        <is>
          <t>C 569</t>
        </is>
      </c>
      <c r="B1326" s="5" t="n">
        <v>207</v>
      </c>
      <c r="C1326" s="72" t="inlineStr">
        <is>
          <t>X</t>
        </is>
      </c>
      <c r="D1326" s="5" t="n">
        <v>281</v>
      </c>
      <c r="E1326" s="73">
        <f>B1326*D1326/10000</f>
        <v/>
      </c>
      <c r="F1326" s="74">
        <f>B1326/30.48</f>
        <v/>
      </c>
      <c r="G1326" s="74">
        <f>D1326/30.48</f>
        <v/>
      </c>
      <c r="H1326" s="69" t="inlineStr">
        <is>
          <t>MCHD-TR</t>
        </is>
      </c>
      <c r="I1326" s="570" t="inlineStr">
        <is>
          <t>Miranda King</t>
        </is>
      </c>
      <c r="J1326" s="557" t="n"/>
    </row>
    <row r="1327" ht="17.25" customHeight="1" s="305">
      <c r="A1327" s="8" t="inlineStr">
        <is>
          <t>D 216</t>
        </is>
      </c>
      <c r="B1327" s="5" t="n">
        <v>54</v>
      </c>
      <c r="C1327" s="72" t="inlineStr">
        <is>
          <t>X</t>
        </is>
      </c>
      <c r="D1327" s="5" t="n">
        <v>92</v>
      </c>
      <c r="E1327" s="73">
        <f>B1327*D1327/10000</f>
        <v/>
      </c>
      <c r="F1327" s="74">
        <f>B1327/30.48</f>
        <v/>
      </c>
      <c r="G1327" s="74">
        <f>D1327/30.48</f>
        <v/>
      </c>
      <c r="H1327" s="16" t="inlineStr">
        <is>
          <t>MCHD-OLD</t>
        </is>
      </c>
      <c r="I1327" s="534" t="inlineStr">
        <is>
          <t>Holly Jackson</t>
        </is>
      </c>
      <c r="J1327" s="545" t="inlineStr">
        <is>
          <t>US-512 632 3024</t>
        </is>
      </c>
    </row>
    <row r="1328" ht="17.25" customFormat="1" customHeight="1" s="1">
      <c r="A1328" s="8" t="n">
        <v>1326</v>
      </c>
      <c r="B1328" s="5" t="n">
        <v>86</v>
      </c>
      <c r="C1328" s="72" t="inlineStr">
        <is>
          <t>X</t>
        </is>
      </c>
      <c r="D1328" s="5" t="n">
        <v>259</v>
      </c>
      <c r="E1328" s="73">
        <f>B1328*D1328/10000</f>
        <v/>
      </c>
      <c r="F1328" s="74">
        <f>B1328/30.48</f>
        <v/>
      </c>
      <c r="G1328" s="74">
        <f>D1328/30.48</f>
        <v/>
      </c>
      <c r="H1328" s="69" t="inlineStr">
        <is>
          <t>MCHD-TR</t>
        </is>
      </c>
      <c r="I1328" s="570" t="inlineStr">
        <is>
          <t>Margaret Higgins</t>
        </is>
      </c>
      <c r="J1328" s="557" t="inlineStr">
        <is>
          <t>US-773 610 9289</t>
        </is>
      </c>
    </row>
    <row r="1329" ht="17.25" customFormat="1" customHeight="1" s="1">
      <c r="A1329" s="8" t="inlineStr">
        <is>
          <t>Y 772</t>
        </is>
      </c>
      <c r="B1329" s="5" t="n">
        <v>361</v>
      </c>
      <c r="C1329" s="6" t="inlineStr">
        <is>
          <t>X</t>
        </is>
      </c>
      <c r="D1329" s="5" t="n">
        <v>82</v>
      </c>
      <c r="E1329" s="2">
        <f>B1329*D1329/10000</f>
        <v/>
      </c>
      <c r="F1329" s="3">
        <f>B1329/30.48</f>
        <v/>
      </c>
      <c r="G1329" s="3">
        <f>D1329/30.48</f>
        <v/>
      </c>
      <c r="H1329" s="69" t="inlineStr">
        <is>
          <t>MCHD-TR</t>
        </is>
      </c>
      <c r="I1329" s="693" t="n"/>
      <c r="J1329" s="693" t="n"/>
    </row>
    <row r="1330" ht="17.25" customFormat="1" customHeight="1" s="1">
      <c r="A1330" s="8" t="n">
        <v>1841</v>
      </c>
      <c r="B1330" s="5" t="n">
        <v>87</v>
      </c>
      <c r="C1330" s="72" t="inlineStr">
        <is>
          <t>X</t>
        </is>
      </c>
      <c r="D1330" s="5" t="n">
        <v>392</v>
      </c>
      <c r="E1330" s="73">
        <f>B1330*D1330/10000</f>
        <v/>
      </c>
      <c r="F1330" s="74">
        <f>B1330/30.48</f>
        <v/>
      </c>
      <c r="G1330" s="74">
        <f>D1330/30.48</f>
        <v/>
      </c>
      <c r="H1330" s="69" t="inlineStr">
        <is>
          <t>MCHD-TR</t>
        </is>
      </c>
      <c r="I1330" s="693" t="n"/>
      <c r="J1330" s="693" t="n"/>
      <c r="R1330" s="1" t="inlineStr">
        <is>
          <t xml:space="preserve"> </t>
        </is>
      </c>
    </row>
    <row r="1331" ht="17.25" customFormat="1" customHeight="1" s="1">
      <c r="A1331" s="8" t="n">
        <v>1289</v>
      </c>
      <c r="B1331" s="5" t="n">
        <v>90</v>
      </c>
      <c r="C1331" s="72" t="inlineStr">
        <is>
          <t>X</t>
        </is>
      </c>
      <c r="D1331" s="5" t="n">
        <v>434</v>
      </c>
      <c r="E1331" s="73">
        <f>B1331*D1331/10000</f>
        <v/>
      </c>
      <c r="F1331" s="74">
        <f>B1331/30.48</f>
        <v/>
      </c>
      <c r="G1331" s="74">
        <f>D1331/30.48</f>
        <v/>
      </c>
      <c r="H1331" s="69" t="inlineStr">
        <is>
          <t>MCHD-TR</t>
        </is>
      </c>
      <c r="I1331" s="694" t="n"/>
      <c r="J1331" s="694" t="n"/>
    </row>
    <row r="1332" ht="17.25" customFormat="1" customHeight="1" s="1">
      <c r="A1332" s="8" t="inlineStr">
        <is>
          <t>C 493</t>
        </is>
      </c>
      <c r="B1332" s="5" t="n">
        <v>74</v>
      </c>
      <c r="C1332" s="6" t="inlineStr">
        <is>
          <t>X</t>
        </is>
      </c>
      <c r="D1332" s="5" t="n">
        <v>115</v>
      </c>
      <c r="E1332" s="2">
        <f>B1332*D1332/10000</f>
        <v/>
      </c>
      <c r="F1332" s="3">
        <f>B1332/30.48</f>
        <v/>
      </c>
      <c r="G1332" s="3">
        <f>D1332/30.48</f>
        <v/>
      </c>
      <c r="H1332" s="16" t="inlineStr">
        <is>
          <t>MCHD-OLD</t>
        </is>
      </c>
      <c r="I1332" s="534" t="inlineStr">
        <is>
          <t>Andrea Weinman</t>
        </is>
      </c>
      <c r="J1332" s="545" t="n"/>
    </row>
    <row r="1333" ht="17.25" customFormat="1" customHeight="1" s="1">
      <c r="A1333" s="8" t="n">
        <v>1396</v>
      </c>
      <c r="B1333" s="5" t="n">
        <v>90</v>
      </c>
      <c r="C1333" s="72" t="inlineStr">
        <is>
          <t>X</t>
        </is>
      </c>
      <c r="D1333" s="5" t="n">
        <v>311</v>
      </c>
      <c r="E1333" s="73">
        <f>B1333*D1333/10000</f>
        <v/>
      </c>
      <c r="F1333" s="74">
        <f>B1333/30.48</f>
        <v/>
      </c>
      <c r="G1333" s="74">
        <f>D1333/30.48</f>
        <v/>
      </c>
      <c r="H1333" s="69" t="inlineStr">
        <is>
          <t>MCHD-TR</t>
        </is>
      </c>
      <c r="I1333" s="570" t="inlineStr">
        <is>
          <t>Julie Jurgenson</t>
        </is>
      </c>
      <c r="J1333" s="557" t="n"/>
    </row>
    <row r="1334" ht="17.25" customFormat="1" customHeight="1" s="1">
      <c r="A1334" s="8" t="n">
        <v>1759</v>
      </c>
      <c r="B1334" s="5" t="n">
        <v>286</v>
      </c>
      <c r="C1334" s="72" t="inlineStr">
        <is>
          <t>X</t>
        </is>
      </c>
      <c r="D1334" s="5" t="n">
        <v>380</v>
      </c>
      <c r="E1334" s="73">
        <f>B1334*D1334/10000</f>
        <v/>
      </c>
      <c r="F1334" s="74">
        <f>B1334/30.48</f>
        <v/>
      </c>
      <c r="G1334" s="74">
        <f>D1334/30.48</f>
        <v/>
      </c>
      <c r="H1334" s="69" t="inlineStr">
        <is>
          <t>MCHD-TR</t>
        </is>
      </c>
      <c r="I1334" s="570" t="inlineStr">
        <is>
          <t>Shauna Webb</t>
        </is>
      </c>
      <c r="J1334" s="557" t="inlineStr">
        <is>
          <t>US-415 734 1611</t>
        </is>
      </c>
    </row>
    <row r="1335" ht="17.25" customFormat="1" customHeight="1" s="1">
      <c r="A1335" s="8" t="n">
        <v>1062</v>
      </c>
      <c r="B1335" s="5" t="n">
        <v>80</v>
      </c>
      <c r="C1335" s="72" t="inlineStr">
        <is>
          <t>X</t>
        </is>
      </c>
      <c r="D1335" s="5" t="n">
        <v>290</v>
      </c>
      <c r="E1335" s="73">
        <f>B1335*D1335/10000</f>
        <v/>
      </c>
      <c r="F1335" s="74">
        <f>B1335/30.48</f>
        <v/>
      </c>
      <c r="G1335" s="74">
        <f>D1335/30.48</f>
        <v/>
      </c>
      <c r="H1335" s="69" t="inlineStr">
        <is>
          <t>MCHD-TR</t>
        </is>
      </c>
      <c r="I1335" s="570" t="inlineStr">
        <is>
          <t>Megan Stewart</t>
        </is>
      </c>
      <c r="J1335" s="557" t="n"/>
    </row>
    <row r="1336" ht="17.25" customFormat="1" customHeight="1" s="1">
      <c r="A1336" s="8" t="n">
        <v>1871</v>
      </c>
      <c r="B1336" s="5" t="n">
        <v>85</v>
      </c>
      <c r="C1336" s="72" t="inlineStr">
        <is>
          <t>X</t>
        </is>
      </c>
      <c r="D1336" s="5" t="n">
        <v>408</v>
      </c>
      <c r="E1336" s="73">
        <f>B1336*D1336/10000</f>
        <v/>
      </c>
      <c r="F1336" s="74">
        <f>B1336/30.48</f>
        <v/>
      </c>
      <c r="G1336" s="74">
        <f>D1336/30.48</f>
        <v/>
      </c>
      <c r="H1336" s="69" t="inlineStr">
        <is>
          <t>MCHD-TR</t>
        </is>
      </c>
      <c r="I1336" s="570" t="inlineStr">
        <is>
          <t>Karlyn Byxbee</t>
        </is>
      </c>
      <c r="J1336" s="557" t="inlineStr">
        <is>
          <t>US-602 793 2021</t>
        </is>
      </c>
    </row>
    <row r="1337" ht="17.25" customFormat="1" customHeight="1" s="1">
      <c r="A1337" s="8" t="n">
        <v>1649</v>
      </c>
      <c r="B1337" s="5" t="n">
        <v>174</v>
      </c>
      <c r="C1337" s="72" t="inlineStr">
        <is>
          <t>X</t>
        </is>
      </c>
      <c r="D1337" s="5" t="n">
        <v>100</v>
      </c>
      <c r="E1337" s="73">
        <f>B1337*D1337/10000</f>
        <v/>
      </c>
      <c r="F1337" s="74">
        <f>B1337/30.48</f>
        <v/>
      </c>
      <c r="G1337" s="74">
        <f>D1337/30.48</f>
        <v/>
      </c>
      <c r="H1337" s="69" t="inlineStr">
        <is>
          <t>MCHD-TR</t>
        </is>
      </c>
      <c r="I1337" s="570" t="inlineStr">
        <is>
          <t>Cassidy Bunger</t>
        </is>
      </c>
      <c r="J1337" s="557" t="n"/>
    </row>
    <row r="1338" ht="17.25" customFormat="1" customHeight="1" s="1">
      <c r="A1338" s="8" t="inlineStr">
        <is>
          <t>C 882</t>
        </is>
      </c>
      <c r="B1338" s="5" t="n">
        <v>190</v>
      </c>
      <c r="C1338" s="6" t="inlineStr">
        <is>
          <t>X</t>
        </is>
      </c>
      <c r="D1338" s="5" t="n">
        <v>280</v>
      </c>
      <c r="E1338" s="2">
        <f>B1338*D1338/10000</f>
        <v/>
      </c>
      <c r="F1338" s="3">
        <f>B1338/30.48</f>
        <v/>
      </c>
      <c r="G1338" s="3">
        <f>D1338/30.48</f>
        <v/>
      </c>
      <c r="H1338" s="553" t="inlineStr">
        <is>
          <t>MCHD-PAC</t>
        </is>
      </c>
      <c r="I1338" s="534" t="inlineStr">
        <is>
          <t>Kendra Russell</t>
        </is>
      </c>
      <c r="J1338" s="545" t="inlineStr">
        <is>
          <t>US-610 804 5045</t>
        </is>
      </c>
    </row>
    <row r="1339" ht="17.25" customHeight="1" s="305">
      <c r="A1339" s="8" t="inlineStr">
        <is>
          <t>D 247</t>
        </is>
      </c>
      <c r="B1339" s="5" t="n">
        <v>51</v>
      </c>
      <c r="C1339" s="72" t="inlineStr">
        <is>
          <t>X</t>
        </is>
      </c>
      <c r="D1339" s="5" t="n">
        <v>89</v>
      </c>
      <c r="E1339" s="73">
        <f>B1339*D1339/10000</f>
        <v/>
      </c>
      <c r="F1339" s="74">
        <f>B1339/30.48</f>
        <v/>
      </c>
      <c r="G1339" s="74">
        <f>D1339/30.48</f>
        <v/>
      </c>
      <c r="H1339" s="16" t="inlineStr">
        <is>
          <t>MCHD-OLD</t>
        </is>
      </c>
      <c r="I1339" s="570" t="inlineStr">
        <is>
          <t>Amy Marshall</t>
        </is>
      </c>
      <c r="J1339" s="557" t="n"/>
    </row>
    <row r="1340" ht="17.25" customHeight="1" s="305">
      <c r="A1340" s="8" t="inlineStr">
        <is>
          <t>D 195</t>
        </is>
      </c>
      <c r="B1340" s="5" t="n">
        <v>48</v>
      </c>
      <c r="C1340" s="72" t="inlineStr">
        <is>
          <t>X</t>
        </is>
      </c>
      <c r="D1340" s="5" t="n">
        <v>95</v>
      </c>
      <c r="E1340" s="73">
        <f>B1340*D1340/10000</f>
        <v/>
      </c>
      <c r="F1340" s="74">
        <f>B1340/30.48</f>
        <v/>
      </c>
      <c r="G1340" s="74">
        <f>D1340/30.48</f>
        <v/>
      </c>
      <c r="H1340" s="16" t="inlineStr">
        <is>
          <t>MCHD-OLD</t>
        </is>
      </c>
      <c r="I1340" s="570" t="inlineStr">
        <is>
          <t>Elise Meader</t>
        </is>
      </c>
      <c r="J1340" s="557" t="n"/>
    </row>
    <row r="1341" ht="17.25" customFormat="1" customHeight="1" s="1">
      <c r="A1341" s="8" t="inlineStr">
        <is>
          <t>C 61</t>
        </is>
      </c>
      <c r="B1341" s="5" t="n">
        <v>340</v>
      </c>
      <c r="C1341" s="6" t="inlineStr">
        <is>
          <t>X</t>
        </is>
      </c>
      <c r="D1341" s="5" t="n">
        <v>83</v>
      </c>
      <c r="E1341" s="2">
        <f>B1341*D1341/10000</f>
        <v/>
      </c>
      <c r="F1341" s="3">
        <f>B1341/30.48</f>
        <v/>
      </c>
      <c r="G1341" s="3">
        <f>D1341/30.48</f>
        <v/>
      </c>
      <c r="H1341" s="69" t="inlineStr">
        <is>
          <t>MCHD-TR</t>
        </is>
      </c>
      <c r="I1341" s="534" t="inlineStr">
        <is>
          <t>Elaine Fields</t>
        </is>
      </c>
      <c r="J1341" s="545" t="n"/>
    </row>
    <row r="1342" ht="17.25" customFormat="1" customHeight="1" s="1">
      <c r="A1342" s="8" t="inlineStr">
        <is>
          <t>C 918</t>
        </is>
      </c>
      <c r="B1342" s="5" t="n">
        <v>88</v>
      </c>
      <c r="C1342" s="6" t="inlineStr">
        <is>
          <t>X</t>
        </is>
      </c>
      <c r="D1342" s="5" t="n">
        <v>228</v>
      </c>
      <c r="E1342" s="2">
        <f>B1342*D1342/10000</f>
        <v/>
      </c>
      <c r="F1342" s="3">
        <f>B1342/30.48</f>
        <v/>
      </c>
      <c r="G1342" s="3">
        <f>D1342/30.48</f>
        <v/>
      </c>
      <c r="H1342" s="69" t="inlineStr">
        <is>
          <t>MCHD-TR</t>
        </is>
      </c>
      <c r="I1342" s="570" t="inlineStr">
        <is>
          <t>maggie crandall</t>
        </is>
      </c>
      <c r="J1342" s="557" t="n"/>
    </row>
    <row r="1343" ht="18" customFormat="1" customHeight="1" s="1">
      <c r="A1343" s="8" t="n">
        <v>1172</v>
      </c>
      <c r="B1343" s="5" t="n">
        <v>72</v>
      </c>
      <c r="C1343" s="72" t="inlineStr">
        <is>
          <t>X</t>
        </is>
      </c>
      <c r="D1343" s="5" t="n">
        <v>312</v>
      </c>
      <c r="E1343" s="73">
        <f>B1343*D1343/10000</f>
        <v/>
      </c>
      <c r="F1343" s="74">
        <f>B1343/30.48</f>
        <v/>
      </c>
      <c r="G1343" s="74">
        <f>D1343/30.48</f>
        <v/>
      </c>
      <c r="H1343" s="66" t="inlineStr">
        <is>
          <t>MCHD-TR</t>
        </is>
      </c>
      <c r="I1343" s="534" t="inlineStr">
        <is>
          <t>Erin Rericha</t>
        </is>
      </c>
      <c r="J1343" s="545" t="n"/>
    </row>
    <row r="1344" ht="18" customFormat="1" customHeight="1" s="1">
      <c r="A1344" s="8" t="inlineStr">
        <is>
          <t>C 720</t>
        </is>
      </c>
      <c r="B1344" s="5" t="n">
        <v>81</v>
      </c>
      <c r="C1344" s="6" t="inlineStr">
        <is>
          <t>X</t>
        </is>
      </c>
      <c r="D1344" s="5" t="n">
        <v>131</v>
      </c>
      <c r="E1344" s="2">
        <f>B1344*D1344/10000</f>
        <v/>
      </c>
      <c r="F1344" s="3">
        <f>B1344/30.48</f>
        <v/>
      </c>
      <c r="G1344" s="3">
        <f>D1344/30.48</f>
        <v/>
      </c>
      <c r="H1344" s="694" t="n"/>
      <c r="I1344" s="693" t="n"/>
      <c r="J1344" s="693" t="n"/>
    </row>
    <row r="1345" ht="17.25" customFormat="1" customHeight="1" s="1">
      <c r="A1345" s="8" t="inlineStr">
        <is>
          <t>A 33</t>
        </is>
      </c>
      <c r="B1345" s="5" t="n">
        <v>61</v>
      </c>
      <c r="C1345" s="6" t="inlineStr">
        <is>
          <t>X</t>
        </is>
      </c>
      <c r="D1345" s="5" t="n">
        <v>156</v>
      </c>
      <c r="E1345" s="2">
        <f>B1345*D1345/10000</f>
        <v/>
      </c>
      <c r="F1345" s="3">
        <f>B1345/30.48</f>
        <v/>
      </c>
      <c r="G1345" s="3">
        <f>D1345/30.48</f>
        <v/>
      </c>
      <c r="H1345" s="69" t="inlineStr">
        <is>
          <t>MCHD-TR</t>
        </is>
      </c>
      <c r="I1345" s="191" t="inlineStr">
        <is>
          <t>Chandler Williams</t>
        </is>
      </c>
      <c r="J1345" s="557" t="n"/>
    </row>
    <row r="1346" ht="17.25" customFormat="1" customHeight="1" s="1">
      <c r="A1346" s="8" t="inlineStr">
        <is>
          <t>C 452</t>
        </is>
      </c>
      <c r="B1346" s="5" t="n">
        <v>198</v>
      </c>
      <c r="C1346" s="6" t="inlineStr">
        <is>
          <t>X</t>
        </is>
      </c>
      <c r="D1346" s="5" t="n">
        <v>300</v>
      </c>
      <c r="E1346" s="2">
        <f>B1346*D1346/10000</f>
        <v/>
      </c>
      <c r="F1346" s="3">
        <f>B1346/30.48</f>
        <v/>
      </c>
      <c r="G1346" s="3">
        <f>D1346/30.48</f>
        <v/>
      </c>
      <c r="H1346" s="69" t="inlineStr">
        <is>
          <t>MCHD-TR</t>
        </is>
      </c>
      <c r="I1346" s="535" t="inlineStr">
        <is>
          <t>Ralph Denning</t>
        </is>
      </c>
      <c r="J1346" s="546" t="n"/>
    </row>
    <row r="1347" ht="17.25" customFormat="1" customHeight="1" s="1">
      <c r="A1347" s="8" t="n">
        <v>1198</v>
      </c>
      <c r="B1347" s="5" t="n">
        <v>111</v>
      </c>
      <c r="C1347" s="72" t="inlineStr">
        <is>
          <t>X</t>
        </is>
      </c>
      <c r="D1347" s="5" t="n">
        <v>303</v>
      </c>
      <c r="E1347" s="73">
        <f>B1347*D1347/10000</f>
        <v/>
      </c>
      <c r="F1347" s="74">
        <f>B1347/30.48</f>
        <v/>
      </c>
      <c r="G1347" s="74">
        <f>D1347/30.48</f>
        <v/>
      </c>
      <c r="H1347" s="69" t="inlineStr">
        <is>
          <t>MCHD-TR</t>
        </is>
      </c>
      <c r="I1347" s="570" t="inlineStr">
        <is>
          <t>Jeni Ramsey</t>
        </is>
      </c>
      <c r="J1347" s="557" t="n"/>
    </row>
    <row r="1348" ht="17.25" customHeight="1" s="305">
      <c r="A1348" s="8" t="inlineStr">
        <is>
          <t>D 78</t>
        </is>
      </c>
      <c r="B1348" s="5" t="n">
        <v>55</v>
      </c>
      <c r="C1348" s="72" t="inlineStr">
        <is>
          <t>X</t>
        </is>
      </c>
      <c r="D1348" s="5" t="n">
        <v>99</v>
      </c>
      <c r="E1348" s="73">
        <f>B1348*D1348/10000</f>
        <v/>
      </c>
      <c r="F1348" s="74">
        <f>B1348/30.48</f>
        <v/>
      </c>
      <c r="G1348" s="74">
        <f>D1348/30.48</f>
        <v/>
      </c>
      <c r="H1348" s="16" t="inlineStr">
        <is>
          <t>MCHD-VR</t>
        </is>
      </c>
      <c r="I1348" s="570" t="inlineStr">
        <is>
          <t>Smruti Desai</t>
        </is>
      </c>
      <c r="J1348" s="557" t="inlineStr">
        <is>
          <t>US-281 799 5017</t>
        </is>
      </c>
    </row>
    <row r="1349" ht="17.25" customFormat="1" customHeight="1" s="1">
      <c r="A1349" s="8" t="n">
        <v>1739</v>
      </c>
      <c r="B1349" s="5" t="n">
        <v>290</v>
      </c>
      <c r="C1349" s="72" t="inlineStr">
        <is>
          <t>X</t>
        </is>
      </c>
      <c r="D1349" s="5" t="n">
        <v>383</v>
      </c>
      <c r="E1349" s="73">
        <f>B1349*D1349/10000</f>
        <v/>
      </c>
      <c r="F1349" s="74">
        <f>B1349/30.48</f>
        <v/>
      </c>
      <c r="G1349" s="74">
        <f>D1349/30.48</f>
        <v/>
      </c>
      <c r="H1349" s="553" t="inlineStr">
        <is>
          <t>MCHD-PAC</t>
        </is>
      </c>
      <c r="I1349" s="534" t="inlineStr">
        <is>
          <t>Tiffany Binkley</t>
        </is>
      </c>
      <c r="J1349" s="545" t="n"/>
    </row>
    <row r="1350" ht="17.25" customFormat="1" customHeight="1" s="1">
      <c r="A1350" s="8" t="inlineStr">
        <is>
          <t>C 320</t>
        </is>
      </c>
      <c r="B1350" s="5" t="n">
        <v>81</v>
      </c>
      <c r="C1350" s="6" t="inlineStr">
        <is>
          <t>X</t>
        </is>
      </c>
      <c r="D1350" s="5" t="n">
        <v>208</v>
      </c>
      <c r="E1350" s="2">
        <f>B1350*D1350/10000</f>
        <v/>
      </c>
      <c r="F1350" s="3">
        <f>B1350/30.48</f>
        <v/>
      </c>
      <c r="G1350" s="3">
        <f>D1350/30.48</f>
        <v/>
      </c>
      <c r="H1350" s="69" t="inlineStr">
        <is>
          <t>MCHD-TR</t>
        </is>
      </c>
      <c r="I1350" s="570" t="inlineStr">
        <is>
          <t>LIsa Walker</t>
        </is>
      </c>
      <c r="J1350" s="557" t="n"/>
    </row>
    <row r="1351" ht="17.25" customFormat="1" customHeight="1" s="1">
      <c r="A1351" s="8" t="n">
        <v>1255</v>
      </c>
      <c r="B1351" s="5" t="n">
        <v>66</v>
      </c>
      <c r="C1351" s="72" t="inlineStr">
        <is>
          <t>X</t>
        </is>
      </c>
      <c r="D1351" s="5" t="n">
        <v>340</v>
      </c>
      <c r="E1351" s="73">
        <f>B1351*D1351/10000</f>
        <v/>
      </c>
      <c r="F1351" s="74">
        <f>B1351/30.48</f>
        <v/>
      </c>
      <c r="G1351" s="74">
        <f>D1351/30.48</f>
        <v/>
      </c>
      <c r="H1351" s="69" t="inlineStr">
        <is>
          <t>MCHD-RK</t>
        </is>
      </c>
      <c r="I1351" s="570" t="inlineStr">
        <is>
          <t>Melanie McCracken</t>
        </is>
      </c>
      <c r="J1351" s="557" t="n"/>
    </row>
    <row r="1352" ht="17.25" customFormat="1" customHeight="1" s="1">
      <c r="A1352" s="8" t="n">
        <v>1171</v>
      </c>
      <c r="B1352" s="5" t="n">
        <v>93</v>
      </c>
      <c r="C1352" s="72" t="inlineStr">
        <is>
          <t>X</t>
        </is>
      </c>
      <c r="D1352" s="5" t="n">
        <v>266</v>
      </c>
      <c r="E1352" s="73">
        <f>B1352*D1352/10000</f>
        <v/>
      </c>
      <c r="F1352" s="74">
        <f>B1352/30.48</f>
        <v/>
      </c>
      <c r="G1352" s="74">
        <f>D1352/30.48</f>
        <v/>
      </c>
      <c r="H1352" s="16" t="inlineStr">
        <is>
          <t>MCHD-OLD</t>
        </is>
      </c>
      <c r="I1352" s="570" t="inlineStr">
        <is>
          <t>Grace Sorge</t>
        </is>
      </c>
      <c r="J1352" s="557" t="inlineStr">
        <is>
          <t>US-501 786 9899</t>
        </is>
      </c>
    </row>
    <row r="1353" ht="17.25" customFormat="1" customHeight="1" s="1">
      <c r="A1353" s="8" t="n">
        <v>1839</v>
      </c>
      <c r="B1353" s="5" t="n">
        <v>64</v>
      </c>
      <c r="C1353" s="72" t="inlineStr">
        <is>
          <t>X</t>
        </is>
      </c>
      <c r="D1353" s="5" t="n">
        <v>282</v>
      </c>
      <c r="E1353" s="73">
        <f>B1353*D1353/10000</f>
        <v/>
      </c>
      <c r="F1353" s="74">
        <f>B1353/30.48</f>
        <v/>
      </c>
      <c r="G1353" s="74">
        <f>D1353/30.48</f>
        <v/>
      </c>
      <c r="H1353" s="69" t="inlineStr">
        <is>
          <t>MCHD-TR</t>
        </is>
      </c>
      <c r="I1353" s="570" t="inlineStr">
        <is>
          <t>Amy Henderson</t>
        </is>
      </c>
      <c r="J1353" s="557" t="n"/>
    </row>
    <row r="1354" ht="17.25" customFormat="1" customHeight="1" s="1">
      <c r="A1354" s="8" t="n">
        <v>1020</v>
      </c>
      <c r="B1354" s="5" t="n">
        <v>122</v>
      </c>
      <c r="C1354" s="72" t="inlineStr">
        <is>
          <t>X</t>
        </is>
      </c>
      <c r="D1354" s="5" t="n">
        <v>386</v>
      </c>
      <c r="E1354" s="73">
        <f>B1354*D1354/10000</f>
        <v/>
      </c>
      <c r="F1354" s="74">
        <f>B1354/30.48</f>
        <v/>
      </c>
      <c r="G1354" s="74">
        <f>D1354/30.48</f>
        <v/>
      </c>
      <c r="H1354" s="69" t="inlineStr">
        <is>
          <t>MCHD-TR</t>
        </is>
      </c>
      <c r="I1354" s="534" t="inlineStr">
        <is>
          <t>Daniel Pelson</t>
        </is>
      </c>
      <c r="J1354" s="545" t="inlineStr">
        <is>
          <t>US-917 862 8785</t>
        </is>
      </c>
    </row>
    <row r="1355" ht="17.25" customFormat="1" customHeight="1" s="1">
      <c r="A1355" s="8" t="n">
        <v>6</v>
      </c>
      <c r="B1355" s="5" t="n">
        <v>88</v>
      </c>
      <c r="C1355" s="6" t="inlineStr">
        <is>
          <t>X</t>
        </is>
      </c>
      <c r="D1355" s="5" t="n">
        <v>46</v>
      </c>
      <c r="E1355" s="2">
        <f>B1355*D1355/10000</f>
        <v/>
      </c>
      <c r="F1355" s="3">
        <f>B1355/30.48</f>
        <v/>
      </c>
      <c r="G1355" s="3">
        <f>D1355/30.48</f>
        <v/>
      </c>
      <c r="H1355" s="16" t="inlineStr">
        <is>
          <t>MCHD-OLD</t>
        </is>
      </c>
      <c r="I1355" s="570" t="inlineStr">
        <is>
          <t>Rett McClellan</t>
        </is>
      </c>
      <c r="J1355" s="557" t="n"/>
    </row>
    <row r="1356" ht="17.25" customFormat="1" customHeight="1" s="1">
      <c r="A1356" s="8" t="inlineStr">
        <is>
          <t>Y 464</t>
        </is>
      </c>
      <c r="B1356" s="5" t="n">
        <v>348</v>
      </c>
      <c r="C1356" s="6" t="inlineStr">
        <is>
          <t>X</t>
        </is>
      </c>
      <c r="D1356" s="5" t="n">
        <v>231</v>
      </c>
      <c r="E1356" s="2">
        <f>B1356*D1356/10000</f>
        <v/>
      </c>
      <c r="F1356" s="3">
        <f>B1356/30.48</f>
        <v/>
      </c>
      <c r="G1356" s="3">
        <f>D1356/30.48</f>
        <v/>
      </c>
      <c r="H1356" s="69" t="inlineStr">
        <is>
          <t>MCHD-TR</t>
        </is>
      </c>
      <c r="I1356" s="570" t="inlineStr">
        <is>
          <t>JASMINE MASON</t>
        </is>
      </c>
      <c r="J1356" s="557" t="inlineStr">
        <is>
          <t>CA-604 319 0509</t>
        </is>
      </c>
    </row>
    <row r="1357" ht="17.25" customFormat="1" customHeight="1" s="1">
      <c r="A1357" s="8" t="inlineStr">
        <is>
          <t>C 308</t>
        </is>
      </c>
      <c r="B1357" s="5" t="n">
        <v>90</v>
      </c>
      <c r="C1357" s="6" t="inlineStr">
        <is>
          <t>X</t>
        </is>
      </c>
      <c r="D1357" s="5" t="n">
        <v>323</v>
      </c>
      <c r="E1357" s="2">
        <f>B1357*D1357/10000</f>
        <v/>
      </c>
      <c r="F1357" s="3">
        <f>B1357/30.48</f>
        <v/>
      </c>
      <c r="G1357" s="3">
        <f>D1357/30.48</f>
        <v/>
      </c>
      <c r="H1357" s="69" t="inlineStr">
        <is>
          <t>MCHD-TR</t>
        </is>
      </c>
      <c r="I1357" s="570" t="inlineStr">
        <is>
          <t>Amber McLain</t>
        </is>
      </c>
      <c r="J1357" s="557" t="inlineStr">
        <is>
          <t>US-682 701 3345</t>
        </is>
      </c>
    </row>
    <row r="1358">
      <c r="A1358" s="536" t="inlineStr">
        <is>
          <t>-2024 OCAK-66</t>
        </is>
      </c>
      <c r="H1358" s="104" t="inlineStr">
        <is>
          <t>SATAN-SİTE</t>
        </is>
      </c>
      <c r="I1358" s="98" t="inlineStr">
        <is>
          <t>MÜŞTERİ ADI</t>
        </is>
      </c>
      <c r="J1358" s="63" t="inlineStr">
        <is>
          <t>MÜŞTERİ İLETİŞİM &amp; ÜLKE</t>
        </is>
      </c>
    </row>
    <row r="1359" ht="17.25" customFormat="1" customHeight="1" s="1">
      <c r="A1359" s="8" t="n">
        <v>1104</v>
      </c>
      <c r="B1359" s="5" t="n">
        <v>313</v>
      </c>
      <c r="C1359" s="6" t="inlineStr">
        <is>
          <t>X</t>
        </is>
      </c>
      <c r="D1359" s="5" t="n">
        <v>211</v>
      </c>
      <c r="E1359" s="2">
        <f>B1359*D1359/10000</f>
        <v/>
      </c>
      <c r="F1359" s="3">
        <f>B1359/30.48</f>
        <v/>
      </c>
      <c r="G1359" s="3">
        <f>D1359/30.48</f>
        <v/>
      </c>
      <c r="H1359" s="69" t="inlineStr">
        <is>
          <t>HEAVEN</t>
        </is>
      </c>
      <c r="I1359" s="570" t="inlineStr">
        <is>
          <t>Christopher Gilmore</t>
        </is>
      </c>
      <c r="J1359" s="557" t="inlineStr">
        <is>
          <t>US-619 991 6001</t>
        </is>
      </c>
    </row>
    <row r="1360" ht="17.25" customFormat="1" customHeight="1" s="1">
      <c r="A1360" s="8" t="inlineStr">
        <is>
          <t xml:space="preserve">C 714 </t>
        </is>
      </c>
      <c r="B1360" s="5" t="n">
        <v>97</v>
      </c>
      <c r="C1360" s="6" t="inlineStr">
        <is>
          <t>X</t>
        </is>
      </c>
      <c r="D1360" s="5" t="n">
        <v>160</v>
      </c>
      <c r="E1360" s="2">
        <f>B1360*D1360/10000</f>
        <v/>
      </c>
      <c r="F1360" s="3">
        <f>B1360/30.48</f>
        <v/>
      </c>
      <c r="G1360" s="3">
        <f>D1360/30.48</f>
        <v/>
      </c>
      <c r="H1360" s="69" t="inlineStr">
        <is>
          <t>MCHD-RK</t>
        </is>
      </c>
      <c r="I1360" s="570" t="inlineStr">
        <is>
          <t>alix Delahaye</t>
        </is>
      </c>
      <c r="J1360" s="557" t="inlineStr">
        <is>
          <t>HK-852 9314 1544</t>
        </is>
      </c>
    </row>
    <row r="1361" ht="17.25" customFormat="1" customHeight="1" s="1">
      <c r="A1361" s="8" t="n">
        <v>2036</v>
      </c>
      <c r="B1361" s="5" t="n">
        <v>91</v>
      </c>
      <c r="C1361" s="72" t="inlineStr">
        <is>
          <t>X</t>
        </is>
      </c>
      <c r="D1361" s="5" t="n">
        <v>386</v>
      </c>
      <c r="E1361" s="73">
        <f>B1361*D1361/10000</f>
        <v/>
      </c>
      <c r="F1361" s="74">
        <f>B1361/30.48</f>
        <v/>
      </c>
      <c r="G1361" s="74">
        <f>D1361/30.48</f>
        <v/>
      </c>
      <c r="H1361" s="553" t="inlineStr">
        <is>
          <t>MCHD-PAC</t>
        </is>
      </c>
      <c r="I1361" s="570" t="inlineStr">
        <is>
          <t>Jenny Pelson</t>
        </is>
      </c>
      <c r="J1361" s="557" t="inlineStr">
        <is>
          <t>US-917 862 8785</t>
        </is>
      </c>
    </row>
    <row r="1362" ht="17.25" customFormat="1" customHeight="1" s="1">
      <c r="A1362" s="8" t="inlineStr">
        <is>
          <t>C 481</t>
        </is>
      </c>
      <c r="B1362" s="5" t="n">
        <v>157</v>
      </c>
      <c r="C1362" s="6" t="inlineStr">
        <is>
          <t>X</t>
        </is>
      </c>
      <c r="D1362" s="5" t="n">
        <v>300</v>
      </c>
      <c r="E1362" s="2">
        <f>B1362*D1362/10000</f>
        <v/>
      </c>
      <c r="F1362" s="3">
        <f>B1362/30.48</f>
        <v/>
      </c>
      <c r="G1362" s="3">
        <f>D1362/30.48</f>
        <v/>
      </c>
      <c r="H1362" s="69" t="inlineStr">
        <is>
          <t>MCHD-TR</t>
        </is>
      </c>
      <c r="I1362" s="570" t="inlineStr">
        <is>
          <t>RaeAnn Bussola</t>
        </is>
      </c>
      <c r="J1362" s="557" t="inlineStr">
        <is>
          <t>US-310 592 6585</t>
        </is>
      </c>
    </row>
    <row r="1363" ht="17.25" customFormat="1" customHeight="1" s="1">
      <c r="A1363" s="8" t="n">
        <v>1311</v>
      </c>
      <c r="B1363" s="5" t="n">
        <v>86</v>
      </c>
      <c r="C1363" s="72" t="inlineStr">
        <is>
          <t>X</t>
        </is>
      </c>
      <c r="D1363" s="5" t="n">
        <v>274</v>
      </c>
      <c r="E1363" s="73">
        <f>B1363*D1363/10000</f>
        <v/>
      </c>
      <c r="F1363" s="74">
        <f>B1363/30.48</f>
        <v/>
      </c>
      <c r="G1363" s="74">
        <f>D1363/30.48</f>
        <v/>
      </c>
      <c r="H1363" s="69" t="inlineStr">
        <is>
          <t>MCHD-RK</t>
        </is>
      </c>
      <c r="I1363" s="570" t="inlineStr">
        <is>
          <t>LAUREN MEISNER</t>
        </is>
      </c>
      <c r="J1363" s="557" t="inlineStr">
        <is>
          <t>CA-902 365 3077</t>
        </is>
      </c>
    </row>
    <row r="1364" ht="17.25" customHeight="1" s="305">
      <c r="A1364" s="8" t="inlineStr">
        <is>
          <t>D 133</t>
        </is>
      </c>
      <c r="B1364" s="5" t="n">
        <v>53</v>
      </c>
      <c r="C1364" s="72" t="inlineStr">
        <is>
          <t>X</t>
        </is>
      </c>
      <c r="D1364" s="5" t="n">
        <v>96</v>
      </c>
      <c r="E1364" s="73">
        <f>B1364*D1364/10000</f>
        <v/>
      </c>
      <c r="F1364" s="74">
        <f>B1364/30.48</f>
        <v/>
      </c>
      <c r="G1364" s="74">
        <f>D1364/30.48</f>
        <v/>
      </c>
      <c r="H1364" s="16" t="inlineStr">
        <is>
          <t>MCHD-OLD</t>
        </is>
      </c>
      <c r="I1364" s="570" t="inlineStr">
        <is>
          <t>Amy Bennett</t>
        </is>
      </c>
      <c r="J1364" s="557" t="n"/>
    </row>
    <row r="1365" ht="17.25" customHeight="1" s="305">
      <c r="A1365" s="8" t="inlineStr">
        <is>
          <t>D 138</t>
        </is>
      </c>
      <c r="B1365" s="5" t="n">
        <v>49</v>
      </c>
      <c r="C1365" s="72" t="inlineStr">
        <is>
          <t>X</t>
        </is>
      </c>
      <c r="D1365" s="5" t="n">
        <v>93</v>
      </c>
      <c r="E1365" s="73">
        <f>B1365*D1365/10000</f>
        <v/>
      </c>
      <c r="F1365" s="74">
        <f>B1365/30.48</f>
        <v/>
      </c>
      <c r="G1365" s="74">
        <f>D1365/30.48</f>
        <v/>
      </c>
      <c r="H1365" s="16" t="inlineStr">
        <is>
          <t>MCHD-OLD</t>
        </is>
      </c>
      <c r="I1365" s="570" t="inlineStr">
        <is>
          <t>Aleah La Neve</t>
        </is>
      </c>
      <c r="J1365" s="557" t="n"/>
    </row>
    <row r="1366" ht="17.25" customFormat="1" customHeight="1" s="1">
      <c r="A1366" s="8" t="n">
        <v>1548</v>
      </c>
      <c r="B1366" s="5" t="n">
        <v>126</v>
      </c>
      <c r="C1366" s="72" t="inlineStr">
        <is>
          <t>X</t>
        </is>
      </c>
      <c r="D1366" s="5" t="n">
        <v>67</v>
      </c>
      <c r="E1366" s="73">
        <f>B1366*D1366/10000</f>
        <v/>
      </c>
      <c r="F1366" s="74">
        <f>B1366/30.48</f>
        <v/>
      </c>
      <c r="G1366" s="74">
        <f>D1366/30.48</f>
        <v/>
      </c>
      <c r="H1366" s="69" t="inlineStr">
        <is>
          <t>MCHD-TR</t>
        </is>
      </c>
      <c r="I1366" s="570" t="inlineStr">
        <is>
          <t>Lisa Selvig</t>
        </is>
      </c>
      <c r="J1366" s="557" t="n"/>
    </row>
    <row r="1367" ht="17.25" customFormat="1" customHeight="1" s="1">
      <c r="A1367" s="8" t="inlineStr">
        <is>
          <t>A 75</t>
        </is>
      </c>
      <c r="B1367" s="5" t="n">
        <v>90</v>
      </c>
      <c r="C1367" s="6" t="inlineStr">
        <is>
          <t>X</t>
        </is>
      </c>
      <c r="D1367" s="5" t="n">
        <v>390</v>
      </c>
      <c r="E1367" s="2">
        <f>B1367*D1367/10000</f>
        <v/>
      </c>
      <c r="F1367" s="3">
        <f>B1367/30.48</f>
        <v/>
      </c>
      <c r="G1367" s="3">
        <f>D1367/30.48</f>
        <v/>
      </c>
      <c r="H1367" s="69" t="inlineStr">
        <is>
          <t>MCHD-TR</t>
        </is>
      </c>
      <c r="I1367" s="570" t="inlineStr">
        <is>
          <t>Leslie Henshaw</t>
        </is>
      </c>
      <c r="J1367" s="557" t="n"/>
    </row>
    <row r="1368" ht="17.25" customFormat="1" customHeight="1" s="1">
      <c r="A1368" s="8" t="inlineStr">
        <is>
          <t>Y 168</t>
        </is>
      </c>
      <c r="B1368" s="5" t="n">
        <v>265</v>
      </c>
      <c r="C1368" s="6" t="inlineStr">
        <is>
          <t>X</t>
        </is>
      </c>
      <c r="D1368" s="5" t="n">
        <v>93</v>
      </c>
      <c r="E1368" s="2">
        <f>B1368*D1368/10000</f>
        <v/>
      </c>
      <c r="F1368" s="3">
        <f>B1368/30.48</f>
        <v/>
      </c>
      <c r="G1368" s="3">
        <f>D1368/30.48</f>
        <v/>
      </c>
      <c r="H1368" s="66" t="inlineStr">
        <is>
          <t>MCHD-TR</t>
        </is>
      </c>
      <c r="I1368" s="534" t="inlineStr">
        <is>
          <t>Lawren Howell</t>
        </is>
      </c>
      <c r="J1368" s="545" t="n"/>
    </row>
    <row r="1369" ht="17.25" customFormat="1" customHeight="1" s="1">
      <c r="A1369" s="8" t="n">
        <v>1483</v>
      </c>
      <c r="B1369" s="5" t="n">
        <v>80</v>
      </c>
      <c r="C1369" s="72" t="inlineStr">
        <is>
          <t>X</t>
        </is>
      </c>
      <c r="D1369" s="5" t="n">
        <v>240</v>
      </c>
      <c r="E1369" s="73">
        <f>B1369*D1369/10000</f>
        <v/>
      </c>
      <c r="F1369" s="74">
        <f>B1369/30.48</f>
        <v/>
      </c>
      <c r="G1369" s="74">
        <f>D1369/30.48</f>
        <v/>
      </c>
      <c r="H1369" s="694" t="n"/>
      <c r="I1369" s="693" t="n"/>
      <c r="J1369" s="693" t="n"/>
    </row>
    <row r="1370" ht="17.25" customFormat="1" customHeight="1" s="1">
      <c r="A1370" s="8" t="inlineStr">
        <is>
          <t>Y 150</t>
        </is>
      </c>
      <c r="B1370" s="5" t="n">
        <v>262</v>
      </c>
      <c r="C1370" s="6" t="inlineStr">
        <is>
          <t>X</t>
        </is>
      </c>
      <c r="D1370" s="5" t="n">
        <v>185</v>
      </c>
      <c r="E1370" s="2">
        <f>B1370*D1370/10000</f>
        <v/>
      </c>
      <c r="F1370" s="3">
        <f>B1370/30.48</f>
        <v/>
      </c>
      <c r="G1370" s="3">
        <f>D1370/30.48</f>
        <v/>
      </c>
      <c r="H1370" s="16" t="inlineStr">
        <is>
          <t>MCHD-OLD</t>
        </is>
      </c>
      <c r="I1370" s="570" t="inlineStr">
        <is>
          <t>Hyla Frank</t>
        </is>
      </c>
      <c r="J1370" s="557" t="inlineStr">
        <is>
          <t>US-310 975 5115</t>
        </is>
      </c>
    </row>
    <row r="1371" ht="17.25" customHeight="1" s="305">
      <c r="A1371" s="8" t="inlineStr">
        <is>
          <t>D 269</t>
        </is>
      </c>
      <c r="B1371" s="5" t="n">
        <v>50</v>
      </c>
      <c r="C1371" s="72" t="inlineStr">
        <is>
          <t>X</t>
        </is>
      </c>
      <c r="D1371" s="5" t="n">
        <v>96</v>
      </c>
      <c r="E1371" s="73">
        <f>B1371*D1371/10000</f>
        <v/>
      </c>
      <c r="F1371" s="74">
        <f>B1371/30.48</f>
        <v/>
      </c>
      <c r="G1371" s="74">
        <f>D1371/30.48</f>
        <v/>
      </c>
      <c r="H1371" s="16" t="inlineStr">
        <is>
          <t>MCHD-OLD</t>
        </is>
      </c>
      <c r="I1371" s="570" t="inlineStr">
        <is>
          <t>Miranda Branchcomb</t>
        </is>
      </c>
      <c r="J1371" s="557" t="n"/>
    </row>
    <row r="1372" ht="17.25" customFormat="1" customHeight="1" s="1">
      <c r="A1372" s="8" t="n">
        <v>1126</v>
      </c>
      <c r="B1372" s="5" t="n">
        <v>91</v>
      </c>
      <c r="C1372" s="72" t="inlineStr">
        <is>
          <t>X</t>
        </is>
      </c>
      <c r="D1372" s="5" t="n">
        <v>377</v>
      </c>
      <c r="E1372" s="73">
        <f>B1372*D1372/10000</f>
        <v/>
      </c>
      <c r="F1372" s="74">
        <f>B1372/30.48</f>
        <v/>
      </c>
      <c r="G1372" s="74">
        <f>D1372/30.48</f>
        <v/>
      </c>
      <c r="H1372" s="553" t="inlineStr">
        <is>
          <t>MCHD-PAC</t>
        </is>
      </c>
      <c r="I1372" s="570" t="inlineStr">
        <is>
          <t>Marlena Kane</t>
        </is>
      </c>
      <c r="J1372" s="557" t="inlineStr">
        <is>
          <t>US-952 693 3794</t>
        </is>
      </c>
    </row>
    <row r="1373" ht="17.25" customFormat="1" customHeight="1" s="1">
      <c r="A1373" s="8" t="inlineStr">
        <is>
          <t>C 972</t>
        </is>
      </c>
      <c r="B1373" s="5" t="n">
        <v>148</v>
      </c>
      <c r="C1373" s="6" t="inlineStr">
        <is>
          <t>X</t>
        </is>
      </c>
      <c r="D1373" s="5" t="n">
        <v>244</v>
      </c>
      <c r="E1373" s="2">
        <f>B1373*D1373/10000</f>
        <v/>
      </c>
      <c r="F1373" s="3">
        <f>B1373/30.48</f>
        <v/>
      </c>
      <c r="G1373" s="3">
        <f>D1373/30.48</f>
        <v/>
      </c>
      <c r="H1373" s="553" t="inlineStr">
        <is>
          <t>MCHD-PAC</t>
        </is>
      </c>
      <c r="I1373" s="570" t="inlineStr">
        <is>
          <t>Andrea Prickett</t>
        </is>
      </c>
      <c r="J1373" s="557" t="inlineStr">
        <is>
          <t>US-478 636 0221</t>
        </is>
      </c>
    </row>
    <row r="1374" ht="17.25" customFormat="1" customHeight="1" s="1">
      <c r="A1374" s="8" t="n">
        <v>1914</v>
      </c>
      <c r="B1374" s="5" t="n">
        <v>200</v>
      </c>
      <c r="C1374" s="72" t="inlineStr">
        <is>
          <t>X</t>
        </is>
      </c>
      <c r="D1374" s="5" t="n">
        <v>306</v>
      </c>
      <c r="E1374" s="73">
        <f>B1374*D1374/10000</f>
        <v/>
      </c>
      <c r="F1374" s="74">
        <f>B1374/30.48</f>
        <v/>
      </c>
      <c r="G1374" s="74">
        <f>D1374/30.48</f>
        <v/>
      </c>
      <c r="H1374" s="69" t="inlineStr">
        <is>
          <t>MCHD-TR</t>
        </is>
      </c>
      <c r="I1374" s="570" t="inlineStr">
        <is>
          <t>Marjorie Williamson</t>
        </is>
      </c>
      <c r="J1374" s="557" t="inlineStr">
        <is>
          <t>US-307 763 0009</t>
        </is>
      </c>
    </row>
    <row r="1375" ht="17.25" customFormat="1" customHeight="1" s="1">
      <c r="A1375" s="8" t="inlineStr">
        <is>
          <t>C 683</t>
        </is>
      </c>
      <c r="B1375" s="5" t="n">
        <v>89</v>
      </c>
      <c r="C1375" s="6" t="inlineStr">
        <is>
          <t>X</t>
        </is>
      </c>
      <c r="D1375" s="5" t="n">
        <v>189</v>
      </c>
      <c r="E1375" s="2">
        <f>B1375*D1375/10000</f>
        <v/>
      </c>
      <c r="F1375" s="3">
        <f>B1375/30.48</f>
        <v/>
      </c>
      <c r="G1375" s="3">
        <f>D1375/30.48</f>
        <v/>
      </c>
      <c r="H1375" s="69" t="inlineStr">
        <is>
          <t>MCHD-TR</t>
        </is>
      </c>
      <c r="I1375" s="570" t="inlineStr">
        <is>
          <t>Tammy Caciola</t>
        </is>
      </c>
      <c r="J1375" s="557" t="inlineStr">
        <is>
          <t>US-602 315 7810</t>
        </is>
      </c>
    </row>
    <row r="1376" ht="17.25" customFormat="1" customHeight="1" s="1">
      <c r="A1376" s="8" t="n">
        <v>1009</v>
      </c>
      <c r="B1376" s="5" t="n">
        <v>82</v>
      </c>
      <c r="C1376" s="72" t="inlineStr">
        <is>
          <t>X</t>
        </is>
      </c>
      <c r="D1376" s="5" t="n">
        <v>265</v>
      </c>
      <c r="E1376" s="73">
        <f>B1376*D1376/10000</f>
        <v/>
      </c>
      <c r="F1376" s="74">
        <f>B1376/30.48</f>
        <v/>
      </c>
      <c r="G1376" s="74">
        <f>D1376/30.48</f>
        <v/>
      </c>
      <c r="H1376" s="69" t="inlineStr">
        <is>
          <t>MCHD-TR</t>
        </is>
      </c>
      <c r="I1376" s="570" t="inlineStr">
        <is>
          <t>Paige Dvorak</t>
        </is>
      </c>
      <c r="J1376" s="557" t="inlineStr">
        <is>
          <t>US-210 422 3678</t>
        </is>
      </c>
    </row>
    <row r="1377" ht="17.25" customHeight="1" s="305">
      <c r="A1377" s="8" t="inlineStr">
        <is>
          <t>D 15</t>
        </is>
      </c>
      <c r="B1377" s="5" t="n">
        <v>53</v>
      </c>
      <c r="C1377" s="72" t="inlineStr">
        <is>
          <t>X</t>
        </is>
      </c>
      <c r="D1377" s="5" t="n">
        <v>112</v>
      </c>
      <c r="E1377" s="73">
        <f>B1377*D1377/10000</f>
        <v/>
      </c>
      <c r="F1377" s="74">
        <f>B1377/30.48</f>
        <v/>
      </c>
      <c r="G1377" s="74">
        <f>D1377/30.48</f>
        <v/>
      </c>
      <c r="H1377" s="16" t="inlineStr">
        <is>
          <t>MCHD-VR</t>
        </is>
      </c>
      <c r="I1377" s="534" t="inlineStr">
        <is>
          <t>Adelaide Johnson</t>
        </is>
      </c>
      <c r="J1377" s="545" t="n"/>
    </row>
    <row r="1378" ht="17.25" customFormat="1" customHeight="1" s="1">
      <c r="A1378" s="8" t="n">
        <v>1641</v>
      </c>
      <c r="B1378" s="5" t="n">
        <v>334</v>
      </c>
      <c r="C1378" s="72" t="inlineStr">
        <is>
          <t>X</t>
        </is>
      </c>
      <c r="D1378" s="5" t="n">
        <v>131</v>
      </c>
      <c r="E1378" s="73">
        <f>B1378*D1378/10000</f>
        <v/>
      </c>
      <c r="F1378" s="74">
        <f>B1378/30.48</f>
        <v/>
      </c>
      <c r="G1378" s="74">
        <f>D1378/30.48</f>
        <v/>
      </c>
      <c r="H1378" s="69" t="inlineStr">
        <is>
          <t>MCHD-TR</t>
        </is>
      </c>
      <c r="I1378" s="570" t="inlineStr">
        <is>
          <t>Graci Interiors</t>
        </is>
      </c>
      <c r="J1378" s="557" t="inlineStr">
        <is>
          <t>US-504 452 0051</t>
        </is>
      </c>
    </row>
    <row r="1379" ht="17.25" customFormat="1" customHeight="1" s="1">
      <c r="A1379" s="8" t="n">
        <v>2095</v>
      </c>
      <c r="B1379" s="5" t="n">
        <v>83</v>
      </c>
      <c r="C1379" s="72" t="inlineStr">
        <is>
          <t>X</t>
        </is>
      </c>
      <c r="D1379" s="5" t="n">
        <v>475</v>
      </c>
      <c r="E1379" s="73">
        <f>B1379*D1379/10000</f>
        <v/>
      </c>
      <c r="F1379" s="74">
        <f>B1379/30.48</f>
        <v/>
      </c>
      <c r="G1379" s="74">
        <f>D1379/30.48</f>
        <v/>
      </c>
      <c r="H1379" s="553" t="inlineStr">
        <is>
          <t>MCHD-PAC</t>
        </is>
      </c>
      <c r="I1379" s="570" t="inlineStr">
        <is>
          <t>Alexis Wessell</t>
        </is>
      </c>
      <c r="J1379" s="557" t="n"/>
    </row>
    <row r="1380" ht="17.25" customFormat="1" customHeight="1" s="1">
      <c r="A1380" s="8" t="n">
        <v>1023</v>
      </c>
      <c r="B1380" s="5" t="n">
        <v>144</v>
      </c>
      <c r="C1380" s="72" t="inlineStr">
        <is>
          <t>X</t>
        </is>
      </c>
      <c r="D1380" s="5" t="n">
        <v>184</v>
      </c>
      <c r="E1380" s="73">
        <f>B1380*D1380/10000</f>
        <v/>
      </c>
      <c r="F1380" s="74">
        <f>B1380/30.48</f>
        <v/>
      </c>
      <c r="G1380" s="74">
        <f>D1380/30.48</f>
        <v/>
      </c>
      <c r="H1380" s="69" t="inlineStr">
        <is>
          <t>MCHD-TR</t>
        </is>
      </c>
      <c r="I1380" s="570" t="inlineStr">
        <is>
          <t>Julie F. Daniels</t>
        </is>
      </c>
      <c r="J1380" s="557" t="inlineStr">
        <is>
          <t>US-804 356 4135</t>
        </is>
      </c>
    </row>
    <row r="1381" ht="17.25" customFormat="1" customHeight="1" s="1">
      <c r="A1381" s="8" t="inlineStr">
        <is>
          <t>C 747</t>
        </is>
      </c>
      <c r="B1381" s="5" t="n">
        <v>138</v>
      </c>
      <c r="C1381" s="6" t="inlineStr">
        <is>
          <t>X</t>
        </is>
      </c>
      <c r="D1381" s="5" t="n">
        <v>204</v>
      </c>
      <c r="E1381" s="2">
        <f>B1381*D1381/10000</f>
        <v/>
      </c>
      <c r="F1381" s="3">
        <f>B1381/30.48</f>
        <v/>
      </c>
      <c r="G1381" s="3">
        <f>D1381/30.48</f>
        <v/>
      </c>
      <c r="H1381" s="69" t="inlineStr">
        <is>
          <t>MCHD-RK</t>
        </is>
      </c>
      <c r="I1381" s="534" t="inlineStr">
        <is>
          <t>Kelsey Hutchins</t>
        </is>
      </c>
      <c r="J1381" s="545" t="inlineStr">
        <is>
          <t>US-512 762 6998</t>
        </is>
      </c>
    </row>
    <row r="1382" ht="17.25" customFormat="1" customHeight="1" s="1">
      <c r="A1382" s="8" t="n">
        <v>1909</v>
      </c>
      <c r="B1382" s="5" t="n">
        <v>65</v>
      </c>
      <c r="C1382" s="72" t="inlineStr">
        <is>
          <t>X</t>
        </is>
      </c>
      <c r="D1382" s="5" t="n">
        <v>263</v>
      </c>
      <c r="E1382" s="73">
        <f>B1382*D1382/10000</f>
        <v/>
      </c>
      <c r="F1382" s="74">
        <f>B1382/30.48</f>
        <v/>
      </c>
      <c r="G1382" s="74">
        <f>D1382/30.48</f>
        <v/>
      </c>
      <c r="H1382" s="69" t="inlineStr">
        <is>
          <t>MCHD-TR</t>
        </is>
      </c>
      <c r="I1382" s="570" t="inlineStr">
        <is>
          <t>Cory Rohan</t>
        </is>
      </c>
      <c r="J1382" s="557" t="n"/>
    </row>
    <row r="1383" ht="17.25" customFormat="1" customHeight="1" s="1">
      <c r="A1383" s="8" t="n">
        <v>1621</v>
      </c>
      <c r="B1383" s="5" t="n">
        <v>487</v>
      </c>
      <c r="C1383" s="72" t="inlineStr">
        <is>
          <t>X</t>
        </is>
      </c>
      <c r="D1383" s="5" t="n">
        <v>85</v>
      </c>
      <c r="E1383" s="73">
        <f>B1383*D1383/10000</f>
        <v/>
      </c>
      <c r="F1383" s="74">
        <f>B1383/30.48</f>
        <v/>
      </c>
      <c r="G1383" s="74">
        <f>D1383/30.48</f>
        <v/>
      </c>
      <c r="H1383" s="69" t="inlineStr">
        <is>
          <t>MCHD-TR</t>
        </is>
      </c>
      <c r="I1383" s="570" t="inlineStr">
        <is>
          <t>Joanne Anthony</t>
        </is>
      </c>
      <c r="J1383" s="557" t="n"/>
    </row>
    <row r="1384" ht="17.25" customFormat="1" customHeight="1" s="1">
      <c r="A1384" s="8" t="n">
        <v>1092</v>
      </c>
      <c r="B1384" s="5" t="n">
        <v>92</v>
      </c>
      <c r="C1384" s="72" t="inlineStr">
        <is>
          <t>X</t>
        </is>
      </c>
      <c r="D1384" s="5" t="n">
        <v>416</v>
      </c>
      <c r="E1384" s="73">
        <f>B1384*D1384/10000</f>
        <v/>
      </c>
      <c r="F1384" s="74">
        <f>B1384/30.48</f>
        <v/>
      </c>
      <c r="G1384" s="74">
        <f>D1384/30.48</f>
        <v/>
      </c>
      <c r="H1384" s="16" t="inlineStr">
        <is>
          <t>MCHD-OLD</t>
        </is>
      </c>
      <c r="I1384" s="570" t="inlineStr">
        <is>
          <t>Lauren Branch</t>
        </is>
      </c>
      <c r="J1384" s="557" t="inlineStr">
        <is>
          <t>US-919 610 1526</t>
        </is>
      </c>
    </row>
    <row r="1385" ht="17.25" customFormat="1" customHeight="1" s="1">
      <c r="A1385" s="8" t="n">
        <v>1071</v>
      </c>
      <c r="B1385" s="5" t="n">
        <v>85</v>
      </c>
      <c r="C1385" s="72" t="inlineStr">
        <is>
          <t>X</t>
        </is>
      </c>
      <c r="D1385" s="5" t="n">
        <v>310</v>
      </c>
      <c r="E1385" s="73">
        <f>B1385*D1385/10000</f>
        <v/>
      </c>
      <c r="F1385" s="74">
        <f>B1385/30.48</f>
        <v/>
      </c>
      <c r="G1385" s="74">
        <f>D1385/30.48</f>
        <v/>
      </c>
      <c r="H1385" s="66" t="inlineStr">
        <is>
          <t>MCHD-TR</t>
        </is>
      </c>
      <c r="I1385" s="570" t="inlineStr">
        <is>
          <t>Meagan Woods</t>
        </is>
      </c>
      <c r="J1385" s="557" t="inlineStr">
        <is>
          <t>US-303 807 4222</t>
        </is>
      </c>
    </row>
    <row r="1386" ht="17.25" customFormat="1" customHeight="1" s="1">
      <c r="A1386" s="8" t="inlineStr">
        <is>
          <t>Y 634</t>
        </is>
      </c>
      <c r="B1386" s="5" t="n">
        <v>302</v>
      </c>
      <c r="C1386" s="6" t="inlineStr">
        <is>
          <t>X</t>
        </is>
      </c>
      <c r="D1386" s="5" t="n">
        <v>78</v>
      </c>
      <c r="E1386" s="2">
        <f>B1386*D1386/10000</f>
        <v/>
      </c>
      <c r="F1386" s="3">
        <f>B1386/30.48</f>
        <v/>
      </c>
      <c r="G1386" s="3">
        <f>D1386/30.48</f>
        <v/>
      </c>
      <c r="H1386" s="693" t="n"/>
      <c r="I1386" s="693" t="n"/>
      <c r="J1386" s="693" t="n"/>
    </row>
    <row r="1387" ht="17.25" customFormat="1" customHeight="1" s="1">
      <c r="A1387" s="8" t="inlineStr">
        <is>
          <t>C 118</t>
        </is>
      </c>
      <c r="B1387" s="5" t="n">
        <v>330</v>
      </c>
      <c r="C1387" s="6" t="inlineStr">
        <is>
          <t>X</t>
        </is>
      </c>
      <c r="D1387" s="5" t="n">
        <v>79</v>
      </c>
      <c r="E1387" s="2">
        <f>B1387*D1387/10000</f>
        <v/>
      </c>
      <c r="F1387" s="3">
        <f>B1387/30.48</f>
        <v/>
      </c>
      <c r="G1387" s="3">
        <f>D1387/30.48</f>
        <v/>
      </c>
      <c r="H1387" s="694" t="n"/>
      <c r="I1387" s="694" t="n"/>
      <c r="J1387" s="694" t="n"/>
    </row>
    <row r="1388" ht="17.25" customFormat="1" customHeight="1" s="1">
      <c r="A1388" s="8" t="n">
        <v>1683</v>
      </c>
      <c r="B1388" s="5" t="n">
        <v>186</v>
      </c>
      <c r="C1388" s="72" t="inlineStr">
        <is>
          <t>X</t>
        </is>
      </c>
      <c r="D1388" s="5" t="n">
        <v>90</v>
      </c>
      <c r="E1388" s="73">
        <f>B1388*D1388/10000</f>
        <v/>
      </c>
      <c r="F1388" s="74">
        <f>B1388/30.48</f>
        <v/>
      </c>
      <c r="G1388" s="74">
        <f>D1388/30.48</f>
        <v/>
      </c>
      <c r="H1388" s="553" t="inlineStr">
        <is>
          <t>MCHD-PAC</t>
        </is>
      </c>
      <c r="I1388" s="570" t="inlineStr">
        <is>
          <t>Emily Littlefield</t>
        </is>
      </c>
      <c r="J1388" s="557" t="n"/>
    </row>
    <row r="1389" ht="17.25" customFormat="1" customHeight="1" s="1">
      <c r="A1389" s="8" t="n">
        <v>2070</v>
      </c>
      <c r="B1389" s="5" t="n">
        <v>80</v>
      </c>
      <c r="C1389" s="72" t="inlineStr">
        <is>
          <t>X</t>
        </is>
      </c>
      <c r="D1389" s="5" t="n">
        <v>244</v>
      </c>
      <c r="E1389" s="73">
        <f>B1389*D1389/10000</f>
        <v/>
      </c>
      <c r="F1389" s="74">
        <f>B1389/30.48</f>
        <v/>
      </c>
      <c r="G1389" s="74">
        <f>D1389/30.48</f>
        <v/>
      </c>
      <c r="H1389" s="553" t="inlineStr">
        <is>
          <t>MCHD-PAC</t>
        </is>
      </c>
      <c r="I1389" s="570" t="inlineStr">
        <is>
          <t>Sheila Farmer</t>
        </is>
      </c>
      <c r="J1389" s="557" t="n"/>
    </row>
    <row r="1390" ht="17.25" customFormat="1" customHeight="1" s="1">
      <c r="A1390" s="8" t="n">
        <v>1484</v>
      </c>
      <c r="B1390" s="5" t="n">
        <v>117</v>
      </c>
      <c r="C1390" s="72" t="inlineStr">
        <is>
          <t>X</t>
        </is>
      </c>
      <c r="D1390" s="5" t="n">
        <v>238</v>
      </c>
      <c r="E1390" s="73">
        <f>B1390*D1390/10000</f>
        <v/>
      </c>
      <c r="F1390" s="74">
        <f>B1390/30.48</f>
        <v/>
      </c>
      <c r="G1390" s="74">
        <f>D1390/30.48</f>
        <v/>
      </c>
      <c r="H1390" s="69" t="inlineStr">
        <is>
          <t>MCHD-TR</t>
        </is>
      </c>
      <c r="I1390" s="570" t="inlineStr">
        <is>
          <t>Laurel Browning</t>
        </is>
      </c>
      <c r="J1390" s="557" t="inlineStr">
        <is>
          <t>US-713 410 7317</t>
        </is>
      </c>
    </row>
    <row r="1391" ht="17.25" customFormat="1" customHeight="1" s="1">
      <c r="A1391" s="8" t="inlineStr">
        <is>
          <t>A 87</t>
        </is>
      </c>
      <c r="B1391" s="5" t="n">
        <v>86</v>
      </c>
      <c r="C1391" s="6" t="inlineStr">
        <is>
          <t>X</t>
        </is>
      </c>
      <c r="D1391" s="5" t="n">
        <v>351</v>
      </c>
      <c r="E1391" s="2">
        <f>B1391*D1391/10000</f>
        <v/>
      </c>
      <c r="F1391" s="3">
        <f>B1391/30.48</f>
        <v/>
      </c>
      <c r="G1391" s="3">
        <f>D1391/30.48</f>
        <v/>
      </c>
      <c r="H1391" s="69" t="inlineStr">
        <is>
          <t>MCHD-TR</t>
        </is>
      </c>
      <c r="I1391" s="570" t="inlineStr">
        <is>
          <t>michal klein Lupu</t>
        </is>
      </c>
      <c r="J1391" s="557" t="inlineStr">
        <is>
          <t>US-619 757 6513</t>
        </is>
      </c>
    </row>
    <row r="1392" ht="17.25" customFormat="1" customHeight="1" s="1">
      <c r="A1392" s="8" t="n">
        <v>1387</v>
      </c>
      <c r="B1392" s="5" t="n">
        <v>91</v>
      </c>
      <c r="C1392" s="72" t="inlineStr">
        <is>
          <t>X</t>
        </is>
      </c>
      <c r="D1392" s="5" t="n">
        <v>385</v>
      </c>
      <c r="E1392" s="73">
        <f>B1392*D1392/10000</f>
        <v/>
      </c>
      <c r="F1392" s="74">
        <f>B1392/30.48</f>
        <v/>
      </c>
      <c r="G1392" s="74">
        <f>D1392/30.48</f>
        <v/>
      </c>
      <c r="H1392" s="16" t="inlineStr">
        <is>
          <t>MCHD-VR</t>
        </is>
      </c>
      <c r="I1392" s="534" t="inlineStr">
        <is>
          <t>Mendy Houser</t>
        </is>
      </c>
      <c r="J1392" s="545" t="n"/>
    </row>
    <row r="1393" ht="17.25" customFormat="1" customHeight="1" s="1">
      <c r="A1393" s="8" t="inlineStr">
        <is>
          <t>Y 15</t>
        </is>
      </c>
      <c r="B1393" s="5" t="n">
        <v>272</v>
      </c>
      <c r="C1393" s="6" t="inlineStr">
        <is>
          <t>X</t>
        </is>
      </c>
      <c r="D1393" s="5" t="n">
        <v>138</v>
      </c>
      <c r="E1393" s="2">
        <f>B1393*D1393/10000</f>
        <v/>
      </c>
      <c r="F1393" s="3">
        <f>B1393/30.48</f>
        <v/>
      </c>
      <c r="G1393" s="3">
        <f>D1393/30.48</f>
        <v/>
      </c>
      <c r="H1393" s="69" t="inlineStr">
        <is>
          <t>HEAVEN</t>
        </is>
      </c>
      <c r="I1393" s="570" t="inlineStr">
        <is>
          <t>Meg McGrath</t>
        </is>
      </c>
      <c r="J1393" s="557" t="inlineStr">
        <is>
          <t>US-908 902 5417</t>
        </is>
      </c>
    </row>
    <row r="1394" ht="17.25" customHeight="1" s="305">
      <c r="A1394" s="8" t="inlineStr">
        <is>
          <t>K 298</t>
        </is>
      </c>
      <c r="B1394" s="5" t="n">
        <v>150</v>
      </c>
      <c r="C1394" s="6" t="inlineStr">
        <is>
          <t>X</t>
        </is>
      </c>
      <c r="D1394" s="5" t="n">
        <v>200</v>
      </c>
      <c r="E1394" s="2">
        <f>B1394*D1394/10000</f>
        <v/>
      </c>
      <c r="F1394" s="3">
        <f>B1394/30.48</f>
        <v/>
      </c>
      <c r="G1394" s="3">
        <f>D1394/30.48</f>
        <v/>
      </c>
      <c r="H1394" s="553" t="inlineStr">
        <is>
          <t>MCHD-PAC</t>
        </is>
      </c>
      <c r="I1394" s="570" t="inlineStr">
        <is>
          <t>Mary Ellen Matthews</t>
        </is>
      </c>
      <c r="J1394" s="557" t="n"/>
    </row>
    <row r="1395" ht="17.25" customFormat="1" customHeight="1" s="1">
      <c r="A1395" s="8" t="n">
        <v>1170</v>
      </c>
      <c r="B1395" s="5" t="n">
        <v>164</v>
      </c>
      <c r="C1395" s="72" t="inlineStr">
        <is>
          <t>X</t>
        </is>
      </c>
      <c r="D1395" s="5" t="n">
        <v>266</v>
      </c>
      <c r="E1395" s="73">
        <f>B1395*D1395/10000</f>
        <v/>
      </c>
      <c r="F1395" s="74">
        <f>B1395/30.48</f>
        <v/>
      </c>
      <c r="G1395" s="74">
        <f>D1395/30.48</f>
        <v/>
      </c>
      <c r="H1395" s="16" t="inlineStr">
        <is>
          <t>MCHD-OLD</t>
        </is>
      </c>
      <c r="I1395" s="570" t="inlineStr">
        <is>
          <t>Anna Kemper</t>
        </is>
      </c>
      <c r="J1395" s="557" t="inlineStr">
        <is>
          <t>US-803 422 0643</t>
        </is>
      </c>
    </row>
    <row r="1396" ht="17.25" customFormat="1" customHeight="1" s="1">
      <c r="A1396" s="8" t="n">
        <v>1182</v>
      </c>
      <c r="B1396" s="5" t="n">
        <v>97</v>
      </c>
      <c r="C1396" s="72" t="inlineStr">
        <is>
          <t>X</t>
        </is>
      </c>
      <c r="D1396" s="5" t="n">
        <v>153</v>
      </c>
      <c r="E1396" s="73">
        <f>B1396*D1396/10000</f>
        <v/>
      </c>
      <c r="F1396" s="74">
        <f>B1396/30.48</f>
        <v/>
      </c>
      <c r="G1396" s="74">
        <f>D1396/30.48</f>
        <v/>
      </c>
      <c r="H1396" s="69" t="inlineStr">
        <is>
          <t>MCHD-TR</t>
        </is>
      </c>
      <c r="I1396" s="570" t="inlineStr">
        <is>
          <t>Rebecca Driggs</t>
        </is>
      </c>
      <c r="J1396" s="557" t="n"/>
    </row>
    <row r="1397" ht="17.25" customFormat="1" customHeight="1" s="1">
      <c r="A1397" s="8" t="n">
        <v>1313</v>
      </c>
      <c r="B1397" s="5" t="n">
        <v>70</v>
      </c>
      <c r="C1397" s="72" t="inlineStr">
        <is>
          <t>X</t>
        </is>
      </c>
      <c r="D1397" s="5" t="n">
        <v>313</v>
      </c>
      <c r="E1397" s="73">
        <f>B1397*D1397/10000</f>
        <v/>
      </c>
      <c r="F1397" s="74">
        <f>B1397/30.48</f>
        <v/>
      </c>
      <c r="G1397" s="74">
        <f>D1397/30.48</f>
        <v/>
      </c>
      <c r="H1397" s="553" t="inlineStr">
        <is>
          <t>MCHD-PAC</t>
        </is>
      </c>
      <c r="I1397" s="570" t="inlineStr">
        <is>
          <t>Michelle Worth</t>
        </is>
      </c>
      <c r="J1397" s="557" t="n"/>
    </row>
    <row r="1398" ht="17.25" customFormat="1" customHeight="1" s="1">
      <c r="A1398" s="8" t="inlineStr">
        <is>
          <t>C 233</t>
        </is>
      </c>
      <c r="B1398" s="5" t="n">
        <v>421</v>
      </c>
      <c r="C1398" s="6" t="inlineStr">
        <is>
          <t>X</t>
        </is>
      </c>
      <c r="D1398" s="5" t="n">
        <v>85</v>
      </c>
      <c r="E1398" s="2">
        <f>B1398*D1398/10000</f>
        <v/>
      </c>
      <c r="F1398" s="3">
        <f>B1398/30.48</f>
        <v/>
      </c>
      <c r="G1398" s="3">
        <f>D1398/30.48</f>
        <v/>
      </c>
      <c r="H1398" s="69" t="inlineStr">
        <is>
          <t>MCHD-TR</t>
        </is>
      </c>
      <c r="I1398" s="570" t="inlineStr">
        <is>
          <t>Tari Herman</t>
        </is>
      </c>
      <c r="J1398" s="557" t="inlineStr">
        <is>
          <t>US-615 500 0077</t>
        </is>
      </c>
    </row>
    <row r="1399" ht="17.25" customFormat="1" customHeight="1" s="1">
      <c r="A1399" s="8" t="n">
        <v>1931</v>
      </c>
      <c r="B1399" s="5" t="n">
        <v>87</v>
      </c>
      <c r="C1399" s="72" t="inlineStr">
        <is>
          <t>X</t>
        </is>
      </c>
      <c r="D1399" s="5" t="n">
        <v>318</v>
      </c>
      <c r="E1399" s="73">
        <f>B1399*D1399/10000</f>
        <v/>
      </c>
      <c r="F1399" s="74">
        <f>B1399/30.48</f>
        <v/>
      </c>
      <c r="G1399" s="74">
        <f>D1399/30.48</f>
        <v/>
      </c>
      <c r="H1399" s="69" t="inlineStr">
        <is>
          <t>MCHD-TR</t>
        </is>
      </c>
      <c r="I1399" s="570" t="inlineStr">
        <is>
          <t>Kelly Wagner</t>
        </is>
      </c>
      <c r="J1399" s="557" t="inlineStr">
        <is>
          <t>US-224 659 6033</t>
        </is>
      </c>
    </row>
    <row r="1400" ht="17.25" customFormat="1" customHeight="1" s="1">
      <c r="A1400" s="8" t="n">
        <v>1725</v>
      </c>
      <c r="B1400" s="5" t="n">
        <v>242</v>
      </c>
      <c r="C1400" s="72" t="inlineStr">
        <is>
          <t>X</t>
        </is>
      </c>
      <c r="D1400" s="5" t="n">
        <v>332</v>
      </c>
      <c r="E1400" s="73">
        <f>B1400*D1400/10000</f>
        <v/>
      </c>
      <c r="F1400" s="74">
        <f>B1400/30.48</f>
        <v/>
      </c>
      <c r="G1400" s="74">
        <f>D1400/30.48</f>
        <v/>
      </c>
      <c r="H1400" s="69" t="inlineStr">
        <is>
          <t>MCHD-TR</t>
        </is>
      </c>
      <c r="I1400" s="570" t="inlineStr">
        <is>
          <t>Amy DeLoach</t>
        </is>
      </c>
      <c r="J1400" s="557" t="inlineStr">
        <is>
          <t>US-205 388 9230</t>
        </is>
      </c>
    </row>
    <row r="1401" ht="17.25" customFormat="1" customHeight="1" s="1">
      <c r="A1401" s="8" t="inlineStr">
        <is>
          <t>C 169</t>
        </is>
      </c>
      <c r="B1401" s="5" t="n">
        <v>283</v>
      </c>
      <c r="C1401" s="6" t="inlineStr">
        <is>
          <t>X</t>
        </is>
      </c>
      <c r="D1401" s="5" t="n">
        <v>70</v>
      </c>
      <c r="E1401" s="2">
        <f>B1401*D1401/10000</f>
        <v/>
      </c>
      <c r="F1401" s="3">
        <f>B1401/30.48</f>
        <v/>
      </c>
      <c r="G1401" s="3">
        <f>D1401/30.48</f>
        <v/>
      </c>
      <c r="H1401" s="553" t="inlineStr">
        <is>
          <t>MCHD-PAC</t>
        </is>
      </c>
      <c r="I1401" s="570" t="inlineStr">
        <is>
          <t>Cynthia Rudd</t>
        </is>
      </c>
      <c r="J1401" s="557" t="inlineStr">
        <is>
          <t>US-214 537 9989</t>
        </is>
      </c>
    </row>
    <row r="1402" ht="17.25" customFormat="1" customHeight="1" s="1">
      <c r="A1402" s="8" t="inlineStr">
        <is>
          <t>C 519</t>
        </is>
      </c>
      <c r="B1402" s="5" t="n">
        <v>103</v>
      </c>
      <c r="C1402" s="6" t="inlineStr">
        <is>
          <t>X</t>
        </is>
      </c>
      <c r="D1402" s="5" t="n">
        <v>240</v>
      </c>
      <c r="E1402" s="2">
        <f>B1402*D1402/10000</f>
        <v/>
      </c>
      <c r="F1402" s="3">
        <f>B1402/30.48</f>
        <v/>
      </c>
      <c r="G1402" s="3">
        <f>D1402/30.48</f>
        <v/>
      </c>
      <c r="H1402" s="16" t="inlineStr">
        <is>
          <t>MCHD-OLD</t>
        </is>
      </c>
      <c r="I1402" s="570" t="inlineStr">
        <is>
          <t>Liz Elam</t>
        </is>
      </c>
      <c r="J1402" s="557" t="inlineStr">
        <is>
          <t>US-704 942 0915</t>
        </is>
      </c>
    </row>
    <row r="1403" ht="17.25" customHeight="1" s="305">
      <c r="A1403" s="8" t="inlineStr">
        <is>
          <t>D 213</t>
        </is>
      </c>
      <c r="B1403" s="5" t="n">
        <v>54</v>
      </c>
      <c r="C1403" s="72" t="inlineStr">
        <is>
          <t>X</t>
        </is>
      </c>
      <c r="D1403" s="5" t="n">
        <v>90</v>
      </c>
      <c r="E1403" s="73">
        <f>B1403*D1403/10000</f>
        <v/>
      </c>
      <c r="F1403" s="74">
        <f>B1403/30.48</f>
        <v/>
      </c>
      <c r="G1403" s="74">
        <f>D1403/30.48</f>
        <v/>
      </c>
      <c r="H1403" s="16" t="inlineStr">
        <is>
          <t>MCHD-OLD</t>
        </is>
      </c>
      <c r="I1403" s="570" t="inlineStr">
        <is>
          <t>Stephanie Barnett</t>
        </is>
      </c>
      <c r="J1403" s="557" t="inlineStr">
        <is>
          <t>US-720 917 4925</t>
        </is>
      </c>
    </row>
    <row r="1404" ht="17.25" customFormat="1" customHeight="1" s="1">
      <c r="A1404" s="8" t="inlineStr">
        <is>
          <t>A 191</t>
        </is>
      </c>
      <c r="B1404" s="5" t="n">
        <v>306</v>
      </c>
      <c r="C1404" s="6" t="inlineStr">
        <is>
          <t>X</t>
        </is>
      </c>
      <c r="D1404" s="5" t="n">
        <v>377</v>
      </c>
      <c r="E1404" s="2">
        <f>B1404*D1404/10000</f>
        <v/>
      </c>
      <c r="F1404" s="3">
        <f>B1404/30.48</f>
        <v/>
      </c>
      <c r="G1404" s="3">
        <f>D1404/30.48</f>
        <v/>
      </c>
      <c r="H1404" s="69" t="inlineStr">
        <is>
          <t>MCHD-TR</t>
        </is>
      </c>
      <c r="I1404" s="570" t="inlineStr">
        <is>
          <t>Melanie Noye</t>
        </is>
      </c>
      <c r="J1404" s="557" t="inlineStr">
        <is>
          <t>US-941 920 0204</t>
        </is>
      </c>
    </row>
    <row r="1405" ht="17.25" customFormat="1" customHeight="1" s="1">
      <c r="A1405" s="8" t="n">
        <v>1770</v>
      </c>
      <c r="B1405" s="5" t="n">
        <v>269</v>
      </c>
      <c r="C1405" s="72" t="inlineStr">
        <is>
          <t>X</t>
        </is>
      </c>
      <c r="D1405" s="5" t="n">
        <v>375</v>
      </c>
      <c r="E1405" s="73">
        <f>B1405*D1405/10000</f>
        <v/>
      </c>
      <c r="F1405" s="74">
        <f>B1405/30.48</f>
        <v/>
      </c>
      <c r="G1405" s="74">
        <f>D1405/30.48</f>
        <v/>
      </c>
      <c r="H1405" s="69" t="inlineStr">
        <is>
          <t>MCHD-TR</t>
        </is>
      </c>
      <c r="I1405" s="570" t="inlineStr">
        <is>
          <t>Barbie Rempe</t>
        </is>
      </c>
      <c r="J1405" s="557" t="n"/>
    </row>
    <row r="1406" ht="17.25" customFormat="1" customHeight="1" s="1">
      <c r="A1406" s="8" t="n">
        <v>1660</v>
      </c>
      <c r="B1406" s="5" t="n">
        <v>276</v>
      </c>
      <c r="C1406" s="72" t="inlineStr">
        <is>
          <t>X</t>
        </is>
      </c>
      <c r="D1406" s="5" t="n">
        <v>80</v>
      </c>
      <c r="E1406" s="73">
        <f>B1406*D1406/10000</f>
        <v/>
      </c>
      <c r="F1406" s="74">
        <f>B1406/30.48</f>
        <v/>
      </c>
      <c r="G1406" s="74">
        <f>D1406/30.48</f>
        <v/>
      </c>
      <c r="H1406" s="69" t="inlineStr">
        <is>
          <t>MCHD-TR</t>
        </is>
      </c>
      <c r="I1406" s="570" t="inlineStr">
        <is>
          <t>Kady Decker</t>
        </is>
      </c>
      <c r="J1406" s="557" t="inlineStr">
        <is>
          <t>US-615 504 6520</t>
        </is>
      </c>
    </row>
    <row r="1407" ht="17.25" customFormat="1" customHeight="1" s="1">
      <c r="A1407" s="8" t="inlineStr">
        <is>
          <t>C 995</t>
        </is>
      </c>
      <c r="B1407" s="5" t="n">
        <v>287</v>
      </c>
      <c r="C1407" s="6" t="inlineStr">
        <is>
          <t>X</t>
        </is>
      </c>
      <c r="D1407" s="5" t="n">
        <v>385</v>
      </c>
      <c r="E1407" s="2">
        <f>B1407*D1407/10000</f>
        <v/>
      </c>
      <c r="F1407" s="3">
        <f>B1407/30.48</f>
        <v/>
      </c>
      <c r="G1407" s="3">
        <f>D1407/30.48</f>
        <v/>
      </c>
      <c r="H1407" s="69" t="inlineStr">
        <is>
          <t>MCHD-TR</t>
        </is>
      </c>
      <c r="I1407" s="570" t="inlineStr">
        <is>
          <t>Haley Clore</t>
        </is>
      </c>
      <c r="J1407" s="557" t="inlineStr">
        <is>
          <t>US-408 607 0925</t>
        </is>
      </c>
    </row>
    <row r="1408" ht="17.25" customFormat="1" customHeight="1" s="1">
      <c r="A1408" s="8" t="inlineStr">
        <is>
          <t>C 990</t>
        </is>
      </c>
      <c r="B1408" s="5" t="n">
        <v>82</v>
      </c>
      <c r="C1408" s="6" t="inlineStr">
        <is>
          <t>X</t>
        </is>
      </c>
      <c r="D1408" s="5" t="n">
        <v>308</v>
      </c>
      <c r="E1408" s="2">
        <f>B1408*D1408/10000</f>
        <v/>
      </c>
      <c r="F1408" s="3">
        <f>B1408/30.48</f>
        <v/>
      </c>
      <c r="G1408" s="3">
        <f>D1408/30.48</f>
        <v/>
      </c>
      <c r="H1408" s="69" t="inlineStr">
        <is>
          <t>MCHD-TR</t>
        </is>
      </c>
      <c r="I1408" s="534" t="inlineStr">
        <is>
          <t>Heather Marvin</t>
        </is>
      </c>
      <c r="J1408" s="545" t="inlineStr">
        <is>
          <t>US-615 429 3759</t>
        </is>
      </c>
    </row>
    <row r="1409" ht="17.25" customFormat="1" customHeight="1" s="1">
      <c r="A1409" s="8" t="n">
        <v>1852</v>
      </c>
      <c r="B1409" s="5" t="n">
        <v>79</v>
      </c>
      <c r="C1409" s="72" t="inlineStr">
        <is>
          <t>X</t>
        </is>
      </c>
      <c r="D1409" s="5" t="n">
        <v>210</v>
      </c>
      <c r="E1409" s="73">
        <f>B1409*D1409/10000</f>
        <v/>
      </c>
      <c r="F1409" s="74">
        <f>B1409/30.48</f>
        <v/>
      </c>
      <c r="G1409" s="74">
        <f>D1409/30.48</f>
        <v/>
      </c>
      <c r="H1409" s="69" t="inlineStr">
        <is>
          <t>MCHD-TR</t>
        </is>
      </c>
      <c r="I1409" s="570" t="inlineStr">
        <is>
          <t>Michelle McLaughlin</t>
        </is>
      </c>
      <c r="J1409" s="557" t="n"/>
    </row>
    <row r="1410" ht="17.25" customHeight="1" s="305">
      <c r="A1410" s="8" t="inlineStr">
        <is>
          <t>D 128</t>
        </is>
      </c>
      <c r="B1410" s="5" t="n">
        <v>43</v>
      </c>
      <c r="C1410" s="72" t="inlineStr">
        <is>
          <t>X</t>
        </is>
      </c>
      <c r="D1410" s="5" t="n">
        <v>103</v>
      </c>
      <c r="E1410" s="73">
        <f>B1410*D1410/10000</f>
        <v/>
      </c>
      <c r="F1410" s="74">
        <f>B1410/30.48</f>
        <v/>
      </c>
      <c r="G1410" s="74">
        <f>D1410/30.48</f>
        <v/>
      </c>
      <c r="H1410" s="16" t="inlineStr">
        <is>
          <t>MCHD-OLD</t>
        </is>
      </c>
      <c r="I1410" s="570" t="inlineStr">
        <is>
          <t>anne wintroub</t>
        </is>
      </c>
      <c r="J1410" s="557" t="n"/>
    </row>
    <row r="1411" ht="17.25" customFormat="1" customHeight="1" s="1">
      <c r="A1411" s="8" t="n">
        <v>1202</v>
      </c>
      <c r="B1411" s="5" t="n">
        <v>98</v>
      </c>
      <c r="C1411" s="72" t="inlineStr">
        <is>
          <t>X</t>
        </is>
      </c>
      <c r="D1411" s="5" t="n">
        <v>195</v>
      </c>
      <c r="E1411" s="73">
        <f>B1411*D1411/10000</f>
        <v/>
      </c>
      <c r="F1411" s="74">
        <f>B1411/30.48</f>
        <v/>
      </c>
      <c r="G1411" s="74">
        <f>D1411/30.48</f>
        <v/>
      </c>
      <c r="H1411" s="553" t="inlineStr">
        <is>
          <t>MCHD-PAC</t>
        </is>
      </c>
      <c r="I1411" s="570" t="inlineStr">
        <is>
          <t>Joanna Rockland</t>
        </is>
      </c>
      <c r="J1411" s="557" t="n"/>
    </row>
    <row r="1412" ht="17.25" customHeight="1" s="305">
      <c r="A1412" s="8" t="inlineStr">
        <is>
          <t>KN 175</t>
        </is>
      </c>
      <c r="B1412" s="5" t="n">
        <v>180</v>
      </c>
      <c r="C1412" s="72" t="inlineStr">
        <is>
          <t>X</t>
        </is>
      </c>
      <c r="D1412" s="5" t="n">
        <v>347</v>
      </c>
      <c r="E1412" s="73">
        <f>B1412*D1412/10000</f>
        <v/>
      </c>
      <c r="F1412" s="74">
        <f>B1412/30.48</f>
        <v/>
      </c>
      <c r="G1412" s="74">
        <f>D1412/30.48</f>
        <v/>
      </c>
      <c r="H1412" s="553" t="inlineStr">
        <is>
          <t>MCHD-PAC</t>
        </is>
      </c>
      <c r="I1412" s="570" t="inlineStr">
        <is>
          <t>Lawson Taylor Interiors</t>
        </is>
      </c>
      <c r="J1412" s="557" t="n"/>
    </row>
    <row r="1413" ht="17.25" customFormat="1" customHeight="1" s="1">
      <c r="A1413" s="8" t="n">
        <v>1923</v>
      </c>
      <c r="B1413" s="5" t="n">
        <v>75</v>
      </c>
      <c r="C1413" s="72" t="inlineStr">
        <is>
          <t>X</t>
        </is>
      </c>
      <c r="D1413" s="5" t="n">
        <v>281</v>
      </c>
      <c r="E1413" s="73">
        <f>B1413*D1413/10000</f>
        <v/>
      </c>
      <c r="F1413" s="74">
        <f>B1413/30.48</f>
        <v/>
      </c>
      <c r="G1413" s="74">
        <f>D1413/30.48</f>
        <v/>
      </c>
      <c r="H1413" s="69" t="inlineStr">
        <is>
          <t>MCHD-TR</t>
        </is>
      </c>
      <c r="I1413" s="570" t="inlineStr">
        <is>
          <t>Savannah Wood</t>
        </is>
      </c>
      <c r="J1413" s="557" t="inlineStr">
        <is>
          <t>US-256 338 1195</t>
        </is>
      </c>
    </row>
    <row r="1414" ht="17.25" customFormat="1" customHeight="1" s="1">
      <c r="A1414" s="8" t="n">
        <v>1854</v>
      </c>
      <c r="B1414" s="5" t="n">
        <v>80</v>
      </c>
      <c r="C1414" s="72" t="inlineStr">
        <is>
          <t>X</t>
        </is>
      </c>
      <c r="D1414" s="5" t="n">
        <v>303</v>
      </c>
      <c r="E1414" s="73">
        <f>B1414*D1414/10000</f>
        <v/>
      </c>
      <c r="F1414" s="74">
        <f>B1414/30.48</f>
        <v/>
      </c>
      <c r="G1414" s="74">
        <f>D1414/30.48</f>
        <v/>
      </c>
      <c r="H1414" s="69" t="inlineStr">
        <is>
          <t>MCHD-TR</t>
        </is>
      </c>
      <c r="I1414" s="570" t="inlineStr">
        <is>
          <t>Claire Stratton</t>
        </is>
      </c>
      <c r="J1414" s="557" t="inlineStr">
        <is>
          <t>US-404 964 1023</t>
        </is>
      </c>
    </row>
    <row r="1415" ht="17.25" customFormat="1" customHeight="1" s="1">
      <c r="A1415" s="8" t="n">
        <v>1879</v>
      </c>
      <c r="B1415" s="5" t="n">
        <v>61</v>
      </c>
      <c r="C1415" s="72" t="inlineStr">
        <is>
          <t>X</t>
        </is>
      </c>
      <c r="D1415" s="5" t="n">
        <v>94</v>
      </c>
      <c r="E1415" s="73">
        <f>B1415*D1415/10000</f>
        <v/>
      </c>
      <c r="F1415" s="74">
        <f>B1415/30.48</f>
        <v/>
      </c>
      <c r="G1415" s="74">
        <f>D1415/30.48</f>
        <v/>
      </c>
      <c r="H1415" s="69" t="inlineStr">
        <is>
          <t>MCHD-TR</t>
        </is>
      </c>
      <c r="I1415" s="570" t="inlineStr">
        <is>
          <t>becca Lucas</t>
        </is>
      </c>
      <c r="J1415" s="557" t="n"/>
    </row>
    <row r="1416" ht="17.25" customFormat="1" customHeight="1" s="1">
      <c r="A1416" s="8" t="n">
        <v>1356</v>
      </c>
      <c r="B1416" s="5" t="n">
        <v>96</v>
      </c>
      <c r="C1416" s="72" t="inlineStr">
        <is>
          <t>X</t>
        </is>
      </c>
      <c r="D1416" s="5" t="n">
        <v>292</v>
      </c>
      <c r="E1416" s="73">
        <f>B1416*D1416/10000</f>
        <v/>
      </c>
      <c r="F1416" s="74">
        <f>B1416/30.48</f>
        <v/>
      </c>
      <c r="G1416" s="74">
        <f>D1416/30.48</f>
        <v/>
      </c>
      <c r="H1416" s="16" t="inlineStr">
        <is>
          <t>MCHD-OLD</t>
        </is>
      </c>
      <c r="I1416" s="570" t="inlineStr">
        <is>
          <t>Rukmesh Saxena / Azhar's Oriental Rug</t>
        </is>
      </c>
      <c r="J1416" s="557" t="n"/>
    </row>
    <row r="1417" ht="17.25" customHeight="1" s="305">
      <c r="A1417" s="8" t="inlineStr">
        <is>
          <t>D 76</t>
        </is>
      </c>
      <c r="B1417" s="5" t="n">
        <v>55</v>
      </c>
      <c r="C1417" s="72" t="inlineStr">
        <is>
          <t>X</t>
        </is>
      </c>
      <c r="D1417" s="5" t="n">
        <v>90</v>
      </c>
      <c r="E1417" s="73">
        <f>B1417*D1417/10000</f>
        <v/>
      </c>
      <c r="F1417" s="74">
        <f>B1417/30.48</f>
        <v/>
      </c>
      <c r="G1417" s="74">
        <f>D1417/30.48</f>
        <v/>
      </c>
      <c r="H1417" s="16" t="inlineStr">
        <is>
          <t>MCHD-OLD</t>
        </is>
      </c>
      <c r="I1417" s="570" t="inlineStr">
        <is>
          <t>Sarah Agudo</t>
        </is>
      </c>
      <c r="J1417" s="557" t="n"/>
    </row>
    <row r="1418" ht="17.25" customFormat="1" customHeight="1" s="1">
      <c r="A1418" s="8" t="n">
        <v>1907</v>
      </c>
      <c r="B1418" s="5" t="n">
        <v>113</v>
      </c>
      <c r="C1418" s="72" t="inlineStr">
        <is>
          <t>X</t>
        </is>
      </c>
      <c r="D1418" s="5" t="n">
        <v>185</v>
      </c>
      <c r="E1418" s="73">
        <f>B1418*D1418/10000</f>
        <v/>
      </c>
      <c r="F1418" s="74">
        <f>B1418/30.48</f>
        <v/>
      </c>
      <c r="G1418" s="74">
        <f>D1418/30.48</f>
        <v/>
      </c>
      <c r="H1418" s="553" t="inlineStr">
        <is>
          <t>MCHD-PAC</t>
        </is>
      </c>
      <c r="I1418" s="534" t="inlineStr">
        <is>
          <t>Martha Mathews</t>
        </is>
      </c>
      <c r="J1418" s="545" t="n"/>
    </row>
    <row r="1419" ht="17.25" customFormat="1" customHeight="1" s="1">
      <c r="A1419" s="8" t="n">
        <v>1643</v>
      </c>
      <c r="B1419" s="5" t="n">
        <v>338</v>
      </c>
      <c r="C1419" s="72" t="inlineStr">
        <is>
          <t>X</t>
        </is>
      </c>
      <c r="D1419" s="5" t="n">
        <v>111</v>
      </c>
      <c r="E1419" s="73">
        <f>B1419*D1419/10000</f>
        <v/>
      </c>
      <c r="F1419" s="74">
        <f>B1419/30.48</f>
        <v/>
      </c>
      <c r="G1419" s="74">
        <f>D1419/30.48</f>
        <v/>
      </c>
      <c r="H1419" s="553" t="inlineStr">
        <is>
          <t>MCHD-PAC</t>
        </is>
      </c>
      <c r="I1419" s="570" t="inlineStr">
        <is>
          <t>Gina Kelley</t>
        </is>
      </c>
      <c r="J1419" s="557" t="n"/>
    </row>
    <row r="1420" ht="17.25" customFormat="1" customHeight="1" s="1">
      <c r="A1420" s="8" t="inlineStr">
        <is>
          <t>Y 888</t>
        </is>
      </c>
      <c r="B1420" s="5" t="n">
        <v>263</v>
      </c>
      <c r="C1420" s="6" t="inlineStr">
        <is>
          <t>X</t>
        </is>
      </c>
      <c r="D1420" s="5" t="n">
        <v>161</v>
      </c>
      <c r="E1420" s="2">
        <f>B1420*D1420/10000</f>
        <v/>
      </c>
      <c r="F1420" s="3">
        <f>B1420/30.48</f>
        <v/>
      </c>
      <c r="G1420" s="3">
        <f>D1420/30.48</f>
        <v/>
      </c>
      <c r="H1420" s="69" t="inlineStr">
        <is>
          <t>MCHD-TR</t>
        </is>
      </c>
      <c r="I1420" s="570" t="inlineStr">
        <is>
          <t>Renee Longpine</t>
        </is>
      </c>
      <c r="J1420" s="557" t="inlineStr">
        <is>
          <t>US-785 259 6499</t>
        </is>
      </c>
    </row>
    <row r="1421" ht="17.25" customFormat="1" customHeight="1" s="1">
      <c r="A1421" s="8" t="n">
        <v>1547</v>
      </c>
      <c r="B1421" s="5" t="n">
        <v>164</v>
      </c>
      <c r="C1421" s="72" t="inlineStr">
        <is>
          <t>X</t>
        </is>
      </c>
      <c r="D1421" s="5" t="n">
        <v>82</v>
      </c>
      <c r="E1421" s="73">
        <f>B1421*D1421/10000</f>
        <v/>
      </c>
      <c r="F1421" s="74">
        <f>B1421/30.48</f>
        <v/>
      </c>
      <c r="G1421" s="74">
        <f>D1421/30.48</f>
        <v/>
      </c>
      <c r="H1421" s="69" t="inlineStr">
        <is>
          <t>MCHD-TR</t>
        </is>
      </c>
      <c r="I1421" s="570" t="inlineStr">
        <is>
          <t>Erica Fox</t>
        </is>
      </c>
      <c r="J1421" s="557" t="inlineStr">
        <is>
          <t>US-859 492 8605</t>
        </is>
      </c>
    </row>
    <row r="1422" ht="17.25" customFormat="1" customHeight="1" s="1">
      <c r="A1422" s="8" t="n">
        <v>2035</v>
      </c>
      <c r="B1422" s="5" t="n">
        <v>88</v>
      </c>
      <c r="C1422" s="72" t="inlineStr">
        <is>
          <t>X</t>
        </is>
      </c>
      <c r="D1422" s="5" t="n">
        <v>393</v>
      </c>
      <c r="E1422" s="73">
        <f>B1422*D1422/10000</f>
        <v/>
      </c>
      <c r="F1422" s="74">
        <f>B1422/30.48</f>
        <v/>
      </c>
      <c r="G1422" s="74">
        <f>D1422/30.48</f>
        <v/>
      </c>
      <c r="H1422" s="69" t="inlineStr">
        <is>
          <t>MCHD-TR</t>
        </is>
      </c>
      <c r="I1422" s="534" t="inlineStr">
        <is>
          <t>Claire Stratton</t>
        </is>
      </c>
      <c r="J1422" s="545" t="inlineStr">
        <is>
          <t>US-404 964 1023</t>
        </is>
      </c>
    </row>
    <row r="1423" ht="17.25" customHeight="1" s="305">
      <c r="A1423" s="8" t="n">
        <v>1833</v>
      </c>
      <c r="B1423" s="5" t="n">
        <v>130</v>
      </c>
      <c r="C1423" s="72" t="inlineStr">
        <is>
          <t>X</t>
        </is>
      </c>
      <c r="D1423" s="5" t="n">
        <v>230</v>
      </c>
      <c r="E1423" s="73">
        <f>B1423*D1423/10000</f>
        <v/>
      </c>
      <c r="F1423" s="74">
        <f>B1423/30.48</f>
        <v/>
      </c>
      <c r="G1423" s="74">
        <f>D1423/30.48</f>
        <v/>
      </c>
      <c r="H1423" s="553" t="inlineStr">
        <is>
          <t>MCHD-PAC</t>
        </is>
      </c>
      <c r="I1423" s="534" t="inlineStr">
        <is>
          <t>Jenn Zecca</t>
        </is>
      </c>
      <c r="J1423" s="545" t="n"/>
    </row>
    <row r="1424" ht="17.25" customHeight="1" s="305">
      <c r="A1424" s="8" t="n">
        <v>1833</v>
      </c>
      <c r="B1424" s="5" t="n">
        <v>47</v>
      </c>
      <c r="C1424" s="72" t="inlineStr">
        <is>
          <t>X</t>
        </is>
      </c>
      <c r="D1424" s="5" t="n">
        <v>89</v>
      </c>
      <c r="E1424" s="73">
        <f>B1424*D1424/10000</f>
        <v/>
      </c>
      <c r="F1424" s="74">
        <f>B1424/30.48</f>
        <v/>
      </c>
      <c r="G1424" s="74">
        <f>D1424/30.48</f>
        <v/>
      </c>
      <c r="H1424" s="16" t="inlineStr">
        <is>
          <t>MCHD-OLD</t>
        </is>
      </c>
      <c r="I1424" s="570" t="inlineStr">
        <is>
          <t>Marguerite Lee</t>
        </is>
      </c>
      <c r="J1424" s="557" t="n"/>
    </row>
    <row r="1425">
      <c r="A1425" s="536" t="inlineStr">
        <is>
          <t>-2024 ŞUBAT-48</t>
        </is>
      </c>
      <c r="H1425" s="104" t="inlineStr">
        <is>
          <t>SATAN-SİTE</t>
        </is>
      </c>
      <c r="I1425" s="98" t="inlineStr">
        <is>
          <t>MÜŞTERİ ADI</t>
        </is>
      </c>
      <c r="J1425" s="63" t="inlineStr">
        <is>
          <t>MÜŞTERİ İLETİŞİM &amp; ÜLKE</t>
        </is>
      </c>
    </row>
    <row r="1426" ht="17.25" customHeight="1" s="305">
      <c r="A1426" s="8" t="inlineStr">
        <is>
          <t>C 532</t>
        </is>
      </c>
      <c r="B1426" s="5" t="n">
        <v>122</v>
      </c>
      <c r="C1426" s="6" t="inlineStr">
        <is>
          <t>X</t>
        </is>
      </c>
      <c r="D1426" s="5" t="n">
        <v>272</v>
      </c>
      <c r="E1426" s="2">
        <f>B1426*D1426/10000</f>
        <v/>
      </c>
      <c r="F1426" s="3">
        <f>B1426/30.48</f>
        <v/>
      </c>
      <c r="G1426" s="3">
        <f>D1426/30.48</f>
        <v/>
      </c>
      <c r="H1426" s="16" t="inlineStr">
        <is>
          <t>MCHD-OLD</t>
        </is>
      </c>
      <c r="I1426" s="570" t="inlineStr">
        <is>
          <t>Emma Rosen</t>
        </is>
      </c>
      <c r="J1426" s="557" t="n"/>
    </row>
    <row r="1427" ht="17.25" customHeight="1" s="305">
      <c r="A1427" s="8" t="n">
        <v>2051</v>
      </c>
      <c r="B1427" s="5" t="n">
        <v>70</v>
      </c>
      <c r="C1427" s="72" t="inlineStr">
        <is>
          <t>X</t>
        </is>
      </c>
      <c r="D1427" s="5" t="n">
        <v>312</v>
      </c>
      <c r="E1427" s="73">
        <f>B1427*D1427/10000</f>
        <v/>
      </c>
      <c r="F1427" s="74">
        <f>B1427/30.48</f>
        <v/>
      </c>
      <c r="G1427" s="74">
        <f>D1427/30.48</f>
        <v/>
      </c>
      <c r="H1427" s="69" t="inlineStr">
        <is>
          <t>MCHD-TR</t>
        </is>
      </c>
      <c r="I1427" s="570" t="inlineStr">
        <is>
          <t>Brandie Hunter</t>
        </is>
      </c>
      <c r="J1427" s="557" t="n"/>
      <c r="P1427" s="1" t="n"/>
      <c r="Q1427" s="1" t="n"/>
      <c r="R1427" s="1" t="n"/>
    </row>
    <row r="1428" ht="17.25" customHeight="1" s="305">
      <c r="A1428" s="8" t="inlineStr">
        <is>
          <t>H 3</t>
        </is>
      </c>
      <c r="B1428" s="5" t="n">
        <v>78</v>
      </c>
      <c r="C1428" s="72" t="inlineStr">
        <is>
          <t>X</t>
        </is>
      </c>
      <c r="D1428" s="5" t="n">
        <v>414</v>
      </c>
      <c r="E1428" s="73">
        <f>B1428*D1428/10000</f>
        <v/>
      </c>
      <c r="F1428" s="74">
        <f>B1428/30.48</f>
        <v/>
      </c>
      <c r="G1428" s="74">
        <f>D1428/30.48</f>
        <v/>
      </c>
      <c r="H1428" s="16" t="inlineStr">
        <is>
          <t>MCHD-OLD</t>
        </is>
      </c>
      <c r="I1428" s="534" t="inlineStr">
        <is>
          <t>Christina D Karvelas</t>
        </is>
      </c>
      <c r="J1428" s="545" t="inlineStr">
        <is>
          <t>US-312 505 6565</t>
        </is>
      </c>
      <c r="P1428" s="1" t="n"/>
      <c r="Q1428" s="1" t="n"/>
      <c r="R1428" s="1" t="n"/>
    </row>
    <row r="1429" ht="17.25" customHeight="1" s="305">
      <c r="A1429" s="8" t="n">
        <v>1466</v>
      </c>
      <c r="B1429" s="5" t="n">
        <v>74</v>
      </c>
      <c r="C1429" s="72" t="inlineStr">
        <is>
          <t>X</t>
        </is>
      </c>
      <c r="D1429" s="5" t="n">
        <v>131</v>
      </c>
      <c r="E1429" s="73">
        <f>B1429*D1429/10000</f>
        <v/>
      </c>
      <c r="F1429" s="74">
        <f>B1429/30.48</f>
        <v/>
      </c>
      <c r="G1429" s="74">
        <f>D1429/30.48</f>
        <v/>
      </c>
      <c r="H1429" s="69" t="inlineStr">
        <is>
          <t>MCHD-TR</t>
        </is>
      </c>
      <c r="I1429" s="570" t="inlineStr">
        <is>
          <t>Lisa Walker</t>
        </is>
      </c>
      <c r="J1429" s="557" t="inlineStr">
        <is>
          <t>US-404 388 4373</t>
        </is>
      </c>
    </row>
    <row r="1430" ht="17.25" customHeight="1" s="305">
      <c r="A1430" s="8" t="inlineStr">
        <is>
          <t>Y 402</t>
        </is>
      </c>
      <c r="B1430" s="5" t="n">
        <v>254</v>
      </c>
      <c r="C1430" s="6" t="inlineStr">
        <is>
          <t>X</t>
        </is>
      </c>
      <c r="D1430" s="5" t="n">
        <v>158</v>
      </c>
      <c r="E1430" s="2">
        <f>B1430*D1430/10000</f>
        <v/>
      </c>
      <c r="F1430" s="3">
        <f>B1430/30.48</f>
        <v/>
      </c>
      <c r="G1430" s="3">
        <f>D1430/30.48</f>
        <v/>
      </c>
      <c r="H1430" s="69" t="inlineStr">
        <is>
          <t>MCHD-TR</t>
        </is>
      </c>
      <c r="I1430" s="570" t="inlineStr">
        <is>
          <t>Jenna E Redmond</t>
        </is>
      </c>
      <c r="J1430" s="557" t="inlineStr">
        <is>
          <t>US-203 219 4402</t>
        </is>
      </c>
    </row>
    <row r="1431" ht="17.25" customHeight="1" s="305">
      <c r="A1431" s="8" t="inlineStr">
        <is>
          <t>H 82</t>
        </is>
      </c>
      <c r="B1431" s="5" t="n">
        <v>82</v>
      </c>
      <c r="C1431" s="72" t="inlineStr">
        <is>
          <t>X</t>
        </is>
      </c>
      <c r="D1431" s="5" t="n">
        <v>375</v>
      </c>
      <c r="E1431" s="73">
        <f>B1431*D1431/10000</f>
        <v/>
      </c>
      <c r="F1431" s="74">
        <f>B1431/30.48</f>
        <v/>
      </c>
      <c r="G1431" s="74">
        <f>D1431/30.48</f>
        <v/>
      </c>
      <c r="H1431" s="16" t="inlineStr">
        <is>
          <t>MCHD-OLD</t>
        </is>
      </c>
      <c r="I1431" s="570" t="inlineStr">
        <is>
          <t>Madison Fleming</t>
        </is>
      </c>
      <c r="J1431" s="557" t="n"/>
      <c r="P1431" s="1" t="n"/>
      <c r="Q1431" s="1" t="n"/>
      <c r="R1431" s="1" t="n"/>
    </row>
    <row r="1432" ht="17.25" customHeight="1" s="305">
      <c r="A1432" s="8" t="n">
        <v>1870</v>
      </c>
      <c r="B1432" s="5" t="n">
        <v>88</v>
      </c>
      <c r="C1432" s="72" t="inlineStr">
        <is>
          <t>X</t>
        </is>
      </c>
      <c r="D1432" s="5" t="n">
        <v>155</v>
      </c>
      <c r="E1432" s="73">
        <f>B1432*D1432/10000</f>
        <v/>
      </c>
      <c r="F1432" s="74">
        <f>B1432/30.48</f>
        <v/>
      </c>
      <c r="G1432" s="74">
        <f>D1432/30.48</f>
        <v/>
      </c>
      <c r="H1432" s="553" t="inlineStr">
        <is>
          <t>MCHD-PAC</t>
        </is>
      </c>
      <c r="I1432" s="534" t="inlineStr">
        <is>
          <t>Jessica Lively</t>
        </is>
      </c>
      <c r="J1432" s="545" t="inlineStr">
        <is>
          <t>UK-475 590 9883</t>
        </is>
      </c>
      <c r="P1432" s="1" t="n"/>
      <c r="Q1432" s="1" t="n"/>
      <c r="R1432" s="1" t="n"/>
    </row>
    <row r="1433" ht="17.25" customHeight="1" s="305">
      <c r="A1433" s="8" t="n">
        <v>1187</v>
      </c>
      <c r="B1433" s="5" t="n">
        <v>80</v>
      </c>
      <c r="C1433" s="72" t="inlineStr">
        <is>
          <t>X</t>
        </is>
      </c>
      <c r="D1433" s="5" t="n">
        <v>342</v>
      </c>
      <c r="E1433" s="73">
        <f>B1433*D1433/10000</f>
        <v/>
      </c>
      <c r="F1433" s="74">
        <f>B1433/30.48</f>
        <v/>
      </c>
      <c r="G1433" s="74">
        <f>D1433/30.48</f>
        <v/>
      </c>
      <c r="H1433" s="553" t="inlineStr">
        <is>
          <t>MCHD-PAC</t>
        </is>
      </c>
      <c r="I1433" s="570" t="inlineStr">
        <is>
          <t>Carrie Ellington</t>
        </is>
      </c>
      <c r="J1433" s="557" t="n"/>
    </row>
    <row r="1434" ht="17.25" customHeight="1" s="305">
      <c r="A1434" s="8" t="n">
        <v>1700</v>
      </c>
      <c r="B1434" s="5" t="n">
        <v>295</v>
      </c>
      <c r="C1434" s="72" t="inlineStr">
        <is>
          <t>X</t>
        </is>
      </c>
      <c r="D1434" s="5" t="n">
        <v>380</v>
      </c>
      <c r="E1434" s="73">
        <f>B1434*D1434/10000</f>
        <v/>
      </c>
      <c r="F1434" s="74">
        <f>B1434/30.48</f>
        <v/>
      </c>
      <c r="G1434" s="74">
        <f>D1434/30.48</f>
        <v/>
      </c>
      <c r="H1434" s="553" t="inlineStr">
        <is>
          <t>MCHD-PAC</t>
        </is>
      </c>
      <c r="I1434" s="570" t="inlineStr">
        <is>
          <t>MORGAN CRACIUN</t>
        </is>
      </c>
      <c r="J1434" s="557" t="inlineStr">
        <is>
          <t>US-615 483 3817</t>
        </is>
      </c>
      <c r="P1434" s="1" t="n"/>
      <c r="Q1434" s="1" t="n"/>
      <c r="R1434" s="1" t="n"/>
    </row>
    <row r="1435" ht="17.25" customHeight="1" s="305">
      <c r="A1435" s="8" t="n">
        <v>2059</v>
      </c>
      <c r="B1435" s="5" t="n">
        <v>83</v>
      </c>
      <c r="C1435" s="72" t="inlineStr">
        <is>
          <t>X</t>
        </is>
      </c>
      <c r="D1435" s="5" t="n">
        <v>376</v>
      </c>
      <c r="E1435" s="73">
        <f>B1435*D1435/10000</f>
        <v/>
      </c>
      <c r="F1435" s="74">
        <f>B1435/30.48</f>
        <v/>
      </c>
      <c r="G1435" s="74">
        <f>D1435/30.48</f>
        <v/>
      </c>
      <c r="H1435" s="69" t="inlineStr">
        <is>
          <t>MCHD-TR</t>
        </is>
      </c>
      <c r="I1435" s="534" t="inlineStr">
        <is>
          <t>Passerine at Abaco Holdings O'Brien Residence</t>
        </is>
      </c>
      <c r="J1435" s="545" t="n"/>
      <c r="P1435" s="1" t="n"/>
      <c r="Q1435" s="1" t="n"/>
      <c r="R1435" s="1" t="n"/>
    </row>
    <row r="1436" ht="17.25" customHeight="1" s="305">
      <c r="A1436" s="8" t="inlineStr">
        <is>
          <t>C 667</t>
        </is>
      </c>
      <c r="B1436" s="5" t="n">
        <v>64</v>
      </c>
      <c r="C1436" s="6" t="inlineStr">
        <is>
          <t>X</t>
        </is>
      </c>
      <c r="D1436" s="5" t="n">
        <v>119</v>
      </c>
      <c r="E1436" s="2">
        <f>B1436*D1436/10000</f>
        <v/>
      </c>
      <c r="F1436" s="3">
        <f>B1436/30.48</f>
        <v/>
      </c>
      <c r="G1436" s="3">
        <f>D1436/30.48</f>
        <v/>
      </c>
      <c r="H1436" s="16" t="inlineStr">
        <is>
          <t>MCHD-VR</t>
        </is>
      </c>
      <c r="I1436" s="570" t="inlineStr">
        <is>
          <t>Emily Piper</t>
        </is>
      </c>
      <c r="J1436" s="557" t="inlineStr">
        <is>
          <t>US-785 418 4115</t>
        </is>
      </c>
      <c r="P1436" s="1" t="n"/>
      <c r="Q1436" s="1" t="n"/>
    </row>
    <row r="1437" ht="17.25" customHeight="1" s="305">
      <c r="A1437" s="8" t="inlineStr">
        <is>
          <t>C 876</t>
        </is>
      </c>
      <c r="B1437" s="5" t="n">
        <v>96</v>
      </c>
      <c r="C1437" s="6" t="inlineStr">
        <is>
          <t>X</t>
        </is>
      </c>
      <c r="D1437" s="5" t="n">
        <v>160</v>
      </c>
      <c r="E1437" s="2">
        <f>B1437*D1437/10000</f>
        <v/>
      </c>
      <c r="F1437" s="3">
        <f>B1437/30.48</f>
        <v/>
      </c>
      <c r="G1437" s="3">
        <f>D1437/30.48</f>
        <v/>
      </c>
      <c r="H1437" s="69" t="inlineStr">
        <is>
          <t>MCHD-TR</t>
        </is>
      </c>
      <c r="I1437" s="570" t="inlineStr">
        <is>
          <t>Ruthie Allan</t>
        </is>
      </c>
      <c r="J1437" s="557" t="inlineStr">
        <is>
          <t>US-225 405 8828</t>
        </is>
      </c>
    </row>
    <row r="1438" ht="17.25" customHeight="1" s="305">
      <c r="A1438" s="8" t="n">
        <v>1629</v>
      </c>
      <c r="B1438" s="5" t="n">
        <v>154</v>
      </c>
      <c r="C1438" s="72" t="inlineStr">
        <is>
          <t>X</t>
        </is>
      </c>
      <c r="D1438" s="5" t="n">
        <v>96</v>
      </c>
      <c r="E1438" s="73">
        <f>B1438*D1438/10000</f>
        <v/>
      </c>
      <c r="F1438" s="74">
        <f>B1438/30.48</f>
        <v/>
      </c>
      <c r="G1438" s="74">
        <f>D1438/30.48</f>
        <v/>
      </c>
      <c r="H1438" s="69" t="inlineStr">
        <is>
          <t>MCHD-TR</t>
        </is>
      </c>
      <c r="I1438" s="570" t="inlineStr">
        <is>
          <t>Jennifer Beeson</t>
        </is>
      </c>
      <c r="J1438" s="557" t="inlineStr">
        <is>
          <t>US-510 517 2891</t>
        </is>
      </c>
      <c r="P1438" s="1" t="n"/>
      <c r="Q1438" s="1" t="n"/>
      <c r="R1438" s="1" t="n"/>
    </row>
    <row r="1439" ht="17.25" customHeight="1" s="305">
      <c r="A1439" s="8" t="n">
        <v>1961</v>
      </c>
      <c r="B1439" s="5" t="n">
        <v>85</v>
      </c>
      <c r="C1439" s="72" t="inlineStr">
        <is>
          <t>X</t>
        </is>
      </c>
      <c r="D1439" s="5" t="n">
        <v>328</v>
      </c>
      <c r="E1439" s="73">
        <f>B1439*D1439/10000</f>
        <v/>
      </c>
      <c r="F1439" s="74">
        <f>B1439/30.48</f>
        <v/>
      </c>
      <c r="G1439" s="74">
        <f>D1439/30.48</f>
        <v/>
      </c>
      <c r="H1439" s="553" t="inlineStr">
        <is>
          <t>MCHD-PAC</t>
        </is>
      </c>
      <c r="I1439" s="570" t="inlineStr">
        <is>
          <t>DL ASHTON</t>
        </is>
      </c>
      <c r="J1439" s="557" t="n"/>
      <c r="P1439" s="1" t="n"/>
      <c r="Q1439" s="1" t="n"/>
      <c r="R1439" s="1" t="n"/>
    </row>
    <row r="1440" ht="17.25" customHeight="1" s="305">
      <c r="A1440" s="8" t="inlineStr">
        <is>
          <t>H 36</t>
        </is>
      </c>
      <c r="B1440" s="5" t="n">
        <v>106</v>
      </c>
      <c r="C1440" s="72" t="inlineStr">
        <is>
          <t>X</t>
        </is>
      </c>
      <c r="D1440" s="5" t="n">
        <v>318</v>
      </c>
      <c r="E1440" s="73">
        <f>B1440*D1440/10000</f>
        <v/>
      </c>
      <c r="F1440" s="74">
        <f>B1440/30.48</f>
        <v/>
      </c>
      <c r="G1440" s="74">
        <f>D1440/30.48</f>
        <v/>
      </c>
      <c r="H1440" s="16" t="inlineStr">
        <is>
          <t>MCHD-VR</t>
        </is>
      </c>
      <c r="I1440" s="570" t="inlineStr">
        <is>
          <t>Kelly Friedman</t>
        </is>
      </c>
      <c r="J1440" s="557" t="inlineStr">
        <is>
          <t>US-443 722 8998</t>
        </is>
      </c>
      <c r="P1440" s="1" t="n"/>
      <c r="Q1440" s="1" t="n"/>
      <c r="R1440" s="1" t="n"/>
    </row>
    <row r="1441" ht="17.25" customHeight="1" s="305">
      <c r="A1441" s="8" t="inlineStr">
        <is>
          <t>D 218</t>
        </is>
      </c>
      <c r="B1441" s="5" t="n">
        <v>46</v>
      </c>
      <c r="C1441" s="72" t="inlineStr">
        <is>
          <t>X</t>
        </is>
      </c>
      <c r="D1441" s="5" t="n">
        <v>92</v>
      </c>
      <c r="E1441" s="73">
        <f>B1441*D1441/10000</f>
        <v/>
      </c>
      <c r="F1441" s="74">
        <f>B1441/30.48</f>
        <v/>
      </c>
      <c r="G1441" s="74">
        <f>D1441/30.48</f>
        <v/>
      </c>
      <c r="H1441" s="16" t="inlineStr">
        <is>
          <t>MCHD-OLD</t>
        </is>
      </c>
      <c r="I1441" s="534" t="inlineStr">
        <is>
          <t>Tracy Williford</t>
        </is>
      </c>
      <c r="J1441" s="545" t="n"/>
    </row>
    <row r="1442" ht="17.25" customHeight="1" s="305">
      <c r="A1442" s="8" t="n">
        <v>1876</v>
      </c>
      <c r="B1442" s="5" t="n">
        <v>78</v>
      </c>
      <c r="C1442" s="72" t="inlineStr">
        <is>
          <t>X</t>
        </is>
      </c>
      <c r="D1442" s="5" t="n">
        <v>275</v>
      </c>
      <c r="E1442" s="73">
        <f>B1442*D1442/10000</f>
        <v/>
      </c>
      <c r="F1442" s="74">
        <f>B1442/30.48</f>
        <v/>
      </c>
      <c r="G1442" s="74">
        <f>D1442/30.48</f>
        <v/>
      </c>
      <c r="H1442" s="69" t="inlineStr">
        <is>
          <t>MCHD-TR</t>
        </is>
      </c>
      <c r="I1442" s="570" t="inlineStr">
        <is>
          <t>Hana Shaffner</t>
        </is>
      </c>
      <c r="J1442" s="557" t="inlineStr">
        <is>
          <t>US-704 451 5782</t>
        </is>
      </c>
    </row>
    <row r="1443" ht="17.25" customHeight="1" s="305">
      <c r="A1443" s="8" t="inlineStr">
        <is>
          <t>C 508</t>
        </is>
      </c>
      <c r="B1443" s="5" t="n">
        <v>112</v>
      </c>
      <c r="C1443" s="6" t="inlineStr">
        <is>
          <t>X</t>
        </is>
      </c>
      <c r="D1443" s="5" t="n">
        <v>185</v>
      </c>
      <c r="E1443" s="2">
        <f>B1443*D1443/10000</f>
        <v/>
      </c>
      <c r="F1443" s="3">
        <f>B1443/30.48</f>
        <v/>
      </c>
      <c r="G1443" s="3">
        <f>D1443/30.48</f>
        <v/>
      </c>
      <c r="H1443" s="69" t="inlineStr">
        <is>
          <t>MCHD-TR</t>
        </is>
      </c>
      <c r="I1443" s="570" t="inlineStr">
        <is>
          <t>Camille Rosetty</t>
        </is>
      </c>
      <c r="J1443" s="557" t="inlineStr">
        <is>
          <t>US-717 805 8038</t>
        </is>
      </c>
    </row>
    <row r="1444" ht="17.25" customHeight="1" s="305">
      <c r="A1444" s="8" t="inlineStr">
        <is>
          <t>Y 934</t>
        </is>
      </c>
      <c r="B1444" s="5" t="n">
        <v>325</v>
      </c>
      <c r="C1444" s="6" t="inlineStr">
        <is>
          <t>X</t>
        </is>
      </c>
      <c r="D1444" s="5" t="n">
        <v>97</v>
      </c>
      <c r="E1444" s="2">
        <f>B1444*D1444/10000</f>
        <v/>
      </c>
      <c r="F1444" s="3">
        <f>B1444/30.48</f>
        <v/>
      </c>
      <c r="G1444" s="3">
        <f>D1444/30.48</f>
        <v/>
      </c>
      <c r="H1444" s="37" t="inlineStr">
        <is>
          <t>MCHD-PAC</t>
        </is>
      </c>
      <c r="I1444" s="570" t="inlineStr">
        <is>
          <t>Lisa Kahley</t>
        </is>
      </c>
      <c r="J1444" s="557" t="inlineStr">
        <is>
          <t>US-773 318 9594</t>
        </is>
      </c>
    </row>
    <row r="1445" ht="17.25" customHeight="1" s="305">
      <c r="A1445" s="8" t="inlineStr">
        <is>
          <t>C 885</t>
        </is>
      </c>
      <c r="B1445" s="5" t="n">
        <v>107</v>
      </c>
      <c r="C1445" s="6" t="inlineStr">
        <is>
          <t>X</t>
        </is>
      </c>
      <c r="D1445" s="5" t="n">
        <v>180</v>
      </c>
      <c r="E1445" s="2">
        <f>B1445*D1445/10000</f>
        <v/>
      </c>
      <c r="F1445" s="3">
        <f>B1445/30.48</f>
        <v/>
      </c>
      <c r="G1445" s="3">
        <f>D1445/30.48</f>
        <v/>
      </c>
      <c r="H1445" s="694" t="n"/>
      <c r="I1445" s="694" t="n"/>
      <c r="J1445" s="694" t="n"/>
      <c r="P1445" s="1" t="n"/>
      <c r="Q1445" s="1" t="n"/>
      <c r="R1445" s="1" t="n"/>
    </row>
    <row r="1446" ht="17.25" customHeight="1" s="305">
      <c r="A1446" s="8" t="inlineStr">
        <is>
          <t>KN 53</t>
        </is>
      </c>
      <c r="B1446" s="5" t="n">
        <v>177</v>
      </c>
      <c r="C1446" s="6" t="inlineStr">
        <is>
          <t>X</t>
        </is>
      </c>
      <c r="D1446" s="5" t="n">
        <v>219</v>
      </c>
      <c r="E1446" s="2">
        <f>B1446*D1446/10000</f>
        <v/>
      </c>
      <c r="F1446" s="3">
        <f>B1446/30.48</f>
        <v/>
      </c>
      <c r="G1446" s="3">
        <f>D1446/30.48</f>
        <v/>
      </c>
      <c r="H1446" s="553" t="inlineStr">
        <is>
          <t>MCHD-PAC</t>
        </is>
      </c>
      <c r="I1446" s="570" t="inlineStr">
        <is>
          <t>Charlie Patten</t>
        </is>
      </c>
      <c r="J1446" s="557" t="inlineStr">
        <is>
          <t>UK-736 015 2800</t>
        </is>
      </c>
    </row>
    <row r="1447" ht="17.25" customHeight="1" s="305">
      <c r="A1447" s="8" t="inlineStr">
        <is>
          <t>M 6</t>
        </is>
      </c>
      <c r="B1447" s="5" t="n">
        <v>333</v>
      </c>
      <c r="C1447" s="6" t="inlineStr">
        <is>
          <t>X</t>
        </is>
      </c>
      <c r="D1447" s="5" t="n">
        <v>88</v>
      </c>
      <c r="E1447" s="2">
        <f>B1447*D1447/10000</f>
        <v/>
      </c>
      <c r="F1447" s="3">
        <f>B1447/30.48</f>
        <v/>
      </c>
      <c r="G1447" s="3">
        <f>D1447/30.48</f>
        <v/>
      </c>
      <c r="H1447" s="69" t="inlineStr">
        <is>
          <t>MCHD-TR</t>
        </is>
      </c>
      <c r="I1447" s="570" t="inlineStr">
        <is>
          <t>Christina Diaz</t>
        </is>
      </c>
      <c r="J1447" s="557" t="inlineStr">
        <is>
          <t>US-310 696 9597</t>
        </is>
      </c>
    </row>
    <row r="1448" ht="17.25" customHeight="1" s="305">
      <c r="A1448" s="8" t="n">
        <v>1529</v>
      </c>
      <c r="B1448" s="5" t="n">
        <v>419</v>
      </c>
      <c r="C1448" s="72" t="inlineStr">
        <is>
          <t>X</t>
        </is>
      </c>
      <c r="D1448" s="5" t="n">
        <v>76</v>
      </c>
      <c r="E1448" s="73">
        <f>B1448*D1448/10000</f>
        <v/>
      </c>
      <c r="F1448" s="74">
        <f>B1448/30.48</f>
        <v/>
      </c>
      <c r="G1448" s="74">
        <f>D1448/30.48</f>
        <v/>
      </c>
      <c r="H1448" s="16" t="inlineStr">
        <is>
          <t>MCHD-VR</t>
        </is>
      </c>
      <c r="I1448" s="570" t="inlineStr">
        <is>
          <t>Charles Vaden</t>
        </is>
      </c>
      <c r="J1448" s="557" t="inlineStr">
        <is>
          <t>US-615 403 3312</t>
        </is>
      </c>
      <c r="P1448" s="1" t="n"/>
      <c r="Q1448" s="1" t="n"/>
      <c r="R1448" s="1" t="n"/>
    </row>
    <row r="1449" ht="17.25" customHeight="1" s="305">
      <c r="A1449" s="8" t="inlineStr">
        <is>
          <t>H 209</t>
        </is>
      </c>
      <c r="B1449" s="5" t="n">
        <v>107</v>
      </c>
      <c r="C1449" s="6" t="inlineStr">
        <is>
          <t>X</t>
        </is>
      </c>
      <c r="D1449" s="5" t="n">
        <v>332</v>
      </c>
      <c r="E1449" s="2">
        <f>B1449*D1449/10000</f>
        <v/>
      </c>
      <c r="F1449" s="3">
        <f>B1449/30.48</f>
        <v/>
      </c>
      <c r="G1449" s="3">
        <f>D1449/30.48</f>
        <v/>
      </c>
      <c r="H1449" s="16" t="inlineStr">
        <is>
          <t>MCHD-OLD</t>
        </is>
      </c>
      <c r="I1449" s="534" t="inlineStr">
        <is>
          <t>Brooks McCorcle</t>
        </is>
      </c>
      <c r="J1449" s="545" t="n"/>
      <c r="P1449" s="1" t="n"/>
      <c r="Q1449" s="1" t="n"/>
      <c r="R1449" s="1" t="n"/>
    </row>
    <row r="1450" ht="17.25" customHeight="1" s="305">
      <c r="A1450" s="8" t="n">
        <v>1741</v>
      </c>
      <c r="B1450" s="5" t="n">
        <v>297</v>
      </c>
      <c r="C1450" s="72" t="inlineStr">
        <is>
          <t>X</t>
        </is>
      </c>
      <c r="D1450" s="5" t="n">
        <v>396</v>
      </c>
      <c r="E1450" s="73">
        <f>B1450*D1450/10000</f>
        <v/>
      </c>
      <c r="F1450" s="74">
        <f>B1450/30.48</f>
        <v/>
      </c>
      <c r="G1450" s="74">
        <f>D1450/30.48</f>
        <v/>
      </c>
      <c r="H1450" s="69" t="inlineStr">
        <is>
          <t>MCHD-TR</t>
        </is>
      </c>
      <c r="I1450" s="570" t="inlineStr">
        <is>
          <t>Lindsey Black</t>
        </is>
      </c>
      <c r="J1450" s="557" t="inlineStr">
        <is>
          <t>US-901 292 5930</t>
        </is>
      </c>
    </row>
    <row r="1451" ht="17.25" customHeight="1" s="305">
      <c r="A1451" s="8" t="n">
        <v>1371</v>
      </c>
      <c r="B1451" s="5" t="n">
        <v>66</v>
      </c>
      <c r="C1451" s="72" t="inlineStr">
        <is>
          <t>X</t>
        </is>
      </c>
      <c r="D1451" s="5" t="n">
        <v>310</v>
      </c>
      <c r="E1451" s="73">
        <f>B1451*D1451/10000</f>
        <v/>
      </c>
      <c r="F1451" s="74">
        <f>B1451/30.48</f>
        <v/>
      </c>
      <c r="G1451" s="74">
        <f>D1451/30.48</f>
        <v/>
      </c>
      <c r="H1451" s="69" t="inlineStr">
        <is>
          <t>MCHD-TR</t>
        </is>
      </c>
      <c r="I1451" s="570" t="inlineStr">
        <is>
          <t>Janet Matheson</t>
        </is>
      </c>
      <c r="J1451" s="557" t="inlineStr">
        <is>
          <t>US-205 401 2369</t>
        </is>
      </c>
      <c r="P1451" s="1" t="n"/>
    </row>
    <row r="1452" ht="17.25" customHeight="1" s="305">
      <c r="A1452" s="8" t="n">
        <v>2060</v>
      </c>
      <c r="B1452" s="5" t="n">
        <v>89</v>
      </c>
      <c r="C1452" s="72" t="inlineStr">
        <is>
          <t>X</t>
        </is>
      </c>
      <c r="D1452" s="5" t="n">
        <v>309</v>
      </c>
      <c r="E1452" s="73">
        <f>B1452*D1452/10000</f>
        <v/>
      </c>
      <c r="F1452" s="74">
        <f>B1452/30.48</f>
        <v/>
      </c>
      <c r="G1452" s="74">
        <f>D1452/30.48</f>
        <v/>
      </c>
      <c r="H1452" s="69" t="inlineStr">
        <is>
          <t>MCHD-TR</t>
        </is>
      </c>
      <c r="I1452" s="570" t="inlineStr">
        <is>
          <t>Daniel H. Otis</t>
        </is>
      </c>
      <c r="J1452" s="557" t="n"/>
      <c r="P1452" s="1" t="n"/>
      <c r="Q1452" s="1" t="n"/>
      <c r="R1452" s="1" t="n"/>
    </row>
    <row r="1453" ht="17.25" customHeight="1" s="305">
      <c r="A1453" s="8" t="n">
        <v>1477</v>
      </c>
      <c r="B1453" s="5" t="n">
        <v>80</v>
      </c>
      <c r="C1453" s="72" t="inlineStr">
        <is>
          <t>X</t>
        </is>
      </c>
      <c r="D1453" s="5" t="n">
        <v>175</v>
      </c>
      <c r="E1453" s="73">
        <f>B1453*D1453/10000</f>
        <v/>
      </c>
      <c r="F1453" s="74">
        <f>B1453/30.48</f>
        <v/>
      </c>
      <c r="G1453" s="74">
        <f>D1453/30.48</f>
        <v/>
      </c>
      <c r="H1453" s="16" t="inlineStr">
        <is>
          <t>MCHD-VR</t>
        </is>
      </c>
      <c r="I1453" s="534" t="inlineStr">
        <is>
          <t>Natalie Jones</t>
        </is>
      </c>
      <c r="J1453" s="545" t="n"/>
    </row>
    <row r="1454" ht="17.25" customHeight="1" s="305">
      <c r="A1454" s="8" t="n">
        <v>1342</v>
      </c>
      <c r="B1454" s="5" t="n">
        <v>75</v>
      </c>
      <c r="C1454" s="72" t="inlineStr">
        <is>
          <t>X</t>
        </is>
      </c>
      <c r="D1454" s="5" t="n">
        <v>185</v>
      </c>
      <c r="E1454" s="73">
        <f>B1454*D1454/10000</f>
        <v/>
      </c>
      <c r="F1454" s="74">
        <f>B1454/30.48</f>
        <v/>
      </c>
      <c r="G1454" s="74">
        <f>D1454/30.48</f>
        <v/>
      </c>
      <c r="H1454" s="553" t="inlineStr">
        <is>
          <t>MCHD-PAC</t>
        </is>
      </c>
      <c r="I1454" s="570" t="inlineStr">
        <is>
          <t>David Boudle</t>
        </is>
      </c>
      <c r="J1454" s="557" t="n"/>
    </row>
    <row r="1455" ht="17.25" customHeight="1" s="305">
      <c r="A1455" s="8" t="n">
        <v>1558</v>
      </c>
      <c r="B1455" s="5" t="n">
        <v>189</v>
      </c>
      <c r="C1455" s="72" t="inlineStr">
        <is>
          <t>X</t>
        </is>
      </c>
      <c r="D1455" s="5" t="n">
        <v>96</v>
      </c>
      <c r="E1455" s="73">
        <f>B1455*D1455/10000</f>
        <v/>
      </c>
      <c r="F1455" s="74">
        <f>B1455/30.48</f>
        <v/>
      </c>
      <c r="G1455" s="74">
        <f>D1455/30.48</f>
        <v/>
      </c>
      <c r="H1455" s="553" t="inlineStr">
        <is>
          <t>MCHD-PAC</t>
        </is>
      </c>
      <c r="I1455" s="570" t="inlineStr">
        <is>
          <t>Kathleen Wynsma</t>
        </is>
      </c>
      <c r="J1455" s="557" t="n"/>
    </row>
    <row r="1456" ht="17.25" customHeight="1" s="305">
      <c r="A1456" s="8" t="n">
        <v>1668</v>
      </c>
      <c r="B1456" s="5" t="n">
        <v>309</v>
      </c>
      <c r="C1456" s="72" t="inlineStr">
        <is>
          <t>X</t>
        </is>
      </c>
      <c r="D1456" s="5" t="n">
        <v>85</v>
      </c>
      <c r="E1456" s="73">
        <f>B1456*D1456/10000</f>
        <v/>
      </c>
      <c r="F1456" s="74">
        <f>B1456/30.48</f>
        <v/>
      </c>
      <c r="G1456" s="74">
        <f>D1456/30.48</f>
        <v/>
      </c>
      <c r="H1456" s="69" t="inlineStr">
        <is>
          <t>MCHD-TR</t>
        </is>
      </c>
      <c r="I1456" s="570" t="inlineStr">
        <is>
          <t>Malu Grasso</t>
        </is>
      </c>
      <c r="J1456" s="557" t="inlineStr">
        <is>
          <t>US-704 286 6388</t>
        </is>
      </c>
    </row>
    <row r="1457" ht="17.25" customHeight="1" s="305">
      <c r="A1457" s="8" t="n">
        <v>1924</v>
      </c>
      <c r="B1457" s="5" t="n">
        <v>70</v>
      </c>
      <c r="C1457" s="72" t="inlineStr">
        <is>
          <t>X</t>
        </is>
      </c>
      <c r="D1457" s="5" t="n">
        <v>232</v>
      </c>
      <c r="E1457" s="73">
        <f>B1457*D1457/10000</f>
        <v/>
      </c>
      <c r="F1457" s="74">
        <f>B1457/30.48</f>
        <v/>
      </c>
      <c r="G1457" s="74">
        <f>D1457/30.48</f>
        <v/>
      </c>
      <c r="H1457" s="69" t="inlineStr">
        <is>
          <t>MCHD-TR</t>
        </is>
      </c>
      <c r="I1457" s="570" t="inlineStr">
        <is>
          <t>molly epps-ouellette</t>
        </is>
      </c>
      <c r="J1457" s="557" t="inlineStr">
        <is>
          <t>US-413 923 2814</t>
        </is>
      </c>
      <c r="P1457" s="1" t="n"/>
      <c r="Q1457" s="1" t="n"/>
      <c r="R1457" s="1" t="n"/>
    </row>
    <row r="1458" ht="17.25" customHeight="1" s="305">
      <c r="A1458" s="8" t="n">
        <v>1724</v>
      </c>
      <c r="B1458" s="5" t="n">
        <v>280</v>
      </c>
      <c r="C1458" s="72" t="inlineStr">
        <is>
          <t>X</t>
        </is>
      </c>
      <c r="D1458" s="5" t="n">
        <v>364</v>
      </c>
      <c r="E1458" s="73">
        <f>B1458*D1458/10000</f>
        <v/>
      </c>
      <c r="F1458" s="74">
        <f>B1458/30.48</f>
        <v/>
      </c>
      <c r="G1458" s="74">
        <f>D1458/30.48</f>
        <v/>
      </c>
      <c r="H1458" s="69" t="inlineStr">
        <is>
          <t>MCHD-TR</t>
        </is>
      </c>
      <c r="I1458" s="570" t="inlineStr">
        <is>
          <t>Jasmine Martin</t>
        </is>
      </c>
      <c r="J1458" s="557" t="inlineStr">
        <is>
          <t>US-760 822 0041</t>
        </is>
      </c>
      <c r="P1458" s="1" t="n"/>
      <c r="Q1458" s="1" t="n"/>
      <c r="R1458" s="1" t="n"/>
    </row>
    <row r="1459" ht="17.25" customHeight="1" s="305">
      <c r="A1459" s="8" t="n">
        <v>1749</v>
      </c>
      <c r="B1459" s="5" t="n">
        <v>285</v>
      </c>
      <c r="C1459" s="72" t="inlineStr">
        <is>
          <t>X</t>
        </is>
      </c>
      <c r="D1459" s="5" t="n">
        <v>367</v>
      </c>
      <c r="E1459" s="73">
        <f>B1459*D1459/10000</f>
        <v/>
      </c>
      <c r="F1459" s="74">
        <f>B1459/30.48</f>
        <v/>
      </c>
      <c r="G1459" s="74">
        <f>D1459/30.48</f>
        <v/>
      </c>
      <c r="H1459" s="69" t="inlineStr">
        <is>
          <t>MCHD-TR</t>
        </is>
      </c>
      <c r="I1459" s="570" t="inlineStr">
        <is>
          <t>Karen Bludau</t>
        </is>
      </c>
      <c r="J1459" s="557" t="inlineStr">
        <is>
          <t>US-361 484 7438</t>
        </is>
      </c>
      <c r="P1459" s="1" t="n"/>
      <c r="Q1459" s="1" t="n"/>
      <c r="R1459" s="1" t="n"/>
    </row>
    <row r="1460" ht="17.25" customHeight="1" s="305">
      <c r="A1460" s="8" t="inlineStr">
        <is>
          <t>D 288</t>
        </is>
      </c>
      <c r="B1460" s="5" t="n">
        <v>53</v>
      </c>
      <c r="C1460" s="72" t="inlineStr">
        <is>
          <t>X</t>
        </is>
      </c>
      <c r="D1460" s="5" t="n">
        <v>96</v>
      </c>
      <c r="E1460" s="73">
        <f>B1460*D1460/10000</f>
        <v/>
      </c>
      <c r="F1460" s="74">
        <f>B1460/30.48</f>
        <v/>
      </c>
      <c r="G1460" s="74">
        <f>D1460/30.48</f>
        <v/>
      </c>
      <c r="H1460" s="16" t="inlineStr">
        <is>
          <t>MCHD-OLD</t>
        </is>
      </c>
      <c r="I1460" s="570" t="inlineStr">
        <is>
          <t>Hadley Shepherd</t>
        </is>
      </c>
      <c r="J1460" s="557" t="n"/>
    </row>
    <row r="1461" ht="17.25" customHeight="1" s="305">
      <c r="A1461" s="8" t="n">
        <v>1076</v>
      </c>
      <c r="B1461" s="5" t="n">
        <v>65</v>
      </c>
      <c r="C1461" s="72" t="inlineStr">
        <is>
          <t>X</t>
        </is>
      </c>
      <c r="D1461" s="5" t="n">
        <v>163</v>
      </c>
      <c r="E1461" s="73">
        <f>B1461*D1461/10000</f>
        <v/>
      </c>
      <c r="F1461" s="74">
        <f>B1461/30.48</f>
        <v/>
      </c>
      <c r="G1461" s="74">
        <f>D1461/30.48</f>
        <v/>
      </c>
      <c r="H1461" s="66" t="inlineStr">
        <is>
          <t>MCHD-TR</t>
        </is>
      </c>
      <c r="I1461" s="570" t="inlineStr">
        <is>
          <t>Deborah Spalding</t>
        </is>
      </c>
      <c r="J1461" s="557" t="inlineStr">
        <is>
          <t>US-203 536 5651</t>
        </is>
      </c>
    </row>
    <row r="1462" ht="17.25" customHeight="1" s="305">
      <c r="A1462" s="8" t="n">
        <v>1284</v>
      </c>
      <c r="B1462" s="5" t="n">
        <v>55</v>
      </c>
      <c r="C1462" s="72" t="inlineStr">
        <is>
          <t>X</t>
        </is>
      </c>
      <c r="D1462" s="5" t="n">
        <v>109</v>
      </c>
      <c r="E1462" s="73">
        <f>B1462*D1462/10000</f>
        <v/>
      </c>
      <c r="F1462" s="74">
        <f>B1462/30.48</f>
        <v/>
      </c>
      <c r="G1462" s="74">
        <f>D1462/30.48</f>
        <v/>
      </c>
      <c r="H1462" s="694" t="n"/>
      <c r="I1462" s="694" t="n"/>
      <c r="J1462" s="694" t="n"/>
      <c r="P1462" s="1" t="n"/>
      <c r="Q1462" s="1" t="n"/>
      <c r="R1462" s="1" t="n"/>
    </row>
    <row r="1463" ht="17.25" customHeight="1" s="305">
      <c r="A1463" s="8" t="n">
        <v>1943</v>
      </c>
      <c r="B1463" s="5" t="n">
        <v>74</v>
      </c>
      <c r="C1463" s="72" t="inlineStr">
        <is>
          <t>X</t>
        </is>
      </c>
      <c r="D1463" s="5" t="n">
        <v>145</v>
      </c>
      <c r="E1463" s="73">
        <f>B1463*D1463/10000</f>
        <v/>
      </c>
      <c r="F1463" s="74">
        <f>B1463/30.48</f>
        <v/>
      </c>
      <c r="G1463" s="74">
        <f>D1463/30.48</f>
        <v/>
      </c>
      <c r="H1463" s="69" t="inlineStr">
        <is>
          <t>MCHD-TR</t>
        </is>
      </c>
      <c r="I1463" s="534" t="inlineStr">
        <is>
          <t>Danielle Dahle</t>
        </is>
      </c>
      <c r="J1463" s="545" t="inlineStr">
        <is>
          <t>US-619 787 9317</t>
        </is>
      </c>
      <c r="P1463" s="1" t="n"/>
      <c r="Q1463" s="1" t="n"/>
      <c r="R1463" s="1" t="n"/>
    </row>
    <row r="1464" ht="17.25" customHeight="1" s="305">
      <c r="A1464" s="8" t="n">
        <v>1551</v>
      </c>
      <c r="B1464" s="5" t="n">
        <v>267</v>
      </c>
      <c r="C1464" s="72" t="inlineStr">
        <is>
          <t>X</t>
        </is>
      </c>
      <c r="D1464" s="5" t="n">
        <v>99</v>
      </c>
      <c r="E1464" s="73">
        <f>B1464*D1464/10000</f>
        <v/>
      </c>
      <c r="F1464" s="74">
        <f>B1464/30.48</f>
        <v/>
      </c>
      <c r="G1464" s="74">
        <f>D1464/30.48</f>
        <v/>
      </c>
      <c r="H1464" s="553" t="inlineStr">
        <is>
          <t>MCHD-PAC</t>
        </is>
      </c>
      <c r="I1464" s="570" t="inlineStr">
        <is>
          <t>Erin King</t>
        </is>
      </c>
      <c r="J1464" s="557" t="inlineStr">
        <is>
          <t>US-513 235 8713</t>
        </is>
      </c>
    </row>
    <row r="1465" ht="17.25" customHeight="1" s="305">
      <c r="A1465" s="8" t="n">
        <v>1740</v>
      </c>
      <c r="B1465" s="5" t="n">
        <v>291</v>
      </c>
      <c r="C1465" s="72" t="inlineStr">
        <is>
          <t>X</t>
        </is>
      </c>
      <c r="D1465" s="5" t="n">
        <v>393</v>
      </c>
      <c r="E1465" s="73">
        <f>B1465*D1465/10000</f>
        <v/>
      </c>
      <c r="F1465" s="74">
        <f>B1465/30.48</f>
        <v/>
      </c>
      <c r="G1465" s="74">
        <f>D1465/30.48</f>
        <v/>
      </c>
      <c r="H1465" s="553" t="inlineStr">
        <is>
          <t>MCHD-PAC</t>
        </is>
      </c>
      <c r="I1465" s="570" t="inlineStr">
        <is>
          <t>Kimberly Jackson</t>
        </is>
      </c>
      <c r="J1465" s="557" t="inlineStr">
        <is>
          <t>US-843 276 9771</t>
        </is>
      </c>
      <c r="P1465" s="1" t="n"/>
      <c r="Q1465" s="1" t="n"/>
      <c r="R1465" s="1" t="n"/>
    </row>
    <row r="1466" ht="17.25" customHeight="1" s="305">
      <c r="A1466" s="8" t="n">
        <v>1888</v>
      </c>
      <c r="B1466" s="5" t="n">
        <v>173</v>
      </c>
      <c r="C1466" s="72" t="inlineStr">
        <is>
          <t>X</t>
        </is>
      </c>
      <c r="D1466" s="5" t="n">
        <v>386</v>
      </c>
      <c r="E1466" s="73">
        <f>B1466*D1466/10000</f>
        <v/>
      </c>
      <c r="F1466" s="74">
        <f>B1466/30.48</f>
        <v/>
      </c>
      <c r="G1466" s="74">
        <f>D1466/30.48</f>
        <v/>
      </c>
      <c r="H1466" s="69" t="inlineStr">
        <is>
          <t>MCHD-TR</t>
        </is>
      </c>
      <c r="I1466" s="534" t="inlineStr">
        <is>
          <t>Hilldrup Storage HAYDEN</t>
        </is>
      </c>
      <c r="J1466" s="545" t="inlineStr">
        <is>
          <t>US-704 307 6092</t>
        </is>
      </c>
      <c r="P1466" s="1" t="n"/>
      <c r="Q1466" s="1" t="n"/>
      <c r="R1466" s="1" t="n"/>
    </row>
    <row r="1467" ht="17.25" customHeight="1" s="305">
      <c r="A1467" s="8" t="inlineStr">
        <is>
          <t>C 933</t>
        </is>
      </c>
      <c r="B1467" s="5" t="n">
        <v>115</v>
      </c>
      <c r="C1467" s="6" t="inlineStr">
        <is>
          <t>X</t>
        </is>
      </c>
      <c r="D1467" s="5" t="n">
        <v>251</v>
      </c>
      <c r="E1467" s="2">
        <f>B1467*D1467/10000</f>
        <v/>
      </c>
      <c r="F1467" s="3">
        <f>B1467/30.48</f>
        <v/>
      </c>
      <c r="G1467" s="3">
        <f>D1467/30.48</f>
        <v/>
      </c>
      <c r="H1467" s="16" t="inlineStr">
        <is>
          <t>MCHD-OLD</t>
        </is>
      </c>
      <c r="I1467" s="570" t="inlineStr">
        <is>
          <t>Tracy McNeese</t>
        </is>
      </c>
      <c r="J1467" s="557" t="n"/>
      <c r="P1467" s="1" t="n"/>
    </row>
    <row r="1468" ht="17.25" customHeight="1" s="305">
      <c r="A1468" s="8" t="inlineStr">
        <is>
          <t>Y 192</t>
        </is>
      </c>
      <c r="B1468" s="5" t="n">
        <v>311</v>
      </c>
      <c r="C1468" s="6" t="inlineStr">
        <is>
          <t>X</t>
        </is>
      </c>
      <c r="D1468" s="5" t="n">
        <v>209</v>
      </c>
      <c r="E1468" s="2">
        <f>B1468*D1468/10000</f>
        <v/>
      </c>
      <c r="F1468" s="3">
        <f>B1468/30.48</f>
        <v/>
      </c>
      <c r="G1468" s="3">
        <f>D1468/30.48</f>
        <v/>
      </c>
      <c r="H1468" s="16" t="inlineStr">
        <is>
          <t>MCHD-VR</t>
        </is>
      </c>
      <c r="I1468" s="570" t="inlineStr">
        <is>
          <t>Damaris Christopher</t>
        </is>
      </c>
      <c r="J1468" s="557" t="inlineStr">
        <is>
          <t>US-828 358 7271</t>
        </is>
      </c>
      <c r="P1468" s="1" t="n"/>
    </row>
    <row r="1469" ht="17.25" customHeight="1" s="305">
      <c r="A1469" s="8" t="n">
        <v>1394</v>
      </c>
      <c r="B1469" s="5" t="n">
        <v>80</v>
      </c>
      <c r="C1469" s="72" t="inlineStr">
        <is>
          <t>X</t>
        </is>
      </c>
      <c r="D1469" s="5" t="n">
        <v>370</v>
      </c>
      <c r="E1469" s="73">
        <f>B1469*D1469/10000</f>
        <v/>
      </c>
      <c r="F1469" s="74">
        <f>B1469/30.48</f>
        <v/>
      </c>
      <c r="G1469" s="74">
        <f>D1469/30.48</f>
        <v/>
      </c>
      <c r="H1469" s="694" t="n"/>
      <c r="I1469" s="694" t="n"/>
      <c r="J1469" s="694" t="n"/>
      <c r="P1469" s="1" t="n"/>
      <c r="Q1469" s="1" t="n"/>
      <c r="R1469" s="1" t="n"/>
    </row>
    <row r="1470" ht="17.25" customHeight="1" s="305">
      <c r="A1470" s="8" t="n">
        <v>1630</v>
      </c>
      <c r="B1470" s="5" t="n">
        <v>136</v>
      </c>
      <c r="C1470" s="72" t="inlineStr">
        <is>
          <t>X</t>
        </is>
      </c>
      <c r="D1470" s="5" t="n">
        <v>76</v>
      </c>
      <c r="E1470" s="73">
        <f>B1470*D1470/10000</f>
        <v/>
      </c>
      <c r="F1470" s="74">
        <f>B1470/30.48</f>
        <v/>
      </c>
      <c r="G1470" s="74">
        <f>D1470/30.48</f>
        <v/>
      </c>
      <c r="H1470" s="16" t="inlineStr">
        <is>
          <t>MCHD-VR</t>
        </is>
      </c>
      <c r="I1470" s="570" t="inlineStr">
        <is>
          <t>Susanne Holly</t>
        </is>
      </c>
      <c r="J1470" s="557" t="inlineStr">
        <is>
          <t>US-816 363 9951</t>
        </is>
      </c>
      <c r="P1470" s="1" t="n"/>
      <c r="Q1470" s="1" t="n"/>
      <c r="R1470" s="1" t="n"/>
    </row>
    <row r="1471" ht="17.25" customHeight="1" s="305">
      <c r="A1471" s="8" t="inlineStr">
        <is>
          <t>C 517</t>
        </is>
      </c>
      <c r="B1471" s="5" t="n">
        <v>113</v>
      </c>
      <c r="C1471" s="6" t="inlineStr">
        <is>
          <t>X</t>
        </is>
      </c>
      <c r="D1471" s="5" t="n">
        <v>165</v>
      </c>
      <c r="E1471" s="2">
        <f>B1471*D1471/10000</f>
        <v/>
      </c>
      <c r="F1471" s="3">
        <f>B1471/30.48</f>
        <v/>
      </c>
      <c r="G1471" s="3">
        <f>D1471/30.48</f>
        <v/>
      </c>
      <c r="H1471" s="16" t="inlineStr">
        <is>
          <t>MCHD-VR</t>
        </is>
      </c>
      <c r="I1471" s="570" t="inlineStr">
        <is>
          <t>Nancy Smith</t>
        </is>
      </c>
      <c r="J1471" s="557" t="inlineStr">
        <is>
          <t>US-573 449 0841</t>
        </is>
      </c>
      <c r="P1471" s="1" t="n"/>
      <c r="Q1471" s="1" t="n"/>
      <c r="R1471" s="1" t="n"/>
    </row>
    <row r="1472" ht="17.25" customHeight="1" s="305">
      <c r="A1472" s="8" t="n">
        <v>1606</v>
      </c>
      <c r="B1472" s="5" t="n">
        <v>274</v>
      </c>
      <c r="C1472" s="72" t="inlineStr">
        <is>
          <t>X</t>
        </is>
      </c>
      <c r="D1472" s="5" t="n">
        <v>87</v>
      </c>
      <c r="E1472" s="73">
        <f>B1472*D1472/10000</f>
        <v/>
      </c>
      <c r="F1472" s="74">
        <f>B1472/30.48</f>
        <v/>
      </c>
      <c r="G1472" s="74">
        <f>D1472/30.48</f>
        <v/>
      </c>
      <c r="H1472" s="553" t="inlineStr">
        <is>
          <t>MCHD-PAC</t>
        </is>
      </c>
      <c r="I1472" s="570" t="inlineStr">
        <is>
          <t>afton dozier</t>
        </is>
      </c>
      <c r="J1472" s="557" t="inlineStr">
        <is>
          <t>US-303 330 4364</t>
        </is>
      </c>
      <c r="P1472" s="1" t="n"/>
      <c r="Q1472" s="1" t="n"/>
      <c r="R1472" s="1" t="n"/>
    </row>
    <row r="1473" ht="17.25" customHeight="1" s="305">
      <c r="A1473" s="8" t="n">
        <v>1884</v>
      </c>
      <c r="B1473" s="5" t="n">
        <v>136</v>
      </c>
      <c r="C1473" s="72" t="inlineStr">
        <is>
          <t>X</t>
        </is>
      </c>
      <c r="D1473" s="5" t="n">
        <v>174</v>
      </c>
      <c r="E1473" s="73">
        <f>B1473*D1473/10000</f>
        <v/>
      </c>
      <c r="F1473" s="74">
        <f>B1473/30.48</f>
        <v/>
      </c>
      <c r="G1473" s="74">
        <f>D1473/30.48</f>
        <v/>
      </c>
      <c r="H1473" s="69" t="inlineStr">
        <is>
          <t>MCHD-TR</t>
        </is>
      </c>
      <c r="I1473" s="570" t="inlineStr">
        <is>
          <t>Kate Anderson</t>
        </is>
      </c>
      <c r="J1473" s="557" t="inlineStr">
        <is>
          <t>US-614 557 6412</t>
        </is>
      </c>
      <c r="P1473" s="1" t="n"/>
      <c r="Q1473" s="1" t="n"/>
      <c r="R1473" s="1" t="n"/>
    </row>
    <row r="1474">
      <c r="A1474" s="536" t="inlineStr">
        <is>
          <t>-2024 MART-</t>
        </is>
      </c>
      <c r="H1474" s="104" t="inlineStr">
        <is>
          <t>SATAN-SİTE</t>
        </is>
      </c>
      <c r="I1474" s="98" t="inlineStr">
        <is>
          <t>MÜŞTERİ ADI</t>
        </is>
      </c>
      <c r="J1474" s="63" t="inlineStr">
        <is>
          <t>MÜŞTERİ İLETİŞİM &amp; ÜLKE</t>
        </is>
      </c>
      <c r="P1474" s="1" t="n"/>
    </row>
    <row r="1475" ht="17.25" customHeight="1" s="305">
      <c r="A1475" s="8" t="n">
        <v>1911</v>
      </c>
      <c r="B1475" s="5" t="n">
        <v>206</v>
      </c>
      <c r="C1475" s="72" t="inlineStr">
        <is>
          <t>X</t>
        </is>
      </c>
      <c r="D1475" s="5" t="n">
        <v>335</v>
      </c>
      <c r="E1475" s="73">
        <f>B1475*D1475/10000</f>
        <v/>
      </c>
      <c r="F1475" s="74">
        <f>B1475/30.48</f>
        <v/>
      </c>
      <c r="G1475" s="74">
        <f>D1475/30.48</f>
        <v/>
      </c>
      <c r="H1475" s="553" t="inlineStr">
        <is>
          <t>MCHD-PAC</t>
        </is>
      </c>
      <c r="I1475" s="570" t="inlineStr">
        <is>
          <t>Mallie Schaefer</t>
        </is>
      </c>
      <c r="J1475" s="557" t="inlineStr">
        <is>
          <t>US-630 947 9268</t>
        </is>
      </c>
      <c r="P1475" s="1" t="n"/>
      <c r="Q1475" s="1" t="n"/>
      <c r="R1475" s="1" t="n"/>
    </row>
    <row r="1476" ht="17.25" customHeight="1" s="305">
      <c r="A1476" s="8" t="n">
        <v>2045</v>
      </c>
      <c r="B1476" s="5" t="n">
        <v>71</v>
      </c>
      <c r="C1476" s="72" t="inlineStr">
        <is>
          <t>X</t>
        </is>
      </c>
      <c r="D1476" s="5" t="n">
        <v>219</v>
      </c>
      <c r="E1476" s="73">
        <f>B1476*D1476/10000</f>
        <v/>
      </c>
      <c r="F1476" s="74">
        <f>B1476/30.48</f>
        <v/>
      </c>
      <c r="G1476" s="74">
        <f>D1476/30.48</f>
        <v/>
      </c>
      <c r="H1476" s="69" t="inlineStr">
        <is>
          <t>MCHD-TR</t>
        </is>
      </c>
      <c r="I1476" s="534" t="inlineStr">
        <is>
          <t>Rene Brookbank</t>
        </is>
      </c>
      <c r="J1476" s="545" t="n"/>
      <c r="P1476" s="1" t="n"/>
      <c r="Q1476" s="1" t="n"/>
      <c r="R1476" s="1" t="n"/>
    </row>
    <row r="1477" ht="17.25" customHeight="1" s="305">
      <c r="A1477" s="8" t="inlineStr">
        <is>
          <t>C 291</t>
        </is>
      </c>
      <c r="B1477" s="5" t="n">
        <v>65</v>
      </c>
      <c r="C1477" s="6" t="inlineStr">
        <is>
          <t>X</t>
        </is>
      </c>
      <c r="D1477" s="5" t="n">
        <v>131</v>
      </c>
      <c r="E1477" s="2">
        <f>B1477*D1477/10000</f>
        <v/>
      </c>
      <c r="F1477" s="3">
        <f>B1477/30.48</f>
        <v/>
      </c>
      <c r="G1477" s="3">
        <f>D1477/30.48</f>
        <v/>
      </c>
      <c r="H1477" s="69" t="inlineStr">
        <is>
          <t>MCHD-RK</t>
        </is>
      </c>
      <c r="I1477" s="570" t="inlineStr">
        <is>
          <t>Circa Genevieve ID</t>
        </is>
      </c>
      <c r="J1477" s="557" t="inlineStr">
        <is>
          <t>US-323 547  0288</t>
        </is>
      </c>
      <c r="P1477" s="1" t="n"/>
    </row>
    <row r="1478" ht="17.25" customHeight="1" s="305">
      <c r="A1478" s="8" t="n">
        <v>1069</v>
      </c>
      <c r="B1478" s="5" t="n">
        <v>125</v>
      </c>
      <c r="C1478" s="72" t="inlineStr">
        <is>
          <t>X</t>
        </is>
      </c>
      <c r="D1478" s="5" t="n">
        <v>330</v>
      </c>
      <c r="E1478" s="73">
        <f>B1478*D1478/10000</f>
        <v/>
      </c>
      <c r="F1478" s="74">
        <f>B1478/30.48</f>
        <v/>
      </c>
      <c r="G1478" s="74">
        <f>D1478/30.48</f>
        <v/>
      </c>
      <c r="H1478" s="553" t="inlineStr">
        <is>
          <t>MCHD-PAC</t>
        </is>
      </c>
      <c r="I1478" s="570" t="inlineStr">
        <is>
          <t>Barry Peterson</t>
        </is>
      </c>
      <c r="J1478" s="557" t="inlineStr">
        <is>
          <t>US-208 716 6083</t>
        </is>
      </c>
      <c r="P1478" s="1" t="n"/>
      <c r="Q1478" s="1" t="n"/>
      <c r="R1478" s="1" t="n"/>
    </row>
    <row r="1479" ht="17.25" customHeight="1" s="305">
      <c r="A1479" s="8" t="n">
        <v>1747</v>
      </c>
      <c r="B1479" s="5" t="n">
        <v>270</v>
      </c>
      <c r="C1479" s="72" t="inlineStr">
        <is>
          <t>X</t>
        </is>
      </c>
      <c r="D1479" s="5" t="n">
        <v>368</v>
      </c>
      <c r="E1479" s="73">
        <f>B1479*D1479/10000</f>
        <v/>
      </c>
      <c r="F1479" s="74">
        <f>B1479/30.48</f>
        <v/>
      </c>
      <c r="G1479" s="74">
        <f>D1479/30.48</f>
        <v/>
      </c>
      <c r="H1479" s="553" t="inlineStr">
        <is>
          <t>MCHD-PAC</t>
        </is>
      </c>
      <c r="I1479" s="570" t="inlineStr">
        <is>
          <t>Emily Schneider</t>
        </is>
      </c>
      <c r="J1479" s="557" t="inlineStr">
        <is>
          <t>US-803 509 2020</t>
        </is>
      </c>
      <c r="P1479" s="1" t="n"/>
      <c r="Q1479" s="1" t="n"/>
      <c r="R1479" s="1" t="n"/>
    </row>
    <row r="1480" ht="17.25" customHeight="1" s="305">
      <c r="A1480" s="8" t="n">
        <v>1258</v>
      </c>
      <c r="B1480" s="5" t="n">
        <v>126</v>
      </c>
      <c r="C1480" s="72" t="inlineStr">
        <is>
          <t>X</t>
        </is>
      </c>
      <c r="D1480" s="5" t="n">
        <v>227</v>
      </c>
      <c r="E1480" s="73">
        <f>B1480*D1480/10000</f>
        <v/>
      </c>
      <c r="F1480" s="74">
        <f>B1480/30.48</f>
        <v/>
      </c>
      <c r="G1480" s="74">
        <f>D1480/30.48</f>
        <v/>
      </c>
      <c r="H1480" s="553" t="inlineStr">
        <is>
          <t>MCHD-PAC</t>
        </is>
      </c>
      <c r="I1480" s="570" t="inlineStr">
        <is>
          <t>Katina Cavagnaro</t>
        </is>
      </c>
      <c r="J1480" s="557" t="inlineStr">
        <is>
          <t>US-301 379 6440</t>
        </is>
      </c>
      <c r="P1480" s="1" t="n"/>
      <c r="Q1480" s="1" t="n"/>
      <c r="R1480" s="1" t="n"/>
    </row>
    <row r="1481" ht="17.25" customHeight="1" s="305">
      <c r="A1481" s="8" t="inlineStr">
        <is>
          <t>C 660</t>
        </is>
      </c>
      <c r="B1481" s="5" t="n">
        <v>78</v>
      </c>
      <c r="C1481" s="6" t="inlineStr">
        <is>
          <t>X</t>
        </is>
      </c>
      <c r="D1481" s="5" t="n">
        <v>136</v>
      </c>
      <c r="E1481" s="2">
        <f>B1481*D1481/10000</f>
        <v/>
      </c>
      <c r="F1481" s="3">
        <f>B1481/30.48</f>
        <v/>
      </c>
      <c r="G1481" s="3">
        <f>D1481/30.48</f>
        <v/>
      </c>
      <c r="H1481" s="69" t="inlineStr">
        <is>
          <t>MCHD-TR</t>
        </is>
      </c>
      <c r="I1481" s="570" t="inlineStr">
        <is>
          <t>Erin Tolbert</t>
        </is>
      </c>
      <c r="J1481" s="557" t="inlineStr">
        <is>
          <t>US-425 308 6668</t>
        </is>
      </c>
      <c r="P1481" s="1" t="n"/>
      <c r="Q1481" s="1" t="n"/>
      <c r="R1481" s="1" t="n"/>
    </row>
    <row r="1482" ht="17.25" customHeight="1" s="305">
      <c r="A1482" s="8" t="n">
        <v>1790</v>
      </c>
      <c r="B1482" s="5" t="n">
        <v>146</v>
      </c>
      <c r="C1482" s="72" t="inlineStr">
        <is>
          <t>X</t>
        </is>
      </c>
      <c r="D1482" s="5" t="n">
        <v>241</v>
      </c>
      <c r="E1482" s="73">
        <f>B1482*D1482/10000</f>
        <v/>
      </c>
      <c r="F1482" s="74">
        <f>B1482/30.48</f>
        <v/>
      </c>
      <c r="G1482" s="74">
        <f>D1482/30.48</f>
        <v/>
      </c>
      <c r="H1482" s="69" t="inlineStr">
        <is>
          <t>MCHD-TR</t>
        </is>
      </c>
      <c r="I1482" s="534" t="inlineStr">
        <is>
          <t>Lisa Nadorp</t>
        </is>
      </c>
      <c r="J1482" s="545" t="inlineStr">
        <is>
          <t>AU-61 438 344 427</t>
        </is>
      </c>
      <c r="P1482" s="1" t="n"/>
      <c r="Q1482" s="1" t="n"/>
      <c r="R1482" s="1" t="n"/>
    </row>
    <row r="1483" ht="17.25" customHeight="1" s="305">
      <c r="A1483" s="8" t="inlineStr">
        <is>
          <t>Y 152</t>
        </is>
      </c>
      <c r="B1483" s="5" t="n">
        <v>290</v>
      </c>
      <c r="C1483" s="6" t="inlineStr">
        <is>
          <t>X</t>
        </is>
      </c>
      <c r="D1483" s="5" t="n">
        <v>191</v>
      </c>
      <c r="E1483" s="2">
        <f>B1483*D1483/10000</f>
        <v/>
      </c>
      <c r="F1483" s="3">
        <f>B1483/30.48</f>
        <v/>
      </c>
      <c r="G1483" s="3">
        <f>D1483/30.48</f>
        <v/>
      </c>
      <c r="H1483" s="69" t="inlineStr">
        <is>
          <t>MCHD-TR</t>
        </is>
      </c>
      <c r="I1483" s="570" t="inlineStr">
        <is>
          <t>Michelle Sparks</t>
        </is>
      </c>
      <c r="J1483" s="557" t="n"/>
      <c r="P1483" s="1" t="n"/>
    </row>
    <row r="1484" ht="17.25" customHeight="1" s="305">
      <c r="A1484" s="8" t="n">
        <v>1989</v>
      </c>
      <c r="B1484" s="5" t="n">
        <v>84</v>
      </c>
      <c r="C1484" s="72" t="inlineStr">
        <is>
          <t>X</t>
        </is>
      </c>
      <c r="D1484" s="5" t="n">
        <v>403</v>
      </c>
      <c r="E1484" s="73">
        <f>B1484*D1484/10000</f>
        <v/>
      </c>
      <c r="F1484" s="74">
        <f>B1484/30.48</f>
        <v/>
      </c>
      <c r="G1484" s="74">
        <f>D1484/30.48</f>
        <v/>
      </c>
      <c r="H1484" s="69" t="inlineStr">
        <is>
          <t>MCHD-TR</t>
        </is>
      </c>
      <c r="I1484" s="534" t="inlineStr">
        <is>
          <t>Taj Reneau</t>
        </is>
      </c>
      <c r="J1484" s="545" t="inlineStr">
        <is>
          <t>US-224 300 1189</t>
        </is>
      </c>
      <c r="P1484" s="1" t="n"/>
      <c r="Q1484" s="1" t="n"/>
      <c r="R1484" s="1" t="n"/>
    </row>
    <row r="1485" ht="17.25" customHeight="1" s="305">
      <c r="A1485" s="8" t="n">
        <v>1730</v>
      </c>
      <c r="B1485" s="5" t="n">
        <v>299</v>
      </c>
      <c r="C1485" s="72" t="inlineStr">
        <is>
          <t>X</t>
        </is>
      </c>
      <c r="D1485" s="5" t="n">
        <v>389</v>
      </c>
      <c r="E1485" s="73">
        <f>B1485*D1485/10000</f>
        <v/>
      </c>
      <c r="F1485" s="74">
        <f>B1485/30.48</f>
        <v/>
      </c>
      <c r="G1485" s="74">
        <f>D1485/30.48</f>
        <v/>
      </c>
      <c r="H1485" s="69" t="inlineStr">
        <is>
          <t>MCHD-TR</t>
        </is>
      </c>
      <c r="I1485" s="570" t="inlineStr">
        <is>
          <t>Lauren Meeh</t>
        </is>
      </c>
      <c r="J1485" s="557" t="inlineStr">
        <is>
          <t>US-858 735 1319</t>
        </is>
      </c>
    </row>
    <row r="1486" ht="17.25" customHeight="1" s="305">
      <c r="A1486" s="8" t="n">
        <v>1818</v>
      </c>
      <c r="B1486" s="5" t="n">
        <v>250</v>
      </c>
      <c r="C1486" s="72" t="inlineStr">
        <is>
          <t>X</t>
        </is>
      </c>
      <c r="D1486" s="5" t="n">
        <v>350</v>
      </c>
      <c r="E1486" s="73">
        <f>B1486*D1486/10000</f>
        <v/>
      </c>
      <c r="F1486" s="74">
        <f>B1486/30.48</f>
        <v/>
      </c>
      <c r="G1486" s="74">
        <f>D1486/30.48</f>
        <v/>
      </c>
      <c r="H1486" s="69" t="inlineStr">
        <is>
          <t>MCHD-TR</t>
        </is>
      </c>
      <c r="I1486" s="570" t="inlineStr">
        <is>
          <t>Sunita Bava</t>
        </is>
      </c>
      <c r="J1486" s="557" t="inlineStr">
        <is>
          <t>US-858 220 2881</t>
        </is>
      </c>
      <c r="P1486" s="1" t="n"/>
      <c r="Q1486" s="1" t="n"/>
      <c r="R1486" s="1" t="n"/>
    </row>
    <row r="1487" ht="17.25" customHeight="1" s="305">
      <c r="A1487" s="8" t="n">
        <v>1850</v>
      </c>
      <c r="B1487" s="5" t="n">
        <v>80</v>
      </c>
      <c r="C1487" s="72" t="inlineStr">
        <is>
          <t>X</t>
        </is>
      </c>
      <c r="D1487" s="5" t="n">
        <v>314</v>
      </c>
      <c r="E1487" s="73">
        <f>B1487*D1487/10000</f>
        <v/>
      </c>
      <c r="F1487" s="74">
        <f>B1487/30.48</f>
        <v/>
      </c>
      <c r="G1487" s="74">
        <f>D1487/30.48</f>
        <v/>
      </c>
      <c r="H1487" s="69" t="inlineStr">
        <is>
          <t>MCHD-TR</t>
        </is>
      </c>
      <c r="I1487" s="534" t="inlineStr">
        <is>
          <t>Megan Williams</t>
        </is>
      </c>
      <c r="J1487" s="545" t="inlineStr">
        <is>
          <t>US-701 361 9184</t>
        </is>
      </c>
      <c r="P1487" s="1" t="n"/>
      <c r="Q1487" s="1" t="n"/>
      <c r="R1487" s="1" t="n"/>
    </row>
    <row r="1488" ht="17.25" customHeight="1" s="305">
      <c r="A1488" s="8" t="inlineStr">
        <is>
          <t>C 364</t>
        </is>
      </c>
      <c r="B1488" s="5" t="n">
        <v>114</v>
      </c>
      <c r="C1488" s="6" t="inlineStr">
        <is>
          <t>X</t>
        </is>
      </c>
      <c r="D1488" s="5" t="n">
        <v>388</v>
      </c>
      <c r="E1488" s="2">
        <f>B1488*D1488/10000</f>
        <v/>
      </c>
      <c r="F1488" s="3">
        <f>B1488/30.48</f>
        <v/>
      </c>
      <c r="G1488" s="3">
        <f>D1488/30.48</f>
        <v/>
      </c>
      <c r="H1488" s="16" t="inlineStr">
        <is>
          <t>MCHD-OLD</t>
        </is>
      </c>
      <c r="I1488" s="534" t="inlineStr">
        <is>
          <t>christjan jordan</t>
        </is>
      </c>
      <c r="J1488" s="545" t="inlineStr">
        <is>
          <t>US-310 951 4900</t>
        </is>
      </c>
      <c r="P1488" s="1" t="n"/>
    </row>
    <row r="1489" ht="17.25" customHeight="1" s="305">
      <c r="A1489" s="8" t="n">
        <v>1883</v>
      </c>
      <c r="B1489" s="5" t="n">
        <v>80</v>
      </c>
      <c r="C1489" s="72" t="inlineStr">
        <is>
          <t>X</t>
        </is>
      </c>
      <c r="D1489" s="5" t="n">
        <v>268</v>
      </c>
      <c r="E1489" s="73">
        <f>B1489*D1489/10000</f>
        <v/>
      </c>
      <c r="F1489" s="74">
        <f>B1489/30.48</f>
        <v/>
      </c>
      <c r="G1489" s="74">
        <f>D1489/30.48</f>
        <v/>
      </c>
      <c r="H1489" s="69" t="inlineStr">
        <is>
          <t>MCHD-TR</t>
        </is>
      </c>
      <c r="I1489" s="570" t="inlineStr">
        <is>
          <t>Andrea Pfister</t>
        </is>
      </c>
      <c r="J1489" s="557" t="n"/>
    </row>
    <row r="1490" ht="17.25" customHeight="1" s="305">
      <c r="A1490" s="8" t="n">
        <v>1768</v>
      </c>
      <c r="B1490" s="5" t="n">
        <v>292</v>
      </c>
      <c r="C1490" s="72" t="inlineStr">
        <is>
          <t>X</t>
        </is>
      </c>
      <c r="D1490" s="5" t="n">
        <v>371</v>
      </c>
      <c r="E1490" s="73">
        <f>B1490*D1490/10000</f>
        <v/>
      </c>
      <c r="F1490" s="74">
        <f>B1490/30.48</f>
        <v/>
      </c>
      <c r="G1490" s="74">
        <f>D1490/30.48</f>
        <v/>
      </c>
      <c r="H1490" s="69" t="inlineStr">
        <is>
          <t>MCHD-TR</t>
        </is>
      </c>
      <c r="I1490" s="534" t="inlineStr">
        <is>
          <t>Debra Cole</t>
        </is>
      </c>
      <c r="J1490" s="545" t="inlineStr">
        <is>
          <t>US-615 305 1616</t>
        </is>
      </c>
    </row>
    <row r="1491" ht="17.25" customHeight="1" s="305">
      <c r="A1491" s="8" t="n">
        <v>1846</v>
      </c>
      <c r="B1491" s="5" t="n">
        <v>71</v>
      </c>
      <c r="C1491" s="72" t="inlineStr">
        <is>
          <t>X</t>
        </is>
      </c>
      <c r="D1491" s="5" t="n">
        <v>230</v>
      </c>
      <c r="E1491" s="73">
        <f>B1491*D1491/10000</f>
        <v/>
      </c>
      <c r="F1491" s="74">
        <f>B1491/30.48</f>
        <v/>
      </c>
      <c r="G1491" s="74">
        <f>D1491/30.48</f>
        <v/>
      </c>
      <c r="H1491" s="69" t="inlineStr">
        <is>
          <t>MCHD-TR</t>
        </is>
      </c>
      <c r="I1491" s="570" t="inlineStr">
        <is>
          <t>Renna Embry</t>
        </is>
      </c>
      <c r="J1491" s="557" t="n"/>
    </row>
    <row r="1492" ht="17.25" customHeight="1" s="305">
      <c r="A1492" s="8" t="inlineStr">
        <is>
          <t>C 578</t>
        </is>
      </c>
      <c r="B1492" s="5" t="n">
        <v>112</v>
      </c>
      <c r="C1492" s="6" t="inlineStr">
        <is>
          <t>X</t>
        </is>
      </c>
      <c r="D1492" s="5" t="n">
        <v>260</v>
      </c>
      <c r="E1492" s="2">
        <f>B1492*D1492/10000</f>
        <v/>
      </c>
      <c r="F1492" s="3">
        <f>B1492/30.48</f>
        <v/>
      </c>
      <c r="G1492" s="3">
        <f>D1492/30.48</f>
        <v/>
      </c>
      <c r="H1492" s="69" t="inlineStr">
        <is>
          <t>MCHD-TR</t>
        </is>
      </c>
      <c r="I1492" s="570" t="inlineStr">
        <is>
          <t>kinley winnaman</t>
        </is>
      </c>
      <c r="J1492" s="557" t="inlineStr">
        <is>
          <t>US-310 824 3824</t>
        </is>
      </c>
    </row>
    <row r="1493" ht="17.25" customHeight="1" s="305">
      <c r="A1493" s="8" t="n">
        <v>1746</v>
      </c>
      <c r="B1493" s="5" t="n">
        <v>292</v>
      </c>
      <c r="C1493" s="72" t="inlineStr">
        <is>
          <t>X</t>
        </is>
      </c>
      <c r="D1493" s="5" t="n">
        <v>379</v>
      </c>
      <c r="E1493" s="73">
        <f>B1493*D1493/10000</f>
        <v/>
      </c>
      <c r="F1493" s="74">
        <f>B1493/30.48</f>
        <v/>
      </c>
      <c r="G1493" s="74">
        <f>D1493/30.48</f>
        <v/>
      </c>
      <c r="H1493" s="37" t="inlineStr">
        <is>
          <t>MCHD-PAC</t>
        </is>
      </c>
      <c r="I1493" s="693" t="n"/>
      <c r="J1493" s="693" t="n"/>
      <c r="P1493" s="1" t="n"/>
      <c r="Q1493" s="1" t="n"/>
      <c r="R1493" s="1" t="n"/>
    </row>
    <row r="1494" ht="17.25" customHeight="1" s="305">
      <c r="A1494" s="8" t="n">
        <v>1332</v>
      </c>
      <c r="B1494" s="5" t="n">
        <v>238</v>
      </c>
      <c r="C1494" s="72" t="inlineStr">
        <is>
          <t>X</t>
        </is>
      </c>
      <c r="D1494" s="5" t="n">
        <v>328</v>
      </c>
      <c r="E1494" s="73">
        <f>B1494*D1494/10000</f>
        <v/>
      </c>
      <c r="F1494" s="74">
        <f>B1494/30.48</f>
        <v/>
      </c>
      <c r="G1494" s="74">
        <f>D1494/30.48</f>
        <v/>
      </c>
      <c r="H1494" s="694" t="n"/>
      <c r="I1494" s="694" t="n"/>
      <c r="J1494" s="694" t="n"/>
      <c r="P1494" s="1" t="n"/>
      <c r="Q1494" s="1" t="n"/>
      <c r="R1494" s="1" t="n"/>
    </row>
    <row r="1495" ht="17.25" customHeight="1" s="305">
      <c r="A1495" s="8" t="n">
        <v>1868</v>
      </c>
      <c r="B1495" s="5" t="n">
        <v>66</v>
      </c>
      <c r="C1495" s="72" t="inlineStr">
        <is>
          <t>X</t>
        </is>
      </c>
      <c r="D1495" s="5" t="n">
        <v>189</v>
      </c>
      <c r="E1495" s="73">
        <f>B1495*D1495/10000</f>
        <v/>
      </c>
      <c r="F1495" s="74">
        <f>B1495/30.48</f>
        <v/>
      </c>
      <c r="G1495" s="74">
        <f>D1495/30.48</f>
        <v/>
      </c>
      <c r="H1495" s="553" t="inlineStr">
        <is>
          <t>MCHD-PAC</t>
        </is>
      </c>
      <c r="I1495" s="534" t="inlineStr">
        <is>
          <t>Macy Clark</t>
        </is>
      </c>
      <c r="J1495" s="545" t="inlineStr">
        <is>
          <t>US-859 394 7172</t>
        </is>
      </c>
      <c r="P1495" s="1" t="n"/>
      <c r="Q1495" s="1" t="n"/>
      <c r="R1495" s="1" t="n"/>
    </row>
    <row r="1496" ht="17.25" customHeight="1" s="305">
      <c r="A1496" s="8" t="n">
        <v>1966</v>
      </c>
      <c r="B1496" s="5" t="n">
        <v>153</v>
      </c>
      <c r="C1496" s="72" t="inlineStr">
        <is>
          <t>X</t>
        </is>
      </c>
      <c r="D1496" s="5" t="n">
        <v>209</v>
      </c>
      <c r="E1496" s="73">
        <f>B1496*D1496/10000</f>
        <v/>
      </c>
      <c r="F1496" s="74">
        <f>B1496/30.48</f>
        <v/>
      </c>
      <c r="G1496" s="74">
        <f>D1496/30.48</f>
        <v/>
      </c>
      <c r="H1496" s="553" t="inlineStr">
        <is>
          <t>PAC</t>
        </is>
      </c>
      <c r="I1496" s="241" t="inlineStr">
        <is>
          <t>Monica Bravo</t>
        </is>
      </c>
      <c r="J1496" s="233" t="n"/>
    </row>
    <row r="1497" ht="17.25" customHeight="1" s="305">
      <c r="A1497" s="8" t="n">
        <v>1873</v>
      </c>
      <c r="B1497" s="5" t="n">
        <v>77</v>
      </c>
      <c r="C1497" s="72" t="inlineStr">
        <is>
          <t>X</t>
        </is>
      </c>
      <c r="D1497" s="5" t="n">
        <v>259</v>
      </c>
      <c r="E1497" s="73">
        <f>B1497*D1497/10000</f>
        <v/>
      </c>
      <c r="F1497" s="74">
        <f>B1497/30.48</f>
        <v/>
      </c>
      <c r="G1497" s="74">
        <f>D1497/30.48</f>
        <v/>
      </c>
      <c r="H1497" s="553" t="inlineStr">
        <is>
          <t>PAC</t>
        </is>
      </c>
      <c r="I1497" s="241" t="inlineStr">
        <is>
          <t>ATI BIVENS</t>
        </is>
      </c>
      <c r="J1497" s="557" t="inlineStr">
        <is>
          <t>US-951 707 8888</t>
        </is>
      </c>
    </row>
    <row r="1498" ht="17.25" customHeight="1" s="305">
      <c r="A1498" s="8" t="inlineStr">
        <is>
          <t>A 40</t>
        </is>
      </c>
      <c r="B1498" s="5" t="n">
        <v>293</v>
      </c>
      <c r="C1498" s="6" t="inlineStr">
        <is>
          <t>X</t>
        </is>
      </c>
      <c r="D1498" s="5" t="n">
        <v>377</v>
      </c>
      <c r="E1498" s="2">
        <f>B1498*D1498/10000</f>
        <v/>
      </c>
      <c r="F1498" s="3">
        <f>B1498/30.48</f>
        <v/>
      </c>
      <c r="G1498" s="3">
        <f>D1498/30.48</f>
        <v/>
      </c>
      <c r="H1498" s="553" t="inlineStr">
        <is>
          <t>PAC</t>
        </is>
      </c>
      <c r="I1498" s="241" t="inlineStr">
        <is>
          <t>Gwen LaRose</t>
        </is>
      </c>
      <c r="J1498" s="233" t="n"/>
    </row>
    <row r="1499" ht="17.25" customHeight="1" s="305">
      <c r="A1499" s="8" t="inlineStr">
        <is>
          <t>Y 748</t>
        </is>
      </c>
      <c r="B1499" s="5" t="n">
        <v>266</v>
      </c>
      <c r="C1499" s="6" t="inlineStr">
        <is>
          <t>X</t>
        </is>
      </c>
      <c r="D1499" s="5" t="n">
        <v>166</v>
      </c>
      <c r="E1499" s="2">
        <f>B1499*D1499/10000</f>
        <v/>
      </c>
      <c r="F1499" s="3">
        <f>B1499/30.48</f>
        <v/>
      </c>
      <c r="G1499" s="3">
        <f>D1499/30.48</f>
        <v/>
      </c>
      <c r="H1499" s="69" t="inlineStr">
        <is>
          <t>MCHD-TR</t>
        </is>
      </c>
      <c r="I1499" s="232" t="n"/>
      <c r="J1499" s="233" t="n"/>
    </row>
    <row r="1500" ht="17.25" customHeight="1" s="305">
      <c r="A1500" s="8" t="n">
        <v>2085</v>
      </c>
      <c r="B1500" s="5" t="n">
        <v>89</v>
      </c>
      <c r="C1500" s="72" t="inlineStr">
        <is>
          <t>X</t>
        </is>
      </c>
      <c r="D1500" s="5" t="n">
        <v>333</v>
      </c>
      <c r="E1500" s="73">
        <f>B1500*D1500/10000</f>
        <v/>
      </c>
      <c r="F1500" s="74">
        <f>B1500/30.48</f>
        <v/>
      </c>
      <c r="G1500" s="74">
        <f>D1500/30.48</f>
        <v/>
      </c>
      <c r="H1500" s="69" t="inlineStr">
        <is>
          <t>MCHD-TR</t>
        </is>
      </c>
      <c r="I1500" s="232" t="n"/>
      <c r="J1500" s="233" t="n"/>
      <c r="P1500" s="1" t="n"/>
      <c r="Q1500" s="1" t="n"/>
      <c r="R1500" s="1" t="n"/>
    </row>
    <row r="1501" ht="17.25" customHeight="1" s="305">
      <c r="A1501" s="8" t="n">
        <v>1945</v>
      </c>
      <c r="B1501" s="5" t="n">
        <v>71</v>
      </c>
      <c r="C1501" s="72" t="inlineStr">
        <is>
          <t>X</t>
        </is>
      </c>
      <c r="D1501" s="5" t="n">
        <v>210</v>
      </c>
      <c r="E1501" s="73">
        <f>B1501*D1501/10000</f>
        <v/>
      </c>
      <c r="F1501" s="74">
        <f>B1501/30.48</f>
        <v/>
      </c>
      <c r="G1501" s="74">
        <f>D1501/30.48</f>
        <v/>
      </c>
      <c r="H1501" s="69" t="inlineStr">
        <is>
          <t>MCHD-TR</t>
        </is>
      </c>
      <c r="I1501" s="234" t="n"/>
      <c r="J1501" s="235" t="n"/>
      <c r="P1501" s="1" t="n"/>
      <c r="Q1501" s="1" t="n"/>
      <c r="R1501" s="1" t="n"/>
    </row>
    <row r="1502" ht="17.25" customHeight="1" s="305">
      <c r="A1502" s="8" t="inlineStr">
        <is>
          <t>C 944</t>
        </is>
      </c>
      <c r="B1502" s="5" t="n">
        <v>78</v>
      </c>
      <c r="C1502" s="6" t="inlineStr">
        <is>
          <t>X</t>
        </is>
      </c>
      <c r="D1502" s="5" t="n">
        <v>309</v>
      </c>
      <c r="E1502" s="2">
        <f>B1502*D1502/10000</f>
        <v/>
      </c>
      <c r="F1502" s="3">
        <f>B1502/30.48</f>
        <v/>
      </c>
      <c r="G1502" s="3">
        <f>D1502/30.48</f>
        <v/>
      </c>
      <c r="H1502" s="69" t="inlineStr">
        <is>
          <t>MCHD-TR</t>
        </is>
      </c>
      <c r="I1502" s="557" t="n"/>
      <c r="J1502" s="557" t="n"/>
    </row>
    <row r="1503" ht="17.25" customHeight="1" s="305">
      <c r="A1503" s="8" t="inlineStr">
        <is>
          <t>C 416</t>
        </is>
      </c>
      <c r="B1503" s="5" t="n">
        <v>143</v>
      </c>
      <c r="C1503" s="6" t="inlineStr">
        <is>
          <t>X</t>
        </is>
      </c>
      <c r="D1503" s="5" t="n">
        <v>240</v>
      </c>
      <c r="E1503" s="2">
        <f>B1503*D1503/10000</f>
        <v/>
      </c>
      <c r="F1503" s="3">
        <f>B1503/30.48</f>
        <v/>
      </c>
      <c r="G1503" s="3">
        <f>D1503/30.48</f>
        <v/>
      </c>
      <c r="H1503" s="69" t="inlineStr">
        <is>
          <t>MCHD-TR</t>
        </is>
      </c>
      <c r="I1503" s="557" t="n"/>
      <c r="J1503" s="557" t="n"/>
      <c r="P1503" s="1" t="n"/>
    </row>
    <row r="1504" ht="17.25" customHeight="1" s="305">
      <c r="A1504" s="8" t="inlineStr">
        <is>
          <t>C 437</t>
        </is>
      </c>
      <c r="B1504" s="5" t="n">
        <v>100</v>
      </c>
      <c r="C1504" s="6" t="inlineStr">
        <is>
          <t>X</t>
        </is>
      </c>
      <c r="D1504" s="5" t="n">
        <v>206</v>
      </c>
      <c r="E1504" s="2">
        <f>B1504*D1504/10000</f>
        <v/>
      </c>
      <c r="F1504" s="3">
        <f>B1504/30.48</f>
        <v/>
      </c>
      <c r="G1504" s="3">
        <f>D1504/30.48</f>
        <v/>
      </c>
      <c r="H1504" s="69" t="inlineStr">
        <is>
          <t>MCHD-TR</t>
        </is>
      </c>
      <c r="I1504" s="557" t="n"/>
      <c r="J1504" s="557" t="n"/>
      <c r="P1504" s="1" t="n"/>
      <c r="Q1504" s="1" t="n"/>
      <c r="R1504" s="1" t="n"/>
    </row>
    <row r="1505" ht="17.25" customHeight="1" s="305">
      <c r="A1505" s="8" t="n">
        <v>132</v>
      </c>
      <c r="B1505" s="5" t="n">
        <v>82</v>
      </c>
      <c r="C1505" s="6" t="inlineStr">
        <is>
          <t>X</t>
        </is>
      </c>
      <c r="D1505" s="5" t="n">
        <v>46</v>
      </c>
      <c r="E1505" s="2">
        <f>B1505*D1505/10000</f>
        <v/>
      </c>
      <c r="F1505" s="3">
        <f>B1505/30.48</f>
        <v/>
      </c>
      <c r="G1505" s="3">
        <f>D1505/30.48</f>
        <v/>
      </c>
      <c r="H1505" s="553" t="inlineStr">
        <is>
          <t>PAC</t>
        </is>
      </c>
      <c r="I1505" s="534" t="inlineStr">
        <is>
          <t>Judy Turner</t>
        </is>
      </c>
      <c r="J1505" s="545" t="n"/>
    </row>
    <row r="1506" ht="17.25" customHeight="1" s="305">
      <c r="A1506" s="8" t="inlineStr">
        <is>
          <t>C 525</t>
        </is>
      </c>
      <c r="B1506" s="5" t="n">
        <v>137</v>
      </c>
      <c r="C1506" s="6" t="inlineStr">
        <is>
          <t>X</t>
        </is>
      </c>
      <c r="D1506" s="5" t="n">
        <v>201</v>
      </c>
      <c r="E1506" s="2">
        <f>B1506*D1506/10000</f>
        <v/>
      </c>
      <c r="F1506" s="3">
        <f>B1506/30.48</f>
        <v/>
      </c>
      <c r="G1506" s="3">
        <f>D1506/30.48</f>
        <v/>
      </c>
      <c r="H1506" s="16" t="inlineStr">
        <is>
          <t>VR</t>
        </is>
      </c>
      <c r="I1506" s="570" t="inlineStr">
        <is>
          <t>Bruce Edwards</t>
        </is>
      </c>
      <c r="J1506" s="557" t="n"/>
    </row>
    <row r="1507" ht="17.25" customHeight="1" s="305">
      <c r="A1507" s="8" t="inlineStr">
        <is>
          <t>H 243</t>
        </is>
      </c>
      <c r="B1507" s="5" t="n">
        <v>85</v>
      </c>
      <c r="C1507" s="72" t="inlineStr">
        <is>
          <t>X</t>
        </is>
      </c>
      <c r="D1507" s="5" t="n">
        <v>414</v>
      </c>
      <c r="E1507" s="73">
        <f>B1507*D1507/10000</f>
        <v/>
      </c>
      <c r="F1507" s="74">
        <f>B1507/30.48</f>
        <v/>
      </c>
      <c r="G1507" s="74">
        <f>D1507/30.48</f>
        <v/>
      </c>
      <c r="H1507" s="16" t="inlineStr">
        <is>
          <t>VR</t>
        </is>
      </c>
      <c r="I1507" s="534" t="inlineStr">
        <is>
          <t>Kristin McDermott</t>
        </is>
      </c>
      <c r="J1507" s="545" t="n"/>
      <c r="P1507" s="1" t="n"/>
      <c r="Q1507" s="1" t="n"/>
      <c r="R1507" s="1" t="n"/>
    </row>
    <row r="1508" ht="17.25" customHeight="1" s="305">
      <c r="A1508" s="8" t="n">
        <v>2113</v>
      </c>
      <c r="B1508" s="5" t="n">
        <v>68</v>
      </c>
      <c r="C1508" s="72" t="inlineStr">
        <is>
          <t>X</t>
        </is>
      </c>
      <c r="D1508" s="5" t="n">
        <v>145</v>
      </c>
      <c r="E1508" s="73">
        <f>B1508*D1508/10000</f>
        <v/>
      </c>
      <c r="F1508" s="74">
        <f>B1508/30.48</f>
        <v/>
      </c>
      <c r="G1508" s="74">
        <f>D1508/30.48</f>
        <v/>
      </c>
      <c r="H1508" s="69" t="inlineStr">
        <is>
          <t>MCHD-TR</t>
        </is>
      </c>
      <c r="I1508" s="557" t="n"/>
      <c r="J1508" s="557" t="n"/>
    </row>
    <row r="1509" ht="17.25" customHeight="1" s="305">
      <c r="A1509" s="8" t="inlineStr">
        <is>
          <t>C 813</t>
        </is>
      </c>
      <c r="B1509" s="5" t="n">
        <v>180</v>
      </c>
      <c r="C1509" s="6" t="inlineStr">
        <is>
          <t>X</t>
        </is>
      </c>
      <c r="D1509" s="5" t="n">
        <v>271</v>
      </c>
      <c r="E1509" s="2">
        <f>B1509*D1509/10000</f>
        <v/>
      </c>
      <c r="F1509" s="3">
        <f>B1509/30.48</f>
        <v/>
      </c>
      <c r="G1509" s="3">
        <f>D1509/30.48</f>
        <v/>
      </c>
      <c r="H1509" s="69" t="inlineStr">
        <is>
          <t>MCHD-TR</t>
        </is>
      </c>
      <c r="I1509" s="545" t="n"/>
      <c r="J1509" s="545" t="n"/>
    </row>
    <row r="1510" ht="17.25" customHeight="1" s="305">
      <c r="A1510" s="8" t="n">
        <v>1007</v>
      </c>
      <c r="B1510" s="5" t="n">
        <v>123</v>
      </c>
      <c r="C1510" s="72" t="inlineStr">
        <is>
          <t>X</t>
        </is>
      </c>
      <c r="D1510" s="5" t="n">
        <v>289</v>
      </c>
      <c r="E1510" s="73">
        <f>B1510*D1510/10000</f>
        <v/>
      </c>
      <c r="F1510" s="74">
        <f>B1510/30.48</f>
        <v/>
      </c>
      <c r="G1510" s="74">
        <f>D1510/30.48</f>
        <v/>
      </c>
      <c r="H1510" s="69" t="inlineStr">
        <is>
          <t>MCHD-TR</t>
        </is>
      </c>
      <c r="I1510" s="545" t="n"/>
      <c r="J1510" s="545" t="n"/>
    </row>
    <row r="1511" ht="17.25" customHeight="1" s="305">
      <c r="A1511" s="8" t="inlineStr">
        <is>
          <t>C 701</t>
        </is>
      </c>
      <c r="B1511" s="5" t="n">
        <v>223</v>
      </c>
      <c r="C1511" s="6" t="inlineStr">
        <is>
          <t>X</t>
        </is>
      </c>
      <c r="D1511" s="5" t="n">
        <v>314</v>
      </c>
      <c r="E1511" s="2">
        <f>B1511*D1511/10000</f>
        <v/>
      </c>
      <c r="F1511" s="3">
        <f>B1511/30.48</f>
        <v/>
      </c>
      <c r="G1511" s="3">
        <f>D1511/30.48</f>
        <v/>
      </c>
      <c r="H1511" s="69" t="inlineStr">
        <is>
          <t>MCHD-TR</t>
        </is>
      </c>
      <c r="I1511" s="545" t="n"/>
      <c r="J1511" s="545" t="n"/>
    </row>
    <row r="1512" ht="17.25" customHeight="1" s="305">
      <c r="A1512" s="8" t="inlineStr">
        <is>
          <t>C 175</t>
        </is>
      </c>
      <c r="B1512" s="5" t="n">
        <v>301</v>
      </c>
      <c r="C1512" s="6" t="inlineStr">
        <is>
          <t>X</t>
        </is>
      </c>
      <c r="D1512" s="5" t="n">
        <v>94</v>
      </c>
      <c r="E1512" s="2">
        <f>B1512*D1512/10000</f>
        <v/>
      </c>
      <c r="F1512" s="3">
        <f>B1512/30.48</f>
        <v/>
      </c>
      <c r="G1512" s="3">
        <f>D1512/30.48</f>
        <v/>
      </c>
      <c r="H1512" s="553" t="inlineStr">
        <is>
          <t>PAC</t>
        </is>
      </c>
      <c r="I1512" s="570" t="inlineStr">
        <is>
          <t>Elizabeth Ferber Sims</t>
        </is>
      </c>
      <c r="J1512" s="557" t="n"/>
    </row>
    <row r="1513" ht="17.25" customHeight="1" s="305">
      <c r="A1513" s="8" t="inlineStr">
        <is>
          <t>C 622</t>
        </is>
      </c>
      <c r="B1513" s="5" t="n">
        <v>141</v>
      </c>
      <c r="C1513" s="6" t="inlineStr">
        <is>
          <t>X</t>
        </is>
      </c>
      <c r="D1513" s="5" t="n">
        <v>261</v>
      </c>
      <c r="E1513" s="2">
        <f>B1513*D1513/10000</f>
        <v/>
      </c>
      <c r="F1513" s="3">
        <f>B1513/30.48</f>
        <v/>
      </c>
      <c r="G1513" s="3">
        <f>D1513/30.48</f>
        <v/>
      </c>
      <c r="H1513" s="553" t="inlineStr">
        <is>
          <t>PAC</t>
        </is>
      </c>
      <c r="I1513" s="570" t="inlineStr">
        <is>
          <t>Caroline Durst</t>
        </is>
      </c>
      <c r="J1513" s="557" t="n"/>
      <c r="P1513" s="1" t="n"/>
      <c r="Q1513" s="1" t="n"/>
      <c r="R1513" s="1" t="n"/>
    </row>
    <row r="1514" ht="17.25" customHeight="1" s="305">
      <c r="A1514" s="8" t="n">
        <v>1765</v>
      </c>
      <c r="B1514" s="5" t="n">
        <v>273</v>
      </c>
      <c r="C1514" s="72" t="inlineStr">
        <is>
          <t>X</t>
        </is>
      </c>
      <c r="D1514" s="5" t="n">
        <v>396</v>
      </c>
      <c r="E1514" s="73">
        <f>B1514*D1514/10000</f>
        <v/>
      </c>
      <c r="F1514" s="74">
        <f>B1514/30.48</f>
        <v/>
      </c>
      <c r="G1514" s="74">
        <f>D1514/30.48</f>
        <v/>
      </c>
      <c r="H1514" s="553" t="inlineStr">
        <is>
          <t>PAC</t>
        </is>
      </c>
      <c r="I1514" s="570" t="inlineStr">
        <is>
          <t>Lindsey Maxwell</t>
        </is>
      </c>
      <c r="J1514" s="557" t="inlineStr">
        <is>
          <t>US-646 283 6269</t>
        </is>
      </c>
      <c r="P1514" s="1" t="n"/>
      <c r="Q1514" s="1" t="n"/>
      <c r="R1514" s="1" t="n"/>
    </row>
    <row r="1515" ht="17.25" customHeight="1" s="305">
      <c r="A1515" s="8" t="inlineStr">
        <is>
          <t>C 636</t>
        </is>
      </c>
      <c r="B1515" s="5" t="n">
        <v>98</v>
      </c>
      <c r="C1515" s="6" t="inlineStr">
        <is>
          <t>X</t>
        </is>
      </c>
      <c r="D1515" s="5" t="n">
        <v>173</v>
      </c>
      <c r="E1515" s="2">
        <f>B1515*D1515/10000</f>
        <v/>
      </c>
      <c r="F1515" s="3">
        <f>B1515/30.48</f>
        <v/>
      </c>
      <c r="G1515" s="3">
        <f>D1515/30.48</f>
        <v/>
      </c>
      <c r="H1515" s="16" t="inlineStr">
        <is>
          <t>VR</t>
        </is>
      </c>
      <c r="I1515" s="570" t="inlineStr">
        <is>
          <t>ArynMichael Dendy</t>
        </is>
      </c>
      <c r="J1515" s="557" t="n"/>
      <c r="P1515" s="1" t="n"/>
      <c r="Q1515" s="1" t="n"/>
      <c r="R1515" s="1" t="n"/>
    </row>
    <row r="1516" ht="17.25" customHeight="1" s="305">
      <c r="A1516" s="8" t="inlineStr">
        <is>
          <t>H 217</t>
        </is>
      </c>
      <c r="B1516" s="5" t="n">
        <v>90</v>
      </c>
      <c r="C1516" s="6" t="inlineStr">
        <is>
          <t>X</t>
        </is>
      </c>
      <c r="D1516" s="5" t="n">
        <v>378</v>
      </c>
      <c r="E1516" s="2">
        <f>B1516*D1516/10000</f>
        <v/>
      </c>
      <c r="F1516" s="3">
        <f>B1516/30.48</f>
        <v/>
      </c>
      <c r="G1516" s="3">
        <f>D1516/30.48</f>
        <v/>
      </c>
      <c r="H1516" s="16" t="inlineStr">
        <is>
          <t>VR</t>
        </is>
      </c>
      <c r="I1516" s="570" t="inlineStr">
        <is>
          <t>Dawn Anne Edwards</t>
        </is>
      </c>
      <c r="J1516" s="557" t="n"/>
      <c r="P1516" s="1" t="n"/>
      <c r="Q1516" s="1" t="n"/>
      <c r="R1516" s="1" t="n"/>
    </row>
    <row r="1517" ht="17.25" customHeight="1" s="305">
      <c r="A1517" s="8" t="n">
        <v>1213</v>
      </c>
      <c r="B1517" s="5" t="n">
        <v>79</v>
      </c>
      <c r="C1517" s="72" t="inlineStr">
        <is>
          <t>X</t>
        </is>
      </c>
      <c r="D1517" s="5" t="n">
        <v>168</v>
      </c>
      <c r="E1517" s="73">
        <f>B1517*D1517/10000</f>
        <v/>
      </c>
      <c r="F1517" s="74">
        <f>B1517/30.48</f>
        <v/>
      </c>
      <c r="G1517" s="74">
        <f>D1517/30.48</f>
        <v/>
      </c>
      <c r="H1517" s="69" t="inlineStr">
        <is>
          <t>MCHD-TR</t>
        </is>
      </c>
      <c r="I1517" s="557" t="n"/>
      <c r="J1517" s="557" t="n"/>
      <c r="P1517" s="1" t="n"/>
      <c r="Q1517" s="1" t="n"/>
      <c r="R1517" s="1" t="n"/>
    </row>
    <row r="1518" ht="17.25" customHeight="1" s="305">
      <c r="A1518" s="8" t="inlineStr">
        <is>
          <t>D 132</t>
        </is>
      </c>
      <c r="B1518" s="5" t="n">
        <v>46</v>
      </c>
      <c r="C1518" s="72" t="inlineStr">
        <is>
          <t>X</t>
        </is>
      </c>
      <c r="D1518" s="5" t="n">
        <v>95</v>
      </c>
      <c r="E1518" s="73">
        <f>B1518*D1518/10000</f>
        <v/>
      </c>
      <c r="F1518" s="74">
        <f>B1518/30.48</f>
        <v/>
      </c>
      <c r="G1518" s="74">
        <f>D1518/30.48</f>
        <v/>
      </c>
      <c r="H1518" s="16" t="inlineStr">
        <is>
          <t>VR</t>
        </is>
      </c>
      <c r="I1518" s="570" t="inlineStr">
        <is>
          <t>Ava Russell</t>
        </is>
      </c>
      <c r="J1518" s="557" t="n"/>
    </row>
    <row r="1519" ht="17.25" customHeight="1" s="305">
      <c r="A1519" s="8" t="inlineStr">
        <is>
          <t>D 211</t>
        </is>
      </c>
      <c r="B1519" s="5" t="n">
        <v>70</v>
      </c>
      <c r="C1519" s="72" t="inlineStr">
        <is>
          <t>X</t>
        </is>
      </c>
      <c r="D1519" s="5" t="n">
        <v>74</v>
      </c>
      <c r="E1519" s="73">
        <f>B1519*D1519/10000</f>
        <v/>
      </c>
      <c r="F1519" s="74">
        <f>B1519/30.48</f>
        <v/>
      </c>
      <c r="G1519" s="74">
        <f>D1519/30.48</f>
        <v/>
      </c>
      <c r="H1519" s="503" t="inlineStr">
        <is>
          <t>VR</t>
        </is>
      </c>
      <c r="I1519" s="534" t="inlineStr">
        <is>
          <t>Katherine Klemme</t>
        </is>
      </c>
      <c r="J1519" s="545" t="n"/>
    </row>
    <row r="1520" ht="17.25" customHeight="1" s="305">
      <c r="A1520" s="8" t="inlineStr">
        <is>
          <t>A 168</t>
        </is>
      </c>
      <c r="B1520" s="5" t="n">
        <v>120</v>
      </c>
      <c r="C1520" s="6" t="inlineStr">
        <is>
          <t>X</t>
        </is>
      </c>
      <c r="D1520" s="5" t="n">
        <v>232</v>
      </c>
      <c r="E1520" s="2">
        <f>B1520*D1520/10000</f>
        <v/>
      </c>
      <c r="F1520" s="3">
        <f>B1520/30.48</f>
        <v/>
      </c>
      <c r="G1520" s="3">
        <f>D1520/30.48</f>
        <v/>
      </c>
      <c r="H1520" s="594" t="inlineStr">
        <is>
          <t>MCHD-TR</t>
        </is>
      </c>
      <c r="I1520" s="545" t="n"/>
      <c r="J1520" s="545" t="n"/>
    </row>
    <row r="1521" ht="17.25" customHeight="1" s="305">
      <c r="A1521" s="8" t="inlineStr">
        <is>
          <t>Y 543</t>
        </is>
      </c>
      <c r="B1521" s="5" t="n">
        <v>269</v>
      </c>
      <c r="C1521" s="6" t="inlineStr">
        <is>
          <t>X</t>
        </is>
      </c>
      <c r="D1521" s="5" t="n">
        <v>161</v>
      </c>
      <c r="E1521" s="2">
        <f>B1521*D1521/10000</f>
        <v/>
      </c>
      <c r="F1521" s="3">
        <f>B1521/30.48</f>
        <v/>
      </c>
      <c r="G1521" s="3">
        <f>D1521/30.48</f>
        <v/>
      </c>
      <c r="H1521" s="16" t="inlineStr">
        <is>
          <t>OLD</t>
        </is>
      </c>
      <c r="I1521" s="570" t="inlineStr">
        <is>
          <t>Emily Pribble</t>
        </is>
      </c>
      <c r="J1521" s="557" t="n"/>
      <c r="P1521" s="1" t="n"/>
    </row>
    <row r="1522" ht="17.25" customHeight="1" s="305">
      <c r="A1522" s="8" t="inlineStr">
        <is>
          <t>C 968</t>
        </is>
      </c>
      <c r="B1522" s="5" t="n">
        <v>58</v>
      </c>
      <c r="C1522" s="6" t="inlineStr">
        <is>
          <t>X</t>
        </is>
      </c>
      <c r="D1522" s="5" t="n">
        <v>160</v>
      </c>
      <c r="E1522" s="2">
        <f>B1522*D1522/10000</f>
        <v/>
      </c>
      <c r="F1522" s="3">
        <f>B1522/30.48</f>
        <v/>
      </c>
      <c r="G1522" s="3">
        <f>D1522/30.48</f>
        <v/>
      </c>
      <c r="H1522" s="553" t="inlineStr">
        <is>
          <t>RK</t>
        </is>
      </c>
      <c r="I1522" s="570" t="inlineStr">
        <is>
          <t>Kristie R Katz</t>
        </is>
      </c>
      <c r="J1522" s="557" t="n"/>
      <c r="P1522" s="1" t="n"/>
      <c r="Q1522" s="1" t="n"/>
      <c r="R1522" s="1" t="n"/>
    </row>
    <row r="1523" ht="17.25" customHeight="1" s="305">
      <c r="A1523" s="8" t="n">
        <v>1758</v>
      </c>
      <c r="B1523" s="5" t="n">
        <v>282</v>
      </c>
      <c r="C1523" s="72" t="inlineStr">
        <is>
          <t>X</t>
        </is>
      </c>
      <c r="D1523" s="5" t="n">
        <v>360</v>
      </c>
      <c r="E1523" s="73">
        <f>B1523*D1523/10000</f>
        <v/>
      </c>
      <c r="F1523" s="74">
        <f>B1523/30.48</f>
        <v/>
      </c>
      <c r="G1523" s="74">
        <f>D1523/30.48</f>
        <v/>
      </c>
      <c r="H1523" s="553" t="inlineStr">
        <is>
          <t>PAC</t>
        </is>
      </c>
      <c r="I1523" s="570" t="inlineStr">
        <is>
          <t>Gina Hargrave</t>
        </is>
      </c>
      <c r="J1523" s="557" t="n"/>
      <c r="P1523" s="1" t="n"/>
      <c r="Q1523" s="1" t="n"/>
      <c r="R1523" s="1" t="n"/>
    </row>
    <row r="1524" ht="17.25" customHeight="1" s="305">
      <c r="A1524" s="8" t="inlineStr">
        <is>
          <t>Y 890</t>
        </is>
      </c>
      <c r="B1524" s="5" t="n">
        <v>172</v>
      </c>
      <c r="C1524" s="6" t="inlineStr">
        <is>
          <t>X</t>
        </is>
      </c>
      <c r="D1524" s="5" t="n">
        <v>111</v>
      </c>
      <c r="E1524" s="2">
        <f>B1524*D1524/10000</f>
        <v/>
      </c>
      <c r="F1524" s="3">
        <f>B1524/30.48</f>
        <v/>
      </c>
      <c r="G1524" s="3">
        <f>D1524/30.48</f>
        <v/>
      </c>
      <c r="H1524" s="553" t="inlineStr">
        <is>
          <t>PAC</t>
        </is>
      </c>
      <c r="I1524" s="570" t="inlineStr">
        <is>
          <t>Kathleen Incerto</t>
        </is>
      </c>
      <c r="J1524" s="557" t="inlineStr">
        <is>
          <t>US-512 426 3416</t>
        </is>
      </c>
      <c r="P1524" s="1" t="n"/>
      <c r="Q1524" s="1" t="n"/>
      <c r="R1524" s="1" t="n"/>
    </row>
    <row r="1525" ht="17.25" customHeight="1" s="305">
      <c r="A1525" s="8" t="n">
        <v>1714</v>
      </c>
      <c r="B1525" s="5" t="n">
        <v>243</v>
      </c>
      <c r="C1525" s="72" t="inlineStr">
        <is>
          <t>X</t>
        </is>
      </c>
      <c r="D1525" s="5" t="n">
        <v>321</v>
      </c>
      <c r="E1525" s="73">
        <f>B1525*D1525/10000</f>
        <v/>
      </c>
      <c r="F1525" s="74">
        <f>B1525/30.48</f>
        <v/>
      </c>
      <c r="G1525" s="74">
        <f>D1525/30.48</f>
        <v/>
      </c>
      <c r="H1525" s="553" t="inlineStr">
        <is>
          <t>PAC</t>
        </is>
      </c>
      <c r="I1525" s="570" t="inlineStr">
        <is>
          <t>Debra Drayovitch</t>
        </is>
      </c>
      <c r="J1525" s="557" t="inlineStr">
        <is>
          <t>US-817 881 2221</t>
        </is>
      </c>
      <c r="P1525" s="1" t="n"/>
      <c r="Q1525" s="1" t="n"/>
      <c r="R1525" s="1" t="n"/>
    </row>
    <row r="1526" ht="17.25" customHeight="1" s="305">
      <c r="A1526" s="8" t="n">
        <v>1526</v>
      </c>
      <c r="B1526" s="5" t="n">
        <v>323</v>
      </c>
      <c r="C1526" s="72" t="inlineStr">
        <is>
          <t>X</t>
        </is>
      </c>
      <c r="D1526" s="5" t="n">
        <v>86</v>
      </c>
      <c r="E1526" s="73">
        <f>B1526*D1526/10000</f>
        <v/>
      </c>
      <c r="F1526" s="74">
        <f>B1526/30.48</f>
        <v/>
      </c>
      <c r="G1526" s="74">
        <f>D1526/30.48</f>
        <v/>
      </c>
      <c r="H1526" s="594" t="inlineStr">
        <is>
          <t>MCHD-TR</t>
        </is>
      </c>
      <c r="I1526" s="557" t="n"/>
      <c r="J1526" s="557" t="n"/>
      <c r="P1526" s="1" t="n"/>
      <c r="Q1526" s="1" t="n"/>
      <c r="R1526" s="1" t="n"/>
    </row>
    <row r="1527" ht="17.25" customHeight="1" s="305">
      <c r="A1527" s="8" t="n">
        <v>1905</v>
      </c>
      <c r="B1527" s="5" t="n">
        <v>81</v>
      </c>
      <c r="C1527" s="72" t="inlineStr">
        <is>
          <t>X</t>
        </is>
      </c>
      <c r="D1527" s="5" t="n">
        <v>211</v>
      </c>
      <c r="E1527" s="73">
        <f>B1527*D1527/10000</f>
        <v/>
      </c>
      <c r="F1527" s="74">
        <f>B1527/30.48</f>
        <v/>
      </c>
      <c r="G1527" s="74">
        <f>D1527/30.48</f>
        <v/>
      </c>
      <c r="H1527" s="594" t="inlineStr">
        <is>
          <t>MCHD-TR</t>
        </is>
      </c>
      <c r="I1527" s="557" t="n"/>
      <c r="J1527" s="557" t="n"/>
      <c r="P1527" s="1" t="n"/>
      <c r="Q1527" s="1" t="n"/>
      <c r="R1527" s="1" t="n"/>
    </row>
    <row r="1528" ht="17.25" customHeight="1" s="305">
      <c r="A1528" s="8" t="n">
        <v>1963</v>
      </c>
      <c r="B1528" s="5" t="n">
        <v>82</v>
      </c>
      <c r="C1528" s="72" t="inlineStr">
        <is>
          <t>X</t>
        </is>
      </c>
      <c r="D1528" s="5" t="n">
        <v>364</v>
      </c>
      <c r="E1528" s="73">
        <f>B1528*D1528/10000</f>
        <v/>
      </c>
      <c r="F1528" s="74">
        <f>B1528/30.48</f>
        <v/>
      </c>
      <c r="G1528" s="74">
        <f>D1528/30.48</f>
        <v/>
      </c>
      <c r="H1528" s="594" t="inlineStr">
        <is>
          <t>MCHD-TR</t>
        </is>
      </c>
      <c r="I1528" s="545" t="n"/>
      <c r="J1528" s="545" t="n"/>
      <c r="P1528" s="1" t="n"/>
      <c r="Q1528" s="1" t="n"/>
      <c r="R1528" s="1" t="n"/>
    </row>
    <row r="1529" ht="17.25" customHeight="1" s="305">
      <c r="A1529" s="8" t="n">
        <v>1351</v>
      </c>
      <c r="B1529" s="5" t="n">
        <v>134</v>
      </c>
      <c r="C1529" s="72" t="inlineStr">
        <is>
          <t>X</t>
        </is>
      </c>
      <c r="D1529" s="5" t="n">
        <v>341</v>
      </c>
      <c r="E1529" s="73">
        <f>B1529*D1529/10000</f>
        <v/>
      </c>
      <c r="F1529" s="74">
        <f>B1529/30.48</f>
        <v/>
      </c>
      <c r="G1529" s="74">
        <f>D1529/30.48</f>
        <v/>
      </c>
      <c r="H1529" s="568" t="inlineStr">
        <is>
          <t>OLD</t>
        </is>
      </c>
      <c r="I1529" s="570" t="inlineStr">
        <is>
          <t>Renna Embry</t>
        </is>
      </c>
      <c r="J1529" s="557" t="n"/>
    </row>
    <row r="1530" ht="17.25" customHeight="1" s="305">
      <c r="A1530" s="8" t="n">
        <v>1392</v>
      </c>
      <c r="B1530" s="5" t="n">
        <v>75</v>
      </c>
      <c r="C1530" s="72" t="inlineStr">
        <is>
          <t>X</t>
        </is>
      </c>
      <c r="D1530" s="5" t="n">
        <v>504</v>
      </c>
      <c r="E1530" s="73">
        <f>B1530*D1530/10000</f>
        <v/>
      </c>
      <c r="F1530" s="74">
        <f>B1530/30.48</f>
        <v/>
      </c>
      <c r="G1530" s="74">
        <f>D1530/30.48</f>
        <v/>
      </c>
      <c r="H1530" s="568" t="inlineStr">
        <is>
          <t>OLD</t>
        </is>
      </c>
      <c r="I1530" s="534" t="inlineStr">
        <is>
          <t>Tiffany Radnia</t>
        </is>
      </c>
      <c r="J1530" s="545" t="inlineStr">
        <is>
          <t>US-310 498 0853</t>
        </is>
      </c>
    </row>
    <row r="1531" ht="17.25" customHeight="1" s="305">
      <c r="A1531" s="8" t="n">
        <v>1761</v>
      </c>
      <c r="B1531" s="5" t="n">
        <v>280</v>
      </c>
      <c r="C1531" s="72" t="inlineStr">
        <is>
          <t>X</t>
        </is>
      </c>
      <c r="D1531" s="5" t="n">
        <v>372</v>
      </c>
      <c r="E1531" s="73">
        <f>B1531*D1531/10000</f>
        <v/>
      </c>
      <c r="F1531" s="74">
        <f>B1531/30.48</f>
        <v/>
      </c>
      <c r="G1531" s="74">
        <f>D1531/30.48</f>
        <v/>
      </c>
      <c r="H1531" s="592" t="inlineStr">
        <is>
          <t>PAC</t>
        </is>
      </c>
      <c r="I1531" s="534" t="inlineStr">
        <is>
          <t>Emma E Field</t>
        </is>
      </c>
      <c r="J1531" s="545" t="n"/>
      <c r="P1531" s="1" t="n"/>
      <c r="Q1531" s="1" t="n"/>
      <c r="R1531" s="1" t="n"/>
    </row>
    <row r="1532" ht="17.25" customHeight="1" s="305">
      <c r="A1532" s="8" t="n">
        <v>1938</v>
      </c>
      <c r="B1532" s="5" t="n">
        <v>129</v>
      </c>
      <c r="C1532" s="72" t="inlineStr">
        <is>
          <t>X</t>
        </is>
      </c>
      <c r="D1532" s="5" t="n">
        <v>233</v>
      </c>
      <c r="E1532" s="73">
        <f>B1532*D1532/10000</f>
        <v/>
      </c>
      <c r="F1532" s="74">
        <f>B1532/30.48</f>
        <v/>
      </c>
      <c r="G1532" s="74">
        <f>D1532/30.48</f>
        <v/>
      </c>
      <c r="H1532" s="66" t="inlineStr">
        <is>
          <t>MCHD-TR</t>
        </is>
      </c>
      <c r="I1532" s="571" t="n"/>
      <c r="J1532" s="545" t="n"/>
      <c r="P1532" s="1" t="n"/>
      <c r="Q1532" s="1" t="n"/>
      <c r="R1532" s="1" t="n"/>
    </row>
    <row r="1533" ht="17.25" customHeight="1" s="305">
      <c r="A1533" s="8" t="n">
        <v>1762</v>
      </c>
      <c r="B1533" s="5" t="n">
        <v>288</v>
      </c>
      <c r="C1533" s="72" t="inlineStr">
        <is>
          <t>X</t>
        </is>
      </c>
      <c r="D1533" s="5" t="n">
        <v>386</v>
      </c>
      <c r="E1533" s="73">
        <f>B1533*D1533/10000</f>
        <v/>
      </c>
      <c r="F1533" s="74">
        <f>B1533/30.48</f>
        <v/>
      </c>
      <c r="G1533" s="74">
        <f>D1533/30.48</f>
        <v/>
      </c>
      <c r="H1533" s="66" t="inlineStr">
        <is>
          <t>MCHD-TR</t>
        </is>
      </c>
      <c r="I1533" s="545" t="n"/>
      <c r="J1533" s="545" t="n"/>
      <c r="P1533" s="1" t="n"/>
      <c r="Q1533" s="1" t="n"/>
      <c r="R1533" s="1" t="n"/>
    </row>
    <row r="1534" ht="17.25" customHeight="1" s="305">
      <c r="A1534" s="8" t="inlineStr">
        <is>
          <t>H 176</t>
        </is>
      </c>
      <c r="B1534" s="5" t="n">
        <v>360</v>
      </c>
      <c r="C1534" s="6" t="inlineStr">
        <is>
          <t>X</t>
        </is>
      </c>
      <c r="D1534" s="5" t="n">
        <v>88</v>
      </c>
      <c r="E1534" s="2">
        <f>B1534*D1534/10000</f>
        <v/>
      </c>
      <c r="F1534" s="3">
        <f>B1534/30.48</f>
        <v/>
      </c>
      <c r="G1534" s="3">
        <f>D1534/30.48</f>
        <v/>
      </c>
      <c r="H1534" s="569" t="inlineStr">
        <is>
          <t>VR</t>
        </is>
      </c>
      <c r="I1534" s="534" t="inlineStr">
        <is>
          <t>Paige Beauchamp</t>
        </is>
      </c>
      <c r="J1534" s="545" t="n"/>
      <c r="P1534" s="1" t="n"/>
      <c r="Q1534" s="1" t="n"/>
      <c r="R1534" s="1" t="n"/>
    </row>
    <row r="1535" ht="17.25" customFormat="1" customHeight="1" s="245">
      <c r="A1535" s="8" t="n">
        <v>1983</v>
      </c>
      <c r="B1535" s="90" t="n">
        <v>228</v>
      </c>
      <c r="C1535" s="72" t="inlineStr">
        <is>
          <t>X</t>
        </is>
      </c>
      <c r="D1535" s="90" t="n">
        <v>276</v>
      </c>
      <c r="E1535" s="73">
        <f>B1535*D1535/10000</f>
        <v/>
      </c>
      <c r="F1535" s="74">
        <f>B1535/30.48</f>
        <v/>
      </c>
      <c r="G1535" s="74">
        <f>D1535/30.48</f>
        <v/>
      </c>
      <c r="H1535" s="244" t="inlineStr">
        <is>
          <t>VR</t>
        </is>
      </c>
      <c r="I1535" s="570" t="inlineStr">
        <is>
          <t>Nicole Troccoli</t>
        </is>
      </c>
      <c r="J1535" s="557" t="inlineStr">
        <is>
          <t>US-631 553 4830</t>
        </is>
      </c>
      <c r="P1535" s="1" t="n"/>
      <c r="Q1535" s="1" t="n"/>
      <c r="R1535" s="1" t="n"/>
    </row>
    <row r="1536" ht="17.25" customHeight="1" s="305">
      <c r="A1536" s="8" t="n">
        <v>1059</v>
      </c>
      <c r="B1536" s="5" t="n">
        <v>101</v>
      </c>
      <c r="C1536" s="72" t="inlineStr">
        <is>
          <t>X</t>
        </is>
      </c>
      <c r="D1536" s="5" t="n">
        <v>267</v>
      </c>
      <c r="E1536" s="73">
        <f>B1536*D1536/10000</f>
        <v/>
      </c>
      <c r="F1536" s="74">
        <f>B1536/30.48</f>
        <v/>
      </c>
      <c r="G1536" s="74">
        <f>D1536/30.48</f>
        <v/>
      </c>
      <c r="H1536" s="592" t="inlineStr">
        <is>
          <t>PAC</t>
        </is>
      </c>
      <c r="I1536" s="570" t="inlineStr">
        <is>
          <t>Renee Connell</t>
        </is>
      </c>
      <c r="J1536" s="557" t="n"/>
      <c r="P1536" s="1" t="n"/>
      <c r="Q1536" s="1" t="n"/>
      <c r="R1536" s="1" t="n"/>
    </row>
    <row r="1537" ht="17.25" customHeight="1" s="305">
      <c r="A1537" s="8" t="n">
        <v>1840</v>
      </c>
      <c r="B1537" s="5" t="n">
        <v>89</v>
      </c>
      <c r="C1537" s="72" t="inlineStr">
        <is>
          <t>X</t>
        </is>
      </c>
      <c r="D1537" s="5" t="n">
        <v>412</v>
      </c>
      <c r="E1537" s="73">
        <f>B1537*D1537/10000</f>
        <v/>
      </c>
      <c r="F1537" s="74">
        <f>B1537/30.48</f>
        <v/>
      </c>
      <c r="G1537" s="74">
        <f>D1537/30.48</f>
        <v/>
      </c>
      <c r="H1537" s="66" t="inlineStr">
        <is>
          <t>MCHD-TR</t>
        </is>
      </c>
      <c r="I1537" s="545" t="n"/>
      <c r="J1537" s="545" t="n"/>
      <c r="P1537" s="1" t="n"/>
      <c r="Q1537" s="1" t="n"/>
      <c r="R1537" s="1" t="n"/>
    </row>
    <row r="1538" ht="17.25" customHeight="1" s="305">
      <c r="A1538" s="8" t="n">
        <v>1865</v>
      </c>
      <c r="B1538" s="5" t="n">
        <v>79</v>
      </c>
      <c r="C1538" s="72" t="inlineStr">
        <is>
          <t>X</t>
        </is>
      </c>
      <c r="D1538" s="5" t="n">
        <v>294</v>
      </c>
      <c r="E1538" s="73">
        <f>B1538*D1538/10000</f>
        <v/>
      </c>
      <c r="F1538" s="74">
        <f>B1538/30.48</f>
        <v/>
      </c>
      <c r="G1538" s="74">
        <f>D1538/30.48</f>
        <v/>
      </c>
      <c r="H1538" s="66" t="inlineStr">
        <is>
          <t>MCHD-TR</t>
        </is>
      </c>
      <c r="I1538" s="545" t="n"/>
      <c r="J1538" s="545" t="n"/>
    </row>
    <row r="1539" ht="17.25" customHeight="1" s="305">
      <c r="A1539" s="8" t="n">
        <v>1701</v>
      </c>
      <c r="B1539" s="5" t="n">
        <v>290</v>
      </c>
      <c r="C1539" s="72" t="inlineStr">
        <is>
          <t>X</t>
        </is>
      </c>
      <c r="D1539" s="5" t="n">
        <v>377</v>
      </c>
      <c r="E1539" s="73">
        <f>B1539*D1539/10000</f>
        <v/>
      </c>
      <c r="F1539" s="74">
        <f>B1539/30.48</f>
        <v/>
      </c>
      <c r="G1539" s="74">
        <f>D1539/30.48</f>
        <v/>
      </c>
      <c r="H1539" s="592" t="inlineStr">
        <is>
          <t>PAC</t>
        </is>
      </c>
      <c r="I1539" s="570" t="inlineStr">
        <is>
          <t>susan ursprung</t>
        </is>
      </c>
      <c r="J1539" s="557" t="n"/>
    </row>
    <row r="1540" ht="17.25" customHeight="1" s="305">
      <c r="A1540" s="8" t="inlineStr">
        <is>
          <t>B 33</t>
        </is>
      </c>
      <c r="B1540" s="5" t="n">
        <v>180</v>
      </c>
      <c r="C1540" s="6" t="inlineStr">
        <is>
          <t>X</t>
        </is>
      </c>
      <c r="D1540" s="5" t="n">
        <v>245</v>
      </c>
      <c r="E1540" s="2">
        <f>B1540*D1540/10000</f>
        <v/>
      </c>
      <c r="F1540" s="3">
        <f>B1540/30.48</f>
        <v/>
      </c>
      <c r="G1540" s="3">
        <f>D1540/30.48</f>
        <v/>
      </c>
      <c r="H1540" s="66" t="inlineStr">
        <is>
          <t>MCHD-TR</t>
        </is>
      </c>
      <c r="I1540" s="242" t="n"/>
      <c r="J1540" s="557" t="n"/>
      <c r="P1540" s="1" t="n"/>
      <c r="Q1540" s="1" t="n"/>
    </row>
    <row r="1541" ht="17.25" customHeight="1" s="305">
      <c r="A1541" s="8" t="n">
        <v>1308</v>
      </c>
      <c r="B1541" s="5" t="n">
        <v>82</v>
      </c>
      <c r="C1541" s="72" t="inlineStr">
        <is>
          <t>X</t>
        </is>
      </c>
      <c r="D1541" s="5" t="n">
        <v>284</v>
      </c>
      <c r="E1541" s="73">
        <f>B1541*D1541/10000</f>
        <v/>
      </c>
      <c r="F1541" s="74">
        <f>B1541/30.48</f>
        <v/>
      </c>
      <c r="G1541" s="74">
        <f>D1541/30.48</f>
        <v/>
      </c>
      <c r="H1541" s="66" t="inlineStr">
        <is>
          <t>MCHD-TR</t>
        </is>
      </c>
      <c r="I1541" s="242" t="n"/>
      <c r="J1541" s="557" t="n"/>
    </row>
    <row r="1542" ht="17.25" customHeight="1" s="305">
      <c r="A1542" s="8" t="n">
        <v>1405</v>
      </c>
      <c r="B1542" s="5" t="n">
        <v>237</v>
      </c>
      <c r="C1542" s="72" t="inlineStr">
        <is>
          <t>X</t>
        </is>
      </c>
      <c r="D1542" s="5" t="n">
        <v>296</v>
      </c>
      <c r="E1542" s="73">
        <f>B1542*D1542/10000</f>
        <v/>
      </c>
      <c r="F1542" s="74">
        <f>B1542/30.48</f>
        <v/>
      </c>
      <c r="G1542" s="74">
        <f>D1542/30.48</f>
        <v/>
      </c>
      <c r="H1542" s="66" t="inlineStr">
        <is>
          <t>MCHD-TR</t>
        </is>
      </c>
      <c r="I1542" s="242" t="n"/>
      <c r="J1542" s="557" t="n"/>
      <c r="P1542" s="1" t="n"/>
      <c r="Q1542" s="1" t="n"/>
      <c r="R1542" s="1" t="n"/>
    </row>
    <row r="1543" ht="17.25" customHeight="1" s="305">
      <c r="A1543" s="8" t="n">
        <v>1878</v>
      </c>
      <c r="B1543" s="5" t="n">
        <v>65</v>
      </c>
      <c r="C1543" s="72" t="inlineStr">
        <is>
          <t>X</t>
        </is>
      </c>
      <c r="D1543" s="5" t="n">
        <v>300</v>
      </c>
      <c r="E1543" s="73">
        <f>B1543*D1543/10000</f>
        <v/>
      </c>
      <c r="F1543" s="74">
        <f>B1543/30.48</f>
        <v/>
      </c>
      <c r="G1543" s="74">
        <f>D1543/30.48</f>
        <v/>
      </c>
      <c r="H1543" s="66" t="inlineStr">
        <is>
          <t>MCHD-TR</t>
        </is>
      </c>
      <c r="I1543" s="242" t="n"/>
      <c r="J1543" s="557" t="n"/>
      <c r="P1543" s="1" t="n"/>
      <c r="Q1543" s="1" t="n"/>
      <c r="R1543" s="1" t="n"/>
    </row>
    <row r="1544" ht="17.25" customHeight="1" s="305">
      <c r="A1544" s="8" t="inlineStr">
        <is>
          <t>C 164</t>
        </is>
      </c>
      <c r="B1544" s="5" t="n">
        <v>313</v>
      </c>
      <c r="C1544" s="6" t="inlineStr">
        <is>
          <t>X</t>
        </is>
      </c>
      <c r="D1544" s="5" t="n">
        <v>207</v>
      </c>
      <c r="E1544" s="2">
        <f>B1544*D1544/10000</f>
        <v/>
      </c>
      <c r="F1544" s="3">
        <f>B1544/30.48</f>
        <v/>
      </c>
      <c r="G1544" s="3">
        <f>D1544/30.48</f>
        <v/>
      </c>
      <c r="H1544" s="66" t="inlineStr">
        <is>
          <t>MCHD-TR</t>
        </is>
      </c>
      <c r="I1544" s="242" t="n"/>
      <c r="J1544" s="557" t="n"/>
    </row>
    <row r="1545" ht="17.25" customHeight="1" s="305">
      <c r="A1545" s="8" t="n">
        <v>2108</v>
      </c>
      <c r="B1545" s="5" t="n">
        <v>83</v>
      </c>
      <c r="C1545" s="72" t="inlineStr">
        <is>
          <t>X</t>
        </is>
      </c>
      <c r="D1545" s="5" t="n">
        <v>230</v>
      </c>
      <c r="E1545" s="73">
        <f>B1545*D1545/10000</f>
        <v/>
      </c>
      <c r="F1545" s="74">
        <f>B1545/30.48</f>
        <v/>
      </c>
      <c r="G1545" s="74">
        <f>D1545/30.48</f>
        <v/>
      </c>
      <c r="H1545" s="66" t="inlineStr">
        <is>
          <t>MCHD-TR</t>
        </is>
      </c>
      <c r="I1545" s="242" t="n"/>
      <c r="J1545" s="557" t="n"/>
      <c r="P1545" s="1" t="n"/>
      <c r="Q1545" s="1" t="n"/>
      <c r="R1545" s="1" t="n"/>
    </row>
    <row r="1546" ht="17.25" customHeight="1" s="305">
      <c r="A1546" s="8" t="inlineStr">
        <is>
          <t>C 377</t>
        </is>
      </c>
      <c r="B1546" s="5" t="n">
        <v>96</v>
      </c>
      <c r="C1546" s="6" t="inlineStr">
        <is>
          <t>X</t>
        </is>
      </c>
      <c r="D1546" s="5" t="n">
        <v>210</v>
      </c>
      <c r="E1546" s="2">
        <f>B1546*D1546/10000</f>
        <v/>
      </c>
      <c r="F1546" s="3">
        <f>B1546/30.48</f>
        <v/>
      </c>
      <c r="G1546" s="3">
        <f>D1546/30.48</f>
        <v/>
      </c>
      <c r="H1546" s="542" t="inlineStr">
        <is>
          <t>MCHD-TR</t>
        </is>
      </c>
      <c r="I1546" s="366" t="n"/>
      <c r="J1546" s="557" t="n"/>
      <c r="P1546" s="1" t="n"/>
      <c r="Q1546" s="1" t="n"/>
      <c r="R1546" s="1" t="n"/>
    </row>
    <row r="1547" ht="17.25" customHeight="1" s="305">
      <c r="A1547" s="8" t="n">
        <v>1355</v>
      </c>
      <c r="B1547" s="5" t="n">
        <v>220</v>
      </c>
      <c r="C1547" s="72" t="inlineStr">
        <is>
          <t>X</t>
        </is>
      </c>
      <c r="D1547" s="5" t="n">
        <v>326</v>
      </c>
      <c r="E1547" s="73">
        <f>B1547*D1547/10000</f>
        <v/>
      </c>
      <c r="F1547" s="74">
        <f>B1547/30.48</f>
        <v/>
      </c>
      <c r="G1547" s="74">
        <f>D1547/30.48</f>
        <v/>
      </c>
      <c r="H1547" s="16" t="inlineStr">
        <is>
          <t>VR</t>
        </is>
      </c>
      <c r="I1547" s="570" t="inlineStr">
        <is>
          <t>Megan Miller</t>
        </is>
      </c>
      <c r="J1547" s="322" t="inlineStr">
        <is>
          <t>US-615-419-6222</t>
        </is>
      </c>
      <c r="P1547" s="1" t="n"/>
      <c r="Q1547" s="1" t="n"/>
      <c r="R1547" s="1" t="n"/>
    </row>
    <row r="1548" ht="17.25" customHeight="1" s="305">
      <c r="A1548" s="8" t="n">
        <v>1939</v>
      </c>
      <c r="B1548" s="5" t="n">
        <v>79</v>
      </c>
      <c r="C1548" s="72" t="inlineStr">
        <is>
          <t>X</t>
        </is>
      </c>
      <c r="D1548" s="5" t="n">
        <v>231</v>
      </c>
      <c r="E1548" s="73">
        <f>B1548*D1548/10000</f>
        <v/>
      </c>
      <c r="F1548" s="74">
        <f>B1548/30.48</f>
        <v/>
      </c>
      <c r="G1548" s="74">
        <f>D1548/30.48</f>
        <v/>
      </c>
      <c r="H1548" s="16" t="inlineStr">
        <is>
          <t>VR</t>
        </is>
      </c>
      <c r="I1548" s="570" t="inlineStr">
        <is>
          <t>Emma V</t>
        </is>
      </c>
      <c r="J1548" s="322" t="n"/>
      <c r="P1548" s="1" t="n"/>
      <c r="Q1548" s="1" t="n"/>
      <c r="R1548" s="1" t="n"/>
    </row>
    <row r="1549" ht="17.25" customHeight="1" s="305">
      <c r="A1549" s="8" t="inlineStr">
        <is>
          <t>C 244</t>
        </is>
      </c>
      <c r="B1549" s="5" t="n">
        <v>323</v>
      </c>
      <c r="C1549" s="6" t="inlineStr">
        <is>
          <t>X</t>
        </is>
      </c>
      <c r="D1549" s="5" t="n">
        <v>79</v>
      </c>
      <c r="E1549" s="2">
        <f>B1549*D1549/10000</f>
        <v/>
      </c>
      <c r="F1549" s="3">
        <f>B1549/30.48</f>
        <v/>
      </c>
      <c r="G1549" s="3">
        <f>D1549/30.48</f>
        <v/>
      </c>
      <c r="H1549" s="16" t="inlineStr">
        <is>
          <t>OLD</t>
        </is>
      </c>
      <c r="I1549" s="570" t="inlineStr">
        <is>
          <t>Kristen Sarracino</t>
        </is>
      </c>
      <c r="J1549" s="322" t="n"/>
      <c r="P1549" s="1" t="n"/>
      <c r="Q1549" s="1" t="n"/>
    </row>
    <row r="1550" ht="17.25" customHeight="1" s="305">
      <c r="A1550" s="8" t="inlineStr">
        <is>
          <t>Y 962</t>
        </is>
      </c>
      <c r="B1550" s="5" t="n">
        <v>251</v>
      </c>
      <c r="C1550" s="6" t="inlineStr">
        <is>
          <t>X</t>
        </is>
      </c>
      <c r="D1550" s="5" t="n">
        <v>177</v>
      </c>
      <c r="E1550" s="2">
        <f>B1550*D1550/10000</f>
        <v/>
      </c>
      <c r="F1550" s="3">
        <f>B1550/30.48</f>
        <v/>
      </c>
      <c r="G1550" s="3">
        <f>D1550/30.48</f>
        <v/>
      </c>
      <c r="H1550" s="37" t="inlineStr">
        <is>
          <t>PAC</t>
        </is>
      </c>
      <c r="I1550" s="80" t="inlineStr">
        <is>
          <t>Mary Jo Winkelmann</t>
        </is>
      </c>
      <c r="J1550" s="322" t="n"/>
      <c r="P1550" s="1" t="n"/>
      <c r="Q1550" s="1" t="n"/>
    </row>
    <row r="1551">
      <c r="A1551" s="536" t="inlineStr">
        <is>
          <t>-2024 NİSAN-</t>
        </is>
      </c>
      <c r="H1551" s="104" t="inlineStr">
        <is>
          <t>SATAN-SİTE</t>
        </is>
      </c>
      <c r="I1551" s="98" t="inlineStr">
        <is>
          <t>MÜŞTERİ ADI</t>
        </is>
      </c>
      <c r="J1551" s="63" t="inlineStr">
        <is>
          <t>MÜŞTERİ İLETİŞİM &amp; ÜLKE</t>
        </is>
      </c>
      <c r="P1551" s="1" t="n"/>
    </row>
    <row r="1552" ht="17.25" customHeight="1" s="305">
      <c r="A1552" s="8" t="n">
        <v>1885</v>
      </c>
      <c r="B1552" s="5" t="n">
        <v>86</v>
      </c>
      <c r="C1552" s="72" t="inlineStr">
        <is>
          <t>X</t>
        </is>
      </c>
      <c r="D1552" s="5" t="n">
        <v>319</v>
      </c>
      <c r="E1552" s="73">
        <f>B1552*D1552/10000</f>
        <v/>
      </c>
      <c r="F1552" s="74">
        <f>B1552/30.48</f>
        <v/>
      </c>
      <c r="G1552" s="74">
        <f>D1552/30.48</f>
        <v/>
      </c>
      <c r="H1552" s="37" t="inlineStr">
        <is>
          <t>PAC</t>
        </is>
      </c>
      <c r="I1552" s="570" t="inlineStr">
        <is>
          <t>Christina Sherman</t>
        </is>
      </c>
      <c r="J1552" s="571" t="n"/>
      <c r="P1552" s="1" t="n"/>
      <c r="Q1552" s="1" t="n"/>
    </row>
    <row r="1553" ht="17.25" customHeight="1" s="305">
      <c r="A1553" s="8" t="inlineStr">
        <is>
          <t>H 202</t>
        </is>
      </c>
      <c r="B1553" s="5" t="n">
        <v>107</v>
      </c>
      <c r="C1553" s="6" t="inlineStr">
        <is>
          <t>X</t>
        </is>
      </c>
      <c r="D1553" s="5" t="n">
        <v>355</v>
      </c>
      <c r="E1553" s="2">
        <f>B1553*D1553/10000</f>
        <v/>
      </c>
      <c r="F1553" s="3">
        <f>B1553/30.48</f>
        <v/>
      </c>
      <c r="G1553" s="3">
        <f>D1553/30.48</f>
        <v/>
      </c>
      <c r="H1553" s="16" t="inlineStr">
        <is>
          <t>OLD</t>
        </is>
      </c>
      <c r="I1553" s="570" t="inlineStr">
        <is>
          <t>Emily Bryant</t>
        </is>
      </c>
      <c r="J1553" s="322" t="n"/>
      <c r="P1553" s="1" t="n"/>
      <c r="Q1553" s="1" t="n"/>
    </row>
    <row r="1554" ht="17.25" customHeight="1" s="305">
      <c r="A1554" s="8" t="inlineStr">
        <is>
          <t>H 151</t>
        </is>
      </c>
      <c r="B1554" s="5" t="n">
        <v>351</v>
      </c>
      <c r="C1554" s="6" t="inlineStr">
        <is>
          <t>X</t>
        </is>
      </c>
      <c r="D1554" s="5" t="n">
        <v>112</v>
      </c>
      <c r="E1554" s="2">
        <f>B1554*D1554/10000</f>
        <v/>
      </c>
      <c r="F1554" s="3">
        <f>B1554/30.48</f>
        <v/>
      </c>
      <c r="G1554" s="3">
        <f>D1554/30.48</f>
        <v/>
      </c>
      <c r="H1554" s="37" t="inlineStr">
        <is>
          <t>PAC</t>
        </is>
      </c>
      <c r="I1554" s="570" t="inlineStr">
        <is>
          <t>Susan Gammage</t>
        </is>
      </c>
      <c r="J1554" s="571" t="n"/>
    </row>
    <row r="1555" ht="17.25" customHeight="1" s="305">
      <c r="A1555" s="8" t="inlineStr">
        <is>
          <t>Y 918</t>
        </is>
      </c>
      <c r="B1555" s="5" t="n">
        <v>335</v>
      </c>
      <c r="C1555" s="6" t="inlineStr">
        <is>
          <t>X</t>
        </is>
      </c>
      <c r="D1555" s="5" t="n">
        <v>430</v>
      </c>
      <c r="E1555" s="2">
        <f>B1555*D1555/10000</f>
        <v/>
      </c>
      <c r="F1555" s="3">
        <f>B1555/30.48</f>
        <v/>
      </c>
      <c r="G1555" s="3">
        <f>D1555/30.48</f>
        <v/>
      </c>
      <c r="H1555" s="37" t="inlineStr">
        <is>
          <t>PAC</t>
        </is>
      </c>
      <c r="I1555" s="570" t="inlineStr">
        <is>
          <t>Jessica Wilson</t>
        </is>
      </c>
      <c r="J1555" s="322" t="inlineStr">
        <is>
          <t>US-615-642-8536</t>
        </is>
      </c>
    </row>
    <row r="1556" ht="17.25" customHeight="1" s="305">
      <c r="A1556" s="8" t="n">
        <v>1872</v>
      </c>
      <c r="B1556" s="5" t="n">
        <v>75</v>
      </c>
      <c r="C1556" s="72" t="inlineStr">
        <is>
          <t>X</t>
        </is>
      </c>
      <c r="D1556" s="5" t="n">
        <v>290</v>
      </c>
      <c r="E1556" s="73">
        <f>B1556*D1556/10000</f>
        <v/>
      </c>
      <c r="F1556" s="74">
        <f>B1556/30.48</f>
        <v/>
      </c>
      <c r="G1556" s="74">
        <f>D1556/30.48</f>
        <v/>
      </c>
      <c r="H1556" s="37" t="inlineStr">
        <is>
          <t>PAC</t>
        </is>
      </c>
      <c r="I1556" s="570" t="inlineStr">
        <is>
          <t>Laura Rhodes</t>
        </is>
      </c>
      <c r="J1556" s="322" t="n"/>
      <c r="P1556" s="1" t="n"/>
      <c r="Q1556" s="1" t="n"/>
    </row>
    <row r="1557" ht="17.25" customHeight="1" s="305">
      <c r="A1557" s="8" t="n">
        <v>1344</v>
      </c>
      <c r="B1557" s="5" t="n">
        <v>80</v>
      </c>
      <c r="C1557" s="72" t="inlineStr">
        <is>
          <t>X</t>
        </is>
      </c>
      <c r="D1557" s="5" t="n">
        <v>285</v>
      </c>
      <c r="E1557" s="73">
        <f>B1557*D1557/10000</f>
        <v/>
      </c>
      <c r="F1557" s="74">
        <f>B1557/30.48</f>
        <v/>
      </c>
      <c r="G1557" s="74">
        <f>D1557/30.48</f>
        <v/>
      </c>
      <c r="H1557" s="66" t="inlineStr">
        <is>
          <t>MCHD-TR</t>
        </is>
      </c>
      <c r="I1557" s="557" t="n"/>
      <c r="J1557" s="571" t="n"/>
      <c r="P1557" s="1" t="n"/>
      <c r="Q1557" s="1" t="n"/>
      <c r="R1557" s="1" t="n"/>
    </row>
    <row r="1558" ht="17.25" customHeight="1" s="305">
      <c r="A1558" s="8" t="inlineStr">
        <is>
          <t>D 193</t>
        </is>
      </c>
      <c r="B1558" s="5" t="n">
        <v>50</v>
      </c>
      <c r="C1558" s="72" t="inlineStr">
        <is>
          <t>X</t>
        </is>
      </c>
      <c r="D1558" s="5" t="n">
        <v>108</v>
      </c>
      <c r="E1558" s="73">
        <f>B1558*D1558/10000</f>
        <v/>
      </c>
      <c r="F1558" s="74">
        <f>B1558/30.48</f>
        <v/>
      </c>
      <c r="G1558" s="74">
        <f>D1558/30.48</f>
        <v/>
      </c>
      <c r="H1558" s="16" t="inlineStr">
        <is>
          <t>OLD</t>
        </is>
      </c>
      <c r="I1558" s="570" t="inlineStr">
        <is>
          <t>Samantha Brown</t>
        </is>
      </c>
      <c r="J1558" s="322" t="n"/>
      <c r="P1558" s="1" t="n"/>
      <c r="Q1558" s="1" t="n"/>
    </row>
    <row r="1559" ht="17.25" customHeight="1" s="305">
      <c r="A1559" s="8" t="inlineStr">
        <is>
          <t>H 166</t>
        </is>
      </c>
      <c r="B1559" s="5" t="n">
        <v>302</v>
      </c>
      <c r="C1559" s="6" t="inlineStr">
        <is>
          <t>X</t>
        </is>
      </c>
      <c r="D1559" s="5" t="n">
        <v>82</v>
      </c>
      <c r="E1559" s="2">
        <f>B1559*D1559/10000</f>
        <v/>
      </c>
      <c r="F1559" s="3">
        <f>B1559/30.48</f>
        <v/>
      </c>
      <c r="G1559" s="3">
        <f>D1559/30.48</f>
        <v/>
      </c>
      <c r="H1559" s="66" t="inlineStr">
        <is>
          <t>MCHD-TR</t>
        </is>
      </c>
      <c r="I1559" s="557" t="n"/>
      <c r="J1559" s="322" t="n"/>
      <c r="P1559" s="1" t="n"/>
      <c r="Q1559" s="1" t="n"/>
    </row>
    <row r="1560" ht="17.25" customHeight="1" s="305">
      <c r="A1560" s="8" t="inlineStr">
        <is>
          <t>C 855</t>
        </is>
      </c>
      <c r="B1560" s="5" t="n">
        <v>183</v>
      </c>
      <c r="C1560" s="6" t="inlineStr">
        <is>
          <t>X</t>
        </is>
      </c>
      <c r="D1560" s="5" t="n">
        <v>269</v>
      </c>
      <c r="E1560" s="2">
        <f>B1560*D1560/10000</f>
        <v/>
      </c>
      <c r="F1560" s="3">
        <f>B1560/30.48</f>
        <v/>
      </c>
      <c r="G1560" s="3">
        <f>D1560/30.48</f>
        <v/>
      </c>
      <c r="H1560" s="66" t="inlineStr">
        <is>
          <t>MCHD-TR</t>
        </is>
      </c>
      <c r="I1560" s="545" t="n"/>
      <c r="J1560" s="571" t="n"/>
      <c r="P1560" s="1" t="n"/>
      <c r="Q1560" s="1" t="n"/>
      <c r="R1560" s="1" t="n"/>
    </row>
    <row r="1561" ht="17.25" customHeight="1" s="305">
      <c r="A1561" s="8" t="n">
        <v>1357</v>
      </c>
      <c r="B1561" s="5" t="n">
        <v>93</v>
      </c>
      <c r="C1561" s="72" t="inlineStr">
        <is>
          <t>X</t>
        </is>
      </c>
      <c r="D1561" s="5" t="n">
        <v>384</v>
      </c>
      <c r="E1561" s="73">
        <f>B1561*D1561/10000</f>
        <v/>
      </c>
      <c r="F1561" s="74">
        <f>B1561/30.48</f>
        <v/>
      </c>
      <c r="G1561" s="74">
        <f>D1561/30.48</f>
        <v/>
      </c>
      <c r="H1561" s="16" t="inlineStr">
        <is>
          <t>VR</t>
        </is>
      </c>
      <c r="I1561" s="570" t="inlineStr">
        <is>
          <t>TA ROBERTS</t>
        </is>
      </c>
      <c r="J1561" s="557" t="inlineStr">
        <is>
          <t>US-303-929-1771</t>
        </is>
      </c>
    </row>
    <row r="1562" ht="17.25" customHeight="1" s="305">
      <c r="A1562" s="8" t="n">
        <v>1836</v>
      </c>
      <c r="B1562" s="5" t="n">
        <v>76</v>
      </c>
      <c r="C1562" s="72" t="inlineStr">
        <is>
          <t>X</t>
        </is>
      </c>
      <c r="D1562" s="5" t="n">
        <v>338</v>
      </c>
      <c r="E1562" s="73">
        <f>B1562*D1562/10000</f>
        <v/>
      </c>
      <c r="F1562" s="74">
        <f>B1562/30.48</f>
        <v/>
      </c>
      <c r="G1562" s="74">
        <f>D1562/30.48</f>
        <v/>
      </c>
      <c r="H1562" s="37" t="inlineStr">
        <is>
          <t>PAC</t>
        </is>
      </c>
      <c r="I1562" s="570" t="inlineStr">
        <is>
          <t>Lori Coffey</t>
        </is>
      </c>
      <c r="J1562" s="557" t="n"/>
      <c r="P1562" s="1" t="n"/>
      <c r="Q1562" s="1" t="n"/>
      <c r="R1562" s="1" t="n"/>
    </row>
    <row r="1563" ht="17.25" customHeight="1" s="305">
      <c r="A1563" s="8" t="inlineStr">
        <is>
          <t>A 210</t>
        </is>
      </c>
      <c r="B1563" s="5" t="n">
        <v>290</v>
      </c>
      <c r="C1563" s="6" t="inlineStr">
        <is>
          <t>X</t>
        </is>
      </c>
      <c r="D1563" s="5" t="n">
        <v>385</v>
      </c>
      <c r="E1563" s="2">
        <f>B1563*D1563/10000</f>
        <v/>
      </c>
      <c r="F1563" s="3">
        <f>B1563/30.48</f>
        <v/>
      </c>
      <c r="G1563" s="3">
        <f>D1563/30.48</f>
        <v/>
      </c>
      <c r="H1563" s="66" t="inlineStr">
        <is>
          <t>MCHD-TR</t>
        </is>
      </c>
      <c r="I1563" s="557" t="n"/>
      <c r="J1563" s="557" t="n"/>
    </row>
    <row r="1564" ht="17.25" customHeight="1" s="305">
      <c r="A1564" s="8" t="inlineStr">
        <is>
          <t>A 157</t>
        </is>
      </c>
      <c r="B1564" s="5" t="n">
        <v>223</v>
      </c>
      <c r="C1564" s="72" t="inlineStr">
        <is>
          <t>X</t>
        </is>
      </c>
      <c r="D1564" s="5" t="n">
        <v>328</v>
      </c>
      <c r="E1564" s="73">
        <f>B1564*D1564/10000</f>
        <v/>
      </c>
      <c r="F1564" s="74">
        <f>B1564/30.48</f>
        <v/>
      </c>
      <c r="G1564" s="74">
        <f>D1564/30.48</f>
        <v/>
      </c>
      <c r="H1564" s="37" t="inlineStr">
        <is>
          <t>PAC</t>
        </is>
      </c>
      <c r="I1564" s="570" t="inlineStr">
        <is>
          <t>Lauren Jacobsen</t>
        </is>
      </c>
      <c r="J1564" s="557" t="inlineStr">
        <is>
          <t>US-916-833-1254</t>
        </is>
      </c>
      <c r="P1564" s="1" t="n"/>
      <c r="Q1564" s="1" t="n"/>
      <c r="R1564" s="1" t="n"/>
    </row>
    <row r="1565" ht="17.25" customHeight="1" s="305">
      <c r="A1565" s="8" t="n">
        <v>1757</v>
      </c>
      <c r="B1565" s="5" t="n">
        <v>271</v>
      </c>
      <c r="C1565" s="72" t="inlineStr">
        <is>
          <t>X</t>
        </is>
      </c>
      <c r="D1565" s="5" t="n">
        <v>371</v>
      </c>
      <c r="E1565" s="73">
        <f>B1565*D1565/10000</f>
        <v/>
      </c>
      <c r="F1565" s="74">
        <f>B1565/30.48</f>
        <v/>
      </c>
      <c r="G1565" s="74">
        <f>D1565/30.48</f>
        <v/>
      </c>
      <c r="H1565" s="37" t="inlineStr">
        <is>
          <t>PAC</t>
        </is>
      </c>
      <c r="I1565" s="570" t="inlineStr">
        <is>
          <t>Laura M. Maychruk</t>
        </is>
      </c>
      <c r="J1565" s="557" t="inlineStr">
        <is>
          <t>US-708-205-7044</t>
        </is>
      </c>
      <c r="P1565" s="1" t="n"/>
      <c r="Q1565" s="1" t="n"/>
      <c r="R1565" s="1" t="n"/>
    </row>
    <row r="1566" ht="17.25" customHeight="1" s="305">
      <c r="A1566" s="8" t="n">
        <v>1174</v>
      </c>
      <c r="B1566" s="5" t="n">
        <v>142</v>
      </c>
      <c r="C1566" s="72" t="inlineStr">
        <is>
          <t>X</t>
        </is>
      </c>
      <c r="D1566" s="5" t="n">
        <v>328</v>
      </c>
      <c r="E1566" s="73">
        <f>B1566*D1566/10000</f>
        <v/>
      </c>
      <c r="F1566" s="74">
        <f>B1566/30.48</f>
        <v/>
      </c>
      <c r="G1566" s="74">
        <f>D1566/30.48</f>
        <v/>
      </c>
      <c r="H1566" s="16" t="inlineStr">
        <is>
          <t>VR</t>
        </is>
      </c>
      <c r="I1566" s="570" t="inlineStr">
        <is>
          <t>Tonya Barker</t>
        </is>
      </c>
      <c r="J1566" s="557" t="n"/>
      <c r="P1566" s="1" t="n"/>
      <c r="Q1566" s="1" t="n"/>
      <c r="R1566" s="1" t="n"/>
    </row>
    <row r="1567" ht="17.25" customHeight="1" s="305">
      <c r="A1567" s="8" t="inlineStr">
        <is>
          <t>Y 670</t>
        </is>
      </c>
      <c r="B1567" s="5" t="n">
        <v>178</v>
      </c>
      <c r="C1567" s="6" t="inlineStr">
        <is>
          <t>X</t>
        </is>
      </c>
      <c r="D1567" s="5" t="n">
        <v>122</v>
      </c>
      <c r="E1567" s="2">
        <f>B1567*D1567/10000</f>
        <v/>
      </c>
      <c r="F1567" s="3">
        <f>B1567/30.48</f>
        <v/>
      </c>
      <c r="G1567" s="3">
        <f>D1567/30.48</f>
        <v/>
      </c>
      <c r="H1567" s="16" t="inlineStr">
        <is>
          <t>OLD</t>
        </is>
      </c>
      <c r="I1567" s="570" t="inlineStr">
        <is>
          <t>Hannah Nystrom</t>
        </is>
      </c>
      <c r="J1567" s="557" t="n"/>
    </row>
    <row r="1568" ht="17.25" customHeight="1" s="305">
      <c r="A1568" s="8" t="inlineStr">
        <is>
          <t>C 909</t>
        </is>
      </c>
      <c r="B1568" s="5" t="n">
        <v>114</v>
      </c>
      <c r="C1568" s="6" t="inlineStr">
        <is>
          <t>X</t>
        </is>
      </c>
      <c r="D1568" s="5" t="n">
        <v>193</v>
      </c>
      <c r="E1568" s="2">
        <f>B1568*D1568/10000</f>
        <v/>
      </c>
      <c r="F1568" s="3">
        <f>B1568/30.48</f>
        <v/>
      </c>
      <c r="G1568" s="3">
        <f>D1568/30.48</f>
        <v/>
      </c>
      <c r="H1568" s="16" t="inlineStr">
        <is>
          <t>OLD</t>
        </is>
      </c>
      <c r="I1568" s="534" t="inlineStr">
        <is>
          <t>Kelly mcmahon</t>
        </is>
      </c>
      <c r="J1568" s="545" t="n"/>
      <c r="P1568" s="1" t="n"/>
      <c r="Q1568" s="1" t="n"/>
      <c r="R1568" s="1" t="n"/>
    </row>
    <row r="1569" ht="17.25" customHeight="1" s="305">
      <c r="A1569" s="8" t="inlineStr">
        <is>
          <t>D 202</t>
        </is>
      </c>
      <c r="B1569" s="5" t="n">
        <v>53</v>
      </c>
      <c r="C1569" s="72" t="inlineStr">
        <is>
          <t>X</t>
        </is>
      </c>
      <c r="D1569" s="5" t="n">
        <v>102</v>
      </c>
      <c r="E1569" s="73">
        <f>B1569*D1569/10000</f>
        <v/>
      </c>
      <c r="F1569" s="74">
        <f>B1569/30.48</f>
        <v/>
      </c>
      <c r="G1569" s="74">
        <f>D1569/30.48</f>
        <v/>
      </c>
      <c r="H1569" s="16" t="inlineStr">
        <is>
          <t>OLD</t>
        </is>
      </c>
      <c r="I1569" s="534" t="inlineStr">
        <is>
          <t>Sara Holland Levin</t>
        </is>
      </c>
      <c r="J1569" s="545" t="n"/>
    </row>
    <row r="1570" ht="17.25" customHeight="1" s="305">
      <c r="A1570" s="8" t="n">
        <v>2067</v>
      </c>
      <c r="B1570" s="5" t="n">
        <v>87</v>
      </c>
      <c r="C1570" s="72" t="inlineStr">
        <is>
          <t>X</t>
        </is>
      </c>
      <c r="D1570" s="5" t="n">
        <v>257</v>
      </c>
      <c r="E1570" s="73">
        <f>B1570*D1570/10000</f>
        <v/>
      </c>
      <c r="F1570" s="74">
        <f>B1570/30.48</f>
        <v/>
      </c>
      <c r="G1570" s="74">
        <f>D1570/30.48</f>
        <v/>
      </c>
      <c r="H1570" s="66" t="inlineStr">
        <is>
          <t>MCHD-TR</t>
        </is>
      </c>
      <c r="I1570" s="259" t="n"/>
      <c r="J1570" s="259" t="n"/>
    </row>
    <row r="1571" ht="17.25" customHeight="1" s="305">
      <c r="A1571" s="8" t="n">
        <v>1212</v>
      </c>
      <c r="B1571" s="5" t="n">
        <v>132</v>
      </c>
      <c r="C1571" s="72" t="inlineStr">
        <is>
          <t>X</t>
        </is>
      </c>
      <c r="D1571" s="5" t="n">
        <v>160</v>
      </c>
      <c r="E1571" s="73">
        <f>B1571*D1571/10000</f>
        <v/>
      </c>
      <c r="F1571" s="74">
        <f>B1571/30.48</f>
        <v/>
      </c>
      <c r="G1571" s="74">
        <f>D1571/30.48</f>
        <v/>
      </c>
      <c r="H1571" s="66" t="inlineStr">
        <is>
          <t>MCHD-TR</t>
        </is>
      </c>
      <c r="I1571" s="557" t="n"/>
      <c r="J1571" s="557" t="n"/>
    </row>
    <row r="1572" ht="17.25" customHeight="1" s="305">
      <c r="A1572" s="8" t="n">
        <v>1835</v>
      </c>
      <c r="B1572" s="5" t="n">
        <v>115</v>
      </c>
      <c r="C1572" s="72" t="inlineStr">
        <is>
          <t>X</t>
        </is>
      </c>
      <c r="D1572" s="5" t="n">
        <v>190</v>
      </c>
      <c r="E1572" s="73">
        <f>B1572*D1572/10000</f>
        <v/>
      </c>
      <c r="F1572" s="74">
        <f>B1572/30.48</f>
        <v/>
      </c>
      <c r="G1572" s="74">
        <f>D1572/30.48</f>
        <v/>
      </c>
      <c r="H1572" s="37" t="inlineStr">
        <is>
          <t>PAC</t>
        </is>
      </c>
      <c r="I1572" s="570" t="inlineStr">
        <is>
          <t>Amy Groberio</t>
        </is>
      </c>
      <c r="J1572" s="557" t="n"/>
      <c r="P1572" s="1" t="n"/>
      <c r="Q1572" s="1" t="n"/>
    </row>
    <row r="1573" ht="17.25" customHeight="1" s="305">
      <c r="A1573" s="8" t="n">
        <v>1903</v>
      </c>
      <c r="B1573" s="5" t="n">
        <v>116</v>
      </c>
      <c r="C1573" s="72" t="inlineStr">
        <is>
          <t>X</t>
        </is>
      </c>
      <c r="D1573" s="5" t="n">
        <v>193</v>
      </c>
      <c r="E1573" s="73">
        <f>B1573*D1573/10000</f>
        <v/>
      </c>
      <c r="F1573" s="74">
        <f>B1573/30.48</f>
        <v/>
      </c>
      <c r="G1573" s="74">
        <f>D1573/30.48</f>
        <v/>
      </c>
      <c r="H1573" s="37" t="inlineStr">
        <is>
          <t>PAC</t>
        </is>
      </c>
      <c r="I1573" s="570" t="inlineStr">
        <is>
          <t>Carole Baker-Powers</t>
        </is>
      </c>
      <c r="J1573" s="557" t="n"/>
      <c r="P1573" s="1" t="n"/>
      <c r="Q1573" s="1" t="n"/>
      <c r="R1573" s="1" t="n"/>
    </row>
    <row r="1574" ht="17.25" customHeight="1" s="305">
      <c r="A1574" s="8" t="n">
        <v>1004</v>
      </c>
      <c r="B1574" s="5" t="n">
        <v>248</v>
      </c>
      <c r="C1574" s="72" t="inlineStr">
        <is>
          <t>X</t>
        </is>
      </c>
      <c r="D1574" s="5" t="n">
        <v>340</v>
      </c>
      <c r="E1574" s="73">
        <f>B1574*D1574/10000</f>
        <v/>
      </c>
      <c r="F1574" s="74">
        <f>B1574/30.48</f>
        <v/>
      </c>
      <c r="G1574" s="74">
        <f>D1574/30.48</f>
        <v/>
      </c>
      <c r="H1574" s="66" t="inlineStr">
        <is>
          <t>MCHD-TR</t>
        </is>
      </c>
      <c r="I1574" s="545" t="n"/>
      <c r="J1574" s="545" t="n"/>
    </row>
    <row r="1575" ht="17.25" customHeight="1" s="305">
      <c r="A1575" s="8" t="n">
        <v>1266</v>
      </c>
      <c r="B1575" s="5" t="n">
        <v>121</v>
      </c>
      <c r="C1575" s="72" t="inlineStr">
        <is>
          <t>X</t>
        </is>
      </c>
      <c r="D1575" s="5" t="n">
        <v>191</v>
      </c>
      <c r="E1575" s="73">
        <f>B1575*D1575/10000</f>
        <v/>
      </c>
      <c r="F1575" s="74">
        <f>B1575/30.48</f>
        <v/>
      </c>
      <c r="G1575" s="74">
        <f>D1575/30.48</f>
        <v/>
      </c>
      <c r="H1575" s="66" t="inlineStr">
        <is>
          <t>MCHD-TR</t>
        </is>
      </c>
      <c r="I1575" s="557" t="n"/>
      <c r="J1575" s="557" t="n"/>
    </row>
    <row r="1576" ht="17.25" customHeight="1" s="305">
      <c r="A1576" s="8" t="n">
        <v>2104</v>
      </c>
      <c r="B1576" s="5" t="n">
        <v>82</v>
      </c>
      <c r="C1576" s="72" t="inlineStr">
        <is>
          <t>X</t>
        </is>
      </c>
      <c r="D1576" s="5" t="n">
        <v>291</v>
      </c>
      <c r="E1576" s="73">
        <f>B1576*D1576/10000</f>
        <v/>
      </c>
      <c r="F1576" s="74">
        <f>B1576/30.48</f>
        <v/>
      </c>
      <c r="G1576" s="74">
        <f>D1576/30.48</f>
        <v/>
      </c>
      <c r="H1576" s="66" t="inlineStr">
        <is>
          <t>MCHD-TR</t>
        </is>
      </c>
      <c r="I1576" s="557" t="n"/>
      <c r="J1576" s="557" t="n"/>
      <c r="P1576" s="1" t="n"/>
      <c r="Q1576" s="1" t="n"/>
      <c r="R1576" s="1" t="n"/>
    </row>
    <row r="1577" ht="17.25" customHeight="1" s="305">
      <c r="A1577" s="8" t="inlineStr">
        <is>
          <t>A 38</t>
        </is>
      </c>
      <c r="B1577" s="5" t="n">
        <v>218</v>
      </c>
      <c r="C1577" s="6" t="inlineStr">
        <is>
          <t>X</t>
        </is>
      </c>
      <c r="D1577" s="5" t="n">
        <v>296</v>
      </c>
      <c r="E1577" s="2">
        <f>B1577*D1577/10000</f>
        <v/>
      </c>
      <c r="F1577" s="3">
        <f>B1577/30.48</f>
        <v/>
      </c>
      <c r="G1577" s="3">
        <f>D1577/30.48</f>
        <v/>
      </c>
      <c r="H1577" s="542" t="inlineStr">
        <is>
          <t>MCHD-TR</t>
        </is>
      </c>
      <c r="I1577" s="557" t="n"/>
      <c r="J1577" s="557" t="n"/>
    </row>
    <row r="1578" ht="17.25" customHeight="1" s="305">
      <c r="A1578" s="8" t="inlineStr">
        <is>
          <t>Y 19</t>
        </is>
      </c>
      <c r="B1578" s="5" t="n">
        <v>316</v>
      </c>
      <c r="C1578" s="6" t="inlineStr">
        <is>
          <t>X</t>
        </is>
      </c>
      <c r="D1578" s="5" t="n">
        <v>84</v>
      </c>
      <c r="E1578" s="2">
        <f>B1578*D1578/10000</f>
        <v/>
      </c>
      <c r="F1578" s="3">
        <f>B1578/30.48</f>
        <v/>
      </c>
      <c r="G1578" s="3">
        <f>D1578/30.48</f>
        <v/>
      </c>
      <c r="H1578" s="16" t="inlineStr">
        <is>
          <t>OLD</t>
        </is>
      </c>
      <c r="I1578" s="534" t="inlineStr">
        <is>
          <t>Rachel Mauro</t>
        </is>
      </c>
      <c r="J1578" s="545" t="n"/>
    </row>
    <row r="1579" ht="17.25" customHeight="1" s="305">
      <c r="A1579" s="8" t="inlineStr">
        <is>
          <t>H 29</t>
        </is>
      </c>
      <c r="B1579" s="5" t="n">
        <v>87</v>
      </c>
      <c r="C1579" s="72" t="inlineStr">
        <is>
          <t>X</t>
        </is>
      </c>
      <c r="D1579" s="5" t="n">
        <v>357</v>
      </c>
      <c r="E1579" s="73">
        <f>B1579*D1579/10000</f>
        <v/>
      </c>
      <c r="F1579" s="74">
        <f>B1579/30.48</f>
        <v/>
      </c>
      <c r="G1579" s="74">
        <f>D1579/30.48</f>
        <v/>
      </c>
      <c r="H1579" s="694" t="n"/>
      <c r="I1579" s="693" t="n"/>
      <c r="J1579" s="693" t="n"/>
      <c r="P1579" s="1" t="n"/>
      <c r="Q1579" s="1" t="n"/>
      <c r="R1579" s="1" t="n"/>
    </row>
    <row r="1580" ht="17.25" customHeight="1" s="305">
      <c r="A1580" s="8" t="inlineStr">
        <is>
          <t>Y 195</t>
        </is>
      </c>
      <c r="B1580" s="5" t="n">
        <v>251</v>
      </c>
      <c r="C1580" s="6" t="inlineStr">
        <is>
          <t>X</t>
        </is>
      </c>
      <c r="D1580" s="5" t="n">
        <v>169</v>
      </c>
      <c r="E1580" s="2">
        <f>B1580*D1580/10000</f>
        <v/>
      </c>
      <c r="F1580" s="3">
        <f>B1580/30.48</f>
        <v/>
      </c>
      <c r="G1580" s="3">
        <f>D1580/30.48</f>
        <v/>
      </c>
      <c r="H1580" s="16" t="inlineStr">
        <is>
          <t>OLD</t>
        </is>
      </c>
      <c r="I1580" s="570" t="inlineStr">
        <is>
          <t>Darlene Sweetman</t>
        </is>
      </c>
      <c r="J1580" s="557" t="inlineStr">
        <is>
          <t>CA-416-716-34-33</t>
        </is>
      </c>
      <c r="P1580" s="1" t="n"/>
    </row>
    <row r="1581" ht="17.25" customHeight="1" s="305">
      <c r="A1581" s="8" t="n">
        <v>1614</v>
      </c>
      <c r="B1581" s="5" t="n">
        <v>365</v>
      </c>
      <c r="C1581" s="72" t="inlineStr">
        <is>
          <t>X</t>
        </is>
      </c>
      <c r="D1581" s="5" t="n">
        <v>93</v>
      </c>
      <c r="E1581" s="73">
        <f>B1581*D1581/10000</f>
        <v/>
      </c>
      <c r="F1581" s="74">
        <f>B1581/30.48</f>
        <v/>
      </c>
      <c r="G1581" s="74">
        <f>D1581/30.48</f>
        <v/>
      </c>
      <c r="H1581" s="694" t="n"/>
      <c r="I1581" s="694" t="n"/>
      <c r="J1581" s="694" t="n"/>
      <c r="P1581" s="1" t="n"/>
      <c r="Q1581" s="1" t="n"/>
      <c r="R1581" s="1" t="n"/>
    </row>
    <row r="1582" ht="17.25" customHeight="1" s="305">
      <c r="A1582" s="8" t="inlineStr">
        <is>
          <t>H 239</t>
        </is>
      </c>
      <c r="B1582" s="5" t="n">
        <v>70</v>
      </c>
      <c r="C1582" s="72" t="inlineStr">
        <is>
          <t>X</t>
        </is>
      </c>
      <c r="D1582" s="5" t="n">
        <v>254</v>
      </c>
      <c r="E1582" s="73">
        <f>B1582*D1582/10000</f>
        <v/>
      </c>
      <c r="F1582" s="74">
        <f>B1582/30.48</f>
        <v/>
      </c>
      <c r="G1582" s="74">
        <f>D1582/30.48</f>
        <v/>
      </c>
      <c r="H1582" s="16" t="inlineStr">
        <is>
          <t>OLD</t>
        </is>
      </c>
      <c r="I1582" s="534" t="inlineStr">
        <is>
          <t>Hannah Crowell</t>
        </is>
      </c>
      <c r="J1582" s="545" t="n"/>
      <c r="P1582" s="1" t="n"/>
      <c r="Q1582" s="1" t="n"/>
      <c r="R1582" s="1" t="n"/>
    </row>
    <row r="1583" ht="17.25" customHeight="1" s="305">
      <c r="A1583" s="8" t="n">
        <v>2088</v>
      </c>
      <c r="B1583" s="5" t="n">
        <v>90</v>
      </c>
      <c r="C1583" s="72" t="inlineStr">
        <is>
          <t>X</t>
        </is>
      </c>
      <c r="D1583" s="5" t="n">
        <v>447</v>
      </c>
      <c r="E1583" s="73">
        <f>B1583*D1583/10000</f>
        <v/>
      </c>
      <c r="F1583" s="74">
        <f>B1583/30.48</f>
        <v/>
      </c>
      <c r="G1583" s="74">
        <f>D1583/30.48</f>
        <v/>
      </c>
      <c r="H1583" s="66" t="inlineStr">
        <is>
          <t>PAC</t>
        </is>
      </c>
      <c r="I1583" s="534" t="inlineStr">
        <is>
          <t>Kathy Hornaday</t>
        </is>
      </c>
      <c r="J1583" s="545" t="inlineStr">
        <is>
          <t>US-270-485-35-02</t>
        </is>
      </c>
    </row>
    <row r="1584" ht="17.25" customHeight="1" s="305">
      <c r="A1584" s="8" t="n">
        <v>2109</v>
      </c>
      <c r="B1584" s="5" t="n">
        <v>87</v>
      </c>
      <c r="C1584" s="72" t="inlineStr">
        <is>
          <t>X</t>
        </is>
      </c>
      <c r="D1584" s="5" t="n">
        <v>380</v>
      </c>
      <c r="E1584" s="73">
        <f>B1584*D1584/10000</f>
        <v/>
      </c>
      <c r="F1584" s="74">
        <f>B1584/30.48</f>
        <v/>
      </c>
      <c r="G1584" s="74">
        <f>D1584/30.48</f>
        <v/>
      </c>
      <c r="H1584" s="694" t="n"/>
      <c r="I1584" s="693" t="n"/>
      <c r="J1584" s="693" t="n"/>
      <c r="P1584" s="1" t="n"/>
      <c r="Q1584" s="1" t="n"/>
      <c r="R1584" s="1" t="n"/>
    </row>
    <row r="1585" ht="17.25" customHeight="1" s="305">
      <c r="A1585" s="8" t="inlineStr">
        <is>
          <t>Y 133</t>
        </is>
      </c>
      <c r="B1585" s="5" t="n">
        <v>217</v>
      </c>
      <c r="C1585" s="6" t="inlineStr">
        <is>
          <t>X</t>
        </is>
      </c>
      <c r="D1585" s="5" t="n">
        <v>114</v>
      </c>
      <c r="E1585" s="2">
        <f>B1585*D1585/10000</f>
        <v/>
      </c>
      <c r="F1585" s="3">
        <f>B1585/30.48</f>
        <v/>
      </c>
      <c r="G1585" s="3">
        <f>D1585/30.48</f>
        <v/>
      </c>
      <c r="H1585" s="37" t="inlineStr">
        <is>
          <t>PAC</t>
        </is>
      </c>
      <c r="I1585" s="534" t="inlineStr">
        <is>
          <t>Amy Dobyns</t>
        </is>
      </c>
      <c r="J1585" s="545" t="n"/>
    </row>
    <row r="1586" ht="17.25" customHeight="1" s="305">
      <c r="A1586" s="8" t="n">
        <v>2038</v>
      </c>
      <c r="B1586" s="5" t="n">
        <v>204</v>
      </c>
      <c r="C1586" s="72" t="inlineStr">
        <is>
          <t>X</t>
        </is>
      </c>
      <c r="D1586" s="5" t="n">
        <v>307</v>
      </c>
      <c r="E1586" s="73">
        <f>B1586*D1586/10000</f>
        <v/>
      </c>
      <c r="F1586" s="74">
        <f>B1586/30.48</f>
        <v/>
      </c>
      <c r="G1586" s="74">
        <f>D1586/30.48</f>
        <v/>
      </c>
      <c r="H1586" s="37" t="inlineStr">
        <is>
          <t>PAC</t>
        </is>
      </c>
      <c r="I1586" s="534" t="inlineStr">
        <is>
          <t>Kayla Hollis</t>
        </is>
      </c>
      <c r="J1586" s="545" t="n"/>
    </row>
    <row r="1587" ht="17.25" customHeight="1" s="305">
      <c r="A1587" s="8" t="inlineStr">
        <is>
          <t>Y 618</t>
        </is>
      </c>
      <c r="B1587" s="5" t="n">
        <v>273</v>
      </c>
      <c r="C1587" s="6" t="inlineStr">
        <is>
          <t>X</t>
        </is>
      </c>
      <c r="D1587" s="5" t="n">
        <v>80</v>
      </c>
      <c r="E1587" s="2">
        <f>B1587*D1587/10000</f>
        <v/>
      </c>
      <c r="F1587" s="3">
        <f>B1587/30.48</f>
        <v/>
      </c>
      <c r="G1587" s="3">
        <f>D1587/30.48</f>
        <v/>
      </c>
      <c r="H1587" s="66" t="inlineStr">
        <is>
          <t>MCHD-TR</t>
        </is>
      </c>
      <c r="I1587" s="557" t="n"/>
      <c r="J1587" s="557" t="n"/>
    </row>
    <row r="1588" ht="17.25" customHeight="1" s="305">
      <c r="A1588" s="8" t="n">
        <v>2050</v>
      </c>
      <c r="B1588" s="5" t="n">
        <v>88</v>
      </c>
      <c r="C1588" s="72" t="inlineStr">
        <is>
          <t>X</t>
        </is>
      </c>
      <c r="D1588" s="5" t="n">
        <v>281</v>
      </c>
      <c r="E1588" s="73">
        <f>B1588*D1588/10000</f>
        <v/>
      </c>
      <c r="F1588" s="74">
        <f>B1588/30.48</f>
        <v/>
      </c>
      <c r="G1588" s="74">
        <f>D1588/30.48</f>
        <v/>
      </c>
      <c r="H1588" s="66" t="inlineStr">
        <is>
          <t>MCHD-TR</t>
        </is>
      </c>
      <c r="I1588" s="545" t="n"/>
      <c r="J1588" s="545" t="n"/>
      <c r="P1588" s="1" t="n"/>
      <c r="Q1588" s="1" t="n"/>
      <c r="R1588" s="1" t="n"/>
    </row>
    <row r="1589" ht="17.25" customHeight="1" s="305">
      <c r="A1589" s="8" t="n">
        <v>1399</v>
      </c>
      <c r="B1589" s="5" t="n">
        <v>91</v>
      </c>
      <c r="C1589" s="72" t="inlineStr">
        <is>
          <t>X</t>
        </is>
      </c>
      <c r="D1589" s="5" t="n">
        <v>314</v>
      </c>
      <c r="E1589" s="73">
        <f>B1589*D1589/10000</f>
        <v/>
      </c>
      <c r="F1589" s="74">
        <f>B1589/30.48</f>
        <v/>
      </c>
      <c r="G1589" s="74">
        <f>D1589/30.48</f>
        <v/>
      </c>
      <c r="H1589" s="16" t="inlineStr">
        <is>
          <t>OLD</t>
        </is>
      </c>
      <c r="I1589" s="534" t="inlineStr">
        <is>
          <t>Jill Clark</t>
        </is>
      </c>
      <c r="J1589" s="545" t="n"/>
    </row>
    <row r="1590" ht="17.25" customHeight="1" s="305">
      <c r="A1590" s="8" t="inlineStr">
        <is>
          <t>Y 972</t>
        </is>
      </c>
      <c r="B1590" s="5" t="n">
        <v>252</v>
      </c>
      <c r="C1590" s="6" t="inlineStr">
        <is>
          <t>X</t>
        </is>
      </c>
      <c r="D1590" s="5" t="n">
        <v>97</v>
      </c>
      <c r="E1590" s="2">
        <f>B1590*D1590/10000</f>
        <v/>
      </c>
      <c r="F1590" s="3">
        <f>B1590/30.48</f>
        <v/>
      </c>
      <c r="G1590" s="3">
        <f>D1590/30.48</f>
        <v/>
      </c>
      <c r="H1590" s="66" t="inlineStr">
        <is>
          <t>MCHD-TR</t>
        </is>
      </c>
      <c r="I1590" s="545" t="n"/>
      <c r="J1590" s="545" t="n"/>
      <c r="P1590" s="1" t="n"/>
    </row>
    <row r="1591" ht="17.25" customHeight="1" s="305">
      <c r="A1591" s="8" t="n">
        <v>1592</v>
      </c>
      <c r="B1591" s="5" t="n">
        <v>200</v>
      </c>
      <c r="C1591" s="72" t="inlineStr">
        <is>
          <t>X</t>
        </is>
      </c>
      <c r="D1591" s="5" t="n">
        <v>113</v>
      </c>
      <c r="E1591" s="73">
        <f>B1591*D1591/10000</f>
        <v/>
      </c>
      <c r="F1591" s="74">
        <f>B1591/30.48</f>
        <v/>
      </c>
      <c r="G1591" s="74">
        <f>D1591/30.48</f>
        <v/>
      </c>
      <c r="H1591" s="66" t="inlineStr">
        <is>
          <t>MCHD-TR</t>
        </is>
      </c>
      <c r="I1591" s="557" t="n"/>
      <c r="J1591" s="557" t="n"/>
    </row>
    <row r="1592" ht="17.25" customHeight="1" s="305">
      <c r="A1592" s="8" t="n">
        <v>1705</v>
      </c>
      <c r="B1592" s="5" t="n">
        <v>288</v>
      </c>
      <c r="C1592" s="72" t="inlineStr">
        <is>
          <t>X</t>
        </is>
      </c>
      <c r="D1592" s="5" t="n">
        <v>367</v>
      </c>
      <c r="E1592" s="73">
        <f>B1592*D1592/10000</f>
        <v/>
      </c>
      <c r="F1592" s="74">
        <f>B1592/30.48</f>
        <v/>
      </c>
      <c r="G1592" s="74">
        <f>D1592/30.48</f>
        <v/>
      </c>
      <c r="H1592" s="37" t="inlineStr">
        <is>
          <t>PAC</t>
        </is>
      </c>
      <c r="I1592" s="570" t="inlineStr">
        <is>
          <t>Lızzy Yates</t>
        </is>
      </c>
      <c r="J1592" s="557" t="n"/>
      <c r="P1592" s="1" t="n"/>
      <c r="Q1592" s="1" t="n"/>
      <c r="R1592" s="1" t="n"/>
    </row>
    <row r="1593" ht="17.25" customHeight="1" s="305">
      <c r="A1593" s="8" t="inlineStr">
        <is>
          <t>D 104</t>
        </is>
      </c>
      <c r="B1593" s="5" t="n">
        <v>46</v>
      </c>
      <c r="C1593" s="72" t="inlineStr">
        <is>
          <t>X</t>
        </is>
      </c>
      <c r="D1593" s="5" t="n">
        <v>98</v>
      </c>
      <c r="E1593" s="73">
        <f>B1593*D1593/10000</f>
        <v/>
      </c>
      <c r="F1593" s="74">
        <f>B1593/30.48</f>
        <v/>
      </c>
      <c r="G1593" s="74">
        <f>D1593/30.48</f>
        <v/>
      </c>
      <c r="H1593" s="16" t="inlineStr">
        <is>
          <t>OLD</t>
        </is>
      </c>
      <c r="I1593" s="534" t="inlineStr">
        <is>
          <t>Kristy Favalli</t>
        </is>
      </c>
      <c r="J1593" s="545" t="n"/>
    </row>
    <row r="1594" ht="17.25" customHeight="1" s="305">
      <c r="A1594" s="8" t="inlineStr">
        <is>
          <t>C 594</t>
        </is>
      </c>
      <c r="B1594" s="5" t="n">
        <v>111</v>
      </c>
      <c r="C1594" s="6" t="inlineStr">
        <is>
          <t>X</t>
        </is>
      </c>
      <c r="D1594" s="5" t="n">
        <v>199</v>
      </c>
      <c r="E1594" s="2">
        <f>B1594*D1594/10000</f>
        <v/>
      </c>
      <c r="F1594" s="3">
        <f>B1594/30.48</f>
        <v/>
      </c>
      <c r="G1594" s="3">
        <f>D1594/30.48</f>
        <v/>
      </c>
      <c r="H1594" s="66" t="inlineStr">
        <is>
          <t>MCHD-TR</t>
        </is>
      </c>
      <c r="I1594" s="557" t="n"/>
      <c r="J1594" s="557" t="n"/>
    </row>
    <row r="1595">
      <c r="A1595" s="536" t="inlineStr">
        <is>
          <t>-2024 MAYIS-</t>
        </is>
      </c>
      <c r="H1595" s="104" t="inlineStr">
        <is>
          <t>SATAN-SİTE</t>
        </is>
      </c>
      <c r="I1595" s="98" t="inlineStr">
        <is>
          <t>MÜŞTERİ ADI</t>
        </is>
      </c>
      <c r="J1595" s="63" t="inlineStr">
        <is>
          <t>MÜŞTERİ İLETİŞİM &amp; ÜLKE</t>
        </is>
      </c>
      <c r="P1595" s="1" t="n"/>
    </row>
    <row r="1596" ht="17.25" customHeight="1" s="305">
      <c r="A1596" s="8" t="inlineStr">
        <is>
          <t>D 60</t>
        </is>
      </c>
      <c r="B1596" s="5" t="n">
        <v>43</v>
      </c>
      <c r="C1596" s="72" t="inlineStr">
        <is>
          <t>X</t>
        </is>
      </c>
      <c r="D1596" s="5" t="n">
        <v>73</v>
      </c>
      <c r="E1596" s="73">
        <f>B1596*D1596/10000</f>
        <v/>
      </c>
      <c r="F1596" s="74">
        <f>B1596/30.48</f>
        <v/>
      </c>
      <c r="G1596" s="74">
        <f>D1596/30.48</f>
        <v/>
      </c>
      <c r="H1596" s="16" t="inlineStr">
        <is>
          <t>VR</t>
        </is>
      </c>
      <c r="I1596" s="570" t="inlineStr">
        <is>
          <t>Laura Kalman</t>
        </is>
      </c>
      <c r="J1596" s="557" t="n"/>
    </row>
    <row r="1597" ht="17.25" customHeight="1" s="305">
      <c r="A1597" s="8" t="n">
        <v>1248</v>
      </c>
      <c r="B1597" s="5" t="n">
        <v>116</v>
      </c>
      <c r="C1597" s="72" t="inlineStr">
        <is>
          <t>X</t>
        </is>
      </c>
      <c r="D1597" s="5" t="n">
        <v>400</v>
      </c>
      <c r="E1597" s="73">
        <f>B1597*D1597/10000</f>
        <v/>
      </c>
      <c r="F1597" s="74">
        <f>B1597/30.48</f>
        <v/>
      </c>
      <c r="G1597" s="74">
        <f>D1597/30.48</f>
        <v/>
      </c>
      <c r="H1597" s="66" t="inlineStr">
        <is>
          <t>MCHD-TR</t>
        </is>
      </c>
      <c r="I1597" s="545" t="n"/>
      <c r="J1597" s="545" t="n"/>
    </row>
    <row r="1598" ht="17.25" customHeight="1" s="305">
      <c r="A1598" s="8" t="n">
        <v>1444</v>
      </c>
      <c r="B1598" s="5" t="n">
        <v>165</v>
      </c>
      <c r="C1598" s="72" t="inlineStr">
        <is>
          <t>X</t>
        </is>
      </c>
      <c r="D1598" s="5" t="n">
        <v>256</v>
      </c>
      <c r="E1598" s="73">
        <f>B1598*D1598/10000</f>
        <v/>
      </c>
      <c r="F1598" s="74">
        <f>B1598/30.48</f>
        <v/>
      </c>
      <c r="G1598" s="74">
        <f>D1598/30.48</f>
        <v/>
      </c>
      <c r="H1598" s="37" t="inlineStr">
        <is>
          <t>PAC</t>
        </is>
      </c>
      <c r="I1598" s="570" t="inlineStr">
        <is>
          <t>Betsy St.John</t>
        </is>
      </c>
      <c r="J1598" s="557" t="n"/>
      <c r="L1598" s="704" t="n"/>
    </row>
    <row r="1599" ht="17.25" customHeight="1" s="305">
      <c r="A1599" s="8" t="n">
        <v>1944</v>
      </c>
      <c r="B1599" s="5" t="n">
        <v>61</v>
      </c>
      <c r="C1599" s="72" t="inlineStr">
        <is>
          <t>X</t>
        </is>
      </c>
      <c r="D1599" s="5" t="n">
        <v>258</v>
      </c>
      <c r="E1599" s="73">
        <f>B1599*D1599/10000</f>
        <v/>
      </c>
      <c r="F1599" s="74">
        <f>B1599/30.48</f>
        <v/>
      </c>
      <c r="G1599" s="74">
        <f>D1599/30.48</f>
        <v/>
      </c>
      <c r="H1599" s="66" t="inlineStr">
        <is>
          <t>MCHD-TR</t>
        </is>
      </c>
      <c r="I1599" s="545" t="n"/>
      <c r="J1599" s="545" t="n"/>
    </row>
    <row r="1600" ht="17.25" customHeight="1" s="305">
      <c r="A1600" s="8" t="n">
        <v>1950</v>
      </c>
      <c r="B1600" s="5" t="n">
        <v>167</v>
      </c>
      <c r="C1600" s="72" t="inlineStr">
        <is>
          <t>X</t>
        </is>
      </c>
      <c r="D1600" s="5" t="n">
        <v>242</v>
      </c>
      <c r="E1600" s="73">
        <f>B1600*D1600/10000</f>
        <v/>
      </c>
      <c r="F1600" s="74">
        <f>B1600/30.48</f>
        <v/>
      </c>
      <c r="G1600" s="74">
        <f>D1600/30.48</f>
        <v/>
      </c>
      <c r="H1600" s="37" t="inlineStr">
        <is>
          <t>PAC</t>
        </is>
      </c>
      <c r="I1600" s="570" t="inlineStr">
        <is>
          <t>Miriam Peters</t>
        </is>
      </c>
      <c r="J1600" s="557" t="n"/>
    </row>
    <row r="1601" ht="17.25" customHeight="1" s="305">
      <c r="A1601" s="8" t="inlineStr">
        <is>
          <t>C 737</t>
        </is>
      </c>
      <c r="B1601" s="5" t="n">
        <v>112</v>
      </c>
      <c r="C1601" s="6" t="inlineStr">
        <is>
          <t>X</t>
        </is>
      </c>
      <c r="D1601" s="5" t="n">
        <v>192</v>
      </c>
      <c r="E1601" s="2">
        <f>B1601*D1601/10000</f>
        <v/>
      </c>
      <c r="F1601" s="3">
        <f>B1601/30.48</f>
        <v/>
      </c>
      <c r="G1601" s="3">
        <f>D1601/30.48</f>
        <v/>
      </c>
      <c r="H1601" s="66" t="inlineStr">
        <is>
          <t>MCHD-TR</t>
        </is>
      </c>
      <c r="I1601" s="545" t="n"/>
      <c r="J1601" s="545" t="n"/>
    </row>
    <row r="1602" ht="17.25" customHeight="1" s="305">
      <c r="A1602" s="8" t="n">
        <v>1382</v>
      </c>
      <c r="B1602" s="5" t="n">
        <v>93</v>
      </c>
      <c r="C1602" s="72" t="inlineStr">
        <is>
          <t>X</t>
        </is>
      </c>
      <c r="D1602" s="5" t="n">
        <v>368</v>
      </c>
      <c r="E1602" s="73">
        <f>B1602*D1602/10000</f>
        <v/>
      </c>
      <c r="F1602" s="74">
        <f>B1602/30.48</f>
        <v/>
      </c>
      <c r="G1602" s="74">
        <f>D1602/30.48</f>
        <v/>
      </c>
      <c r="H1602" s="16" t="inlineStr">
        <is>
          <t>OLD</t>
        </is>
      </c>
      <c r="I1602" s="570" t="inlineStr">
        <is>
          <t>Kate Newman</t>
        </is>
      </c>
      <c r="J1602" s="557" t="n"/>
    </row>
    <row r="1603" ht="17.25" customHeight="1" s="305">
      <c r="A1603" s="8" t="n">
        <v>1999</v>
      </c>
      <c r="B1603" s="5" t="n">
        <v>84</v>
      </c>
      <c r="C1603" s="72" t="inlineStr">
        <is>
          <t>X</t>
        </is>
      </c>
      <c r="D1603" s="5" t="n">
        <v>343</v>
      </c>
      <c r="E1603" s="73">
        <f>B1603*D1603/10000</f>
        <v/>
      </c>
      <c r="F1603" s="74">
        <f>B1603/30.48</f>
        <v/>
      </c>
      <c r="G1603" s="74">
        <f>D1603/30.48</f>
        <v/>
      </c>
      <c r="H1603" s="66" t="inlineStr">
        <is>
          <t>MCHD-TR</t>
        </is>
      </c>
      <c r="I1603" s="545" t="n"/>
      <c r="J1603" s="545" t="n"/>
      <c r="P1603" s="1" t="n"/>
      <c r="Q1603" s="1" t="n"/>
      <c r="R1603" s="1" t="n"/>
    </row>
    <row r="1604" ht="17.25" customHeight="1" s="305">
      <c r="A1604" s="8" t="n">
        <v>1058</v>
      </c>
      <c r="B1604" s="5" t="n">
        <v>75</v>
      </c>
      <c r="C1604" s="72" t="inlineStr">
        <is>
          <t>X</t>
        </is>
      </c>
      <c r="D1604" s="5" t="n">
        <v>273</v>
      </c>
      <c r="E1604" s="73">
        <f>B1604*D1604/10000</f>
        <v/>
      </c>
      <c r="F1604" s="74">
        <f>B1604/30.48</f>
        <v/>
      </c>
      <c r="G1604" s="74">
        <f>D1604/30.48</f>
        <v/>
      </c>
      <c r="H1604" s="69" t="inlineStr">
        <is>
          <t>RK</t>
        </is>
      </c>
      <c r="I1604" s="534" t="inlineStr">
        <is>
          <t>Meghan Martin</t>
        </is>
      </c>
      <c r="J1604" s="557" t="inlineStr">
        <is>
          <t>US-317 753 9183</t>
        </is>
      </c>
    </row>
    <row r="1605" ht="17.25" customHeight="1" s="305">
      <c r="A1605" s="8" t="n">
        <v>2076</v>
      </c>
      <c r="B1605" s="5" t="n">
        <v>87</v>
      </c>
      <c r="C1605" s="72" t="inlineStr">
        <is>
          <t>X</t>
        </is>
      </c>
      <c r="D1605" s="5" t="n">
        <v>268</v>
      </c>
      <c r="E1605" s="73">
        <f>B1605*D1605/10000</f>
        <v/>
      </c>
      <c r="F1605" s="74">
        <f>B1605/30.48</f>
        <v/>
      </c>
      <c r="G1605" s="74">
        <f>D1605/30.48</f>
        <v/>
      </c>
      <c r="H1605" s="69" t="inlineStr">
        <is>
          <t>MCHD-TR</t>
        </is>
      </c>
      <c r="I1605" s="545" t="n"/>
      <c r="J1605" s="545" t="n"/>
      <c r="Q1605" s="1" t="n"/>
      <c r="R1605" s="1" t="n"/>
    </row>
    <row r="1606" ht="17.25" customHeight="1" s="305">
      <c r="A1606" s="8" t="n">
        <v>1962</v>
      </c>
      <c r="B1606" s="5" t="n">
        <v>87</v>
      </c>
      <c r="C1606" s="72" t="inlineStr">
        <is>
          <t>X</t>
        </is>
      </c>
      <c r="D1606" s="5" t="n">
        <v>387</v>
      </c>
      <c r="E1606" s="73">
        <f>B1606*D1606/10000</f>
        <v/>
      </c>
      <c r="F1606" s="74">
        <f>B1606/30.48</f>
        <v/>
      </c>
      <c r="G1606" s="74">
        <f>D1606/30.48</f>
        <v/>
      </c>
      <c r="H1606" s="37" t="inlineStr">
        <is>
          <t>PAC</t>
        </is>
      </c>
      <c r="I1606" s="570" t="inlineStr">
        <is>
          <t>Ann T.Brody</t>
        </is>
      </c>
      <c r="J1606" s="557" t="n"/>
    </row>
    <row r="1607" ht="17.25" customHeight="1" s="305">
      <c r="A1607" s="8" t="n">
        <v>1294</v>
      </c>
      <c r="B1607" s="5" t="n">
        <v>229</v>
      </c>
      <c r="C1607" s="72" t="inlineStr">
        <is>
          <t>X</t>
        </is>
      </c>
      <c r="D1607" s="5" t="n">
        <v>308</v>
      </c>
      <c r="E1607" s="73">
        <f>B1607*D1607/10000</f>
        <v/>
      </c>
      <c r="F1607" s="74">
        <f>B1607/30.48</f>
        <v/>
      </c>
      <c r="G1607" s="74">
        <f>D1607/30.48</f>
        <v/>
      </c>
      <c r="H1607" s="69" t="inlineStr">
        <is>
          <t>MCHD-TR</t>
        </is>
      </c>
      <c r="I1607" s="557" t="n"/>
      <c r="J1607" s="557" t="n"/>
    </row>
    <row r="1608" ht="17.25" customHeight="1" s="305">
      <c r="A1608" s="8" t="inlineStr">
        <is>
          <t>C 426</t>
        </is>
      </c>
      <c r="B1608" s="5" t="n">
        <v>167</v>
      </c>
      <c r="C1608" s="6" t="inlineStr">
        <is>
          <t>X</t>
        </is>
      </c>
      <c r="D1608" s="5" t="n">
        <v>274</v>
      </c>
      <c r="E1608" s="2">
        <f>B1608*D1608/10000</f>
        <v/>
      </c>
      <c r="F1608" s="3">
        <f>B1608/30.48</f>
        <v/>
      </c>
      <c r="G1608" s="3">
        <f>D1608/30.48</f>
        <v/>
      </c>
      <c r="H1608" s="69" t="inlineStr">
        <is>
          <t>MCHD-TR</t>
        </is>
      </c>
      <c r="I1608" s="557" t="n"/>
      <c r="J1608" s="557" t="n"/>
      <c r="P1608" s="1" t="n"/>
    </row>
    <row r="1609" ht="17.25" customHeight="1" s="305">
      <c r="A1609" s="8" t="n">
        <v>496</v>
      </c>
      <c r="B1609" s="5" t="n">
        <v>195</v>
      </c>
      <c r="C1609" s="6" t="inlineStr">
        <is>
          <t>X</t>
        </is>
      </c>
      <c r="D1609" s="5" t="n">
        <v>107</v>
      </c>
      <c r="E1609" s="2">
        <f>B1609*D1609/10000</f>
        <v/>
      </c>
      <c r="F1609" s="3">
        <f>B1609/30.48</f>
        <v/>
      </c>
      <c r="G1609" s="3">
        <f>D1609/30.48</f>
        <v/>
      </c>
      <c r="H1609" s="69" t="inlineStr">
        <is>
          <t>MCHD-TR</t>
        </is>
      </c>
      <c r="I1609" s="545" t="n"/>
      <c r="J1609" s="545" t="n"/>
    </row>
    <row r="1610" ht="17.25" customHeight="1" s="305">
      <c r="A1610" s="8" t="inlineStr">
        <is>
          <t>C 708</t>
        </is>
      </c>
      <c r="B1610" s="5" t="n">
        <v>194</v>
      </c>
      <c r="C1610" s="6" t="inlineStr">
        <is>
          <t>X</t>
        </is>
      </c>
      <c r="D1610" s="5" t="n">
        <v>232</v>
      </c>
      <c r="E1610" s="2">
        <f>B1610*D1610/10000</f>
        <v/>
      </c>
      <c r="F1610" s="3">
        <f>B1610/30.48</f>
        <v/>
      </c>
      <c r="G1610" s="3">
        <f>D1610/30.48</f>
        <v/>
      </c>
      <c r="H1610" s="36" t="inlineStr">
        <is>
          <t>PAC</t>
        </is>
      </c>
      <c r="I1610" s="570" t="inlineStr">
        <is>
          <t>Melissa Munsch</t>
        </is>
      </c>
      <c r="J1610" s="557" t="n"/>
    </row>
    <row r="1611" ht="17.25" customHeight="1" s="305">
      <c r="A1611" s="8" t="n">
        <v>1808</v>
      </c>
      <c r="B1611" s="5" t="n">
        <v>137</v>
      </c>
      <c r="C1611" s="72" t="inlineStr">
        <is>
          <t>X</t>
        </is>
      </c>
      <c r="D1611" s="5" t="n">
        <v>224</v>
      </c>
      <c r="E1611" s="73">
        <f>B1611*D1611/10000</f>
        <v/>
      </c>
      <c r="F1611" s="74">
        <f>B1611/30.48</f>
        <v/>
      </c>
      <c r="G1611" s="74">
        <f>D1611/30.48</f>
        <v/>
      </c>
      <c r="H1611" s="69" t="inlineStr">
        <is>
          <t>MCHD-TR</t>
        </is>
      </c>
      <c r="I1611" s="557" t="n"/>
      <c r="J1611" s="557" t="n"/>
      <c r="Q1611" s="1" t="n"/>
      <c r="R1611" s="1" t="n"/>
    </row>
    <row r="1612" ht="17.25" customHeight="1" s="305">
      <c r="A1612" s="8" t="inlineStr">
        <is>
          <t>D 178</t>
        </is>
      </c>
      <c r="B1612" s="5" t="n">
        <v>50</v>
      </c>
      <c r="C1612" s="72" t="inlineStr">
        <is>
          <t>X</t>
        </is>
      </c>
      <c r="D1612" s="5" t="n">
        <v>109</v>
      </c>
      <c r="E1612" s="73">
        <f>B1612*D1612/10000</f>
        <v/>
      </c>
      <c r="F1612" s="74">
        <f>B1612/30.48</f>
        <v/>
      </c>
      <c r="G1612" s="74">
        <f>D1612/30.48</f>
        <v/>
      </c>
      <c r="H1612" s="568" t="inlineStr">
        <is>
          <t>OLD</t>
        </is>
      </c>
      <c r="I1612" s="534" t="inlineStr">
        <is>
          <t>Sarah Bowden</t>
        </is>
      </c>
      <c r="J1612" s="545" t="n"/>
    </row>
    <row r="1613" ht="17.25" customHeight="1" s="305">
      <c r="A1613" s="8" t="n">
        <v>2027</v>
      </c>
      <c r="B1613" s="5" t="n">
        <v>91</v>
      </c>
      <c r="C1613" s="72" t="inlineStr">
        <is>
          <t>X</t>
        </is>
      </c>
      <c r="D1613" s="5" t="n">
        <v>399</v>
      </c>
      <c r="E1613" s="73">
        <f>B1613*D1613/10000</f>
        <v/>
      </c>
      <c r="F1613" s="74">
        <f>B1613/30.48</f>
        <v/>
      </c>
      <c r="G1613" s="74">
        <f>D1613/30.48</f>
        <v/>
      </c>
      <c r="H1613" s="36" t="inlineStr">
        <is>
          <t>PAC</t>
        </is>
      </c>
      <c r="I1613" s="534" t="inlineStr">
        <is>
          <t>Kristen Dommel</t>
        </is>
      </c>
      <c r="J1613" s="545" t="n"/>
      <c r="Q1613" s="1" t="n"/>
    </row>
    <row r="1614" ht="17.25" customFormat="1" customHeight="1" s="1">
      <c r="A1614" s="8" t="n">
        <v>1779</v>
      </c>
      <c r="B1614" s="5" t="n">
        <v>147</v>
      </c>
      <c r="C1614" s="72" t="inlineStr">
        <is>
          <t>X</t>
        </is>
      </c>
      <c r="D1614" s="5" t="n">
        <v>245</v>
      </c>
      <c r="E1614" s="73">
        <f>B1614*D1614/10000</f>
        <v/>
      </c>
      <c r="F1614" s="74">
        <f>B1614/30.48</f>
        <v/>
      </c>
      <c r="G1614" s="74">
        <f>D1614/30.48</f>
        <v/>
      </c>
      <c r="H1614" s="69" t="inlineStr">
        <is>
          <t>MCHD-TR</t>
        </is>
      </c>
      <c r="I1614" s="557" t="n"/>
      <c r="J1614" s="557" t="n"/>
    </row>
    <row r="1615" ht="17.25" customFormat="1" customHeight="1" s="1">
      <c r="A1615" s="8" t="inlineStr">
        <is>
          <t>C 726</t>
        </is>
      </c>
      <c r="B1615" s="5" t="n">
        <v>93</v>
      </c>
      <c r="C1615" s="6" t="inlineStr">
        <is>
          <t>X</t>
        </is>
      </c>
      <c r="D1615" s="5" t="n">
        <v>406</v>
      </c>
      <c r="E1615" s="2">
        <f>B1615*D1615/10000</f>
        <v/>
      </c>
      <c r="F1615" s="3">
        <f>B1615/30.48</f>
        <v/>
      </c>
      <c r="G1615" s="3">
        <f>D1615/30.48</f>
        <v/>
      </c>
      <c r="H1615" s="69" t="inlineStr">
        <is>
          <t>MCHD-TR</t>
        </is>
      </c>
      <c r="I1615" s="545" t="n"/>
      <c r="J1615" s="545" t="n"/>
    </row>
    <row r="1616" ht="17.25" customFormat="1" customHeight="1" s="1">
      <c r="A1616" s="8" t="inlineStr">
        <is>
          <t>C 856</t>
        </is>
      </c>
      <c r="B1616" s="5" t="n">
        <v>197</v>
      </c>
      <c r="C1616" s="6" t="inlineStr">
        <is>
          <t>X</t>
        </is>
      </c>
      <c r="D1616" s="5" t="n">
        <v>285</v>
      </c>
      <c r="E1616" s="2">
        <f>B1616*D1616/10000</f>
        <v/>
      </c>
      <c r="F1616" s="3">
        <f>B1616/30.48</f>
        <v/>
      </c>
      <c r="G1616" s="3">
        <f>D1616/30.48</f>
        <v/>
      </c>
      <c r="H1616" s="36" t="inlineStr">
        <is>
          <t>PAC</t>
        </is>
      </c>
      <c r="I1616" s="570" t="inlineStr">
        <is>
          <t>Kari Abulhosn</t>
        </is>
      </c>
      <c r="J1616" s="557" t="n"/>
      <c r="P1616" s="1" t="inlineStr">
        <is>
          <t xml:space="preserve"> </t>
        </is>
      </c>
    </row>
    <row r="1617" ht="17.25" customFormat="1" customHeight="1" s="1">
      <c r="A1617" s="8" t="n">
        <v>2103</v>
      </c>
      <c r="B1617" s="5" t="n">
        <v>85</v>
      </c>
      <c r="C1617" s="72" t="inlineStr">
        <is>
          <t>X</t>
        </is>
      </c>
      <c r="D1617" s="5" t="n">
        <v>434</v>
      </c>
      <c r="E1617" s="73">
        <f>B1617*D1617/10000</f>
        <v/>
      </c>
      <c r="F1617" s="74">
        <f>B1617/30.48</f>
        <v/>
      </c>
      <c r="G1617" s="74">
        <f>D1617/30.48</f>
        <v/>
      </c>
      <c r="H1617" s="36" t="inlineStr">
        <is>
          <t>PAC</t>
        </is>
      </c>
      <c r="I1617" s="570" t="inlineStr">
        <is>
          <t>Grace Kallhoff</t>
        </is>
      </c>
      <c r="J1617" s="557" t="n"/>
    </row>
    <row r="1618" ht="17.25" customFormat="1" customHeight="1" s="1">
      <c r="A1618" s="8" t="n">
        <v>1375</v>
      </c>
      <c r="B1618" s="5" t="n">
        <v>94</v>
      </c>
      <c r="C1618" s="72" t="inlineStr">
        <is>
          <t>X</t>
        </is>
      </c>
      <c r="D1618" s="5" t="n">
        <v>380</v>
      </c>
      <c r="E1618" s="73">
        <f>B1618*D1618/10000</f>
        <v/>
      </c>
      <c r="F1618" s="74">
        <f>B1618/30.48</f>
        <v/>
      </c>
      <c r="G1618" s="74">
        <f>D1618/30.48</f>
        <v/>
      </c>
      <c r="H1618" s="16" t="inlineStr">
        <is>
          <t>VR</t>
        </is>
      </c>
      <c r="I1618" s="534" t="inlineStr">
        <is>
          <t>Lara Hendrickson</t>
        </is>
      </c>
      <c r="J1618" s="545" t="n"/>
    </row>
    <row r="1619" ht="17.25" customFormat="1" customHeight="1" s="1">
      <c r="A1619" s="8" t="n">
        <v>2043</v>
      </c>
      <c r="B1619" s="5" t="n">
        <v>80</v>
      </c>
      <c r="C1619" s="72" t="inlineStr">
        <is>
          <t>X</t>
        </is>
      </c>
      <c r="D1619" s="5" t="n">
        <v>292</v>
      </c>
      <c r="E1619" s="73">
        <f>B1619*D1619/10000</f>
        <v/>
      </c>
      <c r="F1619" s="74">
        <f>B1619/30.48</f>
        <v/>
      </c>
      <c r="G1619" s="74">
        <f>D1619/30.48</f>
        <v/>
      </c>
      <c r="H1619" s="36" t="inlineStr">
        <is>
          <t>PAC</t>
        </is>
      </c>
      <c r="I1619" s="534" t="inlineStr">
        <is>
          <t>Jennifer Gray</t>
        </is>
      </c>
      <c r="J1619" s="545" t="n"/>
    </row>
    <row r="1620" ht="17.25" customFormat="1" customHeight="1" s="1">
      <c r="A1620" s="8" t="inlineStr">
        <is>
          <t>A 159</t>
        </is>
      </c>
      <c r="B1620" s="5" t="n">
        <v>294</v>
      </c>
      <c r="C1620" s="6" t="inlineStr">
        <is>
          <t>X</t>
        </is>
      </c>
      <c r="D1620" s="5" t="n">
        <v>366</v>
      </c>
      <c r="E1620" s="2">
        <f>B1620*D1620/10000</f>
        <v/>
      </c>
      <c r="F1620" s="3">
        <f>B1620/30.48</f>
        <v/>
      </c>
      <c r="G1620" s="3">
        <f>D1620/30.48</f>
        <v/>
      </c>
      <c r="H1620" s="69" t="inlineStr">
        <is>
          <t>RK</t>
        </is>
      </c>
      <c r="I1620" s="534" t="inlineStr">
        <is>
          <t>Nicole Alexander</t>
        </is>
      </c>
      <c r="J1620" s="545" t="n"/>
    </row>
    <row r="1621" ht="17.25" customFormat="1" customHeight="1" s="1">
      <c r="A1621" s="8" t="n">
        <v>1829</v>
      </c>
      <c r="B1621" s="5" t="n">
        <v>80</v>
      </c>
      <c r="C1621" s="72" t="inlineStr">
        <is>
          <t>X</t>
        </is>
      </c>
      <c r="D1621" s="5" t="n">
        <v>340</v>
      </c>
      <c r="E1621" s="73">
        <f>B1621*D1621/10000</f>
        <v/>
      </c>
      <c r="F1621" s="74">
        <f>B1621/30.48</f>
        <v/>
      </c>
      <c r="G1621" s="74">
        <f>D1621/30.48</f>
        <v/>
      </c>
      <c r="H1621" s="36" t="inlineStr">
        <is>
          <t>PAC</t>
        </is>
      </c>
      <c r="I1621" s="534" t="inlineStr">
        <is>
          <t>Christina Sweeney</t>
        </is>
      </c>
      <c r="J1621" s="545" t="n"/>
    </row>
    <row r="1622" ht="17.25" customFormat="1" customHeight="1" s="1">
      <c r="A1622" s="8" t="n">
        <v>1227</v>
      </c>
      <c r="B1622" s="5" t="n">
        <v>74</v>
      </c>
      <c r="C1622" s="72" t="inlineStr">
        <is>
          <t>X</t>
        </is>
      </c>
      <c r="D1622" s="5" t="n">
        <v>357</v>
      </c>
      <c r="E1622" s="73">
        <f>B1622*D1622/10000</f>
        <v/>
      </c>
      <c r="F1622" s="74">
        <f>B1622/30.48</f>
        <v/>
      </c>
      <c r="G1622" s="74">
        <f>D1622/30.48</f>
        <v/>
      </c>
      <c r="H1622" s="16" t="inlineStr">
        <is>
          <t>VR</t>
        </is>
      </c>
      <c r="I1622" s="534" t="inlineStr">
        <is>
          <t>Katherine Warner</t>
        </is>
      </c>
      <c r="J1622" s="545" t="n"/>
    </row>
    <row r="1623" ht="17.25" customHeight="1" s="305">
      <c r="A1623" s="8" t="inlineStr">
        <is>
          <t>D 159</t>
        </is>
      </c>
      <c r="B1623" s="5" t="n">
        <v>48</v>
      </c>
      <c r="C1623" s="72" t="inlineStr">
        <is>
          <t>X</t>
        </is>
      </c>
      <c r="D1623" s="5" t="n">
        <v>77</v>
      </c>
      <c r="E1623" s="73">
        <f>B1623*D1623/10000</f>
        <v/>
      </c>
      <c r="F1623" s="74">
        <f>B1623/30.48</f>
        <v/>
      </c>
      <c r="G1623" s="74">
        <f>D1623/30.48</f>
        <v/>
      </c>
      <c r="H1623" s="568" t="inlineStr">
        <is>
          <t>OLD</t>
        </is>
      </c>
      <c r="I1623" s="570" t="inlineStr">
        <is>
          <t>Emma Place Leung</t>
        </is>
      </c>
      <c r="J1623" s="557" t="n"/>
      <c r="P1623" s="1" t="n"/>
    </row>
    <row r="1624" ht="17.25" customFormat="1" customHeight="1" s="1">
      <c r="A1624" s="8" t="n">
        <v>1081</v>
      </c>
      <c r="B1624" s="5" t="n">
        <v>72</v>
      </c>
      <c r="C1624" s="72" t="inlineStr">
        <is>
          <t>X</t>
        </is>
      </c>
      <c r="D1624" s="5" t="n">
        <v>164</v>
      </c>
      <c r="E1624" s="73">
        <f>B1624*D1624/10000</f>
        <v/>
      </c>
      <c r="F1624" s="74">
        <f>B1624/30.48</f>
        <v/>
      </c>
      <c r="G1624" s="74">
        <f>D1624/30.48</f>
        <v/>
      </c>
      <c r="H1624" s="69" t="inlineStr">
        <is>
          <t>MCHD-TR</t>
        </is>
      </c>
      <c r="I1624" s="557" t="n"/>
      <c r="J1624" s="557" t="n"/>
    </row>
    <row r="1625" ht="17.25" customFormat="1" customHeight="1" s="1">
      <c r="A1625" s="8" t="n">
        <v>2140</v>
      </c>
      <c r="B1625" s="5" t="n">
        <v>79</v>
      </c>
      <c r="C1625" s="72" t="inlineStr">
        <is>
          <t>X</t>
        </is>
      </c>
      <c r="D1625" s="5" t="n">
        <v>190</v>
      </c>
      <c r="E1625" s="73">
        <f>B1625*D1625/10000</f>
        <v/>
      </c>
      <c r="F1625" s="74">
        <f>B1625/30.48</f>
        <v/>
      </c>
      <c r="G1625" s="74">
        <f>D1625/30.48</f>
        <v/>
      </c>
      <c r="H1625" s="69" t="inlineStr">
        <is>
          <t>MCHD-TR</t>
        </is>
      </c>
      <c r="I1625" s="545" t="n"/>
      <c r="J1625" s="545" t="n"/>
    </row>
    <row r="1626" ht="17.25" customHeight="1" s="305">
      <c r="A1626" s="8" t="n">
        <v>1654</v>
      </c>
      <c r="B1626" s="5" t="n">
        <v>348</v>
      </c>
      <c r="C1626" s="72" t="inlineStr">
        <is>
          <t>X</t>
        </is>
      </c>
      <c r="D1626" s="5" t="n">
        <v>115</v>
      </c>
      <c r="E1626" s="73">
        <f>B1626*D1626/10000</f>
        <v/>
      </c>
      <c r="F1626" s="74">
        <f>B1626/30.48</f>
        <v/>
      </c>
      <c r="G1626" s="74">
        <f>D1626/30.48</f>
        <v/>
      </c>
      <c r="H1626" s="568" t="inlineStr">
        <is>
          <t>OLD</t>
        </is>
      </c>
      <c r="I1626" s="570" t="inlineStr">
        <is>
          <t>Mcella Pappas</t>
        </is>
      </c>
      <c r="J1626" s="557" t="n"/>
      <c r="P1626" s="1" t="n"/>
    </row>
    <row r="1627" ht="17.25" customHeight="1" s="305">
      <c r="A1627" s="8" t="n">
        <v>1037</v>
      </c>
      <c r="B1627" s="5" t="n">
        <v>86</v>
      </c>
      <c r="C1627" s="72" t="inlineStr">
        <is>
          <t>X</t>
        </is>
      </c>
      <c r="D1627" s="5" t="n">
        <v>349</v>
      </c>
      <c r="E1627" s="73">
        <f>B1627*D1627/10000</f>
        <v/>
      </c>
      <c r="F1627" s="74">
        <f>B1627/30.48</f>
        <v/>
      </c>
      <c r="G1627" s="74">
        <f>D1627/30.48</f>
        <v/>
      </c>
      <c r="H1627" s="36" t="inlineStr">
        <is>
          <t>PAC</t>
        </is>
      </c>
      <c r="I1627" s="570" t="inlineStr">
        <is>
          <t>Jaden Hubbard</t>
        </is>
      </c>
      <c r="J1627" s="557" t="n"/>
      <c r="P1627" s="1" t="n"/>
    </row>
    <row r="1628" ht="17.25" customHeight="1" s="305">
      <c r="A1628" s="8" t="inlineStr">
        <is>
          <t>C 943</t>
        </is>
      </c>
      <c r="B1628" s="5" t="n">
        <v>86</v>
      </c>
      <c r="C1628" s="6" t="inlineStr">
        <is>
          <t>X</t>
        </is>
      </c>
      <c r="D1628" s="5" t="n">
        <v>220</v>
      </c>
      <c r="E1628" s="2">
        <f>B1628*D1628/10000</f>
        <v/>
      </c>
      <c r="F1628" s="3">
        <f>B1628/30.48</f>
        <v/>
      </c>
      <c r="G1628" s="3">
        <f>D1628/30.48</f>
        <v/>
      </c>
      <c r="H1628" s="69" t="inlineStr">
        <is>
          <t>MCHD-TR</t>
        </is>
      </c>
      <c r="I1628" s="557" t="n"/>
      <c r="J1628" s="557" t="n"/>
      <c r="P1628" s="1" t="n"/>
      <c r="Q1628" s="1" t="n"/>
      <c r="R1628" s="1" t="n"/>
    </row>
    <row r="1629" ht="17.25" customHeight="1" s="305">
      <c r="A1629" s="8" t="n">
        <v>1831</v>
      </c>
      <c r="B1629" s="5" t="n">
        <v>203</v>
      </c>
      <c r="C1629" s="72" t="inlineStr">
        <is>
          <t>X</t>
        </is>
      </c>
      <c r="D1629" s="5" t="n">
        <v>304</v>
      </c>
      <c r="E1629" s="73">
        <f>B1629*D1629/10000</f>
        <v/>
      </c>
      <c r="F1629" s="74">
        <f>B1629/30.48</f>
        <v/>
      </c>
      <c r="G1629" s="74">
        <f>D1629/30.48</f>
        <v/>
      </c>
      <c r="H1629" s="69" t="inlineStr">
        <is>
          <t>MCHD-TR</t>
        </is>
      </c>
      <c r="I1629" s="545" t="n"/>
      <c r="J1629" s="545" t="n"/>
      <c r="P1629" s="1" t="n"/>
      <c r="Q1629" s="1" t="n"/>
      <c r="R1629" s="1" t="n"/>
    </row>
    <row r="1630" ht="17.25" customHeight="1" s="305">
      <c r="A1630" s="8" t="n">
        <v>1554</v>
      </c>
      <c r="B1630" s="5" t="n">
        <v>376</v>
      </c>
      <c r="C1630" s="72" t="inlineStr">
        <is>
          <t>X</t>
        </is>
      </c>
      <c r="D1630" s="5" t="n">
        <v>118</v>
      </c>
      <c r="E1630" s="73">
        <f>B1630*D1630/10000</f>
        <v/>
      </c>
      <c r="F1630" s="74">
        <f>B1630/30.48</f>
        <v/>
      </c>
      <c r="G1630" s="74">
        <f>D1630/30.48</f>
        <v/>
      </c>
      <c r="H1630" s="36" t="inlineStr">
        <is>
          <t>PAC</t>
        </is>
      </c>
      <c r="I1630" s="570" t="inlineStr">
        <is>
          <t>Amanda C Klentner</t>
        </is>
      </c>
      <c r="J1630" s="557" t="n"/>
      <c r="P1630" s="1" t="n"/>
    </row>
    <row r="1631" ht="17.25" customHeight="1" s="305">
      <c r="A1631" s="8" t="n">
        <v>1921</v>
      </c>
      <c r="B1631" s="5" t="n">
        <v>80</v>
      </c>
      <c r="C1631" s="72" t="inlineStr">
        <is>
          <t>X</t>
        </is>
      </c>
      <c r="D1631" s="5" t="n">
        <v>320</v>
      </c>
      <c r="E1631" s="73">
        <f>B1631*D1631/10000</f>
        <v/>
      </c>
      <c r="F1631" s="74">
        <f>B1631/30.48</f>
        <v/>
      </c>
      <c r="G1631" s="74">
        <f>D1631/30.48</f>
        <v/>
      </c>
      <c r="H1631" s="69" t="inlineStr">
        <is>
          <t>MCHD-TR</t>
        </is>
      </c>
      <c r="I1631" s="545" t="n"/>
      <c r="J1631" s="545" t="n"/>
      <c r="P1631" s="1" t="n"/>
      <c r="Q1631" s="1" t="n"/>
      <c r="R1631" s="1" t="n"/>
    </row>
    <row r="1632" ht="17.25" customHeight="1" s="305">
      <c r="A1632" s="8" t="n">
        <v>1513</v>
      </c>
      <c r="B1632" s="5" t="n">
        <v>355</v>
      </c>
      <c r="C1632" s="72" t="inlineStr">
        <is>
          <t>X</t>
        </is>
      </c>
      <c r="D1632" s="5" t="n">
        <v>285</v>
      </c>
      <c r="E1632" s="73">
        <f>B1632*D1632/10000</f>
        <v/>
      </c>
      <c r="F1632" s="74">
        <f>B1632/30.48</f>
        <v/>
      </c>
      <c r="G1632" s="74">
        <f>D1632/30.48</f>
        <v/>
      </c>
      <c r="H1632" s="569" t="inlineStr">
        <is>
          <t>OLD</t>
        </is>
      </c>
      <c r="I1632" s="534" t="inlineStr">
        <is>
          <t>Barbara Marlin</t>
        </is>
      </c>
      <c r="J1632" s="545" t="n"/>
      <c r="P1632" s="1" t="n"/>
    </row>
    <row r="1633" ht="17.25" customHeight="1" s="305">
      <c r="A1633" s="8" t="inlineStr">
        <is>
          <t>C 492</t>
        </is>
      </c>
      <c r="B1633" s="5" t="n">
        <v>177</v>
      </c>
      <c r="C1633" s="6" t="inlineStr">
        <is>
          <t>X</t>
        </is>
      </c>
      <c r="D1633" s="5" t="n">
        <v>286</v>
      </c>
      <c r="E1633" s="2">
        <f>B1633*D1633/10000</f>
        <v/>
      </c>
      <c r="F1633" s="3">
        <f>B1633/30.48</f>
        <v/>
      </c>
      <c r="G1633" s="3">
        <f>D1633/30.48</f>
        <v/>
      </c>
      <c r="H1633" s="69" t="inlineStr">
        <is>
          <t>MCHD-TR</t>
        </is>
      </c>
      <c r="I1633" s="545" t="n"/>
      <c r="J1633" s="545" t="n"/>
      <c r="P1633" s="1" t="n"/>
    </row>
    <row r="1634">
      <c r="A1634" s="536" t="inlineStr">
        <is>
          <t>-2024 HAZİRAN-</t>
        </is>
      </c>
      <c r="H1634" s="104" t="inlineStr">
        <is>
          <t>SATAN-SİTE</t>
        </is>
      </c>
      <c r="I1634" s="98" t="inlineStr">
        <is>
          <t>MÜŞTERİ ADI</t>
        </is>
      </c>
      <c r="J1634" s="63" t="inlineStr">
        <is>
          <t>MÜŞTERİ İLETİŞİM &amp; ÜLKE</t>
        </is>
      </c>
      <c r="P1634" s="1" t="n"/>
    </row>
    <row r="1635" ht="17.25" customHeight="1" s="305">
      <c r="A1635" s="8" t="n">
        <v>1956</v>
      </c>
      <c r="B1635" s="5" t="n">
        <v>70</v>
      </c>
      <c r="C1635" s="72" t="inlineStr">
        <is>
          <t>X</t>
        </is>
      </c>
      <c r="D1635" s="5" t="n">
        <v>148</v>
      </c>
      <c r="E1635" s="73">
        <f>B1635*D1635/10000</f>
        <v/>
      </c>
      <c r="F1635" s="74">
        <f>B1635/30.48</f>
        <v/>
      </c>
      <c r="G1635" s="74">
        <f>D1635/30.48</f>
        <v/>
      </c>
      <c r="H1635" s="69" t="inlineStr">
        <is>
          <t>MCHD-TR</t>
        </is>
      </c>
      <c r="I1635" s="545" t="n"/>
      <c r="J1635" s="545" t="n"/>
      <c r="P1635" s="1" t="n"/>
    </row>
    <row r="1636" ht="17.25" customHeight="1" s="305">
      <c r="A1636" s="8" t="n">
        <v>2279</v>
      </c>
      <c r="B1636" s="5" t="n">
        <v>90</v>
      </c>
      <c r="C1636" s="72" t="inlineStr">
        <is>
          <t>X</t>
        </is>
      </c>
      <c r="D1636" s="5" t="n">
        <v>290</v>
      </c>
      <c r="E1636" s="73">
        <f>B1636*D1636/10000</f>
        <v/>
      </c>
      <c r="F1636" s="74">
        <f>B1636/30.48</f>
        <v/>
      </c>
      <c r="G1636" s="74">
        <f>D1636/30.48</f>
        <v/>
      </c>
      <c r="H1636" s="267" t="inlineStr">
        <is>
          <t>WTR</t>
        </is>
      </c>
      <c r="I1636" s="534" t="inlineStr">
        <is>
          <t>Melissa Meeks</t>
        </is>
      </c>
      <c r="J1636" s="545" t="n"/>
      <c r="P1636" s="1" t="n"/>
    </row>
    <row r="1637" ht="17.25" customHeight="1" s="305">
      <c r="A1637" s="8" t="n">
        <v>1615</v>
      </c>
      <c r="B1637" s="5" t="n">
        <v>245</v>
      </c>
      <c r="C1637" s="72" t="inlineStr">
        <is>
          <t>X</t>
        </is>
      </c>
      <c r="D1637" s="5" t="n">
        <v>88</v>
      </c>
      <c r="E1637" s="73">
        <f>B1637*D1637/10000</f>
        <v/>
      </c>
      <c r="F1637" s="74">
        <f>B1637/30.48</f>
        <v/>
      </c>
      <c r="G1637" s="74">
        <f>D1637/30.48</f>
        <v/>
      </c>
      <c r="H1637" s="569" t="inlineStr">
        <is>
          <t>OLD</t>
        </is>
      </c>
      <c r="I1637" s="534" t="inlineStr">
        <is>
          <t>Megan Bevington</t>
        </is>
      </c>
      <c r="J1637" s="545" t="n"/>
      <c r="P1637" s="1" t="n"/>
    </row>
    <row r="1638" ht="17.25" customHeight="1" s="305">
      <c r="A1638" s="8" t="n">
        <v>1306</v>
      </c>
      <c r="B1638" s="5" t="n">
        <v>79</v>
      </c>
      <c r="C1638" s="72" t="inlineStr">
        <is>
          <t>X</t>
        </is>
      </c>
      <c r="D1638" s="5" t="n">
        <v>233</v>
      </c>
      <c r="E1638" s="73">
        <f>B1638*D1638/10000</f>
        <v/>
      </c>
      <c r="F1638" s="74">
        <f>B1638/30.48</f>
        <v/>
      </c>
      <c r="G1638" s="74">
        <f>D1638/30.48</f>
        <v/>
      </c>
      <c r="H1638" s="36" t="inlineStr">
        <is>
          <t>PAC</t>
        </is>
      </c>
      <c r="I1638" s="241" t="inlineStr">
        <is>
          <t>Lorri Boffo</t>
        </is>
      </c>
      <c r="J1638" s="232" t="n"/>
      <c r="P1638" s="1" t="n"/>
    </row>
    <row r="1639" ht="17.25" customHeight="1" s="305">
      <c r="A1639" s="8" t="inlineStr">
        <is>
          <t>A 41</t>
        </is>
      </c>
      <c r="B1639" s="5" t="n">
        <v>80</v>
      </c>
      <c r="C1639" s="6" t="inlineStr">
        <is>
          <t>X</t>
        </is>
      </c>
      <c r="D1639" s="5" t="n">
        <v>358</v>
      </c>
      <c r="E1639" s="2">
        <f>B1639*D1639/10000</f>
        <v/>
      </c>
      <c r="F1639" s="3">
        <f>B1639/30.48</f>
        <v/>
      </c>
      <c r="G1639" s="3">
        <f>D1639/30.48</f>
        <v/>
      </c>
      <c r="H1639" s="36" t="inlineStr">
        <is>
          <t>PAC</t>
        </is>
      </c>
      <c r="I1639" s="241" t="inlineStr">
        <is>
          <t>Meghan Hicks</t>
        </is>
      </c>
      <c r="J1639" s="232" t="n"/>
      <c r="P1639" s="1" t="n"/>
    </row>
    <row r="1640" ht="17.25" customHeight="1" s="305">
      <c r="A1640" s="8" t="n">
        <v>1446</v>
      </c>
      <c r="B1640" s="5" t="n">
        <v>206</v>
      </c>
      <c r="C1640" s="72" t="inlineStr">
        <is>
          <t>X</t>
        </is>
      </c>
      <c r="D1640" s="5" t="n">
        <v>297</v>
      </c>
      <c r="E1640" s="73">
        <f>B1640*D1640/10000</f>
        <v/>
      </c>
      <c r="F1640" s="74">
        <f>B1640/30.48</f>
        <v/>
      </c>
      <c r="G1640" s="74">
        <f>D1640/30.48</f>
        <v/>
      </c>
      <c r="H1640" s="36" t="inlineStr">
        <is>
          <t>PAC</t>
        </is>
      </c>
      <c r="I1640" s="268" t="inlineStr">
        <is>
          <t xml:space="preserve">Carolyn Smith </t>
        </is>
      </c>
      <c r="J1640" s="234" t="n"/>
      <c r="P1640" s="1" t="n"/>
      <c r="Q1640" s="1" t="n"/>
      <c r="R1640" s="1" t="n"/>
    </row>
    <row r="1641" ht="17.25" customHeight="1" s="305">
      <c r="A1641" s="8" t="n">
        <v>1753</v>
      </c>
      <c r="B1641" s="5" t="n">
        <v>290</v>
      </c>
      <c r="C1641" s="72" t="inlineStr">
        <is>
          <t>X</t>
        </is>
      </c>
      <c r="D1641" s="5" t="n">
        <v>387</v>
      </c>
      <c r="E1641" s="73">
        <f>B1641*D1641/10000</f>
        <v/>
      </c>
      <c r="F1641" s="74">
        <f>B1641/30.48</f>
        <v/>
      </c>
      <c r="G1641" s="74">
        <f>D1641/30.48</f>
        <v/>
      </c>
      <c r="H1641" s="69" t="inlineStr">
        <is>
          <t>MCHD-TR</t>
        </is>
      </c>
      <c r="I1641" s="557" t="n"/>
      <c r="J1641" s="557" t="n"/>
      <c r="P1641" s="1" t="n"/>
      <c r="Q1641" s="1" t="n"/>
    </row>
    <row r="1642" ht="17.25" customHeight="1" s="305">
      <c r="A1642" s="8" t="n">
        <v>1830</v>
      </c>
      <c r="B1642" s="5" t="n">
        <v>200</v>
      </c>
      <c r="C1642" s="72" t="inlineStr">
        <is>
          <t>X</t>
        </is>
      </c>
      <c r="D1642" s="5" t="n">
        <v>309</v>
      </c>
      <c r="E1642" s="73">
        <f>B1642*D1642/10000</f>
        <v/>
      </c>
      <c r="F1642" s="74">
        <f>B1642/30.48</f>
        <v/>
      </c>
      <c r="G1642" s="74">
        <f>D1642/30.48</f>
        <v/>
      </c>
      <c r="H1642" s="69" t="inlineStr">
        <is>
          <t>MCHD-TR</t>
        </is>
      </c>
      <c r="I1642" s="557" t="n"/>
      <c r="J1642" s="557" t="n"/>
      <c r="P1642" s="1" t="n"/>
      <c r="Q1642" s="1" t="n"/>
      <c r="R1642" s="1" t="n"/>
    </row>
    <row r="1643" ht="17.25" customHeight="1" s="305">
      <c r="A1643" s="8" t="n">
        <v>2351</v>
      </c>
      <c r="B1643" s="5" t="n">
        <v>71</v>
      </c>
      <c r="C1643" s="72" t="inlineStr">
        <is>
          <t>X</t>
        </is>
      </c>
      <c r="D1643" s="5" t="n">
        <v>215</v>
      </c>
      <c r="E1643" s="73">
        <f>B1643*D1643/10000</f>
        <v/>
      </c>
      <c r="F1643" s="74">
        <f>B1643/30.48</f>
        <v/>
      </c>
      <c r="G1643" s="74">
        <f>D1643/30.48</f>
        <v/>
      </c>
      <c r="H1643" s="36" t="inlineStr">
        <is>
          <t>PAC</t>
        </is>
      </c>
      <c r="I1643" s="570" t="inlineStr">
        <is>
          <t>Lisa Selvig</t>
        </is>
      </c>
      <c r="J1643" s="557" t="n"/>
      <c r="P1643" s="1" t="n"/>
      <c r="Q1643" s="1" t="n"/>
      <c r="R1643" s="1" t="n"/>
    </row>
    <row r="1644" ht="17.25" customHeight="1" s="305">
      <c r="A1644" s="8" t="n">
        <v>1764</v>
      </c>
      <c r="B1644" s="5" t="n">
        <v>264</v>
      </c>
      <c r="C1644" s="72" t="inlineStr">
        <is>
          <t>X</t>
        </is>
      </c>
      <c r="D1644" s="5" t="n">
        <v>365</v>
      </c>
      <c r="E1644" s="73">
        <f>B1644*D1644/10000</f>
        <v/>
      </c>
      <c r="F1644" s="74">
        <f>B1644/30.48</f>
        <v/>
      </c>
      <c r="G1644" s="74">
        <f>D1644/30.48</f>
        <v/>
      </c>
      <c r="H1644" s="592" t="inlineStr">
        <is>
          <t>PAC</t>
        </is>
      </c>
      <c r="I1644" s="534" t="inlineStr">
        <is>
          <t>Josh Wagner</t>
        </is>
      </c>
      <c r="J1644" s="545" t="n"/>
      <c r="P1644" s="1" t="n"/>
      <c r="Q1644" s="1" t="n"/>
      <c r="R1644" s="1" t="n"/>
    </row>
    <row r="1645" ht="17.25" customHeight="1" s="305">
      <c r="A1645" s="8" t="n">
        <v>1707</v>
      </c>
      <c r="B1645" s="5" t="n">
        <v>287</v>
      </c>
      <c r="C1645" s="72" t="inlineStr">
        <is>
          <t>X</t>
        </is>
      </c>
      <c r="D1645" s="5" t="n">
        <v>382</v>
      </c>
      <c r="E1645" s="73">
        <f>B1645*D1645/10000</f>
        <v/>
      </c>
      <c r="F1645" s="74">
        <f>B1645/30.48</f>
        <v/>
      </c>
      <c r="G1645" s="74">
        <f>D1645/30.48</f>
        <v/>
      </c>
      <c r="H1645" s="592" t="inlineStr">
        <is>
          <t>PAC</t>
        </is>
      </c>
      <c r="I1645" s="570" t="inlineStr">
        <is>
          <t>Polay Interiors</t>
        </is>
      </c>
      <c r="J1645" s="557" t="n"/>
      <c r="P1645" s="1" t="n"/>
      <c r="Q1645" s="1" t="n"/>
    </row>
    <row r="1646" ht="17.25" customHeight="1" s="305">
      <c r="A1646" s="8" t="n">
        <v>1912</v>
      </c>
      <c r="B1646" s="5" t="n">
        <v>230</v>
      </c>
      <c r="C1646" s="72" t="inlineStr">
        <is>
          <t>X</t>
        </is>
      </c>
      <c r="D1646" s="5" t="n">
        <v>354</v>
      </c>
      <c r="E1646" s="73">
        <f>B1646*D1646/10000</f>
        <v/>
      </c>
      <c r="F1646" s="74">
        <f>B1646/30.48</f>
        <v/>
      </c>
      <c r="G1646" s="74">
        <f>D1646/30.48</f>
        <v/>
      </c>
      <c r="H1646" s="592" t="inlineStr">
        <is>
          <t>PAC</t>
        </is>
      </c>
      <c r="I1646" s="570" t="inlineStr">
        <is>
          <t>Kristen Masson</t>
        </is>
      </c>
      <c r="J1646" s="557" t="n"/>
      <c r="P1646" s="1" t="n"/>
      <c r="Q1646" s="1" t="n"/>
      <c r="R1646" s="1" t="n"/>
    </row>
    <row r="1647" ht="17.25" customHeight="1" s="305">
      <c r="A1647" s="8" t="n">
        <v>1685</v>
      </c>
      <c r="B1647" s="5" t="n">
        <v>298</v>
      </c>
      <c r="C1647" s="72" t="inlineStr">
        <is>
          <t>X</t>
        </is>
      </c>
      <c r="D1647" s="5" t="n">
        <v>89</v>
      </c>
      <c r="E1647" s="73">
        <f>B1647*D1647/10000</f>
        <v/>
      </c>
      <c r="F1647" s="74">
        <f>B1647/30.48</f>
        <v/>
      </c>
      <c r="G1647" s="74">
        <f>D1647/30.48</f>
        <v/>
      </c>
      <c r="H1647" s="69" t="inlineStr">
        <is>
          <t>MCHD-TR</t>
        </is>
      </c>
      <c r="I1647" s="557" t="n"/>
      <c r="J1647" s="557" t="n"/>
      <c r="P1647" s="1" t="n"/>
      <c r="Q1647" s="1" t="n"/>
    </row>
    <row r="1648" ht="17.25" customHeight="1" s="305">
      <c r="A1648" s="8" t="inlineStr">
        <is>
          <t>C 994</t>
        </is>
      </c>
      <c r="B1648" s="5" t="n">
        <v>287</v>
      </c>
      <c r="C1648" s="6" t="inlineStr">
        <is>
          <t>X</t>
        </is>
      </c>
      <c r="D1648" s="5" t="n">
        <v>382</v>
      </c>
      <c r="E1648" s="2">
        <f>B1648*D1648/10000</f>
        <v/>
      </c>
      <c r="F1648" s="3">
        <f>B1648/30.48</f>
        <v/>
      </c>
      <c r="G1648" s="3">
        <f>D1648/30.48</f>
        <v/>
      </c>
      <c r="H1648" s="69" t="inlineStr">
        <is>
          <t>MCHD-TR</t>
        </is>
      </c>
      <c r="I1648" s="557" t="n"/>
      <c r="J1648" s="557" t="n"/>
      <c r="P1648" s="1" t="n"/>
      <c r="Q1648" s="1" t="n"/>
    </row>
    <row r="1649" ht="17.25" customHeight="1" s="305">
      <c r="A1649" s="8" t="n">
        <v>1825</v>
      </c>
      <c r="B1649" s="5" t="n">
        <v>205</v>
      </c>
      <c r="C1649" s="72" t="inlineStr">
        <is>
          <t>X</t>
        </is>
      </c>
      <c r="D1649" s="5" t="n">
        <v>297</v>
      </c>
      <c r="E1649" s="73">
        <f>B1649*D1649/10000</f>
        <v/>
      </c>
      <c r="F1649" s="74">
        <f>B1649/30.48</f>
        <v/>
      </c>
      <c r="G1649" s="74">
        <f>D1649/30.48</f>
        <v/>
      </c>
      <c r="H1649" s="705" t="inlineStr">
        <is>
          <t xml:space="preserve">            PAC</t>
        </is>
      </c>
      <c r="I1649" s="706" t="inlineStr">
        <is>
          <t xml:space="preserve">                                      Loan Tran</t>
        </is>
      </c>
      <c r="J1649" s="557" t="inlineStr">
        <is>
          <t>US-912 604 8636</t>
        </is>
      </c>
      <c r="P1649" s="1" t="n"/>
      <c r="Q1649" s="1" t="n"/>
      <c r="R1649" s="1" t="n"/>
    </row>
    <row r="1650" ht="17.25" customHeight="1" s="305">
      <c r="A1650" s="8" t="inlineStr">
        <is>
          <t>Y 226</t>
        </is>
      </c>
      <c r="B1650" s="5" t="n">
        <v>186</v>
      </c>
      <c r="C1650" s="6" t="inlineStr">
        <is>
          <t>X</t>
        </is>
      </c>
      <c r="D1650" s="5" t="n">
        <v>88</v>
      </c>
      <c r="E1650" s="2">
        <f>B1650*D1650/10000</f>
        <v/>
      </c>
      <c r="F1650" s="3">
        <f>B1650/30.48</f>
        <v/>
      </c>
      <c r="G1650" s="3">
        <f>D1650/30.48</f>
        <v/>
      </c>
      <c r="H1650" s="694" t="n"/>
      <c r="I1650" s="694" t="n"/>
      <c r="J1650" s="694" t="n"/>
      <c r="P1650" s="1" t="n"/>
      <c r="Q1650" s="1" t="n"/>
    </row>
    <row r="1651" ht="17.25" customHeight="1" s="305">
      <c r="A1651" s="8" t="n">
        <v>1142</v>
      </c>
      <c r="B1651" s="5" t="n">
        <v>272</v>
      </c>
      <c r="C1651" s="72" t="inlineStr">
        <is>
          <t>X</t>
        </is>
      </c>
      <c r="D1651" s="5" t="n">
        <v>378</v>
      </c>
      <c r="E1651" s="73">
        <f>B1651*D1651/10000</f>
        <v/>
      </c>
      <c r="F1651" s="74">
        <f>B1651/30.48</f>
        <v/>
      </c>
      <c r="G1651" s="74">
        <f>D1651/30.48</f>
        <v/>
      </c>
      <c r="H1651" s="69" t="inlineStr">
        <is>
          <t>MCHD-TR</t>
        </is>
      </c>
      <c r="I1651" s="557" t="n"/>
      <c r="J1651" s="557" t="n"/>
      <c r="P1651" s="1" t="n"/>
      <c r="Q1651" s="1" t="n"/>
      <c r="R1651" s="1" t="n"/>
    </row>
    <row r="1652" ht="17.25" customHeight="1" s="305">
      <c r="A1652" s="8" t="n">
        <v>1295</v>
      </c>
      <c r="B1652" s="5" t="n">
        <v>230</v>
      </c>
      <c r="C1652" s="72" t="inlineStr">
        <is>
          <t>X</t>
        </is>
      </c>
      <c r="D1652" s="5" t="n">
        <v>310</v>
      </c>
      <c r="E1652" s="73">
        <f>B1652*D1652/10000</f>
        <v/>
      </c>
      <c r="F1652" s="74">
        <f>B1652/30.48</f>
        <v/>
      </c>
      <c r="G1652" s="74">
        <f>D1652/30.48</f>
        <v/>
      </c>
      <c r="H1652" s="69" t="inlineStr">
        <is>
          <t>MCHD-TR</t>
        </is>
      </c>
      <c r="I1652" s="557" t="n"/>
      <c r="J1652" s="557" t="n"/>
      <c r="P1652" s="1" t="n"/>
      <c r="Q1652" s="1" t="n"/>
      <c r="R1652" s="1" t="n"/>
    </row>
    <row r="1653" ht="17.25" customHeight="1" s="305">
      <c r="A1653" s="8" t="n">
        <v>1241</v>
      </c>
      <c r="B1653" s="5" t="n">
        <v>100</v>
      </c>
      <c r="C1653" s="72" t="inlineStr">
        <is>
          <t>X</t>
        </is>
      </c>
      <c r="D1653" s="5" t="n">
        <v>171</v>
      </c>
      <c r="E1653" s="73">
        <f>B1653*D1653/10000</f>
        <v/>
      </c>
      <c r="F1653" s="74">
        <f>B1653/30.48</f>
        <v/>
      </c>
      <c r="G1653" s="74">
        <f>D1653/30.48</f>
        <v/>
      </c>
      <c r="H1653" s="69" t="inlineStr">
        <is>
          <t>MCHD-TR</t>
        </is>
      </c>
      <c r="I1653" s="557" t="n"/>
      <c r="J1653" s="557" t="n"/>
      <c r="P1653" s="1" t="n"/>
      <c r="Q1653" s="1" t="n"/>
      <c r="R1653" s="1" t="n"/>
    </row>
    <row r="1654" ht="17.25" customHeight="1" s="305">
      <c r="A1654" s="8" t="n">
        <v>1158</v>
      </c>
      <c r="B1654" s="5" t="n">
        <v>285</v>
      </c>
      <c r="C1654" s="72" t="inlineStr">
        <is>
          <t>X</t>
        </is>
      </c>
      <c r="D1654" s="5" t="n">
        <v>307</v>
      </c>
      <c r="E1654" s="73">
        <f>B1654*D1654/10000</f>
        <v/>
      </c>
      <c r="F1654" s="74">
        <f>B1654/30.48</f>
        <v/>
      </c>
      <c r="G1654" s="74">
        <f>D1654/30.48</f>
        <v/>
      </c>
      <c r="H1654" s="592" t="inlineStr">
        <is>
          <t>PAC</t>
        </is>
      </c>
      <c r="I1654" s="570" t="inlineStr">
        <is>
          <t>Sarah Allely</t>
        </is>
      </c>
      <c r="J1654" s="557" t="n"/>
      <c r="P1654" s="1" t="n"/>
      <c r="Q1654" s="1" t="n"/>
      <c r="R1654" s="1" t="n"/>
    </row>
    <row r="1655" ht="17.25" customHeight="1" s="305">
      <c r="A1655" s="8" t="inlineStr">
        <is>
          <t>D 55</t>
        </is>
      </c>
      <c r="B1655" s="5" t="n">
        <v>46</v>
      </c>
      <c r="C1655" s="72" t="inlineStr">
        <is>
          <t>X</t>
        </is>
      </c>
      <c r="D1655" s="5" t="n">
        <v>82</v>
      </c>
      <c r="E1655" s="73">
        <f>B1655*D1655/10000</f>
        <v/>
      </c>
      <c r="F1655" s="74">
        <f>B1655/30.48</f>
        <v/>
      </c>
      <c r="G1655" s="74">
        <f>D1655/30.48</f>
        <v/>
      </c>
      <c r="H1655" s="569" t="inlineStr">
        <is>
          <t>OLD</t>
        </is>
      </c>
      <c r="I1655" s="570" t="inlineStr">
        <is>
          <t>Bjorg Barstad</t>
        </is>
      </c>
      <c r="J1655" s="557" t="n"/>
      <c r="P1655" s="1" t="n"/>
      <c r="Q1655" s="1" t="n"/>
    </row>
    <row r="1656" ht="17.25" customHeight="1" s="305">
      <c r="A1656" s="8" t="n">
        <v>1365</v>
      </c>
      <c r="B1656" s="5" t="n">
        <v>95</v>
      </c>
      <c r="C1656" s="72" t="inlineStr">
        <is>
          <t>X</t>
        </is>
      </c>
      <c r="D1656" s="5" t="n">
        <v>300</v>
      </c>
      <c r="E1656" s="73">
        <f>B1656*D1656/10000</f>
        <v/>
      </c>
      <c r="F1656" s="74">
        <f>B1656/30.48</f>
        <v/>
      </c>
      <c r="G1656" s="74">
        <f>D1656/30.48</f>
        <v/>
      </c>
      <c r="H1656" s="16" t="inlineStr">
        <is>
          <t>VR</t>
        </is>
      </c>
      <c r="I1656" s="534" t="inlineStr">
        <is>
          <t>Jeanne Choi</t>
        </is>
      </c>
      <c r="J1656" s="545" t="n"/>
      <c r="P1656" s="1" t="n"/>
      <c r="Q1656" s="1" t="n"/>
      <c r="R1656" s="1" t="n"/>
    </row>
    <row r="1657" ht="17.25" customHeight="1" s="305">
      <c r="A1657" s="8" t="n">
        <v>1220</v>
      </c>
      <c r="B1657" s="5" t="n">
        <v>215</v>
      </c>
      <c r="C1657" s="72" t="inlineStr">
        <is>
          <t>X</t>
        </is>
      </c>
      <c r="D1657" s="5" t="n">
        <v>324</v>
      </c>
      <c r="E1657" s="73">
        <f>B1657*D1657/10000</f>
        <v/>
      </c>
      <c r="F1657" s="74">
        <f>B1657/30.48</f>
        <v/>
      </c>
      <c r="G1657" s="74">
        <f>D1657/30.48</f>
        <v/>
      </c>
      <c r="H1657" s="569" t="inlineStr">
        <is>
          <t>OLD</t>
        </is>
      </c>
      <c r="I1657" s="570" t="inlineStr">
        <is>
          <t>Dana Klay</t>
        </is>
      </c>
      <c r="J1657" s="557" t="n"/>
      <c r="P1657" s="1" t="n"/>
      <c r="Q1657" s="1" t="n"/>
    </row>
    <row r="1658" ht="17.25" customHeight="1" s="305">
      <c r="A1658" s="8" t="inlineStr">
        <is>
          <t>C 920</t>
        </is>
      </c>
      <c r="B1658" s="5" t="n">
        <v>82</v>
      </c>
      <c r="C1658" s="6" t="inlineStr">
        <is>
          <t>X</t>
        </is>
      </c>
      <c r="D1658" s="5" t="n">
        <v>387</v>
      </c>
      <c r="E1658" s="2">
        <f>B1658*D1658/10000</f>
        <v/>
      </c>
      <c r="F1658" s="3">
        <f>B1658/30.48</f>
        <v/>
      </c>
      <c r="G1658" s="3">
        <f>D1658/30.48</f>
        <v/>
      </c>
      <c r="H1658" s="16" t="inlineStr">
        <is>
          <t>VR</t>
        </is>
      </c>
      <c r="I1658" s="534" t="inlineStr">
        <is>
          <t>Lauren Mendenhall</t>
        </is>
      </c>
      <c r="J1658" s="545" t="n"/>
      <c r="P1658" s="1" t="n"/>
    </row>
    <row r="1659" ht="17.25" customHeight="1" s="305">
      <c r="A1659" s="8" t="n">
        <v>1219</v>
      </c>
      <c r="B1659" s="5" t="n">
        <v>207</v>
      </c>
      <c r="C1659" s="72" t="inlineStr">
        <is>
          <t>X</t>
        </is>
      </c>
      <c r="D1659" s="5" t="n">
        <v>276</v>
      </c>
      <c r="E1659" s="73">
        <f>B1659*D1659/10000</f>
        <v/>
      </c>
      <c r="F1659" s="74">
        <f>B1659/30.48</f>
        <v/>
      </c>
      <c r="G1659" s="74">
        <f>D1659/30.48</f>
        <v/>
      </c>
      <c r="H1659" s="707" t="inlineStr">
        <is>
          <t>PAC</t>
        </is>
      </c>
      <c r="I1659" s="534" t="inlineStr">
        <is>
          <t>Loan Tran</t>
        </is>
      </c>
      <c r="J1659" s="545" t="inlineStr">
        <is>
          <t>US-912 604 8636</t>
        </is>
      </c>
      <c r="P1659" s="1" t="n"/>
    </row>
    <row r="1660" ht="17.25" customHeight="1" s="305">
      <c r="A1660" s="8" t="inlineStr">
        <is>
          <t>C 756</t>
        </is>
      </c>
      <c r="B1660" s="5" t="n">
        <v>366</v>
      </c>
      <c r="C1660" s="6" t="inlineStr">
        <is>
          <t>X</t>
        </is>
      </c>
      <c r="D1660" s="5" t="n">
        <v>288</v>
      </c>
      <c r="E1660" s="2">
        <f>B1660*D1660/10000</f>
        <v/>
      </c>
      <c r="F1660" s="3">
        <f>B1660/30.48</f>
        <v/>
      </c>
      <c r="G1660" s="3">
        <f>D1660/30.48</f>
        <v/>
      </c>
      <c r="H1660" s="693" t="n"/>
      <c r="I1660" s="693" t="n"/>
      <c r="J1660" s="693" t="n"/>
      <c r="P1660" s="1" t="n"/>
    </row>
    <row r="1661" ht="17.25" customHeight="1" s="305">
      <c r="A1661" s="8" t="inlineStr">
        <is>
          <t>Y 874</t>
        </is>
      </c>
      <c r="B1661" s="5" t="n">
        <v>327</v>
      </c>
      <c r="C1661" s="6" t="inlineStr">
        <is>
          <t>X</t>
        </is>
      </c>
      <c r="D1661" s="5" t="n">
        <v>237</v>
      </c>
      <c r="E1661" s="2">
        <f>B1661*D1661/10000</f>
        <v/>
      </c>
      <c r="F1661" s="3">
        <f>B1661/30.48</f>
        <v/>
      </c>
      <c r="G1661" s="3">
        <f>D1661/30.48</f>
        <v/>
      </c>
      <c r="H1661" s="693" t="n"/>
      <c r="I1661" s="693" t="n"/>
      <c r="J1661" s="693" t="n"/>
      <c r="P1661" s="1" t="n"/>
    </row>
    <row r="1662" ht="17.25" customHeight="1" s="305">
      <c r="A1662" s="8" t="n">
        <v>1108</v>
      </c>
      <c r="B1662" s="5" t="n">
        <v>130</v>
      </c>
      <c r="C1662" s="72" t="inlineStr">
        <is>
          <t>X</t>
        </is>
      </c>
      <c r="D1662" s="5" t="n">
        <v>381</v>
      </c>
      <c r="E1662" s="73">
        <f>B1662*D1662/10000</f>
        <v/>
      </c>
      <c r="F1662" s="74">
        <f>B1662/30.48</f>
        <v/>
      </c>
      <c r="G1662" s="74">
        <f>D1662/30.48</f>
        <v/>
      </c>
      <c r="H1662" s="694" t="n"/>
      <c r="I1662" s="693" t="n"/>
      <c r="J1662" s="693" t="n"/>
      <c r="P1662" s="1" t="n"/>
      <c r="Q1662" s="1" t="n"/>
    </row>
    <row r="1663" ht="17.25" customHeight="1" s="305">
      <c r="A1663" s="8" t="n">
        <v>1429</v>
      </c>
      <c r="B1663" s="5" t="n">
        <v>71</v>
      </c>
      <c r="C1663" s="72" t="inlineStr">
        <is>
          <t>X</t>
        </is>
      </c>
      <c r="D1663" s="5" t="n">
        <v>100</v>
      </c>
      <c r="E1663" s="73">
        <f>B1663*D1663/10000</f>
        <v/>
      </c>
      <c r="F1663" s="74">
        <f>B1663/30.48</f>
        <v/>
      </c>
      <c r="G1663" s="74">
        <f>D1663/30.48</f>
        <v/>
      </c>
      <c r="H1663" s="69" t="inlineStr">
        <is>
          <t>MCHD-TR</t>
        </is>
      </c>
      <c r="I1663" s="545" t="n"/>
      <c r="J1663" s="545" t="n"/>
      <c r="P1663" s="1" t="n"/>
      <c r="Q1663" s="1" t="n"/>
    </row>
    <row r="1664" ht="17.25" customHeight="1" s="305">
      <c r="A1664" s="8" t="n">
        <v>2505</v>
      </c>
      <c r="B1664" s="5" t="n">
        <v>87</v>
      </c>
      <c r="C1664" s="72" t="inlineStr">
        <is>
          <t>X</t>
        </is>
      </c>
      <c r="D1664" s="5" t="n">
        <v>316</v>
      </c>
      <c r="E1664" s="73">
        <f>B1664*D1664/10000</f>
        <v/>
      </c>
      <c r="F1664" s="74">
        <f>B1664/30.48</f>
        <v/>
      </c>
      <c r="G1664" s="74">
        <f>D1664/30.48</f>
        <v/>
      </c>
      <c r="H1664" s="69" t="inlineStr">
        <is>
          <t>MCHD-TR</t>
        </is>
      </c>
      <c r="I1664" s="557" t="n"/>
      <c r="J1664" s="557" t="n"/>
      <c r="P1664" s="1" t="n"/>
      <c r="Q1664" s="1" t="n"/>
      <c r="R1664" s="1" t="n"/>
    </row>
    <row r="1665" ht="17.25" customHeight="1" s="305">
      <c r="A1665" s="8" t="n">
        <v>2458</v>
      </c>
      <c r="B1665" s="5" t="n">
        <v>71</v>
      </c>
      <c r="C1665" s="72" t="inlineStr">
        <is>
          <t>X</t>
        </is>
      </c>
      <c r="D1665" s="5" t="n">
        <v>155</v>
      </c>
      <c r="E1665" s="73">
        <f>B1665*D1665/10000</f>
        <v/>
      </c>
      <c r="F1665" s="74">
        <f>B1665/30.48</f>
        <v/>
      </c>
      <c r="G1665" s="74">
        <f>D1665/30.48</f>
        <v/>
      </c>
      <c r="H1665" s="267" t="inlineStr">
        <is>
          <t>WTR</t>
        </is>
      </c>
      <c r="I1665" s="570" t="inlineStr">
        <is>
          <t>Andrew Vetter</t>
        </is>
      </c>
      <c r="J1665" s="557" t="n"/>
      <c r="P1665" s="1" t="n"/>
      <c r="Q1665" s="1" t="n"/>
      <c r="R1665" s="1" t="n"/>
    </row>
    <row r="1666" ht="17.25" customHeight="1" s="305">
      <c r="A1666" s="8" t="inlineStr">
        <is>
          <t>D 18</t>
        </is>
      </c>
      <c r="B1666" s="5" t="n">
        <v>52</v>
      </c>
      <c r="C1666" s="72" t="inlineStr">
        <is>
          <t>X</t>
        </is>
      </c>
      <c r="D1666" s="5" t="n">
        <v>100</v>
      </c>
      <c r="E1666" s="73">
        <f>B1666*D1666/10000</f>
        <v/>
      </c>
      <c r="F1666" s="74">
        <f>B1666/30.48</f>
        <v/>
      </c>
      <c r="G1666" s="74">
        <f>D1666/30.48</f>
        <v/>
      </c>
      <c r="H1666" s="16" t="inlineStr">
        <is>
          <t>VR</t>
        </is>
      </c>
      <c r="I1666" s="570" t="inlineStr">
        <is>
          <t>Blair Shapiro</t>
        </is>
      </c>
      <c r="J1666" s="557" t="n"/>
      <c r="P1666" s="1" t="n"/>
      <c r="Q1666" s="1" t="n"/>
    </row>
    <row r="1667" ht="17.25" customHeight="1" s="305">
      <c r="A1667" s="8" t="n">
        <v>2519</v>
      </c>
      <c r="B1667" s="5" t="n">
        <v>110</v>
      </c>
      <c r="C1667" s="72" t="inlineStr">
        <is>
          <t>X</t>
        </is>
      </c>
      <c r="D1667" s="5" t="n">
        <v>251</v>
      </c>
      <c r="E1667" s="73">
        <f>B1667*D1667/10000</f>
        <v/>
      </c>
      <c r="F1667" s="74">
        <f>B1667/30.48</f>
        <v/>
      </c>
      <c r="G1667" s="74">
        <f>D1667/30.48</f>
        <v/>
      </c>
      <c r="H1667" s="267" t="inlineStr">
        <is>
          <t>WTR</t>
        </is>
      </c>
      <c r="I1667" s="534" t="inlineStr">
        <is>
          <t>Ashley Saunders</t>
        </is>
      </c>
      <c r="J1667" s="545" t="n"/>
      <c r="P1667" s="1" t="n"/>
      <c r="Q1667" s="1" t="n"/>
      <c r="R1667" s="1" t="n"/>
    </row>
    <row r="1668" ht="17.25" customHeight="1" s="305">
      <c r="A1668" s="8" t="n">
        <v>2016</v>
      </c>
      <c r="B1668" s="5" t="n">
        <v>100</v>
      </c>
      <c r="C1668" s="72" t="inlineStr">
        <is>
          <t>X</t>
        </is>
      </c>
      <c r="D1668" s="5" t="n">
        <v>188</v>
      </c>
      <c r="E1668" s="73">
        <f>B1668*D1668/10000</f>
        <v/>
      </c>
      <c r="F1668" s="74">
        <f>B1668/30.48</f>
        <v/>
      </c>
      <c r="G1668" s="74">
        <f>D1668/30.48</f>
        <v/>
      </c>
      <c r="H1668" s="69" t="inlineStr">
        <is>
          <t>MCHD-TR</t>
        </is>
      </c>
      <c r="I1668" s="545" t="n"/>
      <c r="J1668" s="545" t="n"/>
      <c r="P1668" s="1" t="n"/>
      <c r="Q1668" s="1" t="n"/>
    </row>
    <row r="1669">
      <c r="A1669" s="536" t="inlineStr">
        <is>
          <t>-2024 TEMMUZ-</t>
        </is>
      </c>
      <c r="H1669" s="104" t="inlineStr">
        <is>
          <t>SATAN-SİTE</t>
        </is>
      </c>
      <c r="I1669" s="98" t="inlineStr">
        <is>
          <t>MÜŞTERİ ADI</t>
        </is>
      </c>
      <c r="J1669" s="63" t="inlineStr">
        <is>
          <t>MÜŞTERİ İLETİŞİM &amp; ÜLKE</t>
        </is>
      </c>
      <c r="P1669" s="1" t="n"/>
    </row>
    <row r="1670" ht="17.25" customHeight="1" s="305">
      <c r="A1670" s="8" t="n">
        <v>2448</v>
      </c>
      <c r="B1670" s="5" t="n">
        <v>76</v>
      </c>
      <c r="C1670" s="72" t="inlineStr">
        <is>
          <t>X</t>
        </is>
      </c>
      <c r="D1670" s="5" t="n">
        <v>233</v>
      </c>
      <c r="E1670" s="73">
        <f>B1670*D1670/10000</f>
        <v/>
      </c>
      <c r="F1670" s="74">
        <f>B1670/30.48</f>
        <v/>
      </c>
      <c r="G1670" s="74">
        <f>D1670/30.48</f>
        <v/>
      </c>
      <c r="H1670" s="267" t="inlineStr">
        <is>
          <t>WTR</t>
        </is>
      </c>
      <c r="I1670" s="534" t="inlineStr">
        <is>
          <t>Laina Kennedy</t>
        </is>
      </c>
      <c r="J1670" s="545" t="n"/>
      <c r="P1670" s="1" t="n"/>
      <c r="Q1670" s="1" t="n"/>
    </row>
    <row r="1671" ht="17.25" customHeight="1" s="305">
      <c r="A1671" s="8" t="n">
        <v>1760</v>
      </c>
      <c r="B1671" s="5" t="n">
        <v>295</v>
      </c>
      <c r="C1671" s="72" t="inlineStr">
        <is>
          <t>X</t>
        </is>
      </c>
      <c r="D1671" s="5" t="n">
        <v>391</v>
      </c>
      <c r="E1671" s="73">
        <f>B1671*D1671/10000</f>
        <v/>
      </c>
      <c r="F1671" s="74">
        <f>B1671/30.48</f>
        <v/>
      </c>
      <c r="G1671" s="74">
        <f>D1671/30.48</f>
        <v/>
      </c>
      <c r="H1671" s="69" t="inlineStr">
        <is>
          <t>MCHD-TR</t>
        </is>
      </c>
      <c r="I1671" s="557" t="n"/>
      <c r="J1671" s="557" t="n"/>
      <c r="P1671" s="1" t="n"/>
      <c r="Q1671" s="1" t="n"/>
    </row>
    <row r="1672" ht="17.25" customHeight="1" s="305">
      <c r="A1672" s="8" t="n">
        <v>1612</v>
      </c>
      <c r="B1672" s="5" t="n">
        <v>288</v>
      </c>
      <c r="C1672" s="72" t="inlineStr">
        <is>
          <t>X</t>
        </is>
      </c>
      <c r="D1672" s="5" t="n">
        <v>77</v>
      </c>
      <c r="E1672" s="73">
        <f>B1672*D1672/10000</f>
        <v/>
      </c>
      <c r="F1672" s="74">
        <f>B1672/30.48</f>
        <v/>
      </c>
      <c r="G1672" s="74">
        <f>D1672/30.48</f>
        <v/>
      </c>
      <c r="H1672" s="569" t="inlineStr">
        <is>
          <t>OLD</t>
        </is>
      </c>
      <c r="I1672" s="570" t="inlineStr">
        <is>
          <t>Robin Moncol</t>
        </is>
      </c>
      <c r="J1672" s="557" t="n"/>
      <c r="P1672" s="1" t="n"/>
      <c r="Q1672" s="1" t="n"/>
    </row>
    <row r="1673" ht="17.25" customHeight="1" s="305">
      <c r="A1673" s="8" t="inlineStr">
        <is>
          <t>D 66</t>
        </is>
      </c>
      <c r="B1673" s="5" t="n">
        <v>47</v>
      </c>
      <c r="C1673" s="72" t="inlineStr">
        <is>
          <t>X</t>
        </is>
      </c>
      <c r="D1673" s="5" t="n">
        <v>110</v>
      </c>
      <c r="E1673" s="73">
        <f>B1673*D1673/10000</f>
        <v/>
      </c>
      <c r="F1673" s="74">
        <f>B1673/30.48</f>
        <v/>
      </c>
      <c r="G1673" s="74">
        <f>D1673/30.48</f>
        <v/>
      </c>
      <c r="H1673" s="569" t="inlineStr">
        <is>
          <t>OLD</t>
        </is>
      </c>
      <c r="I1673" s="534" t="inlineStr">
        <is>
          <t>Anna Clem</t>
        </is>
      </c>
      <c r="J1673" s="545" t="n"/>
      <c r="P1673" s="1" t="n"/>
      <c r="Q1673" s="1" t="n"/>
    </row>
    <row r="1674" ht="17.25" customHeight="1" s="305">
      <c r="A1674" s="8" t="n">
        <v>1996</v>
      </c>
      <c r="B1674" s="5" t="n">
        <v>87</v>
      </c>
      <c r="C1674" s="72" t="inlineStr">
        <is>
          <t>X</t>
        </is>
      </c>
      <c r="D1674" s="5" t="n">
        <v>469</v>
      </c>
      <c r="E1674" s="73">
        <f>B1674*D1674/10000</f>
        <v/>
      </c>
      <c r="F1674" s="74">
        <f>B1674/30.48</f>
        <v/>
      </c>
      <c r="G1674" s="74">
        <f>D1674/30.48</f>
        <v/>
      </c>
      <c r="H1674" s="592" t="inlineStr">
        <is>
          <t>PAC</t>
        </is>
      </c>
      <c r="I1674" s="534" t="inlineStr">
        <is>
          <t>Hannah Dicesare</t>
        </is>
      </c>
      <c r="J1674" s="545" t="n"/>
      <c r="P1674" s="1" t="n"/>
      <c r="Q1674" s="1" t="n"/>
    </row>
    <row r="1675" ht="17.25" customHeight="1" s="305">
      <c r="A1675" s="8" t="n">
        <v>1793</v>
      </c>
      <c r="B1675" s="5" t="n">
        <v>203</v>
      </c>
      <c r="C1675" s="72" t="inlineStr">
        <is>
          <t>X</t>
        </is>
      </c>
      <c r="D1675" s="5" t="n">
        <v>303</v>
      </c>
      <c r="E1675" s="73">
        <f>B1675*D1675/10000</f>
        <v/>
      </c>
      <c r="F1675" s="74">
        <f>B1675/30.48</f>
        <v/>
      </c>
      <c r="G1675" s="74">
        <f>D1675/30.48</f>
        <v/>
      </c>
      <c r="H1675" s="69" t="inlineStr">
        <is>
          <t>MCHD-TR</t>
        </is>
      </c>
      <c r="I1675" s="545" t="n"/>
      <c r="J1675" s="545" t="n"/>
      <c r="P1675" s="1" t="n"/>
      <c r="Q1675" s="1" t="n"/>
    </row>
    <row r="1676" ht="17.25" customHeight="1" s="305">
      <c r="A1676" s="8" t="n">
        <v>1369</v>
      </c>
      <c r="B1676" s="5" t="n">
        <v>88</v>
      </c>
      <c r="C1676" s="72" t="inlineStr">
        <is>
          <t>X</t>
        </is>
      </c>
      <c r="D1676" s="5" t="n">
        <v>364</v>
      </c>
      <c r="E1676" s="73">
        <f>B1676*D1676/10000</f>
        <v/>
      </c>
      <c r="F1676" s="74">
        <f>B1676/30.48</f>
        <v/>
      </c>
      <c r="G1676" s="74">
        <f>D1676/30.48</f>
        <v/>
      </c>
      <c r="H1676" s="569" t="inlineStr">
        <is>
          <t>OLD</t>
        </is>
      </c>
      <c r="I1676" s="534" t="inlineStr">
        <is>
          <t>Eleanor Day</t>
        </is>
      </c>
      <c r="J1676" s="545" t="n"/>
      <c r="P1676" s="1" t="n"/>
      <c r="Q1676" s="1" t="n"/>
    </row>
    <row r="1677" ht="17.25" customHeight="1" s="305">
      <c r="A1677" s="8" t="n">
        <v>1167</v>
      </c>
      <c r="B1677" s="5" t="n">
        <v>131</v>
      </c>
      <c r="C1677" s="72" t="inlineStr">
        <is>
          <t>X</t>
        </is>
      </c>
      <c r="D1677" s="5" t="n">
        <v>296</v>
      </c>
      <c r="E1677" s="73">
        <f>B1677*D1677/10000</f>
        <v/>
      </c>
      <c r="F1677" s="74">
        <f>B1677/30.48</f>
        <v/>
      </c>
      <c r="G1677" s="74">
        <f>D1677/30.48</f>
        <v/>
      </c>
      <c r="H1677" s="69" t="inlineStr">
        <is>
          <t>MCHD-TR</t>
        </is>
      </c>
      <c r="I1677" s="545" t="n"/>
      <c r="J1677" s="545" t="n"/>
      <c r="P1677" s="1" t="n"/>
      <c r="Q1677" s="1" t="n"/>
    </row>
    <row r="1678" ht="17.25" customHeight="1" s="305">
      <c r="A1678" s="8" t="n">
        <v>1853</v>
      </c>
      <c r="B1678" s="5" t="n">
        <v>86</v>
      </c>
      <c r="C1678" s="72" t="inlineStr">
        <is>
          <t>X</t>
        </is>
      </c>
      <c r="D1678" s="5" t="n">
        <v>296</v>
      </c>
      <c r="E1678" s="73">
        <f>B1678*D1678/10000</f>
        <v/>
      </c>
      <c r="F1678" s="74">
        <f>B1678/30.48</f>
        <v/>
      </c>
      <c r="G1678" s="74">
        <f>D1678/30.48</f>
        <v/>
      </c>
      <c r="H1678" s="69" t="inlineStr">
        <is>
          <t>MCHD-TR</t>
        </is>
      </c>
      <c r="I1678" s="557" t="n"/>
      <c r="J1678" s="557" t="n"/>
      <c r="P1678" s="1" t="n"/>
      <c r="Q1678" s="1" t="n"/>
    </row>
    <row r="1679" ht="17.25" customHeight="1" s="305">
      <c r="A1679" s="8" t="inlineStr">
        <is>
          <t>D 362</t>
        </is>
      </c>
      <c r="B1679" s="5" t="n">
        <v>53</v>
      </c>
      <c r="C1679" s="72" t="inlineStr">
        <is>
          <t>X</t>
        </is>
      </c>
      <c r="D1679" s="5" t="n">
        <v>128</v>
      </c>
      <c r="E1679" s="73">
        <f>B1679*D1679/10000</f>
        <v/>
      </c>
      <c r="F1679" s="74">
        <f>B1679/30.48</f>
        <v/>
      </c>
      <c r="G1679" s="74">
        <f>D1679/30.48</f>
        <v/>
      </c>
      <c r="H1679" s="267" t="inlineStr">
        <is>
          <t>WTR</t>
        </is>
      </c>
      <c r="I1679" s="534" t="inlineStr">
        <is>
          <t>Rachel Beaman</t>
        </is>
      </c>
      <c r="J1679" s="545" t="n"/>
      <c r="P1679" s="1" t="n"/>
      <c r="Q1679" s="1" t="n"/>
    </row>
    <row r="1680" ht="17.25" customHeight="1" s="305">
      <c r="A1680" s="8" t="inlineStr">
        <is>
          <t>C 758</t>
        </is>
      </c>
      <c r="B1680" s="5" t="n">
        <v>337</v>
      </c>
      <c r="C1680" s="6" t="inlineStr">
        <is>
          <t>X</t>
        </is>
      </c>
      <c r="D1680" s="5" t="n">
        <v>241</v>
      </c>
      <c r="E1680" s="2">
        <f>B1680*D1680/10000</f>
        <v/>
      </c>
      <c r="F1680" s="3">
        <f>B1680/30.48</f>
        <v/>
      </c>
      <c r="G1680" s="3">
        <f>D1680/30.48</f>
        <v/>
      </c>
      <c r="H1680" s="592" t="inlineStr">
        <is>
          <t>PAC</t>
        </is>
      </c>
      <c r="I1680" s="534" t="inlineStr">
        <is>
          <t>Bannia Darrow</t>
        </is>
      </c>
      <c r="J1680" s="545" t="n"/>
      <c r="P1680" s="1" t="n"/>
      <c r="Q1680" s="1" t="n"/>
    </row>
    <row r="1681" ht="17.25" customHeight="1" s="305">
      <c r="A1681" s="8" t="n">
        <v>2791</v>
      </c>
      <c r="B1681" s="5" t="n">
        <v>90</v>
      </c>
      <c r="C1681" s="72" t="inlineStr">
        <is>
          <t>X</t>
        </is>
      </c>
      <c r="D1681" s="5" t="n">
        <v>448</v>
      </c>
      <c r="E1681" s="73">
        <f>B1681*D1681/10000</f>
        <v/>
      </c>
      <c r="F1681" s="74">
        <f>B1681/30.48</f>
        <v/>
      </c>
      <c r="G1681" s="74">
        <f>D1681/30.48</f>
        <v/>
      </c>
      <c r="H1681" s="272" t="inlineStr">
        <is>
          <t>WTR</t>
        </is>
      </c>
      <c r="I1681" s="534" t="inlineStr">
        <is>
          <t>Chad Wilson</t>
        </is>
      </c>
      <c r="J1681" s="545" t="n"/>
      <c r="P1681" s="1" t="n"/>
      <c r="Q1681" s="1" t="n"/>
    </row>
    <row r="1682" ht="17.25" customHeight="1" s="305">
      <c r="A1682" s="8" t="n">
        <v>2445</v>
      </c>
      <c r="B1682" s="5" t="n">
        <v>81</v>
      </c>
      <c r="C1682" s="72" t="inlineStr">
        <is>
          <t>X</t>
        </is>
      </c>
      <c r="D1682" s="5" t="n">
        <v>220</v>
      </c>
      <c r="E1682" s="73">
        <f>B1682*D1682/10000</f>
        <v/>
      </c>
      <c r="F1682" s="74">
        <f>B1682/30.48</f>
        <v/>
      </c>
      <c r="G1682" s="74">
        <f>D1682/30.48</f>
        <v/>
      </c>
      <c r="H1682" s="272" t="inlineStr">
        <is>
          <t>WTR</t>
        </is>
      </c>
      <c r="I1682" s="534" t="inlineStr">
        <is>
          <t>Alexa Warner</t>
        </is>
      </c>
      <c r="J1682" s="545" t="n"/>
      <c r="P1682" s="1" t="n"/>
      <c r="Q1682" s="1" t="n"/>
    </row>
    <row r="1683" ht="17.25" customHeight="1" s="305">
      <c r="A1683" s="8" t="n">
        <v>2507</v>
      </c>
      <c r="B1683" s="5" t="n">
        <v>89</v>
      </c>
      <c r="C1683" s="72" t="inlineStr">
        <is>
          <t>X</t>
        </is>
      </c>
      <c r="D1683" s="5" t="n">
        <v>354</v>
      </c>
      <c r="E1683" s="73">
        <f>B1683*D1683/10000</f>
        <v/>
      </c>
      <c r="F1683" s="74">
        <f>B1683/30.48</f>
        <v/>
      </c>
      <c r="G1683" s="74">
        <f>D1683/30.48</f>
        <v/>
      </c>
      <c r="H1683" s="272" t="inlineStr">
        <is>
          <t>WTR</t>
        </is>
      </c>
      <c r="I1683" s="570" t="inlineStr">
        <is>
          <t>Jordan Jewett</t>
        </is>
      </c>
      <c r="J1683" s="557" t="n"/>
      <c r="P1683" s="1" t="n"/>
      <c r="Q1683" s="1" t="n"/>
    </row>
    <row r="1684" ht="17.25" customHeight="1" s="305">
      <c r="A1684" s="8" t="n">
        <v>1857</v>
      </c>
      <c r="B1684" s="5" t="n">
        <v>72</v>
      </c>
      <c r="C1684" s="72" t="inlineStr">
        <is>
          <t>X</t>
        </is>
      </c>
      <c r="D1684" s="5" t="n">
        <v>177</v>
      </c>
      <c r="E1684" s="73">
        <f>B1684*D1684/10000</f>
        <v/>
      </c>
      <c r="F1684" s="74">
        <f>B1684/30.48</f>
        <v/>
      </c>
      <c r="G1684" s="74">
        <f>D1684/30.48</f>
        <v/>
      </c>
      <c r="H1684" s="592" t="inlineStr">
        <is>
          <t>PAC</t>
        </is>
      </c>
      <c r="I1684" s="570" t="inlineStr">
        <is>
          <t>shannon ummel</t>
        </is>
      </c>
      <c r="J1684" s="557" t="n"/>
      <c r="P1684" s="1" t="n"/>
      <c r="Q1684" s="1" t="n"/>
    </row>
    <row r="1685" ht="17.25" customHeight="1" s="305">
      <c r="A1685" s="8" t="inlineStr">
        <is>
          <t>D 358</t>
        </is>
      </c>
      <c r="B1685" s="5" t="n">
        <v>49</v>
      </c>
      <c r="C1685" s="72" t="inlineStr">
        <is>
          <t>X</t>
        </is>
      </c>
      <c r="D1685" s="5" t="n">
        <v>100</v>
      </c>
      <c r="E1685" s="73">
        <f>B1685*D1685/10000</f>
        <v/>
      </c>
      <c r="F1685" s="74">
        <f>B1685/30.48</f>
        <v/>
      </c>
      <c r="G1685" s="74">
        <f>D1685/30.48</f>
        <v/>
      </c>
      <c r="H1685" s="272" t="inlineStr">
        <is>
          <t>WTR</t>
        </is>
      </c>
      <c r="I1685" s="534" t="inlineStr">
        <is>
          <t>Renae Fowler</t>
        </is>
      </c>
      <c r="J1685" s="545" t="n"/>
      <c r="P1685" s="1" t="n"/>
      <c r="Q1685" s="1" t="n"/>
    </row>
    <row r="1686" ht="17.25" customHeight="1" s="305">
      <c r="A1686" s="8" t="inlineStr">
        <is>
          <t>C 628</t>
        </is>
      </c>
      <c r="B1686" s="5" t="n">
        <v>90</v>
      </c>
      <c r="C1686" s="6" t="inlineStr">
        <is>
          <t>X</t>
        </is>
      </c>
      <c r="D1686" s="5" t="n">
        <v>186</v>
      </c>
      <c r="E1686" s="2">
        <f>B1686*D1686/10000</f>
        <v/>
      </c>
      <c r="F1686" s="3">
        <f>B1686/30.48</f>
        <v/>
      </c>
      <c r="G1686" s="3">
        <f>D1686/30.48</f>
        <v/>
      </c>
      <c r="H1686" s="569" t="inlineStr">
        <is>
          <t>OLD</t>
        </is>
      </c>
      <c r="I1686" s="534" t="inlineStr">
        <is>
          <t>Heather Ludwig</t>
        </is>
      </c>
      <c r="J1686" s="545" t="n"/>
      <c r="P1686" s="1" t="n"/>
      <c r="Q1686" s="1" t="n"/>
    </row>
    <row r="1687" ht="17.25" customHeight="1" s="305">
      <c r="A1687" s="8" t="inlineStr">
        <is>
          <t>D 106</t>
        </is>
      </c>
      <c r="B1687" s="5" t="n">
        <v>35</v>
      </c>
      <c r="C1687" s="72" t="inlineStr">
        <is>
          <t>X</t>
        </is>
      </c>
      <c r="D1687" s="5" t="n">
        <v>86</v>
      </c>
      <c r="E1687" s="73">
        <f>B1687*D1687/10000</f>
        <v/>
      </c>
      <c r="F1687" s="74">
        <f>B1687/30.48</f>
        <v/>
      </c>
      <c r="G1687" s="74">
        <f>D1687/30.48</f>
        <v/>
      </c>
      <c r="H1687" s="569" t="inlineStr">
        <is>
          <t>OLD</t>
        </is>
      </c>
      <c r="I1687" s="534" t="inlineStr">
        <is>
          <t>Kate Bowen</t>
        </is>
      </c>
      <c r="J1687" s="545" t="n"/>
    </row>
    <row r="1688" ht="17.25" customHeight="1" s="305">
      <c r="A1688" s="8" t="n">
        <v>1975</v>
      </c>
      <c r="B1688" s="5" t="n">
        <v>199</v>
      </c>
      <c r="C1688" s="72" t="inlineStr">
        <is>
          <t>X</t>
        </is>
      </c>
      <c r="D1688" s="5" t="n">
        <v>309</v>
      </c>
      <c r="E1688" s="73">
        <f>B1688*D1688/10000</f>
        <v/>
      </c>
      <c r="F1688" s="74">
        <f>B1688/30.48</f>
        <v/>
      </c>
      <c r="G1688" s="74">
        <f>D1688/30.48</f>
        <v/>
      </c>
      <c r="H1688" s="69" t="inlineStr">
        <is>
          <t>MCHD-TR</t>
        </is>
      </c>
      <c r="I1688" s="557" t="n"/>
      <c r="J1688" s="557" t="n"/>
    </row>
    <row r="1689" ht="17.25" customHeight="1" s="305">
      <c r="A1689" s="8" t="n">
        <v>2331</v>
      </c>
      <c r="B1689" s="5" t="n">
        <v>78</v>
      </c>
      <c r="C1689" s="72" t="inlineStr">
        <is>
          <t>X</t>
        </is>
      </c>
      <c r="D1689" s="5" t="n">
        <v>156</v>
      </c>
      <c r="E1689" s="73">
        <f>B1689*D1689/10000</f>
        <v/>
      </c>
      <c r="F1689" s="74">
        <f>B1689/30.48</f>
        <v/>
      </c>
      <c r="G1689" s="74">
        <f>D1689/30.48</f>
        <v/>
      </c>
      <c r="H1689" s="272" t="inlineStr">
        <is>
          <t>WTR</t>
        </is>
      </c>
      <c r="I1689" s="570" t="inlineStr">
        <is>
          <t>Ashley Hanley</t>
        </is>
      </c>
      <c r="J1689" s="557" t="n"/>
      <c r="R1689" s="1" t="n"/>
    </row>
    <row r="1690" ht="17.25" customHeight="1" s="305">
      <c r="A1690" s="8" t="inlineStr">
        <is>
          <t>D 360</t>
        </is>
      </c>
      <c r="B1690" s="5" t="n">
        <v>45</v>
      </c>
      <c r="C1690" s="72" t="inlineStr">
        <is>
          <t>X</t>
        </is>
      </c>
      <c r="D1690" s="5" t="n">
        <v>72</v>
      </c>
      <c r="E1690" s="73">
        <f>B1690*D1690/10000</f>
        <v/>
      </c>
      <c r="F1690" s="74">
        <f>B1690/30.48</f>
        <v/>
      </c>
      <c r="G1690" s="74">
        <f>D1690/30.48</f>
        <v/>
      </c>
      <c r="H1690" s="272" t="inlineStr">
        <is>
          <t>WTR</t>
        </is>
      </c>
      <c r="I1690" s="534" t="inlineStr">
        <is>
          <t>Lindsey Kostelny</t>
        </is>
      </c>
      <c r="J1690" s="545" t="n"/>
    </row>
    <row r="1691" ht="17.25" customHeight="1" s="305">
      <c r="A1691" s="8" t="n">
        <v>1115</v>
      </c>
      <c r="B1691" s="5" t="n">
        <v>97</v>
      </c>
      <c r="C1691" s="72" t="inlineStr">
        <is>
          <t>X</t>
        </is>
      </c>
      <c r="D1691" s="5" t="n">
        <v>283</v>
      </c>
      <c r="E1691" s="73">
        <f>B1691*D1691/10000</f>
        <v/>
      </c>
      <c r="F1691" s="74">
        <f>B1691/30.48</f>
        <v/>
      </c>
      <c r="G1691" s="74">
        <f>D1691/30.48</f>
        <v/>
      </c>
      <c r="H1691" s="569" t="inlineStr">
        <is>
          <t>OLD</t>
        </is>
      </c>
      <c r="I1691" s="534" t="inlineStr">
        <is>
          <t>Kathryn Brashear</t>
        </is>
      </c>
      <c r="J1691" s="545" t="n"/>
    </row>
    <row r="1692" ht="17.25" customHeight="1" s="305">
      <c r="A1692" s="8" t="inlineStr">
        <is>
          <t>C 960</t>
        </is>
      </c>
      <c r="B1692" s="5" t="n">
        <v>55</v>
      </c>
      <c r="C1692" s="6" t="inlineStr">
        <is>
          <t>X</t>
        </is>
      </c>
      <c r="D1692" s="5" t="n">
        <v>174</v>
      </c>
      <c r="E1692" s="2">
        <f>B1692*D1692/10000</f>
        <v/>
      </c>
      <c r="F1692" s="3">
        <f>B1692/30.48</f>
        <v/>
      </c>
      <c r="G1692" s="3">
        <f>D1692/30.48</f>
        <v/>
      </c>
      <c r="H1692" s="69" t="inlineStr">
        <is>
          <t>MCHD-TR</t>
        </is>
      </c>
      <c r="I1692" s="557" t="n"/>
      <c r="J1692" s="557" t="n"/>
      <c r="R1692" s="1" t="n"/>
    </row>
    <row r="1693" ht="17.25" customHeight="1" s="305">
      <c r="A1693" s="8" t="n">
        <v>1407</v>
      </c>
      <c r="B1693" s="5" t="n">
        <v>184</v>
      </c>
      <c r="C1693" s="72" t="inlineStr">
        <is>
          <t>X</t>
        </is>
      </c>
      <c r="D1693" s="5" t="n">
        <v>294</v>
      </c>
      <c r="E1693" s="73">
        <f>B1693*D1693/10000</f>
        <v/>
      </c>
      <c r="F1693" s="74">
        <f>B1693/30.48</f>
        <v/>
      </c>
      <c r="G1693" s="74">
        <f>D1693/30.48</f>
        <v/>
      </c>
      <c r="H1693" s="569" t="inlineStr">
        <is>
          <t>OLD</t>
        </is>
      </c>
      <c r="I1693" s="534" t="inlineStr">
        <is>
          <t>Cristina Youhouse</t>
        </is>
      </c>
      <c r="J1693" s="545" t="n"/>
      <c r="R1693" s="1" t="n"/>
    </row>
    <row r="1694" ht="17.25" customHeight="1" s="305">
      <c r="A1694" s="8" t="inlineStr">
        <is>
          <t>D 43</t>
        </is>
      </c>
      <c r="B1694" s="5" t="n">
        <v>44</v>
      </c>
      <c r="C1694" s="72" t="inlineStr">
        <is>
          <t>X</t>
        </is>
      </c>
      <c r="D1694" s="5" t="n">
        <v>85</v>
      </c>
      <c r="E1694" s="73">
        <f>B1694*D1694/10000</f>
        <v/>
      </c>
      <c r="F1694" s="74">
        <f>B1694/30.48</f>
        <v/>
      </c>
      <c r="G1694" s="74">
        <f>D1694/30.48</f>
        <v/>
      </c>
      <c r="H1694" s="569" t="inlineStr">
        <is>
          <t>OLD</t>
        </is>
      </c>
      <c r="I1694" s="570" t="inlineStr">
        <is>
          <t>Emily Schneider</t>
        </is>
      </c>
      <c r="J1694" s="557" t="inlineStr">
        <is>
          <t>US-803 509 2020</t>
        </is>
      </c>
    </row>
    <row r="1695" ht="17.25" customHeight="1" s="305">
      <c r="A1695" s="8" t="n">
        <v>1695</v>
      </c>
      <c r="B1695" s="5" t="n">
        <v>517</v>
      </c>
      <c r="C1695" s="72" t="inlineStr">
        <is>
          <t>X</t>
        </is>
      </c>
      <c r="D1695" s="5" t="n">
        <v>82</v>
      </c>
      <c r="E1695" s="73">
        <f>B1695*D1695/10000</f>
        <v/>
      </c>
      <c r="F1695" s="74">
        <f>B1695/30.48</f>
        <v/>
      </c>
      <c r="G1695" s="74">
        <f>D1695/30.48</f>
        <v/>
      </c>
      <c r="H1695" s="69" t="inlineStr">
        <is>
          <t>MCHD-TR</t>
        </is>
      </c>
      <c r="I1695" s="545" t="n"/>
      <c r="J1695" s="545" t="n"/>
    </row>
    <row r="1696" ht="17.25" customHeight="1" s="305">
      <c r="A1696" s="8" t="n">
        <v>1539</v>
      </c>
      <c r="B1696" s="5" t="n">
        <v>352</v>
      </c>
      <c r="C1696" s="72" t="inlineStr">
        <is>
          <t>X</t>
        </is>
      </c>
      <c r="D1696" s="5" t="n">
        <v>111</v>
      </c>
      <c r="E1696" s="73">
        <f>B1696*D1696/10000</f>
        <v/>
      </c>
      <c r="F1696" s="74">
        <f>B1696/30.48</f>
        <v/>
      </c>
      <c r="G1696" s="74">
        <f>D1696/30.48</f>
        <v/>
      </c>
      <c r="H1696" s="16" t="inlineStr">
        <is>
          <t>VR</t>
        </is>
      </c>
      <c r="I1696" s="570" t="inlineStr">
        <is>
          <t>Samantha Posin-Trammell</t>
        </is>
      </c>
      <c r="J1696" s="557" t="n"/>
    </row>
    <row r="1697" ht="17.25" customHeight="1" s="305">
      <c r="A1697" s="8" t="inlineStr">
        <is>
          <t>C 897</t>
        </is>
      </c>
      <c r="B1697" s="5" t="n">
        <v>109</v>
      </c>
      <c r="C1697" s="6" t="inlineStr">
        <is>
          <t>X</t>
        </is>
      </c>
      <c r="D1697" s="5" t="n">
        <v>190</v>
      </c>
      <c r="E1697" s="2">
        <f>B1697*D1697/10000</f>
        <v/>
      </c>
      <c r="F1697" s="3">
        <f>B1697/30.48</f>
        <v/>
      </c>
      <c r="G1697" s="3">
        <f>D1697/30.48</f>
        <v/>
      </c>
      <c r="H1697" s="16" t="inlineStr">
        <is>
          <t>VR</t>
        </is>
      </c>
      <c r="I1697" s="570" t="inlineStr">
        <is>
          <t>Anna Tretter</t>
        </is>
      </c>
      <c r="J1697" s="557" t="n"/>
    </row>
    <row r="1698" ht="17.25" customHeight="1" s="305">
      <c r="A1698" s="8" t="inlineStr">
        <is>
          <t>C 542</t>
        </is>
      </c>
      <c r="B1698" s="5" t="n">
        <v>156</v>
      </c>
      <c r="C1698" s="6" t="inlineStr">
        <is>
          <t>X</t>
        </is>
      </c>
      <c r="D1698" s="5" t="n">
        <v>258</v>
      </c>
      <c r="E1698" s="2">
        <f>B1698*D1698/10000</f>
        <v/>
      </c>
      <c r="F1698" s="3">
        <f>B1698/30.48</f>
        <v/>
      </c>
      <c r="G1698" s="3">
        <f>D1698/30.48</f>
        <v/>
      </c>
      <c r="H1698" s="569" t="inlineStr">
        <is>
          <t>OLD</t>
        </is>
      </c>
      <c r="I1698" s="534" t="inlineStr">
        <is>
          <t>Chelsea Hill</t>
        </is>
      </c>
      <c r="J1698" s="545" t="n"/>
      <c r="R1698" s="1" t="n"/>
    </row>
    <row r="1699" ht="17.25" customHeight="1" s="305">
      <c r="A1699" s="8" t="inlineStr">
        <is>
          <t>D 343</t>
        </is>
      </c>
      <c r="B1699" s="5" t="n">
        <v>50</v>
      </c>
      <c r="C1699" s="72" t="inlineStr">
        <is>
          <t>X</t>
        </is>
      </c>
      <c r="D1699" s="5" t="n">
        <v>97</v>
      </c>
      <c r="E1699" s="73">
        <f>B1699*D1699/10000</f>
        <v/>
      </c>
      <c r="F1699" s="74">
        <f>B1699/30.48</f>
        <v/>
      </c>
      <c r="G1699" s="74">
        <f>D1699/30.48</f>
        <v/>
      </c>
      <c r="H1699" s="272" t="inlineStr">
        <is>
          <t>WTR</t>
        </is>
      </c>
      <c r="I1699" s="534" t="inlineStr">
        <is>
          <t>June Curley</t>
        </is>
      </c>
      <c r="J1699" s="545" t="n"/>
    </row>
    <row r="1700" ht="17.25" customHeight="1" s="305">
      <c r="A1700" s="8" t="n">
        <v>2268</v>
      </c>
      <c r="B1700" s="5" t="n">
        <v>113</v>
      </c>
      <c r="C1700" s="72" t="inlineStr">
        <is>
          <t>X</t>
        </is>
      </c>
      <c r="D1700" s="5" t="n">
        <v>348</v>
      </c>
      <c r="E1700" s="73">
        <f>B1700*D1700/10000</f>
        <v/>
      </c>
      <c r="F1700" s="74">
        <f>B1700/30.48</f>
        <v/>
      </c>
      <c r="G1700" s="74">
        <f>D1700/30.48</f>
        <v/>
      </c>
      <c r="H1700" s="272" t="inlineStr">
        <is>
          <t>WTR</t>
        </is>
      </c>
      <c r="I1700" s="534" t="inlineStr">
        <is>
          <t>Tıffany Caballero</t>
        </is>
      </c>
      <c r="J1700" s="545" t="n"/>
    </row>
    <row r="1701" ht="17.25" customHeight="1" s="305">
      <c r="A1701" s="8" t="n">
        <v>2623</v>
      </c>
      <c r="B1701" s="5" t="n">
        <v>108</v>
      </c>
      <c r="C1701" s="72" t="inlineStr">
        <is>
          <t>X</t>
        </is>
      </c>
      <c r="D1701" s="5" t="n">
        <v>183</v>
      </c>
      <c r="E1701" s="73">
        <f>B1701*D1701/10000</f>
        <v/>
      </c>
      <c r="F1701" s="74">
        <f>B1701/30.48</f>
        <v/>
      </c>
      <c r="G1701" s="74">
        <f>D1701/30.48</f>
        <v/>
      </c>
      <c r="H1701" s="69" t="inlineStr">
        <is>
          <t>MCHD-TR</t>
        </is>
      </c>
      <c r="I1701" s="557" t="n"/>
      <c r="J1701" s="557" t="n"/>
    </row>
    <row r="1702">
      <c r="A1702" s="536" t="inlineStr">
        <is>
          <t>-2024 AĞUSTOS-</t>
        </is>
      </c>
      <c r="H1702" s="104" t="inlineStr">
        <is>
          <t>SATAN-SİTE</t>
        </is>
      </c>
      <c r="I1702" s="98" t="inlineStr">
        <is>
          <t>MÜŞTERİ ADI</t>
        </is>
      </c>
      <c r="J1702" s="63" t="inlineStr">
        <is>
          <t>MÜŞTERİ İLETİŞİM &amp; ÜLKE</t>
        </is>
      </c>
      <c r="P1702" s="1" t="n"/>
    </row>
    <row r="1703" ht="17.25" customHeight="1" s="305">
      <c r="A1703" s="8" t="n">
        <v>3264</v>
      </c>
      <c r="B1703" s="5" t="n">
        <v>78</v>
      </c>
      <c r="C1703" s="72" t="inlineStr">
        <is>
          <t>X</t>
        </is>
      </c>
      <c r="D1703" s="5" t="n">
        <v>273</v>
      </c>
      <c r="E1703" s="73">
        <f>B1703*D1703/10000</f>
        <v/>
      </c>
      <c r="F1703" s="74">
        <f>B1703/30.48</f>
        <v/>
      </c>
      <c r="G1703" s="74">
        <f>D1703/30.48</f>
        <v/>
      </c>
      <c r="H1703" s="272" t="inlineStr">
        <is>
          <t>WTR</t>
        </is>
      </c>
      <c r="I1703" s="570" t="inlineStr">
        <is>
          <t>Kate Marker Warehouse</t>
        </is>
      </c>
      <c r="J1703" s="557" t="n"/>
      <c r="R1703" s="1" t="n"/>
    </row>
    <row r="1704" ht="17.25" customHeight="1" s="305">
      <c r="A1704" s="8" t="inlineStr">
        <is>
          <t>Y 923</t>
        </is>
      </c>
      <c r="B1704" s="5" t="n">
        <v>324</v>
      </c>
      <c r="C1704" s="6" t="inlineStr">
        <is>
          <t>X</t>
        </is>
      </c>
      <c r="D1704" s="5" t="n">
        <v>204</v>
      </c>
      <c r="E1704" s="2">
        <f>B1704*D1704/10000</f>
        <v/>
      </c>
      <c r="F1704" s="3">
        <f>B1704/30.48</f>
        <v/>
      </c>
      <c r="G1704" s="3">
        <f>D1704/30.48</f>
        <v/>
      </c>
      <c r="H1704" s="569" t="inlineStr">
        <is>
          <t>OLD</t>
        </is>
      </c>
      <c r="I1704" s="534" t="inlineStr">
        <is>
          <t>Amy Vroom</t>
        </is>
      </c>
      <c r="J1704" s="545" t="n"/>
    </row>
    <row r="1705" ht="17.25" customHeight="1" s="305">
      <c r="A1705" s="8" t="n">
        <v>2470</v>
      </c>
      <c r="B1705" s="5" t="n">
        <v>73</v>
      </c>
      <c r="C1705" s="72" t="inlineStr">
        <is>
          <t>X</t>
        </is>
      </c>
      <c r="D1705" s="5" t="n">
        <v>286</v>
      </c>
      <c r="E1705" s="73">
        <f>B1705*D1705/10000</f>
        <v/>
      </c>
      <c r="F1705" s="74">
        <f>B1705/30.48</f>
        <v/>
      </c>
      <c r="G1705" s="74">
        <f>D1705/30.48</f>
        <v/>
      </c>
      <c r="H1705" s="272" t="inlineStr">
        <is>
          <t>WTR</t>
        </is>
      </c>
      <c r="I1705" s="534" t="inlineStr">
        <is>
          <t>Maggie Cruz Design</t>
        </is>
      </c>
      <c r="J1705" s="545" t="n"/>
    </row>
    <row r="1706" ht="17.25" customHeight="1" s="305">
      <c r="A1706" s="8" t="inlineStr">
        <is>
          <t>Y 354</t>
        </is>
      </c>
      <c r="B1706" s="5" t="n">
        <v>214</v>
      </c>
      <c r="C1706" s="6" t="inlineStr">
        <is>
          <t>X</t>
        </is>
      </c>
      <c r="D1706" s="5" t="n">
        <v>125</v>
      </c>
      <c r="E1706" s="2">
        <f>B1706*D1706/10000</f>
        <v/>
      </c>
      <c r="F1706" s="3">
        <f>B1706/30.48</f>
        <v/>
      </c>
      <c r="G1706" s="3">
        <f>D1706/30.48</f>
        <v/>
      </c>
      <c r="H1706" s="16" t="inlineStr">
        <is>
          <t>VR</t>
        </is>
      </c>
      <c r="I1706" s="534" t="inlineStr">
        <is>
          <t>Beth Sansone</t>
        </is>
      </c>
      <c r="J1706" s="545" t="n"/>
    </row>
    <row r="1707" ht="17.25" customHeight="1" s="305">
      <c r="A1707" s="8" t="n">
        <v>1988</v>
      </c>
      <c r="B1707" s="5" t="n">
        <v>92</v>
      </c>
      <c r="C1707" s="72" t="inlineStr">
        <is>
          <t>X</t>
        </is>
      </c>
      <c r="D1707" s="5" t="n">
        <v>363</v>
      </c>
      <c r="E1707" s="73">
        <f>B1707*D1707/10000</f>
        <v/>
      </c>
      <c r="F1707" s="74">
        <f>B1707/30.48</f>
        <v/>
      </c>
      <c r="G1707" s="74">
        <f>D1707/30.48</f>
        <v/>
      </c>
      <c r="H1707" s="69" t="inlineStr">
        <is>
          <t>MCHD-TR</t>
        </is>
      </c>
      <c r="I1707" s="278" t="n"/>
      <c r="J1707" s="557" t="n"/>
    </row>
    <row r="1708" ht="17.25" customHeight="1" s="305">
      <c r="A1708" s="8" t="n">
        <v>2881</v>
      </c>
      <c r="B1708" s="5" t="n">
        <v>101</v>
      </c>
      <c r="C1708" s="72" t="inlineStr">
        <is>
          <t>X</t>
        </is>
      </c>
      <c r="D1708" s="5" t="n">
        <v>261</v>
      </c>
      <c r="E1708" s="73">
        <f>B1708*D1708/10000</f>
        <v/>
      </c>
      <c r="F1708" s="74">
        <f>B1708/30.48</f>
        <v/>
      </c>
      <c r="G1708" s="74">
        <f>D1708/30.48</f>
        <v/>
      </c>
      <c r="H1708" s="69" t="inlineStr">
        <is>
          <t>MCHD-TR</t>
        </is>
      </c>
      <c r="I1708" s="557" t="n"/>
      <c r="J1708" s="552" t="n"/>
      <c r="R1708" s="1" t="n"/>
    </row>
    <row r="1709" ht="17.25" customHeight="1" s="305">
      <c r="A1709" s="8" t="inlineStr">
        <is>
          <t>A 68</t>
        </is>
      </c>
      <c r="B1709" s="5" t="n">
        <v>82</v>
      </c>
      <c r="C1709" s="6" t="inlineStr">
        <is>
          <t>X</t>
        </is>
      </c>
      <c r="D1709" s="5" t="n">
        <v>268</v>
      </c>
      <c r="E1709" s="2">
        <f>B1709*D1709/10000</f>
        <v/>
      </c>
      <c r="F1709" s="3">
        <f>B1709/30.48</f>
        <v/>
      </c>
      <c r="G1709" s="3">
        <f>D1709/30.48</f>
        <v/>
      </c>
      <c r="H1709" s="69" t="inlineStr">
        <is>
          <t>RK</t>
        </is>
      </c>
      <c r="I1709" s="570" t="inlineStr">
        <is>
          <t>nancy schmitt</t>
        </is>
      </c>
      <c r="J1709" s="557" t="n"/>
    </row>
    <row r="1710" ht="17.25" customHeight="1" s="305">
      <c r="A1710" s="8" t="n">
        <v>2553</v>
      </c>
      <c r="B1710" s="5" t="n">
        <v>102</v>
      </c>
      <c r="C1710" s="72" t="inlineStr">
        <is>
          <t>X</t>
        </is>
      </c>
      <c r="D1710" s="5" t="n">
        <v>193</v>
      </c>
      <c r="E1710" s="73">
        <f>B1710*D1710/10000</f>
        <v/>
      </c>
      <c r="F1710" s="74">
        <f>B1710/30.48</f>
        <v/>
      </c>
      <c r="G1710" s="74">
        <f>D1710/30.48</f>
        <v/>
      </c>
      <c r="H1710" s="69" t="inlineStr">
        <is>
          <t>MCHD-TR</t>
        </is>
      </c>
      <c r="I1710" s="557" t="n"/>
      <c r="J1710" s="557" t="n"/>
      <c r="R1710" s="1" t="n"/>
    </row>
    <row r="1711" ht="17.25" customHeight="1" s="305">
      <c r="A1711" s="8" t="n">
        <v>1439</v>
      </c>
      <c r="B1711" s="5" t="n">
        <v>90</v>
      </c>
      <c r="C1711" s="72" t="inlineStr">
        <is>
          <t>X</t>
        </is>
      </c>
      <c r="D1711" s="5" t="n">
        <v>385</v>
      </c>
      <c r="E1711" s="73">
        <f>B1711*D1711/10000</f>
        <v/>
      </c>
      <c r="F1711" s="74">
        <f>B1711/30.48</f>
        <v/>
      </c>
      <c r="G1711" s="74">
        <f>D1711/30.48</f>
        <v/>
      </c>
      <c r="H1711" s="69" t="inlineStr">
        <is>
          <t>MCHD-TR</t>
        </is>
      </c>
      <c r="I1711" s="557" t="n"/>
      <c r="J1711" s="557" t="n"/>
      <c r="R1711" s="1" t="n"/>
    </row>
    <row r="1712" ht="17.25" customHeight="1" s="305">
      <c r="A1712" s="8" t="n">
        <v>2732</v>
      </c>
      <c r="B1712" s="5" t="n">
        <v>85</v>
      </c>
      <c r="C1712" s="72" t="inlineStr">
        <is>
          <t>X</t>
        </is>
      </c>
      <c r="D1712" s="5" t="n">
        <v>349</v>
      </c>
      <c r="E1712" s="73">
        <f>B1712*D1712/10000</f>
        <v/>
      </c>
      <c r="F1712" s="74">
        <f>B1712/30.48</f>
        <v/>
      </c>
      <c r="G1712" s="74">
        <f>D1712/30.48</f>
        <v/>
      </c>
      <c r="H1712" s="69" t="inlineStr">
        <is>
          <t>MCHD-TR</t>
        </is>
      </c>
      <c r="I1712" s="557" t="n"/>
      <c r="J1712" s="557" t="n"/>
      <c r="R1712" s="1" t="n"/>
    </row>
    <row r="1713" ht="17.25" customHeight="1" s="305">
      <c r="A1713" s="8" t="inlineStr">
        <is>
          <t>H 117</t>
        </is>
      </c>
      <c r="B1713" s="5" t="n">
        <v>95</v>
      </c>
      <c r="C1713" s="72" t="inlineStr">
        <is>
          <t>X</t>
        </is>
      </c>
      <c r="D1713" s="5" t="n">
        <v>440</v>
      </c>
      <c r="E1713" s="73">
        <f>B1713*D1713/10000</f>
        <v/>
      </c>
      <c r="F1713" s="74">
        <f>B1713/30.48</f>
        <v/>
      </c>
      <c r="G1713" s="74">
        <f>D1713/30.48</f>
        <v/>
      </c>
      <c r="H1713" s="569" t="inlineStr">
        <is>
          <t>OLD</t>
        </is>
      </c>
      <c r="I1713" s="570" t="inlineStr">
        <is>
          <t>John C Durgee</t>
        </is>
      </c>
      <c r="J1713" s="557" t="n"/>
      <c r="R1713" s="1" t="n"/>
    </row>
    <row r="1714" ht="17.25" customHeight="1" s="305">
      <c r="A1714" s="8" t="inlineStr">
        <is>
          <t>D 168</t>
        </is>
      </c>
      <c r="B1714" s="5" t="n">
        <v>52</v>
      </c>
      <c r="C1714" s="72" t="inlineStr">
        <is>
          <t>X</t>
        </is>
      </c>
      <c r="D1714" s="5" t="n">
        <v>104</v>
      </c>
      <c r="E1714" s="73">
        <f>B1714*D1714/10000</f>
        <v/>
      </c>
      <c r="F1714" s="74">
        <f>B1714/30.48</f>
        <v/>
      </c>
      <c r="G1714" s="74">
        <f>D1714/30.48</f>
        <v/>
      </c>
      <c r="H1714" s="708" t="inlineStr">
        <is>
          <t>VR</t>
        </is>
      </c>
      <c r="I1714" s="709" t="inlineStr">
        <is>
          <t xml:space="preserve">Sydney Catinna
</t>
        </is>
      </c>
      <c r="J1714" s="557" t="n"/>
    </row>
    <row r="1715" ht="17.25" customHeight="1" s="305">
      <c r="A1715" s="8" t="inlineStr">
        <is>
          <t>D 17</t>
        </is>
      </c>
      <c r="B1715" s="5" t="n">
        <v>48</v>
      </c>
      <c r="C1715" s="72" t="inlineStr">
        <is>
          <t>X</t>
        </is>
      </c>
      <c r="D1715" s="5" t="n">
        <v>87</v>
      </c>
      <c r="E1715" s="73">
        <f>B1715*D1715/10000</f>
        <v/>
      </c>
      <c r="F1715" s="74">
        <f>B1715/30.48</f>
        <v/>
      </c>
      <c r="G1715" s="74">
        <f>D1715/30.48</f>
        <v/>
      </c>
      <c r="H1715" s="694" t="n"/>
      <c r="I1715" s="694" t="n"/>
      <c r="J1715" s="557" t="n"/>
    </row>
    <row r="1716" ht="17.25" customHeight="1" s="305">
      <c r="A1716" s="8" t="n">
        <v>2550</v>
      </c>
      <c r="B1716" s="5" t="n">
        <v>89</v>
      </c>
      <c r="C1716" s="72" t="inlineStr">
        <is>
          <t>X</t>
        </is>
      </c>
      <c r="D1716" s="5" t="n">
        <v>119</v>
      </c>
      <c r="E1716" s="73">
        <f>B1716*D1716/10000</f>
        <v/>
      </c>
      <c r="F1716" s="74">
        <f>B1716/30.48</f>
        <v/>
      </c>
      <c r="G1716" s="74">
        <f>D1716/30.48</f>
        <v/>
      </c>
      <c r="H1716" s="69" t="inlineStr">
        <is>
          <t>MCHD-TR</t>
        </is>
      </c>
      <c r="I1716" s="557" t="n"/>
      <c r="J1716" s="557" t="n"/>
      <c r="R1716" s="1" t="n"/>
    </row>
    <row r="1717" ht="17.25" customHeight="1" s="305">
      <c r="A1717" s="8" t="inlineStr">
        <is>
          <t>C 621</t>
        </is>
      </c>
      <c r="B1717" s="5" t="n">
        <v>166</v>
      </c>
      <c r="C1717" s="6" t="inlineStr">
        <is>
          <t>X</t>
        </is>
      </c>
      <c r="D1717" s="5" t="n">
        <v>284</v>
      </c>
      <c r="E1717" s="2">
        <f>B1717*D1717/10000</f>
        <v/>
      </c>
      <c r="F1717" s="3">
        <f>B1717/30.48</f>
        <v/>
      </c>
      <c r="G1717" s="3">
        <f>D1717/30.48</f>
        <v/>
      </c>
      <c r="H1717" s="592" t="inlineStr">
        <is>
          <t>PAC</t>
        </is>
      </c>
      <c r="I1717" s="570" t="inlineStr">
        <is>
          <t>Mary Jo Winkelmann</t>
        </is>
      </c>
      <c r="J1717" s="557" t="n"/>
      <c r="R1717" s="1" t="n"/>
    </row>
    <row r="1718" ht="17.25" customHeight="1" s="305">
      <c r="A1718" s="8" t="n">
        <v>1710</v>
      </c>
      <c r="B1718" s="5" t="n">
        <v>245</v>
      </c>
      <c r="C1718" s="72" t="inlineStr">
        <is>
          <t>X</t>
        </is>
      </c>
      <c r="D1718" s="5" t="n">
        <v>339</v>
      </c>
      <c r="E1718" s="73">
        <f>B1718*D1718/10000</f>
        <v/>
      </c>
      <c r="F1718" s="74">
        <f>B1718/30.48</f>
        <v/>
      </c>
      <c r="G1718" s="74">
        <f>D1718/30.48</f>
        <v/>
      </c>
      <c r="H1718" s="272" t="inlineStr">
        <is>
          <t>WTR</t>
        </is>
      </c>
      <c r="I1718" s="570" t="inlineStr">
        <is>
          <t>Leah Selvig</t>
        </is>
      </c>
      <c r="J1718" s="557" t="n"/>
      <c r="R1718" s="1" t="n"/>
    </row>
    <row r="1719" ht="17.25" customHeight="1" s="305">
      <c r="A1719" s="8" t="n">
        <v>1519</v>
      </c>
      <c r="B1719" s="5" t="n">
        <v>151</v>
      </c>
      <c r="C1719" s="72" t="inlineStr">
        <is>
          <t>X</t>
        </is>
      </c>
      <c r="D1719" s="5" t="n">
        <v>124</v>
      </c>
      <c r="E1719" s="73">
        <f>B1719*D1719/10000</f>
        <v/>
      </c>
      <c r="F1719" s="74">
        <f>B1719/30.48</f>
        <v/>
      </c>
      <c r="G1719" s="74">
        <f>D1719/30.48</f>
        <v/>
      </c>
      <c r="H1719" s="69" t="inlineStr">
        <is>
          <t>RK</t>
        </is>
      </c>
      <c r="I1719" s="570" t="inlineStr">
        <is>
          <t>Diane Bray</t>
        </is>
      </c>
      <c r="J1719" s="557" t="n"/>
      <c r="R1719" s="1" t="n"/>
    </row>
    <row r="1720" ht="17.25" customHeight="1" s="305">
      <c r="A1720" s="8" t="n">
        <v>2057</v>
      </c>
      <c r="B1720" s="5" t="n">
        <v>77</v>
      </c>
      <c r="C1720" s="72" t="inlineStr">
        <is>
          <t>X</t>
        </is>
      </c>
      <c r="D1720" s="5" t="n">
        <v>274</v>
      </c>
      <c r="E1720" s="73">
        <f>B1720*D1720/10000</f>
        <v/>
      </c>
      <c r="F1720" s="74">
        <f>B1720/30.48</f>
        <v/>
      </c>
      <c r="G1720" s="74">
        <f>D1720/30.48</f>
        <v/>
      </c>
      <c r="H1720" s="592" t="inlineStr">
        <is>
          <t>PAC</t>
        </is>
      </c>
      <c r="I1720" s="570" t="inlineStr">
        <is>
          <t>Leah Selvig</t>
        </is>
      </c>
      <c r="J1720" s="557" t="n"/>
      <c r="R1720" s="1" t="n"/>
    </row>
    <row r="1721" ht="17.25" customHeight="1" s="305">
      <c r="A1721" s="8" t="n">
        <v>2056</v>
      </c>
      <c r="B1721" s="5" t="n">
        <v>86</v>
      </c>
      <c r="C1721" s="72" t="inlineStr">
        <is>
          <t>X</t>
        </is>
      </c>
      <c r="D1721" s="5" t="n">
        <v>253</v>
      </c>
      <c r="E1721" s="73">
        <f>B1721*D1721/10000</f>
        <v/>
      </c>
      <c r="F1721" s="74">
        <f>B1721/30.48</f>
        <v/>
      </c>
      <c r="G1721" s="74">
        <f>D1721/30.48</f>
        <v/>
      </c>
      <c r="H1721" s="69" t="inlineStr">
        <is>
          <t>MCHD-TR</t>
        </is>
      </c>
      <c r="I1721" s="557" t="n"/>
      <c r="J1721" s="557" t="n"/>
      <c r="R1721" s="1" t="n"/>
    </row>
    <row r="1722" ht="17.25" customHeight="1" s="305">
      <c r="A1722" s="8" t="n">
        <v>2576</v>
      </c>
      <c r="B1722" s="5" t="n">
        <v>107</v>
      </c>
      <c r="C1722" s="72" t="inlineStr">
        <is>
          <t>X</t>
        </is>
      </c>
      <c r="D1722" s="5" t="n">
        <v>293</v>
      </c>
      <c r="E1722" s="73">
        <f>B1722*D1722/10000</f>
        <v/>
      </c>
      <c r="F1722" s="74">
        <f>B1722/30.48</f>
        <v/>
      </c>
      <c r="G1722" s="74">
        <f>D1722/30.48</f>
        <v/>
      </c>
      <c r="H1722" s="272" t="inlineStr">
        <is>
          <t>WTR</t>
        </is>
      </c>
      <c r="I1722" s="570" t="inlineStr">
        <is>
          <t>Anna Roy</t>
        </is>
      </c>
      <c r="J1722" s="557" t="n"/>
      <c r="R1722" s="1" t="n"/>
    </row>
    <row r="1723" ht="17.25" customHeight="1" s="305">
      <c r="A1723" s="8" t="n">
        <v>4045</v>
      </c>
      <c r="B1723" s="5" t="n">
        <v>63</v>
      </c>
      <c r="C1723" s="72" t="inlineStr">
        <is>
          <t>X</t>
        </is>
      </c>
      <c r="D1723" s="5" t="n">
        <v>167</v>
      </c>
      <c r="E1723" s="73">
        <f>B1723*D1723/10000</f>
        <v/>
      </c>
      <c r="F1723" s="74">
        <f>B1723/30.48</f>
        <v/>
      </c>
      <c r="G1723" s="74">
        <f>D1723/30.48</f>
        <v/>
      </c>
      <c r="H1723" s="69" t="inlineStr">
        <is>
          <t>MCHD-TR</t>
        </is>
      </c>
      <c r="I1723" s="557" t="n"/>
      <c r="J1723" s="557" t="n"/>
      <c r="R1723" s="1" t="n"/>
    </row>
    <row r="1724" ht="17.25" customHeight="1" s="305">
      <c r="A1724" s="8" t="n">
        <v>1512</v>
      </c>
      <c r="B1724" s="5" t="n">
        <v>198</v>
      </c>
      <c r="C1724" s="72" t="inlineStr">
        <is>
          <t>X</t>
        </is>
      </c>
      <c r="D1724" s="5" t="n">
        <v>265</v>
      </c>
      <c r="E1724" s="73">
        <f>B1724*D1724/10000</f>
        <v/>
      </c>
      <c r="F1724" s="74">
        <f>B1724/30.48</f>
        <v/>
      </c>
      <c r="G1724" s="74">
        <f>D1724/30.48</f>
        <v/>
      </c>
      <c r="H1724" s="16" t="inlineStr">
        <is>
          <t>VR</t>
        </is>
      </c>
      <c r="I1724" s="570" t="inlineStr">
        <is>
          <t>WDI LSID #Bernstein</t>
        </is>
      </c>
      <c r="J1724" s="557" t="n"/>
      <c r="R1724" s="1" t="n"/>
    </row>
    <row r="1725" ht="17.25" customHeight="1" s="305">
      <c r="A1725" s="8" t="n">
        <v>2373</v>
      </c>
      <c r="B1725" s="5" t="n">
        <v>110</v>
      </c>
      <c r="C1725" s="72" t="inlineStr">
        <is>
          <t>X</t>
        </is>
      </c>
      <c r="D1725" s="5" t="n">
        <v>355</v>
      </c>
      <c r="E1725" s="73">
        <f>B1725*D1725/10000</f>
        <v/>
      </c>
      <c r="F1725" s="74">
        <f>B1725/30.48</f>
        <v/>
      </c>
      <c r="G1725" s="74">
        <f>D1725/30.48</f>
        <v/>
      </c>
      <c r="H1725" s="272" t="inlineStr">
        <is>
          <t>WTR</t>
        </is>
      </c>
      <c r="I1725" s="570" t="inlineStr">
        <is>
          <t>Samuel Carlson</t>
        </is>
      </c>
      <c r="J1725" s="557" t="n"/>
      <c r="R1725" s="1" t="n"/>
    </row>
    <row r="1726" ht="17.25" customHeight="1" s="305">
      <c r="A1726" s="8" t="inlineStr">
        <is>
          <t>C 792</t>
        </is>
      </c>
      <c r="B1726" s="5" t="n">
        <v>74</v>
      </c>
      <c r="C1726" s="6" t="inlineStr">
        <is>
          <t>X</t>
        </is>
      </c>
      <c r="D1726" s="5" t="n">
        <v>324</v>
      </c>
      <c r="E1726" s="2">
        <f>B1726*D1726/10000</f>
        <v/>
      </c>
      <c r="F1726" s="3">
        <f>B1726/30.48</f>
        <v/>
      </c>
      <c r="G1726" s="3">
        <f>D1726/30.48</f>
        <v/>
      </c>
      <c r="H1726" s="69" t="inlineStr">
        <is>
          <t>MCHD-TR</t>
        </is>
      </c>
      <c r="I1726" s="557" t="n"/>
      <c r="J1726" s="557" t="n"/>
      <c r="R1726" s="1" t="n"/>
    </row>
    <row r="1727" ht="17.25" customHeight="1" s="305">
      <c r="A1727" s="8" t="n">
        <v>2461</v>
      </c>
      <c r="B1727" s="5" t="n">
        <v>86</v>
      </c>
      <c r="C1727" s="72" t="inlineStr">
        <is>
          <t>X</t>
        </is>
      </c>
      <c r="D1727" s="5" t="n">
        <v>450</v>
      </c>
      <c r="E1727" s="73">
        <f>B1727*D1727/10000</f>
        <v/>
      </c>
      <c r="F1727" s="74">
        <f>B1727/30.48</f>
        <v/>
      </c>
      <c r="G1727" s="74">
        <f>D1727/30.48</f>
        <v/>
      </c>
      <c r="H1727" s="592" t="inlineStr">
        <is>
          <t>PAC</t>
        </is>
      </c>
      <c r="I1727" s="534" t="inlineStr">
        <is>
          <t>Tiffany Compton</t>
        </is>
      </c>
      <c r="J1727" s="545" t="n"/>
      <c r="R1727" s="1" t="n"/>
    </row>
    <row r="1728" ht="17.25" customHeight="1" s="305">
      <c r="A1728" s="8" t="n">
        <v>2133</v>
      </c>
      <c r="B1728" s="5" t="n">
        <v>79</v>
      </c>
      <c r="C1728" s="72" t="inlineStr">
        <is>
          <t>X</t>
        </is>
      </c>
      <c r="D1728" s="5" t="n">
        <v>276</v>
      </c>
      <c r="E1728" s="73">
        <f>B1728*D1728/10000</f>
        <v/>
      </c>
      <c r="F1728" s="74">
        <f>B1728/30.48</f>
        <v/>
      </c>
      <c r="G1728" s="74">
        <f>D1728/30.48</f>
        <v/>
      </c>
      <c r="H1728" s="272" t="inlineStr">
        <is>
          <t>WTR</t>
        </is>
      </c>
      <c r="I1728" s="284" t="inlineStr">
        <is>
          <t>isaiah gonzales</t>
        </is>
      </c>
      <c r="J1728" s="545" t="n"/>
    </row>
    <row r="1729" ht="17.25" customHeight="1" s="305">
      <c r="A1729" s="8" t="inlineStr">
        <is>
          <t>D 309</t>
        </is>
      </c>
      <c r="B1729" s="5" t="n">
        <v>41</v>
      </c>
      <c r="C1729" s="72" t="inlineStr">
        <is>
          <t>X</t>
        </is>
      </c>
      <c r="D1729" s="5" t="n">
        <v>80</v>
      </c>
      <c r="E1729" s="73">
        <f>B1729*D1729/10000</f>
        <v/>
      </c>
      <c r="F1729" s="74">
        <f>B1729/30.48</f>
        <v/>
      </c>
      <c r="G1729" s="74">
        <f>D1729/30.48</f>
        <v/>
      </c>
      <c r="H1729" s="272" t="inlineStr">
        <is>
          <t>WTR</t>
        </is>
      </c>
      <c r="I1729" s="534" t="inlineStr">
        <is>
          <t>Chancellor Stewart</t>
        </is>
      </c>
      <c r="J1729" s="545" t="n"/>
    </row>
    <row r="1730" ht="17.25" customHeight="1" s="305">
      <c r="A1730" s="8" t="n">
        <v>2480</v>
      </c>
      <c r="B1730" s="5" t="n">
        <v>86</v>
      </c>
      <c r="C1730" s="72" t="inlineStr">
        <is>
          <t>X</t>
        </is>
      </c>
      <c r="D1730" s="5" t="n">
        <v>372</v>
      </c>
      <c r="E1730" s="73">
        <f>B1730*D1730/10000</f>
        <v/>
      </c>
      <c r="F1730" s="74">
        <f>B1730/30.48</f>
        <v/>
      </c>
      <c r="G1730" s="74">
        <f>D1730/30.48</f>
        <v/>
      </c>
      <c r="H1730" s="272" t="inlineStr">
        <is>
          <t>WTR</t>
        </is>
      </c>
      <c r="I1730" s="570" t="inlineStr">
        <is>
          <t>Nathaniel Rathbun</t>
        </is>
      </c>
      <c r="J1730" s="557" t="n"/>
    </row>
    <row r="1731" ht="17.25" customHeight="1" s="305">
      <c r="A1731" s="8" t="n">
        <v>1485</v>
      </c>
      <c r="B1731" s="5" t="n">
        <v>93</v>
      </c>
      <c r="C1731" s="72" t="inlineStr">
        <is>
          <t>X</t>
        </is>
      </c>
      <c r="D1731" s="5" t="n">
        <v>508</v>
      </c>
      <c r="E1731" s="73">
        <f>B1731*D1731/10000</f>
        <v/>
      </c>
      <c r="F1731" s="74">
        <f>B1731/30.48</f>
        <v/>
      </c>
      <c r="G1731" s="74">
        <f>D1731/30.48</f>
        <v/>
      </c>
      <c r="H1731" s="69" t="inlineStr">
        <is>
          <t>MCHD-TR</t>
        </is>
      </c>
      <c r="I1731" s="557" t="n"/>
      <c r="J1731" s="557" t="n"/>
    </row>
    <row r="1732" ht="17.25" customHeight="1" s="305">
      <c r="A1732" s="8" t="inlineStr">
        <is>
          <t>H 224</t>
        </is>
      </c>
      <c r="B1732" s="5" t="n">
        <v>87</v>
      </c>
      <c r="C1732" s="6" t="inlineStr">
        <is>
          <t>X</t>
        </is>
      </c>
      <c r="D1732" s="5" t="n">
        <v>270</v>
      </c>
      <c r="E1732" s="2">
        <f>B1732*D1732/10000</f>
        <v/>
      </c>
      <c r="F1732" s="3">
        <f>B1732/30.48</f>
        <v/>
      </c>
      <c r="G1732" s="3">
        <f>D1732/30.48</f>
        <v/>
      </c>
      <c r="H1732" s="569" t="inlineStr">
        <is>
          <t>OLD</t>
        </is>
      </c>
      <c r="I1732" s="570" t="inlineStr">
        <is>
          <t>Emmerie Welmaker</t>
        </is>
      </c>
      <c r="J1732" s="557" t="n"/>
    </row>
    <row r="1733" ht="17.25" customHeight="1" s="305">
      <c r="A1733" s="8" t="n">
        <v>1032</v>
      </c>
      <c r="B1733" s="5" t="n">
        <v>128</v>
      </c>
      <c r="C1733" s="72" t="inlineStr">
        <is>
          <t>X</t>
        </is>
      </c>
      <c r="D1733" s="5" t="n">
        <v>237</v>
      </c>
      <c r="E1733" s="73">
        <f>B1733*D1733/10000</f>
        <v/>
      </c>
      <c r="F1733" s="74">
        <f>B1733/30.48</f>
        <v/>
      </c>
      <c r="G1733" s="74">
        <f>D1733/30.48</f>
        <v/>
      </c>
      <c r="H1733" s="69" t="inlineStr">
        <is>
          <t>RK</t>
        </is>
      </c>
      <c r="I1733" s="626" t="inlineStr">
        <is>
          <t>Eva Teixeira</t>
        </is>
      </c>
      <c r="J1733" s="557" t="n"/>
      <c r="R1733" s="1" t="n"/>
    </row>
    <row r="1734" ht="17.25" customHeight="1" s="305">
      <c r="A1734" s="8" t="n">
        <v>1619</v>
      </c>
      <c r="B1734" s="5" t="n">
        <v>203</v>
      </c>
      <c r="C1734" s="72" t="inlineStr">
        <is>
          <t>X</t>
        </is>
      </c>
      <c r="D1734" s="5" t="n">
        <v>90</v>
      </c>
      <c r="E1734" s="73">
        <f>B1734*D1734/10000</f>
        <v/>
      </c>
      <c r="F1734" s="74">
        <f>B1734/30.48</f>
        <v/>
      </c>
      <c r="G1734" s="74">
        <f>D1734/30.48</f>
        <v/>
      </c>
      <c r="H1734" s="708" t="inlineStr">
        <is>
          <t>MCHD-TR</t>
        </is>
      </c>
      <c r="I1734" s="557" t="n"/>
      <c r="J1734" s="557" t="n"/>
      <c r="R1734" s="1" t="n"/>
    </row>
    <row r="1735" ht="17.25" customHeight="1" s="305">
      <c r="A1735" s="8" t="inlineStr">
        <is>
          <t>A 15</t>
        </is>
      </c>
      <c r="B1735" s="5" t="n">
        <v>75</v>
      </c>
      <c r="C1735" s="6" t="inlineStr">
        <is>
          <t>X</t>
        </is>
      </c>
      <c r="D1735" s="5" t="n">
        <v>197</v>
      </c>
      <c r="E1735" s="2">
        <f>B1735*D1735/10000</f>
        <v/>
      </c>
      <c r="F1735" s="3">
        <f>B1735/30.48</f>
        <v/>
      </c>
      <c r="G1735" s="3">
        <f>D1735/30.48</f>
        <v/>
      </c>
      <c r="H1735" s="693" t="n"/>
      <c r="I1735" s="693" t="n"/>
      <c r="J1735" s="557" t="n"/>
      <c r="R1735" s="1" t="n"/>
    </row>
    <row r="1736" ht="17.25" customHeight="1" s="305">
      <c r="A1736" s="8" t="n">
        <v>2080</v>
      </c>
      <c r="B1736" s="5" t="n">
        <v>80</v>
      </c>
      <c r="C1736" s="72" t="inlineStr">
        <is>
          <t>X</t>
        </is>
      </c>
      <c r="D1736" s="5" t="n">
        <v>360</v>
      </c>
      <c r="E1736" s="73">
        <f>B1736*D1736/10000</f>
        <v/>
      </c>
      <c r="F1736" s="74">
        <f>B1736/30.48</f>
        <v/>
      </c>
      <c r="G1736" s="74">
        <f>D1736/30.48</f>
        <v/>
      </c>
      <c r="H1736" s="694" t="n"/>
      <c r="I1736" s="694" t="n"/>
      <c r="J1736" s="557" t="n"/>
      <c r="R1736" s="1" t="n"/>
    </row>
    <row r="1737" ht="17.25" customHeight="1" s="305">
      <c r="A1737" s="8" t="n">
        <v>4054</v>
      </c>
      <c r="B1737" s="5" t="n">
        <v>68</v>
      </c>
      <c r="C1737" s="72" t="inlineStr">
        <is>
          <t>X</t>
        </is>
      </c>
      <c r="D1737" s="5" t="n">
        <v>146</v>
      </c>
      <c r="E1737" s="73">
        <f>B1737*D1737/10000</f>
        <v/>
      </c>
      <c r="F1737" s="74">
        <f>B1737/30.48</f>
        <v/>
      </c>
      <c r="G1737" s="74">
        <f>D1737/30.48</f>
        <v/>
      </c>
      <c r="H1737" s="69" t="inlineStr">
        <is>
          <t>MCHD-TR</t>
        </is>
      </c>
      <c r="I1737" s="557" t="n"/>
      <c r="J1737" s="557" t="n"/>
      <c r="R1737" s="1" t="n"/>
    </row>
    <row r="1738" ht="17.25" customHeight="1" s="305">
      <c r="A1738" s="8" t="n">
        <v>4054</v>
      </c>
      <c r="B1738" s="5" t="n">
        <v>233</v>
      </c>
      <c r="C1738" s="72" t="inlineStr">
        <is>
          <t>X</t>
        </is>
      </c>
      <c r="D1738" s="5" t="n">
        <v>291</v>
      </c>
      <c r="E1738" s="73">
        <f>B1738*D1738/10000</f>
        <v/>
      </c>
      <c r="F1738" s="74">
        <f>B1738/30.48</f>
        <v/>
      </c>
      <c r="G1738" s="74">
        <f>D1738/30.48</f>
        <v/>
      </c>
      <c r="H1738" s="69" t="inlineStr">
        <is>
          <t>MCHD-TR</t>
        </is>
      </c>
      <c r="I1738" s="557" t="n"/>
      <c r="J1738" s="557" t="n"/>
      <c r="R1738" s="1" t="n"/>
    </row>
    <row r="1739" ht="17.25" customHeight="1" s="305">
      <c r="A1739" s="8" t="inlineStr">
        <is>
          <t>C 574</t>
        </is>
      </c>
      <c r="B1739" s="5" t="n">
        <v>86</v>
      </c>
      <c r="C1739" s="6" t="inlineStr">
        <is>
          <t>X</t>
        </is>
      </c>
      <c r="D1739" s="5" t="n">
        <v>277</v>
      </c>
      <c r="E1739" s="2">
        <f>B1739*D1739/10000</f>
        <v/>
      </c>
      <c r="F1739" s="3">
        <f>B1739/30.48</f>
        <v/>
      </c>
      <c r="G1739" s="3">
        <f>D1739/30.48</f>
        <v/>
      </c>
      <c r="H1739" s="69" t="inlineStr">
        <is>
          <t>RK</t>
        </is>
      </c>
      <c r="I1739" s="570" t="inlineStr">
        <is>
          <t>Lea Parsons</t>
        </is>
      </c>
      <c r="J1739" s="557" t="n"/>
      <c r="R1739" s="1" t="n"/>
    </row>
    <row r="1740" ht="17.25" customHeight="1" s="305">
      <c r="A1740" s="8" t="inlineStr">
        <is>
          <t>C 861</t>
        </is>
      </c>
      <c r="B1740" s="5" t="n">
        <v>135</v>
      </c>
      <c r="C1740" s="6" t="inlineStr">
        <is>
          <t>X</t>
        </is>
      </c>
      <c r="D1740" s="5" t="n">
        <v>162</v>
      </c>
      <c r="E1740" s="2">
        <f>B1740*D1740/10000</f>
        <v/>
      </c>
      <c r="F1740" s="3">
        <f>B1740/30.48</f>
        <v/>
      </c>
      <c r="G1740" s="3">
        <f>D1740/30.48</f>
        <v/>
      </c>
      <c r="H1740" s="569" t="inlineStr">
        <is>
          <t>OLD</t>
        </is>
      </c>
      <c r="I1740" s="570" t="inlineStr">
        <is>
          <t>Mary beth OBriant</t>
        </is>
      </c>
      <c r="J1740" s="557" t="n"/>
      <c r="R1740" s="1" t="n"/>
    </row>
    <row r="1741" ht="17.25" customHeight="1" s="305">
      <c r="A1741" s="8" t="inlineStr">
        <is>
          <t>D 93</t>
        </is>
      </c>
      <c r="B1741" s="5" t="n">
        <v>47</v>
      </c>
      <c r="C1741" s="72" t="inlineStr">
        <is>
          <t>X</t>
        </is>
      </c>
      <c r="D1741" s="5" t="n">
        <v>101</v>
      </c>
      <c r="E1741" s="73">
        <f>B1741*D1741/10000</f>
        <v/>
      </c>
      <c r="F1741" s="74">
        <f>B1741/30.48</f>
        <v/>
      </c>
      <c r="G1741" s="74">
        <f>D1741/30.48</f>
        <v/>
      </c>
      <c r="H1741" s="569" t="inlineStr">
        <is>
          <t>OLD</t>
        </is>
      </c>
      <c r="I1741" s="534" t="inlineStr">
        <is>
          <t>Barbara H Fischl</t>
        </is>
      </c>
      <c r="J1741" s="545" t="n"/>
    </row>
    <row r="1742" ht="17.25" customHeight="1" s="305">
      <c r="A1742" s="8" t="n">
        <v>3342</v>
      </c>
      <c r="B1742" s="5" t="n"/>
      <c r="C1742" s="72" t="inlineStr">
        <is>
          <t>X</t>
        </is>
      </c>
      <c r="D1742" s="5" t="n"/>
      <c r="E1742" s="73">
        <f>B1742*D1742/10000</f>
        <v/>
      </c>
      <c r="F1742" s="74">
        <f>B1742/30.48</f>
        <v/>
      </c>
      <c r="G1742" s="74">
        <f>D1742/30.48</f>
        <v/>
      </c>
      <c r="H1742" s="69" t="inlineStr">
        <is>
          <t>MCHD-TR</t>
        </is>
      </c>
      <c r="I1742" s="557" t="n"/>
      <c r="J1742" s="557" t="n"/>
    </row>
    <row r="1743" ht="17.25" customHeight="1" s="305">
      <c r="A1743" s="8" t="n">
        <v>3354</v>
      </c>
      <c r="B1743" s="5" t="n"/>
      <c r="C1743" s="72" t="inlineStr">
        <is>
          <t>X</t>
        </is>
      </c>
      <c r="D1743" s="5" t="n"/>
      <c r="E1743" s="73">
        <f>B1743*D1743/10000</f>
        <v/>
      </c>
      <c r="F1743" s="74">
        <f>B1743/30.48</f>
        <v/>
      </c>
      <c r="G1743" s="74">
        <f>D1743/30.48</f>
        <v/>
      </c>
      <c r="H1743" s="69" t="inlineStr">
        <is>
          <t>MCHD-TR</t>
        </is>
      </c>
      <c r="I1743" s="557" t="n"/>
      <c r="J1743" s="557" t="n"/>
      <c r="R1743" s="1" t="n"/>
    </row>
    <row r="1744" ht="17.25" customHeight="1" s="305">
      <c r="A1744" s="8" t="n">
        <v>2078</v>
      </c>
      <c r="B1744" s="5" t="n">
        <v>84</v>
      </c>
      <c r="C1744" s="72" t="inlineStr">
        <is>
          <t>X</t>
        </is>
      </c>
      <c r="D1744" s="5" t="n">
        <v>414</v>
      </c>
      <c r="E1744" s="73">
        <f>B1744*D1744/10000</f>
        <v/>
      </c>
      <c r="F1744" s="74">
        <f>B1744/30.48</f>
        <v/>
      </c>
      <c r="G1744" s="74">
        <f>D1744/30.48</f>
        <v/>
      </c>
      <c r="H1744" s="69" t="inlineStr">
        <is>
          <t>MCHD-TR</t>
        </is>
      </c>
      <c r="I1744" s="557" t="n"/>
      <c r="J1744" s="557" t="n"/>
    </row>
    <row r="1745" ht="17.25" customHeight="1" s="305">
      <c r="A1745" s="8" t="n">
        <v>2286</v>
      </c>
      <c r="B1745" s="5" t="n">
        <v>92</v>
      </c>
      <c r="C1745" s="72" t="inlineStr">
        <is>
          <t>X</t>
        </is>
      </c>
      <c r="D1745" s="5" t="n">
        <v>178</v>
      </c>
      <c r="E1745" s="73">
        <f>B1745*D1745/10000</f>
        <v/>
      </c>
      <c r="F1745" s="74">
        <f>B1745/30.48</f>
        <v/>
      </c>
      <c r="G1745" s="74">
        <f>D1745/30.48</f>
        <v/>
      </c>
      <c r="H1745" s="272" t="inlineStr">
        <is>
          <t>WTR</t>
        </is>
      </c>
      <c r="I1745" s="570" t="inlineStr">
        <is>
          <t>Alecia Teague</t>
        </is>
      </c>
      <c r="J1745" s="557" t="n"/>
      <c r="R1745" s="1" t="n"/>
    </row>
    <row r="1746" ht="17.25" customHeight="1" s="305">
      <c r="A1746" s="8" t="n">
        <v>3065</v>
      </c>
      <c r="B1746" s="5" t="n">
        <v>100</v>
      </c>
      <c r="C1746" s="72" t="inlineStr">
        <is>
          <t>X</t>
        </is>
      </c>
      <c r="D1746" s="5" t="n">
        <v>190</v>
      </c>
      <c r="E1746" s="73">
        <f>B1746*D1746/10000</f>
        <v/>
      </c>
      <c r="F1746" s="74">
        <f>B1746/30.48</f>
        <v/>
      </c>
      <c r="G1746" s="74">
        <f>D1746/30.48</f>
        <v/>
      </c>
      <c r="H1746" s="272" t="inlineStr">
        <is>
          <t>WTR</t>
        </is>
      </c>
      <c r="I1746" s="534" t="inlineStr">
        <is>
          <t>Mackenzie Howe</t>
        </is>
      </c>
      <c r="J1746" s="545" t="n"/>
      <c r="R1746" s="1" t="n"/>
    </row>
    <row r="1747" ht="17.25" customHeight="1" s="305">
      <c r="A1747" s="8" t="inlineStr">
        <is>
          <t>C 523</t>
        </is>
      </c>
      <c r="B1747" s="5" t="n">
        <v>112</v>
      </c>
      <c r="C1747" s="6" t="inlineStr">
        <is>
          <t>X</t>
        </is>
      </c>
      <c r="D1747" s="5" t="n">
        <v>228</v>
      </c>
      <c r="E1747" s="2">
        <f>B1747*D1747/10000</f>
        <v/>
      </c>
      <c r="F1747" s="3">
        <f>B1747/30.48</f>
        <v/>
      </c>
      <c r="G1747" s="3">
        <f>D1747/30.48</f>
        <v/>
      </c>
      <c r="H1747" s="69" t="inlineStr">
        <is>
          <t>RK</t>
        </is>
      </c>
      <c r="I1747" s="570" t="inlineStr">
        <is>
          <t>Kari Ivanitsky</t>
        </is>
      </c>
      <c r="J1747" s="557" t="n"/>
    </row>
    <row r="1748" ht="17.25" customHeight="1" s="305">
      <c r="A1748" s="8" t="n">
        <v>2267</v>
      </c>
      <c r="B1748" s="5" t="n">
        <v>103</v>
      </c>
      <c r="C1748" s="72" t="inlineStr">
        <is>
          <t>X</t>
        </is>
      </c>
      <c r="D1748" s="5" t="n">
        <v>179</v>
      </c>
      <c r="E1748" s="73">
        <f>B1748*D1748/10000</f>
        <v/>
      </c>
      <c r="F1748" s="74">
        <f>B1748/30.48</f>
        <v/>
      </c>
      <c r="G1748" s="74">
        <f>D1748/30.48</f>
        <v/>
      </c>
      <c r="H1748" s="272" t="inlineStr">
        <is>
          <t>WTR</t>
        </is>
      </c>
      <c r="I1748" s="570" t="inlineStr">
        <is>
          <t>Designs by Whitney</t>
        </is>
      </c>
      <c r="J1748" s="557" t="n"/>
      <c r="R1748" s="1" t="n"/>
    </row>
    <row r="1749" ht="17.25" customHeight="1" s="305">
      <c r="A1749" s="8" t="n">
        <v>1942</v>
      </c>
      <c r="B1749" s="5" t="n">
        <v>76</v>
      </c>
      <c r="C1749" s="72" t="inlineStr">
        <is>
          <t>X</t>
        </is>
      </c>
      <c r="D1749" s="5" t="n">
        <v>273</v>
      </c>
      <c r="E1749" s="73">
        <f>B1749*D1749/10000</f>
        <v/>
      </c>
      <c r="F1749" s="74">
        <f>B1749/30.48</f>
        <v/>
      </c>
      <c r="G1749" s="74">
        <f>D1749/30.48</f>
        <v/>
      </c>
      <c r="H1749" s="592" t="inlineStr">
        <is>
          <t>PAC</t>
        </is>
      </c>
      <c r="I1749" s="570" t="inlineStr">
        <is>
          <t>Emily Dachelet</t>
        </is>
      </c>
      <c r="J1749" s="557" t="n"/>
      <c r="R1749" s="1" t="n"/>
    </row>
    <row r="1750" ht="17.25" customHeight="1" s="305">
      <c r="A1750" s="8" t="n">
        <v>1093</v>
      </c>
      <c r="B1750" s="5" t="n">
        <v>91</v>
      </c>
      <c r="C1750" s="72" t="inlineStr">
        <is>
          <t>X</t>
        </is>
      </c>
      <c r="D1750" s="5" t="n">
        <v>369</v>
      </c>
      <c r="E1750" s="73">
        <f>B1750*D1750/10000</f>
        <v/>
      </c>
      <c r="F1750" s="74">
        <f>B1750/30.48</f>
        <v/>
      </c>
      <c r="G1750" s="74">
        <f>D1750/30.48</f>
        <v/>
      </c>
      <c r="H1750" s="69" t="inlineStr">
        <is>
          <t>MCHD-TR</t>
        </is>
      </c>
      <c r="I1750" s="545" t="n"/>
      <c r="J1750" s="545" t="n"/>
      <c r="R1750" s="1" t="n"/>
    </row>
    <row r="1751" ht="17.25" customHeight="1" s="305">
      <c r="A1751" s="8" t="inlineStr">
        <is>
          <t>D 198</t>
        </is>
      </c>
      <c r="B1751" s="5" t="n">
        <v>52</v>
      </c>
      <c r="C1751" s="72" t="inlineStr">
        <is>
          <t>X</t>
        </is>
      </c>
      <c r="D1751" s="5" t="n">
        <v>86</v>
      </c>
      <c r="E1751" s="73">
        <f>B1751*D1751/10000</f>
        <v/>
      </c>
      <c r="F1751" s="74">
        <f>B1751/30.48</f>
        <v/>
      </c>
      <c r="G1751" s="74">
        <f>D1751/30.48</f>
        <v/>
      </c>
      <c r="H1751" s="569" t="inlineStr">
        <is>
          <t>OLD</t>
        </is>
      </c>
      <c r="I1751" s="570" t="inlineStr">
        <is>
          <t>Michelle Lang</t>
        </is>
      </c>
      <c r="J1751" s="557" t="n"/>
    </row>
    <row r="1752" ht="17.25" customHeight="1" s="305">
      <c r="A1752" s="8" t="n">
        <v>1644</v>
      </c>
      <c r="B1752" s="5" t="n">
        <v>316</v>
      </c>
      <c r="C1752" s="72" t="inlineStr">
        <is>
          <t>X</t>
        </is>
      </c>
      <c r="D1752" s="5" t="n">
        <v>95</v>
      </c>
      <c r="E1752" s="73">
        <f>B1752*D1752/10000</f>
        <v/>
      </c>
      <c r="F1752" s="74">
        <f>B1752/30.48</f>
        <v/>
      </c>
      <c r="G1752" s="74">
        <f>D1752/30.48</f>
        <v/>
      </c>
      <c r="H1752" s="569" t="inlineStr">
        <is>
          <t>OLD</t>
        </is>
      </c>
      <c r="I1752" s="570" t="inlineStr">
        <is>
          <t>Jeannette Bahouth</t>
        </is>
      </c>
      <c r="J1752" s="557" t="n"/>
    </row>
    <row r="1753" ht="17.25" customHeight="1" s="305">
      <c r="A1753" s="8" t="n">
        <v>2473</v>
      </c>
      <c r="B1753" s="5" t="n">
        <v>72</v>
      </c>
      <c r="C1753" s="72" t="inlineStr">
        <is>
          <t>X</t>
        </is>
      </c>
      <c r="D1753" s="5" t="n">
        <v>297</v>
      </c>
      <c r="E1753" s="73">
        <f>B1753*D1753/10000</f>
        <v/>
      </c>
      <c r="F1753" s="74">
        <f>B1753/30.48</f>
        <v/>
      </c>
      <c r="G1753" s="74">
        <f>D1753/30.48</f>
        <v/>
      </c>
      <c r="H1753" s="272" t="inlineStr">
        <is>
          <t>WTR</t>
        </is>
      </c>
      <c r="I1753" s="534" t="inlineStr">
        <is>
          <t>Mychelle Gingue</t>
        </is>
      </c>
      <c r="J1753" s="545" t="n"/>
      <c r="R1753" s="1" t="n"/>
    </row>
    <row r="1754" ht="17.25" customHeight="1" s="305">
      <c r="A1754" s="8" t="inlineStr">
        <is>
          <t>C 852</t>
        </is>
      </c>
      <c r="B1754" s="5" t="n">
        <v>91</v>
      </c>
      <c r="C1754" s="6" t="inlineStr">
        <is>
          <t>X</t>
        </is>
      </c>
      <c r="D1754" s="5" t="n">
        <v>352</v>
      </c>
      <c r="E1754" s="2">
        <f>B1754*D1754/10000</f>
        <v/>
      </c>
      <c r="F1754" s="3">
        <f>B1754/30.48</f>
        <v/>
      </c>
      <c r="G1754" s="3">
        <f>D1754/30.48</f>
        <v/>
      </c>
      <c r="H1754" s="69" t="inlineStr">
        <is>
          <t>MCHD-TR</t>
        </is>
      </c>
      <c r="I1754" s="557" t="n"/>
      <c r="J1754" s="557" t="n"/>
      <c r="R1754" s="1" t="n"/>
    </row>
    <row r="1755" ht="17.25" customHeight="1" s="305">
      <c r="A1755" s="8" t="n">
        <v>3401</v>
      </c>
      <c r="B1755" s="5" t="n"/>
      <c r="C1755" s="72" t="inlineStr">
        <is>
          <t>X</t>
        </is>
      </c>
      <c r="D1755" s="5" t="n"/>
      <c r="E1755" s="73">
        <f>B1755*D1755/10000</f>
        <v/>
      </c>
      <c r="F1755" s="74">
        <f>B1755/30.48</f>
        <v/>
      </c>
      <c r="G1755" s="74">
        <f>D1755/30.48</f>
        <v/>
      </c>
      <c r="H1755" s="69" t="inlineStr">
        <is>
          <t>MCHD-TR</t>
        </is>
      </c>
      <c r="I1755" s="557" t="n"/>
      <c r="J1755" s="557" t="n"/>
      <c r="R1755" s="1" t="n"/>
    </row>
    <row r="1756" ht="17.25" customHeight="1" s="305">
      <c r="A1756" s="8" t="n">
        <v>2380</v>
      </c>
      <c r="B1756" s="5" t="n">
        <v>150</v>
      </c>
      <c r="C1756" s="72" t="inlineStr">
        <is>
          <t>X</t>
        </is>
      </c>
      <c r="D1756" s="5" t="n">
        <v>248</v>
      </c>
      <c r="E1756" s="73">
        <f>B1756*D1756/10000</f>
        <v/>
      </c>
      <c r="F1756" s="74">
        <f>B1756/30.48</f>
        <v/>
      </c>
      <c r="G1756" s="74">
        <f>D1756/30.48</f>
        <v/>
      </c>
      <c r="H1756" s="69" t="inlineStr">
        <is>
          <t>MCHD-TR</t>
        </is>
      </c>
      <c r="I1756" s="545" t="n"/>
      <c r="J1756" s="545" t="n"/>
      <c r="R1756" s="1" t="n"/>
    </row>
    <row r="1757" ht="17.25" customHeight="1" s="305">
      <c r="A1757" s="8" t="inlineStr">
        <is>
          <t>A 127</t>
        </is>
      </c>
      <c r="B1757" s="5" t="n">
        <v>90</v>
      </c>
      <c r="C1757" s="6" t="inlineStr">
        <is>
          <t>X</t>
        </is>
      </c>
      <c r="D1757" s="5" t="n">
        <v>401</v>
      </c>
      <c r="E1757" s="2">
        <f>B1757*D1757/10000</f>
        <v/>
      </c>
      <c r="F1757" s="3">
        <f>B1757/30.48</f>
        <v/>
      </c>
      <c r="G1757" s="3">
        <f>D1757/30.48</f>
        <v/>
      </c>
      <c r="H1757" s="69" t="inlineStr">
        <is>
          <t>RK</t>
        </is>
      </c>
      <c r="I1757" s="534" t="inlineStr">
        <is>
          <t>Amber McKinley</t>
        </is>
      </c>
      <c r="J1757" s="545" t="n"/>
    </row>
    <row r="1758">
      <c r="A1758" s="536" t="inlineStr">
        <is>
          <t>-2024 EYLÜL-</t>
        </is>
      </c>
      <c r="H1758" s="104" t="inlineStr">
        <is>
          <t>SATAN-SİTE</t>
        </is>
      </c>
      <c r="I1758" s="98" t="inlineStr">
        <is>
          <t>MÜŞTERİ ADI</t>
        </is>
      </c>
      <c r="J1758" s="63" t="inlineStr">
        <is>
          <t>MÜŞTERİ İLETİŞİM &amp; ÜLKE</t>
        </is>
      </c>
      <c r="P1758" s="1" t="n"/>
    </row>
    <row r="1759" ht="17.25" customHeight="1" s="305">
      <c r="A1759" s="8" t="n">
        <v>1955</v>
      </c>
      <c r="B1759" s="5" t="n">
        <v>76</v>
      </c>
      <c r="C1759" s="72" t="inlineStr">
        <is>
          <t>X</t>
        </is>
      </c>
      <c r="D1759" s="5" t="n">
        <v>364</v>
      </c>
      <c r="E1759" s="73">
        <f>B1759*D1759/10000</f>
        <v/>
      </c>
      <c r="F1759" s="74">
        <f>B1759/30.48</f>
        <v/>
      </c>
      <c r="G1759" s="74">
        <f>D1759/30.48</f>
        <v/>
      </c>
      <c r="H1759" s="69" t="inlineStr">
        <is>
          <t>MCHD-TR</t>
        </is>
      </c>
      <c r="I1759" s="557" t="n"/>
      <c r="J1759" s="557" t="n"/>
    </row>
    <row r="1760" ht="17.25" customHeight="1" s="305">
      <c r="A1760" s="8" t="n">
        <v>3253</v>
      </c>
      <c r="B1760" s="5" t="n">
        <v>142</v>
      </c>
      <c r="C1760" s="72" t="inlineStr">
        <is>
          <t>X</t>
        </is>
      </c>
      <c r="D1760" s="5" t="n">
        <v>224</v>
      </c>
      <c r="E1760" s="73">
        <f>B1760*D1760/10000</f>
        <v/>
      </c>
      <c r="F1760" s="74">
        <f>B1760/30.48</f>
        <v/>
      </c>
      <c r="G1760" s="74">
        <f>D1760/30.48</f>
        <v/>
      </c>
      <c r="H1760" s="69" t="inlineStr">
        <is>
          <t>MCHD-TR</t>
        </is>
      </c>
      <c r="I1760" s="545" t="n"/>
      <c r="J1760" s="545" t="n"/>
      <c r="R1760" s="1" t="n"/>
    </row>
    <row r="1761" ht="17.25" customHeight="1" s="305">
      <c r="A1761" s="8" t="n">
        <v>1298</v>
      </c>
      <c r="B1761" s="5" t="n">
        <v>120</v>
      </c>
      <c r="C1761" s="72" t="inlineStr">
        <is>
          <t>X</t>
        </is>
      </c>
      <c r="D1761" s="5" t="n">
        <v>215</v>
      </c>
      <c r="E1761" s="73">
        <f>B1761*D1761/10000</f>
        <v/>
      </c>
      <c r="F1761" s="74">
        <f>B1761/30.48</f>
        <v/>
      </c>
      <c r="G1761" s="74">
        <f>D1761/30.48</f>
        <v/>
      </c>
      <c r="H1761" s="592" t="inlineStr">
        <is>
          <t>PAC</t>
        </is>
      </c>
      <c r="I1761" s="570" t="inlineStr">
        <is>
          <t>Morgan Edge</t>
        </is>
      </c>
      <c r="J1761" s="557" t="n"/>
    </row>
    <row r="1762" ht="17.25" customHeight="1" s="305">
      <c r="A1762" s="8" t="n">
        <v>1804</v>
      </c>
      <c r="B1762" s="5" t="n">
        <v>130</v>
      </c>
      <c r="C1762" s="72" t="inlineStr">
        <is>
          <t>X</t>
        </is>
      </c>
      <c r="D1762" s="5" t="n">
        <v>234</v>
      </c>
      <c r="E1762" s="73">
        <f>B1762*D1762/10000</f>
        <v/>
      </c>
      <c r="F1762" s="74">
        <f>B1762/30.48</f>
        <v/>
      </c>
      <c r="G1762" s="74">
        <f>D1762/30.48</f>
        <v/>
      </c>
      <c r="H1762" s="69" t="inlineStr">
        <is>
          <t>RK</t>
        </is>
      </c>
      <c r="I1762" s="534" t="inlineStr">
        <is>
          <t>Rae Ariel</t>
        </is>
      </c>
      <c r="J1762" s="545" t="n"/>
      <c r="R1762" s="1" t="n"/>
    </row>
    <row r="1763" ht="17.25" customHeight="1" s="305">
      <c r="A1763" s="8" t="inlineStr">
        <is>
          <t>D 117</t>
        </is>
      </c>
      <c r="B1763" s="5" t="n">
        <v>47</v>
      </c>
      <c r="C1763" s="72" t="inlineStr">
        <is>
          <t>X</t>
        </is>
      </c>
      <c r="D1763" s="5" t="n">
        <v>116</v>
      </c>
      <c r="E1763" s="73">
        <f>B1763*D1763/10000</f>
        <v/>
      </c>
      <c r="F1763" s="74">
        <f>B1763/30.48</f>
        <v/>
      </c>
      <c r="G1763" s="74">
        <f>D1763/30.48</f>
        <v/>
      </c>
      <c r="H1763" s="569" t="inlineStr">
        <is>
          <t>OLD</t>
        </is>
      </c>
      <c r="I1763" s="534" t="inlineStr">
        <is>
          <t>Heather D Horgan</t>
        </is>
      </c>
      <c r="J1763" s="545" t="n"/>
    </row>
    <row r="1764" ht="17.25" customHeight="1" s="305">
      <c r="A1764" s="8" t="inlineStr">
        <is>
          <t>C 403</t>
        </is>
      </c>
      <c r="B1764" s="5" t="n">
        <v>183</v>
      </c>
      <c r="C1764" s="6" t="inlineStr">
        <is>
          <t>X</t>
        </is>
      </c>
      <c r="D1764" s="5" t="n">
        <v>272</v>
      </c>
      <c r="E1764" s="2">
        <f>B1764*D1764/10000</f>
        <v/>
      </c>
      <c r="F1764" s="3">
        <f>B1764/30.48</f>
        <v/>
      </c>
      <c r="G1764" s="3">
        <f>D1764/30.48</f>
        <v/>
      </c>
      <c r="H1764" s="69" t="inlineStr">
        <is>
          <t>MCHD-TR</t>
        </is>
      </c>
      <c r="I1764" s="557" t="n"/>
      <c r="J1764" s="557" t="n"/>
    </row>
    <row r="1765" ht="17.25" customHeight="1" s="305">
      <c r="A1765" s="8" t="n">
        <v>2350</v>
      </c>
      <c r="B1765" s="5" t="n">
        <v>82</v>
      </c>
      <c r="C1765" s="72" t="inlineStr">
        <is>
          <t>X</t>
        </is>
      </c>
      <c r="D1765" s="5" t="n">
        <v>443</v>
      </c>
      <c r="E1765" s="73">
        <f>B1765*D1765/10000</f>
        <v/>
      </c>
      <c r="F1765" s="74">
        <f>B1765/30.48</f>
        <v/>
      </c>
      <c r="G1765" s="74">
        <f>D1765/30.48</f>
        <v/>
      </c>
      <c r="H1765" s="69" t="inlineStr">
        <is>
          <t>MCHD-TR</t>
        </is>
      </c>
      <c r="I1765" s="557" t="n"/>
      <c r="J1765" s="557" t="n"/>
      <c r="R1765" s="1" t="n"/>
    </row>
    <row r="1766" ht="17.25" customHeight="1" s="305">
      <c r="A1766" s="8" t="inlineStr">
        <is>
          <t>Y 488</t>
        </is>
      </c>
      <c r="B1766" s="5" t="n">
        <v>237</v>
      </c>
      <c r="C1766" s="6" t="inlineStr">
        <is>
          <t>X</t>
        </is>
      </c>
      <c r="D1766" s="5" t="n">
        <v>115</v>
      </c>
      <c r="E1766" s="2">
        <f>B1766*D1766/10000</f>
        <v/>
      </c>
      <c r="F1766" s="3">
        <f>B1766/30.48</f>
        <v/>
      </c>
      <c r="G1766" s="3">
        <f>D1766/30.48</f>
        <v/>
      </c>
      <c r="H1766" s="569" t="inlineStr">
        <is>
          <t>OLD</t>
        </is>
      </c>
      <c r="I1766" s="570" t="inlineStr">
        <is>
          <t>Sarah Severns</t>
        </is>
      </c>
      <c r="J1766" s="557" t="n"/>
    </row>
    <row r="1767" ht="17.25" customHeight="1" s="305">
      <c r="A1767" s="8" t="n">
        <v>675</v>
      </c>
      <c r="B1767" s="5" t="n">
        <v>166</v>
      </c>
      <c r="C1767" s="6" t="inlineStr">
        <is>
          <t>X</t>
        </is>
      </c>
      <c r="D1767" s="5" t="n">
        <v>271</v>
      </c>
      <c r="E1767" s="2">
        <f>B1767*D1767/10000</f>
        <v/>
      </c>
      <c r="F1767" s="3">
        <f>B1767/30.48</f>
        <v/>
      </c>
      <c r="G1767" s="3">
        <f>D1767/30.48</f>
        <v/>
      </c>
      <c r="H1767" s="16" t="inlineStr">
        <is>
          <t>VR</t>
        </is>
      </c>
      <c r="I1767" s="284" t="inlineStr">
        <is>
          <t>Shadow Asgari</t>
        </is>
      </c>
      <c r="J1767" s="545" t="n"/>
      <c r="R1767" s="1" t="n"/>
    </row>
    <row r="1768" ht="17.25" customHeight="1" s="305">
      <c r="A1768" s="8" t="n">
        <v>3393</v>
      </c>
      <c r="B1768" s="5" t="n"/>
      <c r="C1768" s="72" t="inlineStr">
        <is>
          <t>X</t>
        </is>
      </c>
      <c r="D1768" s="5" t="n"/>
      <c r="E1768" s="73">
        <f>B1768*D1768/10000</f>
        <v/>
      </c>
      <c r="F1768" s="74">
        <f>B1768/30.48</f>
        <v/>
      </c>
      <c r="G1768" s="74">
        <f>D1768/30.48</f>
        <v/>
      </c>
      <c r="H1768" s="69" t="inlineStr">
        <is>
          <t>MCHD-TR</t>
        </is>
      </c>
      <c r="I1768" s="557" t="n"/>
      <c r="J1768" s="557" t="n"/>
      <c r="R1768" s="1" t="n"/>
    </row>
    <row r="1769" ht="17.25" customHeight="1" s="305">
      <c r="A1769" s="8" t="n">
        <v>1693</v>
      </c>
      <c r="B1769" s="5" t="n">
        <v>270</v>
      </c>
      <c r="C1769" s="72" t="inlineStr">
        <is>
          <t>X</t>
        </is>
      </c>
      <c r="D1769" s="5" t="n">
        <v>104</v>
      </c>
      <c r="E1769" s="73">
        <f>B1769*D1769/10000</f>
        <v/>
      </c>
      <c r="F1769" s="74">
        <f>B1769/30.48</f>
        <v/>
      </c>
      <c r="G1769" s="74">
        <f>D1769/30.48</f>
        <v/>
      </c>
      <c r="H1769" s="69" t="inlineStr">
        <is>
          <t>RK</t>
        </is>
      </c>
      <c r="I1769" s="570" t="inlineStr">
        <is>
          <t>Emily Shiver</t>
        </is>
      </c>
      <c r="J1769" s="557" t="n"/>
      <c r="R1769" s="1" t="n"/>
    </row>
    <row r="1770" ht="17.25" customHeight="1" s="305">
      <c r="A1770" s="8" t="n">
        <v>2204</v>
      </c>
      <c r="B1770" s="5" t="n">
        <v>82</v>
      </c>
      <c r="C1770" s="72" t="inlineStr">
        <is>
          <t>X</t>
        </is>
      </c>
      <c r="D1770" s="5" t="n">
        <v>288</v>
      </c>
      <c r="E1770" s="73">
        <f>B1770*D1770/10000</f>
        <v/>
      </c>
      <c r="F1770" s="74">
        <f>B1770/30.48</f>
        <v/>
      </c>
      <c r="G1770" s="74">
        <f>D1770/30.48</f>
        <v/>
      </c>
      <c r="H1770" s="272" t="inlineStr">
        <is>
          <t>WTR</t>
        </is>
      </c>
      <c r="I1770" s="570" t="inlineStr">
        <is>
          <t>Angela Palmer</t>
        </is>
      </c>
      <c r="J1770" s="557" t="n"/>
      <c r="R1770" s="1" t="n"/>
    </row>
    <row r="1771" ht="17.25" customHeight="1" s="305">
      <c r="A1771" s="8" t="n">
        <v>2148</v>
      </c>
      <c r="B1771" s="5" t="n">
        <v>86</v>
      </c>
      <c r="C1771" s="72" t="inlineStr">
        <is>
          <t>X</t>
        </is>
      </c>
      <c r="D1771" s="5" t="n">
        <v>263</v>
      </c>
      <c r="E1771" s="73">
        <f>B1771*D1771/10000</f>
        <v/>
      </c>
      <c r="F1771" s="74">
        <f>B1771/30.48</f>
        <v/>
      </c>
      <c r="G1771" s="74">
        <f>D1771/30.48</f>
        <v/>
      </c>
      <c r="H1771" s="272" t="inlineStr">
        <is>
          <t>WTR</t>
        </is>
      </c>
      <c r="I1771" s="570" t="inlineStr">
        <is>
          <t>Lauren Vecchione</t>
        </is>
      </c>
      <c r="J1771" s="557" t="n"/>
      <c r="R1771" s="1" t="n"/>
    </row>
    <row r="1772" ht="17.25" customHeight="1" s="305">
      <c r="A1772" s="8" t="inlineStr">
        <is>
          <t>C 361</t>
        </is>
      </c>
      <c r="B1772" s="5" t="n">
        <v>98</v>
      </c>
      <c r="C1772" s="6" t="inlineStr">
        <is>
          <t>X</t>
        </is>
      </c>
      <c r="D1772" s="5" t="n">
        <v>355</v>
      </c>
      <c r="E1772" s="2">
        <f>B1772*D1772/10000</f>
        <v/>
      </c>
      <c r="F1772" s="3">
        <f>B1772/30.48</f>
        <v/>
      </c>
      <c r="G1772" s="3">
        <f>D1772/30.48</f>
        <v/>
      </c>
      <c r="H1772" s="16" t="inlineStr">
        <is>
          <t>VR</t>
        </is>
      </c>
      <c r="I1772" s="534" t="inlineStr">
        <is>
          <t>susan parks</t>
        </is>
      </c>
      <c r="J1772" s="545" t="n"/>
      <c r="R1772" s="1" t="n"/>
    </row>
    <row r="1773" ht="17.25" customHeight="1" s="305">
      <c r="A1773" s="8" t="inlineStr">
        <is>
          <t>D 175</t>
        </is>
      </c>
      <c r="B1773" s="5" t="n">
        <v>48</v>
      </c>
      <c r="C1773" s="72" t="inlineStr">
        <is>
          <t>X</t>
        </is>
      </c>
      <c r="D1773" s="5" t="n">
        <v>86</v>
      </c>
      <c r="E1773" s="73">
        <f>B1773*D1773/10000</f>
        <v/>
      </c>
      <c r="F1773" s="74">
        <f>B1773/30.48</f>
        <v/>
      </c>
      <c r="G1773" s="74">
        <f>D1773/30.48</f>
        <v/>
      </c>
      <c r="H1773" s="569" t="inlineStr">
        <is>
          <t>OLD</t>
        </is>
      </c>
      <c r="I1773" s="534" t="inlineStr">
        <is>
          <t>Celene Herring</t>
        </is>
      </c>
      <c r="J1773" s="545" t="n"/>
    </row>
    <row r="1774" ht="17.25" customHeight="1" s="305">
      <c r="A1774" s="8" t="n">
        <v>2315</v>
      </c>
      <c r="B1774" s="5" t="n">
        <v>75</v>
      </c>
      <c r="C1774" s="72" t="inlineStr">
        <is>
          <t>X</t>
        </is>
      </c>
      <c r="D1774" s="5" t="n">
        <v>327</v>
      </c>
      <c r="E1774" s="73">
        <f>B1774*D1774/10000</f>
        <v/>
      </c>
      <c r="F1774" s="74">
        <f>B1774/30.48</f>
        <v/>
      </c>
      <c r="G1774" s="74">
        <f>D1774/30.48</f>
        <v/>
      </c>
      <c r="H1774" s="592" t="inlineStr">
        <is>
          <t>PAC</t>
        </is>
      </c>
      <c r="I1774" s="570" t="inlineStr">
        <is>
          <t>Dahlia Berumen</t>
        </is>
      </c>
      <c r="J1774" s="557" t="n"/>
    </row>
    <row r="1775" ht="17.25" customHeight="1" s="305">
      <c r="A1775" s="8" t="n">
        <v>2037</v>
      </c>
      <c r="B1775" s="5" t="n">
        <v>88</v>
      </c>
      <c r="C1775" s="72" t="inlineStr">
        <is>
          <t>X</t>
        </is>
      </c>
      <c r="D1775" s="5" t="n">
        <v>171</v>
      </c>
      <c r="E1775" s="73">
        <f>B1775*D1775/10000</f>
        <v/>
      </c>
      <c r="F1775" s="74">
        <f>B1775/30.48</f>
        <v/>
      </c>
      <c r="G1775" s="74">
        <f>D1775/30.48</f>
        <v/>
      </c>
      <c r="H1775" s="592" t="inlineStr">
        <is>
          <t>PAC</t>
        </is>
      </c>
      <c r="I1775" s="570" t="inlineStr">
        <is>
          <t>Fawn Jaillett</t>
        </is>
      </c>
      <c r="J1775" s="557" t="n"/>
    </row>
    <row r="1776" ht="17.25" customHeight="1" s="305">
      <c r="A1776" s="8" t="n">
        <v>3189</v>
      </c>
      <c r="B1776" s="5" t="n">
        <v>80</v>
      </c>
      <c r="C1776" s="72" t="inlineStr">
        <is>
          <t>X</t>
        </is>
      </c>
      <c r="D1776" s="5" t="n">
        <v>164</v>
      </c>
      <c r="E1776" s="73">
        <f>B1776*D1776/10000</f>
        <v/>
      </c>
      <c r="F1776" s="74">
        <f>B1776/30.48</f>
        <v/>
      </c>
      <c r="G1776" s="74">
        <f>D1776/30.48</f>
        <v/>
      </c>
      <c r="H1776" s="272" t="inlineStr">
        <is>
          <t>WTR</t>
        </is>
      </c>
      <c r="I1776" s="570" t="inlineStr">
        <is>
          <t>Mary Collis</t>
        </is>
      </c>
      <c r="J1776" s="557" t="n"/>
      <c r="R1776" s="1" t="n"/>
    </row>
    <row r="1777" ht="17.25" customHeight="1" s="305">
      <c r="A1777" s="8" t="n">
        <v>1386</v>
      </c>
      <c r="B1777" s="5" t="n">
        <v>87</v>
      </c>
      <c r="C1777" s="72" t="inlineStr">
        <is>
          <t>X</t>
        </is>
      </c>
      <c r="D1777" s="5" t="n">
        <v>377</v>
      </c>
      <c r="E1777" s="73">
        <f>B1777*D1777/10000</f>
        <v/>
      </c>
      <c r="F1777" s="74">
        <f>B1777/30.48</f>
        <v/>
      </c>
      <c r="G1777" s="74">
        <f>D1777/30.48</f>
        <v/>
      </c>
      <c r="H1777" s="16" t="inlineStr">
        <is>
          <t>VR</t>
        </is>
      </c>
      <c r="I1777" s="570" t="inlineStr">
        <is>
          <t>Hannah Catlett</t>
        </is>
      </c>
      <c r="J1777" s="557" t="n"/>
    </row>
    <row r="1778" ht="17.25" customHeight="1" s="305">
      <c r="A1778" s="8" t="n">
        <v>2487</v>
      </c>
      <c r="B1778" s="5" t="n">
        <v>83</v>
      </c>
      <c r="C1778" s="72" t="inlineStr">
        <is>
          <t>X</t>
        </is>
      </c>
      <c r="D1778" s="5" t="n">
        <v>329</v>
      </c>
      <c r="E1778" s="73">
        <f>B1778*D1778/10000</f>
        <v/>
      </c>
      <c r="F1778" s="74">
        <f>B1778/30.48</f>
        <v/>
      </c>
      <c r="G1778" s="74">
        <f>D1778/30.48</f>
        <v/>
      </c>
      <c r="H1778" s="272" t="inlineStr">
        <is>
          <t>WTR</t>
        </is>
      </c>
      <c r="I1778" s="570" t="inlineStr">
        <is>
          <t>Kristen Yonson</t>
        </is>
      </c>
      <c r="J1778" s="557" t="n"/>
      <c r="R1778" s="1" t="n"/>
    </row>
    <row r="1779" ht="17.25" customHeight="1" s="305">
      <c r="A1779" s="8" t="n">
        <v>2498</v>
      </c>
      <c r="B1779" s="5" t="n">
        <v>92</v>
      </c>
      <c r="C1779" s="72" t="inlineStr">
        <is>
          <t>X</t>
        </is>
      </c>
      <c r="D1779" s="5" t="n">
        <v>306</v>
      </c>
      <c r="E1779" s="73">
        <f>B1779*D1779/10000</f>
        <v/>
      </c>
      <c r="F1779" s="74">
        <f>B1779/30.48</f>
        <v/>
      </c>
      <c r="G1779" s="74">
        <f>D1779/30.48</f>
        <v/>
      </c>
      <c r="H1779" s="272" t="inlineStr">
        <is>
          <t>WTR</t>
        </is>
      </c>
      <c r="I1779" s="570" t="inlineStr">
        <is>
          <t>Todd Frost</t>
        </is>
      </c>
      <c r="J1779" s="557" t="n"/>
      <c r="R1779" s="1" t="n"/>
    </row>
    <row r="1780" ht="17.25" customHeight="1" s="305">
      <c r="A1780" s="8" t="n">
        <v>2772</v>
      </c>
      <c r="B1780" s="5" t="n">
        <v>104</v>
      </c>
      <c r="C1780" s="72" t="inlineStr">
        <is>
          <t>X</t>
        </is>
      </c>
      <c r="D1780" s="5" t="n">
        <v>355</v>
      </c>
      <c r="E1780" s="73">
        <f>B1780*D1780/10000</f>
        <v/>
      </c>
      <c r="F1780" s="74">
        <f>B1780/30.48</f>
        <v/>
      </c>
      <c r="G1780" s="74">
        <f>D1780/30.48</f>
        <v/>
      </c>
      <c r="H1780" s="272" t="inlineStr">
        <is>
          <t>WTR</t>
        </is>
      </c>
      <c r="I1780" s="534" t="inlineStr">
        <is>
          <t>Dahlia Berumen</t>
        </is>
      </c>
      <c r="J1780" s="545" t="n"/>
      <c r="R1780" s="1" t="n"/>
    </row>
    <row r="1781" ht="17.25" customHeight="1" s="305">
      <c r="A1781" s="8" t="inlineStr">
        <is>
          <t>Y 136</t>
        </is>
      </c>
      <c r="B1781" s="5" t="n">
        <v>280</v>
      </c>
      <c r="C1781" s="6" t="inlineStr">
        <is>
          <t>X</t>
        </is>
      </c>
      <c r="D1781" s="5" t="n">
        <v>197</v>
      </c>
      <c r="E1781" s="2">
        <f>B1781*D1781/10000</f>
        <v/>
      </c>
      <c r="F1781" s="3">
        <f>B1781/30.48</f>
        <v/>
      </c>
      <c r="G1781" s="3">
        <f>D1781/30.48</f>
        <v/>
      </c>
      <c r="H1781" s="16" t="inlineStr">
        <is>
          <t>VR</t>
        </is>
      </c>
      <c r="I1781" s="534" t="inlineStr">
        <is>
          <t>Damaris Christopher</t>
        </is>
      </c>
      <c r="J1781" s="545" t="inlineStr">
        <is>
          <t>US-828 358 7271</t>
        </is>
      </c>
    </row>
    <row r="1782" ht="17.25" customHeight="1" s="305">
      <c r="A1782" s="8" t="inlineStr">
        <is>
          <t>C 540</t>
        </is>
      </c>
      <c r="B1782" s="5" t="n">
        <v>192</v>
      </c>
      <c r="C1782" s="6" t="inlineStr">
        <is>
          <t>X</t>
        </is>
      </c>
      <c r="D1782" s="5" t="n">
        <v>352</v>
      </c>
      <c r="E1782" s="2">
        <f>B1782*D1782/10000</f>
        <v/>
      </c>
      <c r="F1782" s="3">
        <f>B1782/30.48</f>
        <v/>
      </c>
      <c r="G1782" s="3">
        <f>D1782/30.48</f>
        <v/>
      </c>
      <c r="H1782" s="592" t="inlineStr">
        <is>
          <t>PAC</t>
        </is>
      </c>
      <c r="I1782" s="534" t="inlineStr">
        <is>
          <t>Christi Harrison</t>
        </is>
      </c>
      <c r="J1782" s="545" t="n"/>
    </row>
    <row r="1783" ht="17.25" customHeight="1" s="305">
      <c r="A1783" s="8" t="n">
        <v>2188</v>
      </c>
      <c r="B1783" s="5" t="n">
        <v>80</v>
      </c>
      <c r="C1783" s="72" t="inlineStr">
        <is>
          <t>X</t>
        </is>
      </c>
      <c r="D1783" s="5" t="n">
        <v>348</v>
      </c>
      <c r="E1783" s="73">
        <f>B1783*D1783/10000</f>
        <v/>
      </c>
      <c r="F1783" s="74">
        <f>B1783/30.48</f>
        <v/>
      </c>
      <c r="G1783" s="74">
        <f>D1783/30.48</f>
        <v/>
      </c>
      <c r="H1783" s="272" t="inlineStr">
        <is>
          <t>WTR</t>
        </is>
      </c>
      <c r="I1783" s="570" t="inlineStr">
        <is>
          <t>Kelly Parker</t>
        </is>
      </c>
      <c r="J1783" s="557" t="n"/>
    </row>
    <row r="1784" ht="17.25" customHeight="1" s="305">
      <c r="A1784" s="8" t="n">
        <v>1984</v>
      </c>
      <c r="B1784" s="5" t="n">
        <v>101</v>
      </c>
      <c r="C1784" s="72" t="inlineStr">
        <is>
          <t>X</t>
        </is>
      </c>
      <c r="D1784" s="5" t="n">
        <v>193</v>
      </c>
      <c r="E1784" s="73">
        <f>B1784*D1784/10000</f>
        <v/>
      </c>
      <c r="F1784" s="74">
        <f>B1784/30.48</f>
        <v/>
      </c>
      <c r="G1784" s="74">
        <f>D1784/30.48</f>
        <v/>
      </c>
      <c r="H1784" s="69" t="inlineStr">
        <is>
          <t>RK</t>
        </is>
      </c>
      <c r="I1784" s="534" t="inlineStr">
        <is>
          <t>Courtney Pillion</t>
        </is>
      </c>
      <c r="J1784" s="545" t="n"/>
    </row>
    <row r="1785" ht="17.25" customHeight="1" s="305">
      <c r="A1785" s="8" t="n">
        <v>2065</v>
      </c>
      <c r="B1785" s="5" t="n">
        <v>88</v>
      </c>
      <c r="C1785" s="72" t="inlineStr">
        <is>
          <t>X</t>
        </is>
      </c>
      <c r="D1785" s="5" t="n">
        <v>318</v>
      </c>
      <c r="E1785" s="73">
        <f>B1785*D1785/10000</f>
        <v/>
      </c>
      <c r="F1785" s="74">
        <f>B1785/30.48</f>
        <v/>
      </c>
      <c r="G1785" s="74">
        <f>D1785/30.48</f>
        <v/>
      </c>
      <c r="H1785" s="69" t="inlineStr">
        <is>
          <t>MCHD-TR</t>
        </is>
      </c>
      <c r="I1785" s="557" t="n"/>
      <c r="J1785" s="557" t="n"/>
    </row>
    <row r="1786" ht="17.25" customHeight="1" s="305">
      <c r="A1786" s="8" t="n">
        <v>2025</v>
      </c>
      <c r="B1786" s="5" t="n">
        <v>111</v>
      </c>
      <c r="C1786" s="72" t="inlineStr">
        <is>
          <t>X</t>
        </is>
      </c>
      <c r="D1786" s="5" t="n">
        <v>188</v>
      </c>
      <c r="E1786" s="73">
        <f>B1786*D1786/10000</f>
        <v/>
      </c>
      <c r="F1786" s="74">
        <f>B1786/30.48</f>
        <v/>
      </c>
      <c r="G1786" s="74">
        <f>D1786/30.48</f>
        <v/>
      </c>
      <c r="H1786" s="69" t="inlineStr">
        <is>
          <t>MCHD-TR</t>
        </is>
      </c>
      <c r="I1786" s="557" t="n"/>
      <c r="J1786" s="557" t="n"/>
    </row>
    <row r="1787" ht="17.25" customHeight="1" s="305">
      <c r="A1787" s="8" t="n">
        <v>1441</v>
      </c>
      <c r="B1787" s="5" t="n">
        <v>77</v>
      </c>
      <c r="C1787" s="72" t="inlineStr">
        <is>
          <t>X</t>
        </is>
      </c>
      <c r="D1787" s="5" t="n">
        <v>133</v>
      </c>
      <c r="E1787" s="73">
        <f>B1787*D1787/10000</f>
        <v/>
      </c>
      <c r="F1787" s="74">
        <f>B1787/30.48</f>
        <v/>
      </c>
      <c r="G1787" s="74">
        <f>D1787/30.48</f>
        <v/>
      </c>
      <c r="H1787" s="16" t="inlineStr">
        <is>
          <t>VR</t>
        </is>
      </c>
      <c r="I1787" s="534" t="inlineStr">
        <is>
          <t>Jane Sailer</t>
        </is>
      </c>
      <c r="J1787" s="545" t="n"/>
    </row>
    <row r="1788" ht="17.25" customHeight="1" s="305">
      <c r="A1788" s="8" t="n">
        <v>1987</v>
      </c>
      <c r="B1788" s="5" t="n">
        <v>69</v>
      </c>
      <c r="C1788" s="72" t="inlineStr">
        <is>
          <t>X</t>
        </is>
      </c>
      <c r="D1788" s="5" t="n">
        <v>275</v>
      </c>
      <c r="E1788" s="73">
        <f>B1788*D1788/10000</f>
        <v/>
      </c>
      <c r="F1788" s="74">
        <f>B1788/30.48</f>
        <v/>
      </c>
      <c r="G1788" s="74">
        <f>D1788/30.48</f>
        <v/>
      </c>
      <c r="H1788" s="69" t="inlineStr">
        <is>
          <t>MCHD-TR</t>
        </is>
      </c>
      <c r="I1788" s="557" t="n"/>
      <c r="J1788" s="557" t="n"/>
    </row>
    <row r="1789" ht="17.25" customHeight="1" s="305">
      <c r="A1789" s="8" t="n">
        <v>3409</v>
      </c>
      <c r="B1789" s="5" t="n"/>
      <c r="C1789" s="72" t="inlineStr">
        <is>
          <t>X</t>
        </is>
      </c>
      <c r="D1789" s="5" t="n"/>
      <c r="E1789" s="73">
        <f>B1789*D1789/10000</f>
        <v/>
      </c>
      <c r="F1789" s="74">
        <f>B1789/30.48</f>
        <v/>
      </c>
      <c r="G1789" s="74">
        <f>D1789/30.48</f>
        <v/>
      </c>
      <c r="H1789" s="69" t="inlineStr">
        <is>
          <t>MCHD-TR</t>
        </is>
      </c>
      <c r="I1789" s="557" t="n"/>
      <c r="J1789" s="557" t="n"/>
      <c r="R1789" s="1" t="n"/>
    </row>
    <row r="1790" ht="17.25" customHeight="1" s="305">
      <c r="A1790" s="8" t="n">
        <v>3106</v>
      </c>
      <c r="B1790" s="5" t="n">
        <v>161</v>
      </c>
      <c r="C1790" s="72" t="inlineStr">
        <is>
          <t>X</t>
        </is>
      </c>
      <c r="D1790" s="5" t="n">
        <v>227</v>
      </c>
      <c r="E1790" s="73">
        <f>B1790*D1790/10000</f>
        <v/>
      </c>
      <c r="F1790" s="74">
        <f>B1790/30.48</f>
        <v/>
      </c>
      <c r="G1790" s="74">
        <f>D1790/30.48</f>
        <v/>
      </c>
      <c r="H1790" s="69" t="inlineStr">
        <is>
          <t>MCHD-TR</t>
        </is>
      </c>
      <c r="I1790" s="557" t="n"/>
      <c r="J1790" s="557" t="n"/>
      <c r="R1790" s="1" t="n"/>
    </row>
    <row r="1791" ht="17.25" customHeight="1" s="305">
      <c r="A1791" s="8" t="inlineStr">
        <is>
          <t>D 454</t>
        </is>
      </c>
      <c r="B1791" s="5" t="n">
        <v>52</v>
      </c>
      <c r="C1791" s="72" t="inlineStr">
        <is>
          <t>X</t>
        </is>
      </c>
      <c r="D1791" s="5" t="n">
        <v>79</v>
      </c>
      <c r="E1791" s="73">
        <f>B1791*D1791/10000</f>
        <v/>
      </c>
      <c r="F1791" s="74">
        <f>B1791/30.48</f>
        <v/>
      </c>
      <c r="G1791" s="74">
        <f>D1791/30.48</f>
        <v/>
      </c>
      <c r="H1791" s="69" t="inlineStr">
        <is>
          <t>MCHD-TR</t>
        </is>
      </c>
      <c r="I1791" s="557" t="n"/>
      <c r="J1791" s="557" t="n"/>
    </row>
    <row r="1792" ht="17.25" customHeight="1" s="305">
      <c r="A1792" s="8" t="n">
        <v>3150</v>
      </c>
      <c r="B1792" s="5" t="n">
        <v>108</v>
      </c>
      <c r="C1792" s="72" t="inlineStr">
        <is>
          <t>X</t>
        </is>
      </c>
      <c r="D1792" s="5" t="n">
        <v>169</v>
      </c>
      <c r="E1792" s="73">
        <f>B1792*D1792/10000</f>
        <v/>
      </c>
      <c r="F1792" s="74">
        <f>B1792/30.48</f>
        <v/>
      </c>
      <c r="G1792" s="74">
        <f>D1792/30.48</f>
        <v/>
      </c>
      <c r="H1792" s="272" t="inlineStr">
        <is>
          <t>WTR</t>
        </is>
      </c>
      <c r="I1792" s="570" t="inlineStr">
        <is>
          <t>Joanne Mathison</t>
        </is>
      </c>
      <c r="J1792" s="557" t="n"/>
      <c r="R1792" s="1" t="n"/>
    </row>
    <row r="1793" ht="17.25" customHeight="1" s="305">
      <c r="A1793" s="8" t="inlineStr">
        <is>
          <t>D 6</t>
        </is>
      </c>
      <c r="B1793" s="5" t="n">
        <v>51</v>
      </c>
      <c r="C1793" s="72" t="inlineStr">
        <is>
          <t>X</t>
        </is>
      </c>
      <c r="D1793" s="5" t="n">
        <v>93</v>
      </c>
      <c r="E1793" s="73">
        <f>B1793*D1793/10000</f>
        <v/>
      </c>
      <c r="F1793" s="74">
        <f>B1793/30.48</f>
        <v/>
      </c>
      <c r="G1793" s="74">
        <f>D1793/30.48</f>
        <v/>
      </c>
      <c r="H1793" s="69" t="inlineStr">
        <is>
          <t>RK</t>
        </is>
      </c>
      <c r="I1793" s="534" t="inlineStr">
        <is>
          <t>Lauren Gerard</t>
        </is>
      </c>
      <c r="J1793" s="545" t="n"/>
    </row>
    <row r="1794" ht="17.25" customHeight="1" s="305">
      <c r="A1794" s="8" t="inlineStr">
        <is>
          <t>D 53</t>
        </is>
      </c>
      <c r="B1794" s="5" t="n">
        <v>53</v>
      </c>
      <c r="C1794" s="72" t="inlineStr">
        <is>
          <t>X</t>
        </is>
      </c>
      <c r="D1794" s="5" t="n">
        <v>84</v>
      </c>
      <c r="E1794" s="73">
        <f>B1794*D1794/10000</f>
        <v/>
      </c>
      <c r="F1794" s="74">
        <f>B1794/30.48</f>
        <v/>
      </c>
      <c r="G1794" s="74">
        <f>D1794/30.48</f>
        <v/>
      </c>
      <c r="H1794" s="16" t="inlineStr">
        <is>
          <t>VR</t>
        </is>
      </c>
      <c r="I1794" s="534" t="inlineStr">
        <is>
          <t>Stacey Epperson</t>
        </is>
      </c>
      <c r="J1794" s="545" t="n"/>
    </row>
    <row r="1795" ht="17.25" customHeight="1" s="305">
      <c r="A1795" s="8" t="inlineStr">
        <is>
          <t>B 64</t>
        </is>
      </c>
      <c r="B1795" s="5" t="n">
        <v>202</v>
      </c>
      <c r="C1795" s="6" t="inlineStr">
        <is>
          <t>X</t>
        </is>
      </c>
      <c r="D1795" s="5" t="n">
        <v>295</v>
      </c>
      <c r="E1795" s="2">
        <f>B1795*D1795/10000</f>
        <v/>
      </c>
      <c r="F1795" s="3">
        <f>B1795/30.48</f>
        <v/>
      </c>
      <c r="G1795" s="3">
        <f>D1795/30.48</f>
        <v/>
      </c>
      <c r="H1795" s="69" t="inlineStr">
        <is>
          <t>MCHD-TR</t>
        </is>
      </c>
      <c r="I1795" s="557" t="n"/>
      <c r="J1795" s="557" t="n"/>
    </row>
    <row r="1796" ht="17.25" customHeight="1" s="305">
      <c r="A1796" s="8" t="n">
        <v>1110</v>
      </c>
      <c r="B1796" s="5" t="n">
        <v>116</v>
      </c>
      <c r="C1796" s="72" t="inlineStr">
        <is>
          <t>X</t>
        </is>
      </c>
      <c r="D1796" s="5" t="n">
        <v>402</v>
      </c>
      <c r="E1796" s="73">
        <f>B1796*D1796/10000</f>
        <v/>
      </c>
      <c r="F1796" s="74">
        <f>B1796/30.48</f>
        <v/>
      </c>
      <c r="G1796" s="74">
        <f>D1796/30.48</f>
        <v/>
      </c>
      <c r="H1796" s="592" t="inlineStr">
        <is>
          <t>PAC</t>
        </is>
      </c>
      <c r="I1796" s="570" t="inlineStr">
        <is>
          <t>Mari and Darin Breedlove</t>
        </is>
      </c>
      <c r="J1796" s="557" t="n"/>
      <c r="R1796" s="1" t="n"/>
    </row>
    <row r="1797" ht="17.25" customHeight="1" s="305">
      <c r="A1797" s="8" t="n">
        <v>2014</v>
      </c>
      <c r="B1797" s="5" t="n">
        <v>72</v>
      </c>
      <c r="C1797" s="72" t="inlineStr">
        <is>
          <t>X</t>
        </is>
      </c>
      <c r="D1797" s="5" t="n">
        <v>367</v>
      </c>
      <c r="E1797" s="73">
        <f>B1797*D1797/10000</f>
        <v/>
      </c>
      <c r="F1797" s="74">
        <f>B1797/30.48</f>
        <v/>
      </c>
      <c r="G1797" s="74">
        <f>D1797/30.48</f>
        <v/>
      </c>
      <c r="H1797" s="69" t="inlineStr">
        <is>
          <t>MCHD-TR</t>
        </is>
      </c>
      <c r="I1797" s="557" t="n"/>
      <c r="J1797" s="557" t="n"/>
      <c r="R1797" s="1" t="n"/>
    </row>
    <row r="1798" ht="17.25" customHeight="1" s="305">
      <c r="A1798" s="8" t="n">
        <v>2784</v>
      </c>
      <c r="B1798" s="5" t="n">
        <v>74</v>
      </c>
      <c r="C1798" s="72" t="inlineStr">
        <is>
          <t>X</t>
        </is>
      </c>
      <c r="D1798" s="5" t="n">
        <v>200</v>
      </c>
      <c r="E1798" s="73">
        <f>B1798*D1798/10000</f>
        <v/>
      </c>
      <c r="F1798" s="74">
        <f>B1798/30.48</f>
        <v/>
      </c>
      <c r="G1798" s="74">
        <f>D1798/30.48</f>
        <v/>
      </c>
      <c r="H1798" s="69" t="inlineStr">
        <is>
          <t>MCHD-TR</t>
        </is>
      </c>
      <c r="I1798" s="557" t="n"/>
      <c r="J1798" s="557" t="n"/>
      <c r="R1798" s="1" t="n"/>
    </row>
    <row r="1799" ht="17.25" customHeight="1" s="305">
      <c r="A1799" s="8" t="inlineStr">
        <is>
          <t>D 222</t>
        </is>
      </c>
      <c r="B1799" s="5" t="n">
        <v>50</v>
      </c>
      <c r="C1799" s="72" t="inlineStr">
        <is>
          <t>X</t>
        </is>
      </c>
      <c r="D1799" s="5" t="n">
        <v>101</v>
      </c>
      <c r="E1799" s="73">
        <f>B1799*D1799/10000</f>
        <v/>
      </c>
      <c r="F1799" s="74">
        <f>B1799/30.48</f>
        <v/>
      </c>
      <c r="G1799" s="74">
        <f>D1799/30.48</f>
        <v/>
      </c>
      <c r="H1799" s="569" t="inlineStr">
        <is>
          <t>OLD</t>
        </is>
      </c>
      <c r="I1799" s="570" t="inlineStr">
        <is>
          <t>Jackie Davis</t>
        </is>
      </c>
      <c r="J1799" s="557" t="n"/>
    </row>
    <row r="1800" ht="17.25" customHeight="1" s="305">
      <c r="A1800" s="8" t="n">
        <v>1726</v>
      </c>
      <c r="B1800" s="5" t="n">
        <v>279</v>
      </c>
      <c r="C1800" s="72" t="inlineStr">
        <is>
          <t>X</t>
        </is>
      </c>
      <c r="D1800" s="5" t="n">
        <v>376</v>
      </c>
      <c r="E1800" s="73">
        <f>B1800*D1800/10000</f>
        <v/>
      </c>
      <c r="F1800" s="74">
        <f>B1800/30.48</f>
        <v/>
      </c>
      <c r="G1800" s="74">
        <f>D1800/30.48</f>
        <v/>
      </c>
      <c r="H1800" s="592" t="inlineStr">
        <is>
          <t>PAC</t>
        </is>
      </c>
      <c r="I1800" s="570" t="inlineStr">
        <is>
          <t>Thomas Duncan</t>
        </is>
      </c>
      <c r="J1800" s="557" t="n"/>
      <c r="R1800" s="1" t="n"/>
    </row>
    <row r="1801" ht="17.25" customHeight="1" s="305">
      <c r="A1801" s="8" t="n">
        <v>1959</v>
      </c>
      <c r="B1801" s="5" t="n">
        <v>112</v>
      </c>
      <c r="C1801" s="72" t="inlineStr">
        <is>
          <t>X</t>
        </is>
      </c>
      <c r="D1801" s="5" t="n">
        <v>200</v>
      </c>
      <c r="E1801" s="73">
        <f>B1801*D1801/10000</f>
        <v/>
      </c>
      <c r="F1801" s="74">
        <f>B1801/30.48</f>
        <v/>
      </c>
      <c r="G1801" s="74">
        <f>D1801/30.48</f>
        <v/>
      </c>
      <c r="H1801" s="69" t="inlineStr">
        <is>
          <t>RK</t>
        </is>
      </c>
      <c r="I1801" s="570" t="inlineStr">
        <is>
          <t>Kelly Noble</t>
        </is>
      </c>
      <c r="J1801" s="557" t="n"/>
      <c r="R1801" s="1" t="n"/>
    </row>
    <row r="1802" ht="17.25" customHeight="1" s="305">
      <c r="A1802" s="8" t="n">
        <v>1806</v>
      </c>
      <c r="B1802" s="5" t="n">
        <v>136</v>
      </c>
      <c r="C1802" s="72" t="inlineStr">
        <is>
          <t>X</t>
        </is>
      </c>
      <c r="D1802" s="5" t="n">
        <v>252</v>
      </c>
      <c r="E1802" s="73">
        <f>B1802*D1802/10000</f>
        <v/>
      </c>
      <c r="F1802" s="74">
        <f>B1802/30.48</f>
        <v/>
      </c>
      <c r="G1802" s="74">
        <f>D1802/30.48</f>
        <v/>
      </c>
      <c r="H1802" s="69" t="inlineStr">
        <is>
          <t>RK</t>
        </is>
      </c>
      <c r="I1802" s="534" t="inlineStr">
        <is>
          <t>Maureen Lagasse</t>
        </is>
      </c>
      <c r="J1802" s="545" t="n"/>
      <c r="R1802" s="1" t="n"/>
    </row>
    <row r="1803" ht="17.25" customHeight="1" s="305">
      <c r="A1803" s="8" t="n">
        <v>3332</v>
      </c>
      <c r="B1803" s="5" t="n"/>
      <c r="C1803" s="72" t="inlineStr">
        <is>
          <t>X</t>
        </is>
      </c>
      <c r="D1803" s="5" t="n"/>
      <c r="E1803" s="73">
        <f>B1803*D1803/10000</f>
        <v/>
      </c>
      <c r="F1803" s="74">
        <f>B1803/30.48</f>
        <v/>
      </c>
      <c r="G1803" s="74">
        <f>D1803/30.48</f>
        <v/>
      </c>
      <c r="H1803" s="69" t="inlineStr">
        <is>
          <t>MCHD-TR</t>
        </is>
      </c>
      <c r="I1803" s="557" t="n"/>
      <c r="J1803" s="557" t="n"/>
    </row>
    <row r="1804" ht="17.25" customHeight="1" s="305">
      <c r="A1804" s="8" t="n">
        <v>2624</v>
      </c>
      <c r="B1804" s="5" t="n">
        <v>91</v>
      </c>
      <c r="C1804" s="72" t="inlineStr">
        <is>
          <t>X</t>
        </is>
      </c>
      <c r="D1804" s="5" t="n">
        <v>242</v>
      </c>
      <c r="E1804" s="73">
        <f>B1804*D1804/10000</f>
        <v/>
      </c>
      <c r="F1804" s="74">
        <f>B1804/30.48</f>
        <v/>
      </c>
      <c r="G1804" s="74">
        <f>D1804/30.48</f>
        <v/>
      </c>
      <c r="H1804" s="69" t="inlineStr">
        <is>
          <t>MCHD-TR</t>
        </is>
      </c>
      <c r="I1804" s="557" t="n"/>
      <c r="J1804" s="557" t="n"/>
    </row>
    <row r="1805" ht="17.25" customHeight="1" s="305">
      <c r="A1805" s="8" t="n">
        <v>1976</v>
      </c>
      <c r="B1805" s="5" t="n">
        <v>197</v>
      </c>
      <c r="C1805" s="72" t="inlineStr">
        <is>
          <t>X</t>
        </is>
      </c>
      <c r="D1805" s="5" t="n">
        <v>327</v>
      </c>
      <c r="E1805" s="73">
        <f>B1805*D1805/10000</f>
        <v/>
      </c>
      <c r="F1805" s="74">
        <f>B1805/30.48</f>
        <v/>
      </c>
      <c r="G1805" s="74">
        <f>D1805/30.48</f>
        <v/>
      </c>
      <c r="H1805" s="69" t="inlineStr">
        <is>
          <t>RK</t>
        </is>
      </c>
      <c r="I1805" s="570" t="inlineStr">
        <is>
          <t>Stephanie Deihl</t>
        </is>
      </c>
      <c r="J1805" s="557" t="n"/>
    </row>
    <row r="1806" ht="17.25" customHeight="1" s="305">
      <c r="A1806" s="8" t="inlineStr">
        <is>
          <t>C 946</t>
        </is>
      </c>
      <c r="B1806" s="5" t="n">
        <v>98</v>
      </c>
      <c r="C1806" s="6" t="inlineStr">
        <is>
          <t>X</t>
        </is>
      </c>
      <c r="D1806" s="5" t="n">
        <v>277</v>
      </c>
      <c r="E1806" s="2">
        <f>B1806*D1806/10000</f>
        <v/>
      </c>
      <c r="F1806" s="3">
        <f>B1806/30.48</f>
        <v/>
      </c>
      <c r="G1806" s="3">
        <f>D1806/30.48</f>
        <v/>
      </c>
      <c r="H1806" s="69" t="inlineStr">
        <is>
          <t>RK</t>
        </is>
      </c>
      <c r="I1806" s="570" t="inlineStr">
        <is>
          <t>Katherine Snyder</t>
        </is>
      </c>
      <c r="J1806" s="557" t="n"/>
    </row>
    <row r="1807" ht="17.25" customHeight="1" s="305">
      <c r="A1807" s="8" t="n">
        <v>1449</v>
      </c>
      <c r="B1807" s="5" t="n">
        <v>87</v>
      </c>
      <c r="C1807" s="72" t="inlineStr">
        <is>
          <t>X</t>
        </is>
      </c>
      <c r="D1807" s="5" t="n">
        <v>274</v>
      </c>
      <c r="E1807" s="73">
        <f>B1807*D1807/10000</f>
        <v/>
      </c>
      <c r="F1807" s="74">
        <f>B1807/30.48</f>
        <v/>
      </c>
      <c r="G1807" s="74">
        <f>D1807/30.48</f>
        <v/>
      </c>
      <c r="H1807" s="16" t="inlineStr">
        <is>
          <t>VR</t>
        </is>
      </c>
      <c r="I1807" s="570" t="inlineStr">
        <is>
          <t>Casey Casamento</t>
        </is>
      </c>
      <c r="J1807" s="557" t="n"/>
      <c r="R1807" s="1" t="n"/>
    </row>
    <row r="1808" ht="17.25" customHeight="1" s="305">
      <c r="A1808" s="8" t="n">
        <v>2339</v>
      </c>
      <c r="B1808" s="5" t="n">
        <v>74</v>
      </c>
      <c r="C1808" s="72" t="inlineStr">
        <is>
          <t>X</t>
        </is>
      </c>
      <c r="D1808" s="5" t="n">
        <v>356</v>
      </c>
      <c r="E1808" s="73">
        <f>B1808*D1808/10000</f>
        <v/>
      </c>
      <c r="F1808" s="74">
        <f>B1808/30.48</f>
        <v/>
      </c>
      <c r="G1808" s="74">
        <f>D1808/30.48</f>
        <v/>
      </c>
      <c r="H1808" s="592" t="inlineStr">
        <is>
          <t>PAC</t>
        </is>
      </c>
      <c r="I1808" s="570" t="inlineStr">
        <is>
          <t>Lauren Martens</t>
        </is>
      </c>
      <c r="J1808" s="557" t="n"/>
      <c r="R1808" s="1" t="n"/>
    </row>
    <row r="1809" ht="17.25" customHeight="1" s="305">
      <c r="A1809" s="8" t="n">
        <v>3259</v>
      </c>
      <c r="B1809" s="5" t="n">
        <v>94</v>
      </c>
      <c r="C1809" s="72" t="inlineStr">
        <is>
          <t>X</t>
        </is>
      </c>
      <c r="D1809" s="5" t="n">
        <v>159</v>
      </c>
      <c r="E1809" s="73">
        <f>B1809*D1809/10000</f>
        <v/>
      </c>
      <c r="F1809" s="74">
        <f>B1809/30.48</f>
        <v/>
      </c>
      <c r="G1809" s="74">
        <f>D1809/30.48</f>
        <v/>
      </c>
      <c r="H1809" s="69" t="inlineStr">
        <is>
          <t>MCHD-TR</t>
        </is>
      </c>
      <c r="I1809" s="557" t="n"/>
      <c r="J1809" s="557" t="n"/>
      <c r="R1809" s="1" t="n"/>
    </row>
    <row r="1810" ht="17.25" customHeight="1" s="305">
      <c r="A1810" s="8" t="n">
        <v>2223</v>
      </c>
      <c r="B1810" s="5" t="n">
        <v>101</v>
      </c>
      <c r="C1810" s="72" t="inlineStr">
        <is>
          <t>X</t>
        </is>
      </c>
      <c r="D1810" s="5" t="n">
        <v>327</v>
      </c>
      <c r="E1810" s="73">
        <f>B1810*D1810/10000</f>
        <v/>
      </c>
      <c r="F1810" s="74">
        <f>B1810/30.48</f>
        <v/>
      </c>
      <c r="G1810" s="74">
        <f>D1810/30.48</f>
        <v/>
      </c>
      <c r="H1810" s="272" t="inlineStr">
        <is>
          <t>WTR</t>
        </is>
      </c>
      <c r="I1810" s="570" t="inlineStr">
        <is>
          <t>Aimee Kinssies</t>
        </is>
      </c>
      <c r="J1810" s="557" t="n"/>
      <c r="R1810" s="1" t="n"/>
    </row>
    <row r="1811" ht="17.25" customHeight="1" s="305">
      <c r="A1811" s="8" t="n">
        <v>2018</v>
      </c>
      <c r="B1811" s="5" t="n">
        <v>91</v>
      </c>
      <c r="C1811" s="72" t="inlineStr">
        <is>
          <t>X</t>
        </is>
      </c>
      <c r="D1811" s="5" t="n">
        <v>408</v>
      </c>
      <c r="E1811" s="73">
        <f>B1811*D1811/10000</f>
        <v/>
      </c>
      <c r="F1811" s="74">
        <f>B1811/30.48</f>
        <v/>
      </c>
      <c r="G1811" s="74">
        <f>D1811/30.48</f>
        <v/>
      </c>
      <c r="H1811" s="69" t="inlineStr">
        <is>
          <t>MCHD-TR</t>
        </is>
      </c>
      <c r="I1811" s="557" t="n"/>
      <c r="J1811" s="557" t="n"/>
      <c r="R1811" s="1" t="n"/>
    </row>
    <row r="1812" ht="17.25" customHeight="1" s="305">
      <c r="A1812" s="8" t="n">
        <v>3938</v>
      </c>
      <c r="B1812" s="5" t="n"/>
      <c r="C1812" s="72" t="inlineStr">
        <is>
          <t>X</t>
        </is>
      </c>
      <c r="D1812" s="5" t="n"/>
      <c r="E1812" s="73">
        <f>B1812*D1812/10000</f>
        <v/>
      </c>
      <c r="F1812" s="74">
        <f>B1812/30.48</f>
        <v/>
      </c>
      <c r="G1812" s="74">
        <f>D1812/30.48</f>
        <v/>
      </c>
      <c r="H1812" s="69" t="inlineStr">
        <is>
          <t>MCHD-TR</t>
        </is>
      </c>
      <c r="I1812" s="557" t="n"/>
      <c r="J1812" s="557" t="n"/>
      <c r="R1812" s="1" t="n"/>
    </row>
    <row r="1813" ht="17.25" customHeight="1" s="305">
      <c r="A1813" s="8" t="n">
        <v>2690</v>
      </c>
      <c r="B1813" s="5" t="n">
        <v>76</v>
      </c>
      <c r="C1813" s="72" t="inlineStr">
        <is>
          <t>X</t>
        </is>
      </c>
      <c r="D1813" s="5" t="n">
        <v>117</v>
      </c>
      <c r="E1813" s="73">
        <f>B1813*D1813/10000</f>
        <v/>
      </c>
      <c r="F1813" s="74">
        <f>B1813/30.48</f>
        <v/>
      </c>
      <c r="G1813" s="74">
        <f>D1813/30.48</f>
        <v/>
      </c>
      <c r="H1813" s="69" t="inlineStr">
        <is>
          <t>MCHD-TR</t>
        </is>
      </c>
      <c r="I1813" s="557" t="n"/>
      <c r="J1813" s="557" t="n"/>
      <c r="R1813" s="1" t="n"/>
    </row>
    <row r="1814" ht="17.25" customHeight="1" s="305">
      <c r="A1814" s="8" t="n">
        <v>2969</v>
      </c>
      <c r="B1814" s="5" t="n">
        <v>90</v>
      </c>
      <c r="C1814" s="72" t="inlineStr">
        <is>
          <t>X</t>
        </is>
      </c>
      <c r="D1814" s="5" t="n">
        <v>388</v>
      </c>
      <c r="E1814" s="73">
        <f>B1814*D1814/10000</f>
        <v/>
      </c>
      <c r="F1814" s="74">
        <f>B1814/30.48</f>
        <v/>
      </c>
      <c r="G1814" s="74">
        <f>D1814/30.48</f>
        <v/>
      </c>
      <c r="H1814" s="69" t="inlineStr">
        <is>
          <t>MCHD-TR</t>
        </is>
      </c>
      <c r="I1814" s="557" t="n"/>
      <c r="J1814" s="557" t="n"/>
      <c r="R1814" s="1" t="n"/>
    </row>
    <row r="1815" ht="17.25" customHeight="1" s="305">
      <c r="A1815" s="8" t="n">
        <v>3051</v>
      </c>
      <c r="B1815" s="5" t="n">
        <v>79</v>
      </c>
      <c r="C1815" s="72" t="inlineStr">
        <is>
          <t>X</t>
        </is>
      </c>
      <c r="D1815" s="5" t="n">
        <v>291</v>
      </c>
      <c r="E1815" s="73">
        <f>B1815*D1815/10000</f>
        <v/>
      </c>
      <c r="F1815" s="74">
        <f>B1815/30.48</f>
        <v/>
      </c>
      <c r="G1815" s="74">
        <f>D1815/30.48</f>
        <v/>
      </c>
      <c r="H1815" s="592" t="inlineStr">
        <is>
          <t>PAC</t>
        </is>
      </c>
      <c r="I1815" s="570" t="inlineStr">
        <is>
          <t>crissy cicco</t>
        </is>
      </c>
      <c r="J1815" s="557" t="n"/>
      <c r="R1815" s="1" t="n"/>
    </row>
    <row r="1816" ht="17.25" customHeight="1" s="305">
      <c r="A1816" s="8" t="n">
        <v>2779</v>
      </c>
      <c r="B1816" s="5" t="n">
        <v>108</v>
      </c>
      <c r="C1816" s="72" t="inlineStr">
        <is>
          <t>X</t>
        </is>
      </c>
      <c r="D1816" s="5" t="n">
        <v>163</v>
      </c>
      <c r="E1816" s="73">
        <f>B1816*D1816/10000</f>
        <v/>
      </c>
      <c r="F1816" s="74">
        <f>B1816/30.48</f>
        <v/>
      </c>
      <c r="G1816" s="74">
        <f>D1816/30.48</f>
        <v/>
      </c>
      <c r="H1816" s="69" t="inlineStr">
        <is>
          <t>MCHD-TR</t>
        </is>
      </c>
      <c r="I1816" s="557" t="n"/>
      <c r="J1816" s="557" t="n"/>
      <c r="R1816" s="1" t="n"/>
    </row>
    <row r="1817" ht="17.25" customHeight="1" s="305">
      <c r="A1817" s="8" t="n">
        <v>1364</v>
      </c>
      <c r="B1817" s="5" t="n">
        <v>75</v>
      </c>
      <c r="C1817" s="72" t="inlineStr">
        <is>
          <t>X</t>
        </is>
      </c>
      <c r="D1817" s="5" t="n">
        <v>276</v>
      </c>
      <c r="E1817" s="73">
        <f>B1817*D1817/10000</f>
        <v/>
      </c>
      <c r="F1817" s="74">
        <f>B1817/30.48</f>
        <v/>
      </c>
      <c r="G1817" s="74">
        <f>D1817/30.48</f>
        <v/>
      </c>
      <c r="H1817" s="569" t="inlineStr">
        <is>
          <t>OLD</t>
        </is>
      </c>
      <c r="I1817" s="570" t="inlineStr">
        <is>
          <t>Andrea Brown</t>
        </is>
      </c>
      <c r="J1817" s="557" t="n"/>
      <c r="R1817" s="1" t="n"/>
    </row>
    <row r="1818" ht="17.25" customHeight="1" s="305">
      <c r="A1818" s="8" t="inlineStr">
        <is>
          <t>D 339</t>
        </is>
      </c>
      <c r="B1818" s="5" t="n">
        <v>43</v>
      </c>
      <c r="C1818" s="72" t="inlineStr">
        <is>
          <t>X</t>
        </is>
      </c>
      <c r="D1818" s="5" t="n">
        <v>95</v>
      </c>
      <c r="E1818" s="73">
        <f>B1818*D1818/10000</f>
        <v/>
      </c>
      <c r="F1818" s="74">
        <f>B1818/30.48</f>
        <v/>
      </c>
      <c r="G1818" s="74">
        <f>D1818/30.48</f>
        <v/>
      </c>
      <c r="H1818" s="272" t="inlineStr">
        <is>
          <t>WTR</t>
        </is>
      </c>
      <c r="I1818" s="570" t="inlineStr">
        <is>
          <t>Lauren Dailey</t>
        </is>
      </c>
      <c r="J1818" s="557" t="n"/>
    </row>
    <row r="1819" ht="17.25" customHeight="1" s="305">
      <c r="A1819" s="8" t="n">
        <v>1605</v>
      </c>
      <c r="B1819" s="5" t="n">
        <v>265</v>
      </c>
      <c r="C1819" s="72" t="inlineStr">
        <is>
          <t>X</t>
        </is>
      </c>
      <c r="D1819" s="5" t="n">
        <v>128</v>
      </c>
      <c r="E1819" s="73">
        <f>B1819*D1819/10000</f>
        <v/>
      </c>
      <c r="F1819" s="74">
        <f>B1819/30.48</f>
        <v/>
      </c>
      <c r="G1819" s="74">
        <f>D1819/30.48</f>
        <v/>
      </c>
      <c r="H1819" s="592" t="inlineStr">
        <is>
          <t>PAC</t>
        </is>
      </c>
      <c r="I1819" s="570" t="inlineStr">
        <is>
          <t>Branan White Design</t>
        </is>
      </c>
      <c r="J1819" s="545" t="inlineStr">
        <is>
          <t>US-615 351 4415</t>
        </is>
      </c>
      <c r="R1819" s="1" t="n"/>
    </row>
    <row r="1820" ht="17.25" customHeight="1" s="305">
      <c r="A1820" s="8" t="n">
        <v>1117</v>
      </c>
      <c r="B1820" s="5" t="n">
        <v>87</v>
      </c>
      <c r="C1820" s="72" t="inlineStr">
        <is>
          <t>X</t>
        </is>
      </c>
      <c r="D1820" s="5" t="n">
        <v>138</v>
      </c>
      <c r="E1820" s="73">
        <f>B1820*D1820/10000</f>
        <v/>
      </c>
      <c r="F1820" s="74">
        <f>B1820/30.48</f>
        <v/>
      </c>
      <c r="G1820" s="74">
        <f>D1820/30.48</f>
        <v/>
      </c>
      <c r="H1820" s="16" t="inlineStr">
        <is>
          <t>VR</t>
        </is>
      </c>
      <c r="I1820" s="534" t="inlineStr">
        <is>
          <t>Melanie pot</t>
        </is>
      </c>
      <c r="J1820" s="545" t="n"/>
      <c r="R1820" s="1" t="n"/>
    </row>
    <row r="1821" ht="17.25" customHeight="1" s="305">
      <c r="A1821" s="8" t="n">
        <v>2039</v>
      </c>
      <c r="B1821" s="5" t="n">
        <v>90</v>
      </c>
      <c r="C1821" s="72" t="inlineStr">
        <is>
          <t>X</t>
        </is>
      </c>
      <c r="D1821" s="5" t="n">
        <v>168</v>
      </c>
      <c r="E1821" s="73">
        <f>B1821*D1821/10000</f>
        <v/>
      </c>
      <c r="F1821" s="74">
        <f>B1821/30.48</f>
        <v/>
      </c>
      <c r="G1821" s="74">
        <f>D1821/30.48</f>
        <v/>
      </c>
      <c r="H1821" s="69" t="inlineStr">
        <is>
          <t>MCHD-TR</t>
        </is>
      </c>
      <c r="I1821" s="557" t="n"/>
      <c r="J1821" s="557" t="n"/>
    </row>
    <row r="1822" ht="17.25" customHeight="1" s="305">
      <c r="A1822" s="8" t="n">
        <v>1523</v>
      </c>
      <c r="B1822" s="5" t="n">
        <v>385</v>
      </c>
      <c r="C1822" s="72" t="inlineStr">
        <is>
          <t>X</t>
        </is>
      </c>
      <c r="D1822" s="5" t="n">
        <v>117</v>
      </c>
      <c r="E1822" s="73">
        <f>B1822*D1822/10000</f>
        <v/>
      </c>
      <c r="F1822" s="74">
        <f>B1822/30.48</f>
        <v/>
      </c>
      <c r="G1822" s="74">
        <f>D1822/30.48</f>
        <v/>
      </c>
      <c r="H1822" s="16" t="inlineStr">
        <is>
          <t>VR</t>
        </is>
      </c>
      <c r="I1822" s="570" t="inlineStr">
        <is>
          <t>Stacey Koehn</t>
        </is>
      </c>
      <c r="J1822" s="557" t="n"/>
    </row>
    <row r="1823" ht="17.25" customHeight="1" s="305">
      <c r="A1823" s="8" t="n">
        <v>2489</v>
      </c>
      <c r="B1823" s="5" t="n">
        <v>83</v>
      </c>
      <c r="C1823" s="72" t="inlineStr">
        <is>
          <t>X</t>
        </is>
      </c>
      <c r="D1823" s="5" t="n">
        <v>428</v>
      </c>
      <c r="E1823" s="73">
        <f>B1823*D1823/10000</f>
        <v/>
      </c>
      <c r="F1823" s="74">
        <f>B1823/30.48</f>
        <v/>
      </c>
      <c r="G1823" s="74">
        <f>D1823/30.48</f>
        <v/>
      </c>
      <c r="H1823" s="69" t="inlineStr">
        <is>
          <t>RK</t>
        </is>
      </c>
      <c r="I1823" s="570" t="inlineStr">
        <is>
          <t>Shelby Chapman</t>
        </is>
      </c>
      <c r="J1823" s="557" t="n"/>
      <c r="R1823" s="1" t="n"/>
    </row>
    <row r="1824" ht="17.25" customHeight="1" s="305">
      <c r="A1824" s="8" t="n">
        <v>1952</v>
      </c>
      <c r="B1824" s="5" t="n">
        <v>197</v>
      </c>
      <c r="C1824" s="72" t="inlineStr">
        <is>
          <t>X</t>
        </is>
      </c>
      <c r="D1824" s="5" t="n">
        <v>304</v>
      </c>
      <c r="E1824" s="73">
        <f>B1824*D1824/10000</f>
        <v/>
      </c>
      <c r="F1824" s="74">
        <f>B1824/30.48</f>
        <v/>
      </c>
      <c r="G1824" s="74">
        <f>D1824/30.48</f>
        <v/>
      </c>
      <c r="H1824" s="69" t="inlineStr">
        <is>
          <t>RK</t>
        </is>
      </c>
      <c r="I1824" s="570" t="inlineStr">
        <is>
          <t>Christina Quinn</t>
        </is>
      </c>
      <c r="J1824" s="557" t="n"/>
      <c r="R1824" s="1" t="n"/>
    </row>
    <row r="1825" ht="17.25" customHeight="1" s="305">
      <c r="A1825" s="8" t="inlineStr">
        <is>
          <t>C 35</t>
        </is>
      </c>
      <c r="B1825" s="5" t="n">
        <v>370</v>
      </c>
      <c r="C1825" s="6" t="inlineStr">
        <is>
          <t>X</t>
        </is>
      </c>
      <c r="D1825" s="5" t="n">
        <v>300</v>
      </c>
      <c r="E1825" s="2">
        <f>B1825*D1825/10000</f>
        <v/>
      </c>
      <c r="F1825" s="3">
        <f>B1825/30.48</f>
        <v/>
      </c>
      <c r="G1825" s="3">
        <f>D1825/30.48</f>
        <v/>
      </c>
      <c r="H1825" s="592" t="inlineStr">
        <is>
          <t>PAC</t>
        </is>
      </c>
      <c r="I1825" s="534" t="inlineStr">
        <is>
          <t>Bobby J Hunt</t>
        </is>
      </c>
      <c r="J1825" s="545" t="n"/>
    </row>
    <row r="1826">
      <c r="A1826" s="536" t="inlineStr">
        <is>
          <t>-2024 EKİM-</t>
        </is>
      </c>
      <c r="H1826" s="104" t="inlineStr">
        <is>
          <t>SATAN-SİTE</t>
        </is>
      </c>
      <c r="I1826" s="98" t="inlineStr">
        <is>
          <t>MÜŞTERİ ADI</t>
        </is>
      </c>
      <c r="J1826" s="63" t="inlineStr">
        <is>
          <t>MÜŞTERİ İLETİŞİM &amp; ÜLKE</t>
        </is>
      </c>
      <c r="P1826" s="1" t="n"/>
    </row>
    <row r="1827" ht="17.25" customHeight="1" s="305">
      <c r="A1827" s="8" t="inlineStr">
        <is>
          <t>D 141</t>
        </is>
      </c>
      <c r="B1827" s="5" t="n">
        <v>48</v>
      </c>
      <c r="C1827" s="72" t="inlineStr">
        <is>
          <t>X</t>
        </is>
      </c>
      <c r="D1827" s="5" t="n">
        <v>84</v>
      </c>
      <c r="E1827" s="73">
        <f>B1827*D1827/10000</f>
        <v/>
      </c>
      <c r="F1827" s="74">
        <f>B1827/30.48</f>
        <v/>
      </c>
      <c r="G1827" s="74">
        <f>D1827/30.48</f>
        <v/>
      </c>
      <c r="H1827" s="16" t="inlineStr">
        <is>
          <t>VR</t>
        </is>
      </c>
      <c r="I1827" s="570" t="inlineStr">
        <is>
          <t>Donna W Ridenour</t>
        </is>
      </c>
      <c r="J1827" s="233" t="n"/>
    </row>
    <row r="1828" ht="17.25" customHeight="1" s="305">
      <c r="A1828" s="8" t="n">
        <v>2415</v>
      </c>
      <c r="B1828" s="5" t="n">
        <v>78</v>
      </c>
      <c r="C1828" s="72" t="inlineStr">
        <is>
          <t>X</t>
        </is>
      </c>
      <c r="D1828" s="5" t="n">
        <v>376</v>
      </c>
      <c r="E1828" s="73">
        <f>B1828*D1828/10000</f>
        <v/>
      </c>
      <c r="F1828" s="74">
        <f>B1828/30.48</f>
        <v/>
      </c>
      <c r="G1828" s="74">
        <f>D1828/30.48</f>
        <v/>
      </c>
      <c r="H1828" s="272" t="inlineStr">
        <is>
          <t>WTR</t>
        </is>
      </c>
      <c r="I1828" s="268" t="inlineStr">
        <is>
          <t>Taren Bowen</t>
        </is>
      </c>
      <c r="J1828" s="235" t="n"/>
    </row>
    <row r="1829" ht="17.25" customHeight="1" s="305">
      <c r="A1829" s="8" t="n">
        <v>4044</v>
      </c>
      <c r="B1829" s="5" t="n">
        <v>62</v>
      </c>
      <c r="C1829" s="72" t="inlineStr">
        <is>
          <t>X</t>
        </is>
      </c>
      <c r="D1829" s="5" t="n">
        <v>151</v>
      </c>
      <c r="E1829" s="73">
        <f>B1829*D1829/10000</f>
        <v/>
      </c>
      <c r="F1829" s="74">
        <f>B1829/30.48</f>
        <v/>
      </c>
      <c r="G1829" s="74">
        <f>D1829/30.48</f>
        <v/>
      </c>
      <c r="H1829" s="69" t="inlineStr">
        <is>
          <t>MCHD-TR</t>
        </is>
      </c>
      <c r="I1829" s="545" t="n"/>
      <c r="J1829" s="545" t="n"/>
    </row>
    <row r="1830" ht="17.25" customHeight="1" s="305">
      <c r="A1830" s="8" t="n">
        <v>335</v>
      </c>
      <c r="B1830" s="5" t="n">
        <v>204</v>
      </c>
      <c r="C1830" s="6" t="inlineStr">
        <is>
          <t>X</t>
        </is>
      </c>
      <c r="D1830" s="5" t="n">
        <v>134</v>
      </c>
      <c r="E1830" s="2">
        <f>B1830*D1830/10000</f>
        <v/>
      </c>
      <c r="F1830" s="3">
        <f>B1830/30.48</f>
        <v/>
      </c>
      <c r="G1830" s="3">
        <f>D1830/30.48</f>
        <v/>
      </c>
      <c r="H1830" s="69" t="inlineStr">
        <is>
          <t>RK</t>
        </is>
      </c>
      <c r="I1830" s="534" t="inlineStr">
        <is>
          <t>Nik Southern</t>
        </is>
      </c>
      <c r="J1830" s="545" t="n"/>
    </row>
    <row r="1831" ht="17.25" customHeight="1" s="305">
      <c r="A1831" s="8" t="n">
        <v>2748</v>
      </c>
      <c r="B1831" s="5" t="n">
        <v>81</v>
      </c>
      <c r="C1831" s="72" t="inlineStr">
        <is>
          <t>X</t>
        </is>
      </c>
      <c r="D1831" s="5" t="n">
        <v>126</v>
      </c>
      <c r="E1831" s="73">
        <f>B1831*D1831/10000</f>
        <v/>
      </c>
      <c r="F1831" s="74">
        <f>B1831/30.48</f>
        <v/>
      </c>
      <c r="G1831" s="74">
        <f>D1831/30.48</f>
        <v/>
      </c>
      <c r="H1831" s="69" t="inlineStr">
        <is>
          <t>RK</t>
        </is>
      </c>
      <c r="I1831" s="570" t="inlineStr">
        <is>
          <t>Steven Jones</t>
        </is>
      </c>
      <c r="J1831" s="557" t="n"/>
    </row>
    <row r="1832" ht="17.25" customHeight="1" s="305">
      <c r="A1832" s="8" t="n">
        <v>2895</v>
      </c>
      <c r="B1832" s="5" t="n">
        <v>98</v>
      </c>
      <c r="C1832" s="72" t="inlineStr">
        <is>
          <t>X</t>
        </is>
      </c>
      <c r="D1832" s="5" t="n">
        <v>283</v>
      </c>
      <c r="E1832" s="73">
        <f>B1832*D1832/10000</f>
        <v/>
      </c>
      <c r="F1832" s="74">
        <f>B1832/30.48</f>
        <v/>
      </c>
      <c r="G1832" s="74">
        <f>D1832/30.48</f>
        <v/>
      </c>
      <c r="H1832" s="69" t="inlineStr">
        <is>
          <t>MCHD-TR</t>
        </is>
      </c>
      <c r="I1832" s="557" t="n"/>
      <c r="J1832" s="557" t="n"/>
      <c r="R1832" s="1" t="n"/>
    </row>
    <row r="1833" ht="17.25" customHeight="1" s="305">
      <c r="A1833" s="8" t="n">
        <v>2484</v>
      </c>
      <c r="B1833" s="5" t="n">
        <v>90</v>
      </c>
      <c r="C1833" s="72" t="inlineStr">
        <is>
          <t>X</t>
        </is>
      </c>
      <c r="D1833" s="5" t="n">
        <v>379</v>
      </c>
      <c r="E1833" s="73">
        <f>B1833*D1833/10000</f>
        <v/>
      </c>
      <c r="F1833" s="74">
        <f>B1833/30.48</f>
        <v/>
      </c>
      <c r="G1833" s="74">
        <f>D1833/30.48</f>
        <v/>
      </c>
      <c r="H1833" s="69" t="inlineStr">
        <is>
          <t>MCHD-TR</t>
        </is>
      </c>
      <c r="I1833" s="557" t="n"/>
      <c r="J1833" s="557" t="n"/>
    </row>
    <row r="1834" ht="17.25" customHeight="1" s="305">
      <c r="A1834" s="8" t="n">
        <v>1450</v>
      </c>
      <c r="B1834" s="5" t="n">
        <v>78</v>
      </c>
      <c r="C1834" s="72" t="inlineStr">
        <is>
          <t>X</t>
        </is>
      </c>
      <c r="D1834" s="5" t="n">
        <v>327</v>
      </c>
      <c r="E1834" s="73">
        <f>B1834*D1834/10000</f>
        <v/>
      </c>
      <c r="F1834" s="74">
        <f>B1834/30.48</f>
        <v/>
      </c>
      <c r="G1834" s="74">
        <f>D1834/30.48</f>
        <v/>
      </c>
      <c r="H1834" s="69" t="inlineStr">
        <is>
          <t>MCHD-TR</t>
        </is>
      </c>
      <c r="I1834" s="557" t="n"/>
      <c r="J1834" s="557" t="n"/>
    </row>
    <row r="1835" ht="17.25" customHeight="1" s="305">
      <c r="A1835" s="8" t="inlineStr">
        <is>
          <t>D 152</t>
        </is>
      </c>
      <c r="B1835" s="5" t="n">
        <v>45</v>
      </c>
      <c r="C1835" s="72" t="inlineStr">
        <is>
          <t>X</t>
        </is>
      </c>
      <c r="D1835" s="5" t="n">
        <v>100</v>
      </c>
      <c r="E1835" s="73">
        <f>B1835*D1835/10000</f>
        <v/>
      </c>
      <c r="F1835" s="74">
        <f>B1835/30.48</f>
        <v/>
      </c>
      <c r="G1835" s="74">
        <f>D1835/30.48</f>
        <v/>
      </c>
      <c r="H1835" s="569" t="inlineStr">
        <is>
          <t>OLD</t>
        </is>
      </c>
      <c r="I1835" s="570" t="inlineStr">
        <is>
          <t>Maude Miller</t>
        </is>
      </c>
      <c r="J1835" s="557" t="n"/>
    </row>
    <row r="1836" ht="17.25" customHeight="1" s="305">
      <c r="A1836" s="8" t="n">
        <v>2364</v>
      </c>
      <c r="B1836" s="5" t="n">
        <v>114</v>
      </c>
      <c r="C1836" s="72" t="inlineStr">
        <is>
          <t>X</t>
        </is>
      </c>
      <c r="D1836" s="5" t="n">
        <v>260</v>
      </c>
      <c r="E1836" s="73">
        <f>B1836*D1836/10000</f>
        <v/>
      </c>
      <c r="F1836" s="74">
        <f>B1836/30.48</f>
        <v/>
      </c>
      <c r="G1836" s="74">
        <f>D1836/30.48</f>
        <v/>
      </c>
      <c r="H1836" s="272" t="inlineStr">
        <is>
          <t>WTR</t>
        </is>
      </c>
      <c r="I1836" s="534" t="inlineStr">
        <is>
          <t>Linda Bleakney</t>
        </is>
      </c>
      <c r="J1836" s="545" t="n"/>
      <c r="R1836" s="1" t="n"/>
    </row>
    <row r="1837" ht="17.25" customHeight="1" s="305">
      <c r="A1837" s="8" t="n">
        <v>2497</v>
      </c>
      <c r="B1837" s="5" t="n">
        <v>73</v>
      </c>
      <c r="C1837" s="72" t="inlineStr">
        <is>
          <t>X</t>
        </is>
      </c>
      <c r="D1837" s="5" t="n">
        <v>317</v>
      </c>
      <c r="E1837" s="73">
        <f>B1837*D1837/10000</f>
        <v/>
      </c>
      <c r="F1837" s="74">
        <f>B1837/30.48</f>
        <v/>
      </c>
      <c r="G1837" s="74">
        <f>D1837/30.48</f>
        <v/>
      </c>
      <c r="H1837" s="69" t="inlineStr">
        <is>
          <t>RK</t>
        </is>
      </c>
      <c r="I1837" s="570" t="inlineStr">
        <is>
          <t>Carly Rosenberg</t>
        </is>
      </c>
      <c r="J1837" s="557" t="n"/>
      <c r="R1837" s="1" t="n"/>
    </row>
    <row r="1838" ht="17.25" customHeight="1" s="305">
      <c r="A1838" s="8" t="inlineStr">
        <is>
          <t>Y 835</t>
        </is>
      </c>
      <c r="B1838" s="5" t="n">
        <v>428</v>
      </c>
      <c r="C1838" s="6" t="inlineStr">
        <is>
          <t>X</t>
        </is>
      </c>
      <c r="D1838" s="5" t="n">
        <v>157</v>
      </c>
      <c r="E1838" s="2">
        <f>B1838*D1838/10000</f>
        <v/>
      </c>
      <c r="F1838" s="3">
        <f>B1838/30.48</f>
        <v/>
      </c>
      <c r="G1838" s="3">
        <f>D1838/30.48</f>
        <v/>
      </c>
      <c r="H1838" s="592" t="inlineStr">
        <is>
          <t>PAC</t>
        </is>
      </c>
      <c r="I1838" s="570" t="inlineStr">
        <is>
          <t>MLG MeredithPetty</t>
        </is>
      </c>
      <c r="J1838" s="557" t="n"/>
      <c r="R1838" s="1" t="n"/>
    </row>
    <row r="1839" ht="17.25" customHeight="1" s="305">
      <c r="A1839" s="8" t="n">
        <v>1366</v>
      </c>
      <c r="B1839" s="5" t="n">
        <v>94</v>
      </c>
      <c r="C1839" s="72" t="inlineStr">
        <is>
          <t>X</t>
        </is>
      </c>
      <c r="D1839" s="5" t="n">
        <v>297</v>
      </c>
      <c r="E1839" s="73">
        <f>B1839*D1839/10000</f>
        <v/>
      </c>
      <c r="F1839" s="74">
        <f>B1839/30.48</f>
        <v/>
      </c>
      <c r="G1839" s="74">
        <f>D1839/30.48</f>
        <v/>
      </c>
      <c r="H1839" s="569" t="inlineStr">
        <is>
          <t>OLD</t>
        </is>
      </c>
      <c r="I1839" s="570" t="inlineStr">
        <is>
          <t>Katie Beach</t>
        </is>
      </c>
      <c r="J1839" s="557" t="n"/>
      <c r="R1839" s="1" t="n"/>
    </row>
    <row r="1840" ht="17.25" customHeight="1" s="305">
      <c r="A1840" s="8" t="inlineStr">
        <is>
          <t>D 113</t>
        </is>
      </c>
      <c r="B1840" s="5" t="n">
        <v>47</v>
      </c>
      <c r="C1840" s="72" t="inlineStr">
        <is>
          <t>X</t>
        </is>
      </c>
      <c r="D1840" s="5" t="n">
        <v>97</v>
      </c>
      <c r="E1840" s="73">
        <f>B1840*D1840/10000</f>
        <v/>
      </c>
      <c r="F1840" s="74">
        <f>B1840/30.48</f>
        <v/>
      </c>
      <c r="G1840" s="74">
        <f>D1840/30.48</f>
        <v/>
      </c>
      <c r="H1840" s="569" t="inlineStr">
        <is>
          <t>OLD</t>
        </is>
      </c>
      <c r="I1840" s="534" t="inlineStr">
        <is>
          <t>fischl Barbara Fischl</t>
        </is>
      </c>
      <c r="J1840" s="545" t="n"/>
      <c r="R1840" s="1" t="n"/>
    </row>
    <row r="1841" ht="17.25" customHeight="1" s="305">
      <c r="A1841" s="8" t="n">
        <v>4050</v>
      </c>
      <c r="B1841" s="5" t="n">
        <v>71</v>
      </c>
      <c r="C1841" s="72" t="inlineStr">
        <is>
          <t>X</t>
        </is>
      </c>
      <c r="D1841" s="5" t="n">
        <v>176</v>
      </c>
      <c r="E1841" s="73">
        <f>B1841*D1841/10000</f>
        <v/>
      </c>
      <c r="F1841" s="74">
        <f>B1841/30.48</f>
        <v/>
      </c>
      <c r="G1841" s="74">
        <f>D1841/30.48</f>
        <v/>
      </c>
      <c r="H1841" s="69" t="inlineStr">
        <is>
          <t>MCHD-TR</t>
        </is>
      </c>
      <c r="I1841" s="557" t="n"/>
      <c r="J1841" s="557" t="n"/>
    </row>
    <row r="1842" ht="17.25" customHeight="1" s="305">
      <c r="A1842" s="8" t="n">
        <v>3379</v>
      </c>
      <c r="B1842" s="5" t="n"/>
      <c r="C1842" s="72" t="inlineStr">
        <is>
          <t>X</t>
        </is>
      </c>
      <c r="D1842" s="5" t="n"/>
      <c r="E1842" s="73">
        <f>B1842*D1842/10000</f>
        <v/>
      </c>
      <c r="F1842" s="74">
        <f>B1842/30.48</f>
        <v/>
      </c>
      <c r="G1842" s="74">
        <f>D1842/30.48</f>
        <v/>
      </c>
      <c r="H1842" s="69" t="inlineStr">
        <is>
          <t>MCHD-TR</t>
        </is>
      </c>
      <c r="I1842" s="557" t="n"/>
      <c r="J1842" s="557" t="n"/>
    </row>
    <row r="1843" ht="17.25" customHeight="1" s="305">
      <c r="A1843" s="8" t="n">
        <v>3379</v>
      </c>
      <c r="B1843" s="5" t="n">
        <v>84</v>
      </c>
      <c r="C1843" s="72" t="inlineStr">
        <is>
          <t>X</t>
        </is>
      </c>
      <c r="D1843" s="5" t="n">
        <v>188</v>
      </c>
      <c r="E1843" s="73">
        <f>B1843*D1843/10000</f>
        <v/>
      </c>
      <c r="F1843" s="74">
        <f>B1843/30.48</f>
        <v/>
      </c>
      <c r="G1843" s="74">
        <f>D1843/30.48</f>
        <v/>
      </c>
      <c r="H1843" s="69" t="inlineStr">
        <is>
          <t>MCHD-TR</t>
        </is>
      </c>
      <c r="I1843" s="557" t="n"/>
      <c r="J1843" s="557" t="n"/>
    </row>
    <row r="1844" ht="17.25" customHeight="1" s="305">
      <c r="A1844" s="8" t="n">
        <v>2608</v>
      </c>
      <c r="B1844" s="5" t="n">
        <v>118</v>
      </c>
      <c r="C1844" s="72" t="inlineStr">
        <is>
          <t>X</t>
        </is>
      </c>
      <c r="D1844" s="5" t="n">
        <v>193</v>
      </c>
      <c r="E1844" s="73">
        <f>B1844*D1844/10000</f>
        <v/>
      </c>
      <c r="F1844" s="74">
        <f>B1844/30.48</f>
        <v/>
      </c>
      <c r="G1844" s="74">
        <f>D1844/30.48</f>
        <v/>
      </c>
      <c r="H1844" s="272" t="inlineStr">
        <is>
          <t>WTR</t>
        </is>
      </c>
      <c r="I1844" s="570" t="inlineStr">
        <is>
          <t>Amy Lefebvre</t>
        </is>
      </c>
      <c r="J1844" s="557" t="n"/>
      <c r="R1844" s="1" t="n"/>
    </row>
    <row r="1845" ht="17.25" customHeight="1" s="305">
      <c r="A1845" s="8" t="n">
        <v>3299</v>
      </c>
      <c r="B1845" s="5" t="n">
        <v>146</v>
      </c>
      <c r="C1845" s="72" t="inlineStr">
        <is>
          <t>X</t>
        </is>
      </c>
      <c r="D1845" s="5" t="n">
        <v>218</v>
      </c>
      <c r="E1845" s="73">
        <f>B1845*D1845/10000</f>
        <v/>
      </c>
      <c r="F1845" s="74">
        <f>B1845/30.48</f>
        <v/>
      </c>
      <c r="G1845" s="74">
        <f>D1845/30.48</f>
        <v/>
      </c>
      <c r="H1845" s="69" t="inlineStr">
        <is>
          <t>MCHD-TR</t>
        </is>
      </c>
      <c r="I1845" s="545" t="n"/>
      <c r="J1845" s="545" t="n"/>
      <c r="R1845" s="1" t="n"/>
    </row>
    <row r="1846" ht="17.25" customHeight="1" s="305">
      <c r="A1846" s="8" t="n">
        <v>2946</v>
      </c>
      <c r="B1846" s="5" t="n">
        <v>125</v>
      </c>
      <c r="C1846" s="72" t="inlineStr">
        <is>
          <t>X</t>
        </is>
      </c>
      <c r="D1846" s="5" t="n">
        <v>313</v>
      </c>
      <c r="E1846" s="73">
        <f>B1846*D1846/10000</f>
        <v/>
      </c>
      <c r="F1846" s="74">
        <f>B1846/30.48</f>
        <v/>
      </c>
      <c r="G1846" s="74">
        <f>D1846/30.48</f>
        <v/>
      </c>
      <c r="H1846" s="69" t="inlineStr">
        <is>
          <t>MCHD-TR</t>
        </is>
      </c>
      <c r="I1846" s="557" t="n"/>
      <c r="J1846" s="557" t="n"/>
    </row>
    <row r="1847" ht="17.25" customHeight="1" s="305">
      <c r="A1847" s="8" t="n">
        <v>4051</v>
      </c>
      <c r="B1847" s="5" t="n">
        <v>63</v>
      </c>
      <c r="C1847" s="72" t="inlineStr">
        <is>
          <t>X</t>
        </is>
      </c>
      <c r="D1847" s="5" t="n">
        <v>168</v>
      </c>
      <c r="E1847" s="73">
        <f>B1847*D1847/10000</f>
        <v/>
      </c>
      <c r="F1847" s="74">
        <f>B1847/30.48</f>
        <v/>
      </c>
      <c r="G1847" s="74">
        <f>D1847/30.48</f>
        <v/>
      </c>
      <c r="H1847" s="69" t="inlineStr">
        <is>
          <t>MCHD-TR</t>
        </is>
      </c>
      <c r="I1847" s="557" t="n"/>
      <c r="J1847" s="557" t="n"/>
      <c r="R1847" s="1" t="n"/>
    </row>
    <row r="1848" ht="17.25" customHeight="1" s="305">
      <c r="A1848" s="8" t="n">
        <v>2253</v>
      </c>
      <c r="B1848" s="5" t="n">
        <v>79</v>
      </c>
      <c r="C1848" s="72" t="inlineStr">
        <is>
          <t>X</t>
        </is>
      </c>
      <c r="D1848" s="5" t="n">
        <v>125</v>
      </c>
      <c r="E1848" s="73">
        <f>B1848*D1848/10000</f>
        <v/>
      </c>
      <c r="F1848" s="74">
        <f>B1848/30.48</f>
        <v/>
      </c>
      <c r="G1848" s="74">
        <f>D1848/30.48</f>
        <v/>
      </c>
      <c r="H1848" s="69" t="inlineStr">
        <is>
          <t>MCHD-TR</t>
        </is>
      </c>
      <c r="I1848" s="557" t="n"/>
      <c r="J1848" s="557" t="n"/>
    </row>
    <row r="1849" ht="17.25" customHeight="1" s="305">
      <c r="A1849" s="8" t="inlineStr">
        <is>
          <t>C 284</t>
        </is>
      </c>
      <c r="B1849" s="5" t="n">
        <v>157</v>
      </c>
      <c r="C1849" s="6" t="inlineStr">
        <is>
          <t>X</t>
        </is>
      </c>
      <c r="D1849" s="5" t="n">
        <v>351</v>
      </c>
      <c r="E1849" s="2">
        <f>B1849*D1849/10000</f>
        <v/>
      </c>
      <c r="F1849" s="3">
        <f>B1849/30.48</f>
        <v/>
      </c>
      <c r="G1849" s="3">
        <f>D1849/30.48</f>
        <v/>
      </c>
      <c r="H1849" s="69" t="inlineStr">
        <is>
          <t>MCHD-TR</t>
        </is>
      </c>
      <c r="I1849" s="557" t="n"/>
      <c r="J1849" s="557" t="n"/>
    </row>
    <row r="1850" ht="17.25" customHeight="1" s="305">
      <c r="A1850" s="8" t="n">
        <v>2821</v>
      </c>
      <c r="B1850" s="5" t="n">
        <v>118</v>
      </c>
      <c r="C1850" s="72" t="inlineStr">
        <is>
          <t>X</t>
        </is>
      </c>
      <c r="D1850" s="5" t="n">
        <v>214</v>
      </c>
      <c r="E1850" s="73">
        <f>B1850*D1850/10000</f>
        <v/>
      </c>
      <c r="F1850" s="74">
        <f>B1850/30.48</f>
        <v/>
      </c>
      <c r="G1850" s="74">
        <f>D1850/30.48</f>
        <v/>
      </c>
      <c r="H1850" s="69" t="inlineStr">
        <is>
          <t>MCHD-TR</t>
        </is>
      </c>
      <c r="I1850" s="557" t="n"/>
      <c r="J1850" s="557" t="n"/>
      <c r="R1850" s="1" t="n"/>
    </row>
    <row r="1851" ht="17.25" customHeight="1" s="305">
      <c r="A1851" s="8" t="n">
        <v>1206</v>
      </c>
      <c r="B1851" s="5" t="n">
        <v>118</v>
      </c>
      <c r="C1851" s="72" t="inlineStr">
        <is>
          <t>X</t>
        </is>
      </c>
      <c r="D1851" s="5" t="n">
        <v>383</v>
      </c>
      <c r="E1851" s="73">
        <f>B1851*D1851/10000</f>
        <v/>
      </c>
      <c r="F1851" s="74">
        <f>B1851/30.48</f>
        <v/>
      </c>
      <c r="G1851" s="74">
        <f>D1851/30.48</f>
        <v/>
      </c>
      <c r="H1851" s="569" t="inlineStr">
        <is>
          <t>OLD</t>
        </is>
      </c>
      <c r="I1851" s="570" t="inlineStr">
        <is>
          <t>Barton Bishop</t>
        </is>
      </c>
      <c r="J1851" s="557" t="n"/>
      <c r="R1851" s="1" t="n"/>
    </row>
    <row r="1852" ht="17.25" customHeight="1" s="305">
      <c r="A1852" s="8" t="n">
        <v>51</v>
      </c>
      <c r="B1852" s="5" t="n">
        <v>83</v>
      </c>
      <c r="C1852" s="6" t="inlineStr">
        <is>
          <t>X</t>
        </is>
      </c>
      <c r="D1852" s="5" t="n">
        <v>51</v>
      </c>
      <c r="E1852" s="2">
        <f>B1852*D1852/10000</f>
        <v/>
      </c>
      <c r="F1852" s="3">
        <f>B1852/30.48</f>
        <v/>
      </c>
      <c r="G1852" s="3">
        <f>D1852/30.48</f>
        <v/>
      </c>
      <c r="H1852" s="569" t="inlineStr">
        <is>
          <t>OLD</t>
        </is>
      </c>
      <c r="I1852" s="570" t="inlineStr">
        <is>
          <t>Jill Green</t>
        </is>
      </c>
      <c r="J1852" s="557" t="n"/>
    </row>
    <row r="1853" ht="17.25" customHeight="1" s="305">
      <c r="A1853" s="8" t="n">
        <v>2512</v>
      </c>
      <c r="B1853" s="5" t="n">
        <v>120</v>
      </c>
      <c r="C1853" s="72" t="inlineStr">
        <is>
          <t>X</t>
        </is>
      </c>
      <c r="D1853" s="5" t="n">
        <v>186</v>
      </c>
      <c r="E1853" s="73">
        <f>B1853*D1853/10000</f>
        <v/>
      </c>
      <c r="F1853" s="74">
        <f>B1853/30.48</f>
        <v/>
      </c>
      <c r="G1853" s="74">
        <f>D1853/30.48</f>
        <v/>
      </c>
      <c r="H1853" s="69" t="inlineStr">
        <is>
          <t>RK</t>
        </is>
      </c>
      <c r="I1853" s="570" t="inlineStr">
        <is>
          <t>Sheri Tyska</t>
        </is>
      </c>
      <c r="J1853" s="557" t="n"/>
      <c r="R1853" s="1" t="n"/>
    </row>
    <row r="1854" ht="17.25" customHeight="1" s="305">
      <c r="A1854" s="8" t="inlineStr">
        <is>
          <t>C 483</t>
        </is>
      </c>
      <c r="B1854" s="5" t="n">
        <v>180</v>
      </c>
      <c r="C1854" s="6" t="inlineStr">
        <is>
          <t>X</t>
        </is>
      </c>
      <c r="D1854" s="5" t="n">
        <v>365</v>
      </c>
      <c r="E1854" s="2">
        <f>B1854*D1854/10000</f>
        <v/>
      </c>
      <c r="F1854" s="3">
        <f>B1854/30.48</f>
        <v/>
      </c>
      <c r="G1854" s="3">
        <f>D1854/30.48</f>
        <v/>
      </c>
      <c r="H1854" s="69" t="inlineStr">
        <is>
          <t>RK</t>
        </is>
      </c>
      <c r="I1854" s="534" t="inlineStr">
        <is>
          <t>FENYROSE ROMANO</t>
        </is>
      </c>
      <c r="J1854" s="545" t="n"/>
      <c r="R1854" s="1" t="n"/>
    </row>
    <row r="1855" ht="17.25" customHeight="1" s="305">
      <c r="A1855" s="8" t="inlineStr">
        <is>
          <t>D 217</t>
        </is>
      </c>
      <c r="B1855" s="5" t="n">
        <v>47</v>
      </c>
      <c r="C1855" s="72" t="inlineStr">
        <is>
          <t>X</t>
        </is>
      </c>
      <c r="D1855" s="5" t="n">
        <v>91</v>
      </c>
      <c r="E1855" s="73">
        <f>B1855*D1855/10000</f>
        <v/>
      </c>
      <c r="F1855" s="74">
        <f>B1855/30.48</f>
        <v/>
      </c>
      <c r="G1855" s="74">
        <f>D1855/30.48</f>
        <v/>
      </c>
      <c r="H1855" s="569" t="inlineStr">
        <is>
          <t>OLD</t>
        </is>
      </c>
      <c r="I1855" s="570" t="inlineStr">
        <is>
          <t>Erin</t>
        </is>
      </c>
      <c r="J1855" s="557" t="n"/>
      <c r="R1855" s="1" t="n"/>
    </row>
    <row r="1856" ht="17.25" customHeight="1" s="305">
      <c r="A1856" s="8" t="n">
        <v>1461</v>
      </c>
      <c r="B1856" s="5" t="n">
        <v>92</v>
      </c>
      <c r="C1856" s="72" t="inlineStr">
        <is>
          <t>X</t>
        </is>
      </c>
      <c r="D1856" s="5" t="n">
        <v>348</v>
      </c>
      <c r="E1856" s="73">
        <f>B1856*D1856/10000</f>
        <v/>
      </c>
      <c r="F1856" s="74">
        <f>B1856/30.48</f>
        <v/>
      </c>
      <c r="G1856" s="74">
        <f>D1856/30.48</f>
        <v/>
      </c>
      <c r="H1856" s="16" t="inlineStr">
        <is>
          <t>VR</t>
        </is>
      </c>
      <c r="I1856" s="570" t="inlineStr">
        <is>
          <t>Laura Grooms</t>
        </is>
      </c>
      <c r="J1856" s="557" t="n"/>
      <c r="R1856" s="1" t="n"/>
    </row>
    <row r="1857" ht="17.25" customHeight="1" s="305">
      <c r="A1857" s="8" t="inlineStr">
        <is>
          <t>D 463</t>
        </is>
      </c>
      <c r="B1857" s="5" t="n">
        <v>48</v>
      </c>
      <c r="C1857" s="72" t="inlineStr">
        <is>
          <t>X</t>
        </is>
      </c>
      <c r="D1857" s="5" t="n">
        <v>88</v>
      </c>
      <c r="E1857" s="73">
        <f>B1857*D1857/10000</f>
        <v/>
      </c>
      <c r="F1857" s="74">
        <f>B1857/30.48</f>
        <v/>
      </c>
      <c r="G1857" s="74">
        <f>D1857/30.48</f>
        <v/>
      </c>
      <c r="H1857" s="69" t="inlineStr">
        <is>
          <t>MCHD-TR</t>
        </is>
      </c>
      <c r="I1857" s="557" t="n"/>
      <c r="J1857" s="557" t="n"/>
      <c r="R1857" s="1" t="n"/>
    </row>
    <row r="1858" ht="17.25" customHeight="1" s="305">
      <c r="A1858" s="8" t="n">
        <v>3967</v>
      </c>
      <c r="B1858" s="5" t="n"/>
      <c r="C1858" s="72" t="inlineStr">
        <is>
          <t>X</t>
        </is>
      </c>
      <c r="D1858" s="5" t="n"/>
      <c r="E1858" s="73">
        <f>B1858*D1858/10000</f>
        <v/>
      </c>
      <c r="F1858" s="74">
        <f>B1858/30.48</f>
        <v/>
      </c>
      <c r="G1858" s="74">
        <f>D1858/30.48</f>
        <v/>
      </c>
      <c r="H1858" s="69" t="inlineStr">
        <is>
          <t>MCHD-TR</t>
        </is>
      </c>
      <c r="I1858" s="557" t="n"/>
      <c r="J1858" s="557" t="n"/>
      <c r="R1858" s="1" t="n"/>
    </row>
    <row r="1859" ht="17.25" customHeight="1" s="305">
      <c r="A1859" s="8" t="n">
        <v>2612</v>
      </c>
      <c r="B1859" s="5" t="n">
        <v>77</v>
      </c>
      <c r="C1859" s="72" t="inlineStr">
        <is>
          <t>X</t>
        </is>
      </c>
      <c r="D1859" s="5" t="n">
        <v>142</v>
      </c>
      <c r="E1859" s="73">
        <f>B1859*D1859/10000</f>
        <v/>
      </c>
      <c r="F1859" s="74">
        <f>B1859/30.48</f>
        <v/>
      </c>
      <c r="G1859" s="74">
        <f>D1859/30.48</f>
        <v/>
      </c>
      <c r="H1859" s="69" t="inlineStr">
        <is>
          <t>MCHD-TR</t>
        </is>
      </c>
      <c r="I1859" s="545" t="n"/>
      <c r="J1859" s="545" t="n"/>
      <c r="R1859" s="1" t="n"/>
    </row>
    <row r="1860" ht="17.25" customHeight="1" s="305">
      <c r="A1860" s="8" t="n">
        <v>2774</v>
      </c>
      <c r="B1860" s="5" t="n">
        <v>90</v>
      </c>
      <c r="C1860" s="72" t="inlineStr">
        <is>
          <t>X</t>
        </is>
      </c>
      <c r="D1860" s="5" t="n">
        <v>349</v>
      </c>
      <c r="E1860" s="73">
        <f>B1860*D1860/10000</f>
        <v/>
      </c>
      <c r="F1860" s="74">
        <f>B1860/30.48</f>
        <v/>
      </c>
      <c r="G1860" s="74">
        <f>D1860/30.48</f>
        <v/>
      </c>
      <c r="H1860" s="272" t="inlineStr">
        <is>
          <t>WTR</t>
        </is>
      </c>
      <c r="I1860" s="570" t="inlineStr">
        <is>
          <t>Cecilia Kruse-Wright</t>
        </is>
      </c>
      <c r="J1860" s="557" t="n"/>
      <c r="R1860" s="1" t="n"/>
    </row>
    <row r="1861" ht="17.25" customHeight="1" s="305">
      <c r="A1861" s="8" t="inlineStr">
        <is>
          <t>H 139</t>
        </is>
      </c>
      <c r="B1861" s="5" t="n">
        <v>365</v>
      </c>
      <c r="C1861" s="6" t="inlineStr">
        <is>
          <t>X</t>
        </is>
      </c>
      <c r="D1861" s="5" t="n">
        <v>108</v>
      </c>
      <c r="E1861" s="2">
        <f>B1861*D1861/10000</f>
        <v/>
      </c>
      <c r="F1861" s="3">
        <f>B1861/30.48</f>
        <v/>
      </c>
      <c r="G1861" s="3">
        <f>D1861/30.48</f>
        <v/>
      </c>
      <c r="H1861" s="16" t="inlineStr">
        <is>
          <t>VR</t>
        </is>
      </c>
      <c r="I1861" s="570" t="inlineStr">
        <is>
          <t>Russell Atkinson/Make Wake</t>
        </is>
      </c>
      <c r="J1861" s="557" t="n"/>
    </row>
    <row r="1862" ht="17.25" customHeight="1" s="305">
      <c r="A1862" s="8" t="n">
        <v>484</v>
      </c>
      <c r="B1862" s="5" t="n">
        <v>318</v>
      </c>
      <c r="C1862" s="6" t="inlineStr">
        <is>
          <t>X</t>
        </is>
      </c>
      <c r="D1862" s="5" t="n">
        <v>209</v>
      </c>
      <c r="E1862" s="2">
        <f>B1862*D1862/10000</f>
        <v/>
      </c>
      <c r="F1862" s="3">
        <f>B1862/30.48</f>
        <v/>
      </c>
      <c r="G1862" s="3">
        <f>D1862/30.48</f>
        <v/>
      </c>
      <c r="H1862" s="592" t="inlineStr">
        <is>
          <t>PAC</t>
        </is>
      </c>
      <c r="I1862" s="534" t="inlineStr">
        <is>
          <t>DANIELLE SIMMEN</t>
        </is>
      </c>
      <c r="J1862" s="545" t="n"/>
      <c r="R1862" s="1" t="n"/>
    </row>
    <row r="1863" ht="17.25" customHeight="1" s="305">
      <c r="A1863" s="8" t="n">
        <v>1727</v>
      </c>
      <c r="B1863" s="5" t="n">
        <v>271</v>
      </c>
      <c r="C1863" s="72" t="inlineStr">
        <is>
          <t>X</t>
        </is>
      </c>
      <c r="D1863" s="5" t="n">
        <v>369</v>
      </c>
      <c r="E1863" s="73">
        <f>B1863*D1863/10000</f>
        <v/>
      </c>
      <c r="F1863" s="74">
        <f>B1863/30.48</f>
        <v/>
      </c>
      <c r="G1863" s="74">
        <f>D1863/30.48</f>
        <v/>
      </c>
      <c r="H1863" s="592" t="inlineStr">
        <is>
          <t>PAC</t>
        </is>
      </c>
      <c r="I1863" s="570" t="inlineStr">
        <is>
          <t>Connie Sims</t>
        </is>
      </c>
      <c r="J1863" s="557" t="n"/>
    </row>
    <row r="1864" ht="17.25" customHeight="1" s="305">
      <c r="A1864" s="8" t="n">
        <v>2496</v>
      </c>
      <c r="B1864" s="5" t="n">
        <v>75</v>
      </c>
      <c r="C1864" s="72" t="inlineStr">
        <is>
          <t>X</t>
        </is>
      </c>
      <c r="D1864" s="5" t="n">
        <v>253</v>
      </c>
      <c r="E1864" s="73">
        <f>B1864*D1864/10000</f>
        <v/>
      </c>
      <c r="F1864" s="74">
        <f>B1864/30.48</f>
        <v/>
      </c>
      <c r="G1864" s="74">
        <f>D1864/30.48</f>
        <v/>
      </c>
      <c r="H1864" s="69" t="inlineStr">
        <is>
          <t>RK</t>
        </is>
      </c>
      <c r="I1864" s="534" t="inlineStr">
        <is>
          <t>Jess Hartman</t>
        </is>
      </c>
      <c r="J1864" s="545" t="n"/>
      <c r="R1864" s="1" t="n"/>
    </row>
    <row r="1865" ht="17.25" customHeight="1" s="305">
      <c r="A1865" s="8" t="n">
        <v>2515</v>
      </c>
      <c r="B1865" s="5" t="n">
        <v>148</v>
      </c>
      <c r="C1865" s="72" t="inlineStr">
        <is>
          <t>X</t>
        </is>
      </c>
      <c r="D1865" s="5" t="n">
        <v>242</v>
      </c>
      <c r="E1865" s="73">
        <f>B1865*D1865/10000</f>
        <v/>
      </c>
      <c r="F1865" s="74">
        <f>B1865/30.48</f>
        <v/>
      </c>
      <c r="G1865" s="74">
        <f>D1865/30.48</f>
        <v/>
      </c>
      <c r="H1865" s="69" t="inlineStr">
        <is>
          <t>RK</t>
        </is>
      </c>
      <c r="I1865" s="534" t="inlineStr">
        <is>
          <t>Hannah Mitteness</t>
        </is>
      </c>
      <c r="J1865" s="545" t="n"/>
      <c r="R1865" s="1" t="n"/>
    </row>
    <row r="1866" ht="17.25" customHeight="1" s="305">
      <c r="A1866" s="8" t="inlineStr">
        <is>
          <t>D 237</t>
        </is>
      </c>
      <c r="B1866" s="5" t="n">
        <v>52</v>
      </c>
      <c r="C1866" s="72" t="inlineStr">
        <is>
          <t>X</t>
        </is>
      </c>
      <c r="D1866" s="5" t="n">
        <v>103</v>
      </c>
      <c r="E1866" s="73">
        <f>B1866*D1866/10000</f>
        <v/>
      </c>
      <c r="F1866" s="74">
        <f>B1866/30.48</f>
        <v/>
      </c>
      <c r="G1866" s="74">
        <f>D1866/30.48</f>
        <v/>
      </c>
      <c r="H1866" s="286" t="inlineStr">
        <is>
          <t>BHR</t>
        </is>
      </c>
      <c r="I1866" s="570" t="inlineStr">
        <is>
          <t>Cristina Massa</t>
        </is>
      </c>
      <c r="J1866" s="557" t="n"/>
    </row>
    <row r="1867" ht="17.25" customHeight="1" s="305">
      <c r="A1867" s="8" t="inlineStr">
        <is>
          <t>B 27</t>
        </is>
      </c>
      <c r="B1867" s="5" t="n">
        <v>197</v>
      </c>
      <c r="C1867" s="6" t="inlineStr">
        <is>
          <t>X</t>
        </is>
      </c>
      <c r="D1867" s="5" t="n">
        <v>288</v>
      </c>
      <c r="E1867" s="2">
        <f>B1867*D1867/10000</f>
        <v/>
      </c>
      <c r="F1867" s="3">
        <f>B1867/30.48</f>
        <v/>
      </c>
      <c r="G1867" s="3">
        <f>D1867/30.48</f>
        <v/>
      </c>
      <c r="H1867" s="16" t="inlineStr">
        <is>
          <t>VR</t>
        </is>
      </c>
      <c r="I1867" s="570" t="inlineStr">
        <is>
          <t>Alisa Vilabre</t>
        </is>
      </c>
      <c r="J1867" s="557" t="n"/>
    </row>
    <row r="1868" ht="17.25" customHeight="1" s="305">
      <c r="A1868" s="8" t="inlineStr">
        <is>
          <t>D 206</t>
        </is>
      </c>
      <c r="B1868" s="5" t="n">
        <v>51</v>
      </c>
      <c r="C1868" s="72" t="inlineStr">
        <is>
          <t>X</t>
        </is>
      </c>
      <c r="D1868" s="5" t="n">
        <v>97</v>
      </c>
      <c r="E1868" s="73">
        <f>B1868*D1868/10000</f>
        <v/>
      </c>
      <c r="F1868" s="74">
        <f>B1868/30.48</f>
        <v/>
      </c>
      <c r="G1868" s="74">
        <f>D1868/30.48</f>
        <v/>
      </c>
      <c r="H1868" s="569" t="inlineStr">
        <is>
          <t>OLD</t>
        </is>
      </c>
      <c r="I1868" s="570" t="inlineStr">
        <is>
          <t>Christina Ratto</t>
        </is>
      </c>
      <c r="J1868" s="557" t="n"/>
    </row>
    <row r="1869" ht="17.25" customHeight="1" s="305">
      <c r="A1869" s="8" t="n">
        <v>2034</v>
      </c>
      <c r="B1869" s="5" t="n">
        <v>92</v>
      </c>
      <c r="C1869" s="72" t="inlineStr">
        <is>
          <t>X</t>
        </is>
      </c>
      <c r="D1869" s="5" t="n">
        <v>360</v>
      </c>
      <c r="E1869" s="73">
        <f>B1869*D1869/10000</f>
        <v/>
      </c>
      <c r="F1869" s="74">
        <f>B1869/30.48</f>
        <v/>
      </c>
      <c r="G1869" s="74">
        <f>D1869/30.48</f>
        <v/>
      </c>
      <c r="H1869" s="69" t="inlineStr">
        <is>
          <t>RK</t>
        </is>
      </c>
      <c r="I1869" s="570" t="inlineStr">
        <is>
          <t>Katie Mccain</t>
        </is>
      </c>
      <c r="J1869" s="557" t="n"/>
      <c r="R1869" s="1" t="n"/>
    </row>
    <row r="1870" ht="17.25" customHeight="1" s="305">
      <c r="A1870" s="8" t="n">
        <v>1642</v>
      </c>
      <c r="B1870" s="5" t="n">
        <v>195</v>
      </c>
      <c r="C1870" s="72" t="inlineStr">
        <is>
          <t>X</t>
        </is>
      </c>
      <c r="D1870" s="5" t="n">
        <v>115</v>
      </c>
      <c r="E1870" s="73">
        <f>B1870*D1870/10000</f>
        <v/>
      </c>
      <c r="F1870" s="74">
        <f>B1870/30.48</f>
        <v/>
      </c>
      <c r="G1870" s="74">
        <f>D1870/30.48</f>
        <v/>
      </c>
      <c r="H1870" s="69" t="inlineStr">
        <is>
          <t>RK</t>
        </is>
      </c>
      <c r="I1870" s="570" t="inlineStr">
        <is>
          <t>Anneke Bastiaan</t>
        </is>
      </c>
      <c r="J1870" s="557" t="n"/>
      <c r="R1870" s="1" t="n"/>
    </row>
    <row r="1871" ht="17.25" customHeight="1" s="305">
      <c r="A1871" s="8" t="inlineStr">
        <is>
          <t>D 391</t>
        </is>
      </c>
      <c r="B1871" s="5" t="n">
        <v>74</v>
      </c>
      <c r="C1871" s="72" t="inlineStr">
        <is>
          <t>X</t>
        </is>
      </c>
      <c r="D1871" s="5" t="n">
        <v>89</v>
      </c>
      <c r="E1871" s="73">
        <f>B1871*D1871/10000</f>
        <v/>
      </c>
      <c r="F1871" s="74">
        <f>B1871/30.48</f>
        <v/>
      </c>
      <c r="G1871" s="74">
        <f>D1871/30.48</f>
        <v/>
      </c>
      <c r="H1871" s="69" t="inlineStr">
        <is>
          <t>MCHD-TR</t>
        </is>
      </c>
      <c r="I1871" s="545" t="n"/>
      <c r="J1871" s="545" t="n"/>
    </row>
    <row r="1872" ht="17.25" customHeight="1" s="305">
      <c r="A1872" s="8" t="inlineStr">
        <is>
          <t>A 126</t>
        </is>
      </c>
      <c r="B1872" s="5" t="n">
        <v>203</v>
      </c>
      <c r="C1872" s="72" t="inlineStr">
        <is>
          <t>X</t>
        </is>
      </c>
      <c r="D1872" s="5" t="n">
        <v>309</v>
      </c>
      <c r="E1872" s="73">
        <f>B1872*D1872/10000</f>
        <v/>
      </c>
      <c r="F1872" s="74">
        <f>B1872/30.48</f>
        <v/>
      </c>
      <c r="G1872" s="74">
        <f>D1872/30.48</f>
        <v/>
      </c>
      <c r="H1872" s="569" t="inlineStr">
        <is>
          <t>OLD</t>
        </is>
      </c>
      <c r="I1872" s="570" t="inlineStr">
        <is>
          <t>Carla Phillips</t>
        </is>
      </c>
      <c r="J1872" s="557" t="n"/>
    </row>
    <row r="1873" ht="17.25" customHeight="1" s="305">
      <c r="A1873" s="8" t="n">
        <v>2775</v>
      </c>
      <c r="B1873" s="5" t="n">
        <v>117</v>
      </c>
      <c r="C1873" s="72" t="inlineStr">
        <is>
          <t>X</t>
        </is>
      </c>
      <c r="D1873" s="5" t="n">
        <v>149</v>
      </c>
      <c r="E1873" s="73">
        <f>B1873*D1873/10000</f>
        <v/>
      </c>
      <c r="F1873" s="74">
        <f>B1873/30.48</f>
        <v/>
      </c>
      <c r="G1873" s="74">
        <f>D1873/30.48</f>
        <v/>
      </c>
      <c r="H1873" s="69" t="inlineStr">
        <is>
          <t>MCHD-TR</t>
        </is>
      </c>
      <c r="I1873" s="557" t="n"/>
      <c r="J1873" s="557" t="n"/>
      <c r="R1873" s="1" t="n"/>
    </row>
    <row r="1874" ht="17.25" customHeight="1" s="305">
      <c r="A1874" s="8" t="n">
        <v>3404</v>
      </c>
      <c r="B1874" s="5" t="n"/>
      <c r="C1874" s="72" t="inlineStr">
        <is>
          <t>X</t>
        </is>
      </c>
      <c r="D1874" s="5" t="n"/>
      <c r="E1874" s="73">
        <f>B1874*D1874/10000</f>
        <v/>
      </c>
      <c r="F1874" s="74">
        <f>B1874/30.48</f>
        <v/>
      </c>
      <c r="G1874" s="74">
        <f>D1874/30.48</f>
        <v/>
      </c>
      <c r="H1874" s="69" t="inlineStr">
        <is>
          <t>MCHD-TR</t>
        </is>
      </c>
      <c r="I1874" s="557" t="n"/>
      <c r="J1874" s="557" t="n"/>
      <c r="R1874" s="1" t="n"/>
    </row>
    <row r="1875" ht="17.25" customHeight="1" s="305">
      <c r="A1875" s="8" t="n">
        <v>1297</v>
      </c>
      <c r="B1875" s="5" t="n">
        <v>120</v>
      </c>
      <c r="C1875" s="72" t="inlineStr">
        <is>
          <t>X</t>
        </is>
      </c>
      <c r="D1875" s="5" t="n">
        <v>384</v>
      </c>
      <c r="E1875" s="73">
        <f>B1875*D1875/10000</f>
        <v/>
      </c>
      <c r="F1875" s="74">
        <f>B1875/30.48</f>
        <v/>
      </c>
      <c r="G1875" s="74">
        <f>D1875/30.48</f>
        <v/>
      </c>
      <c r="H1875" s="592" t="inlineStr">
        <is>
          <t>PAC</t>
        </is>
      </c>
      <c r="I1875" s="534" t="inlineStr">
        <is>
          <t>Barton Bishop</t>
        </is>
      </c>
      <c r="J1875" s="545" t="n"/>
      <c r="R1875" s="1" t="n"/>
    </row>
    <row r="1876" ht="17.25" customHeight="1" s="305">
      <c r="A1876" s="8" t="n">
        <v>4148</v>
      </c>
      <c r="B1876" s="5" t="n">
        <v>282</v>
      </c>
      <c r="C1876" s="72" t="inlineStr">
        <is>
          <t>X</t>
        </is>
      </c>
      <c r="D1876" s="5" t="n">
        <v>365</v>
      </c>
      <c r="E1876" s="73">
        <f>B1876*D1876/10000</f>
        <v/>
      </c>
      <c r="F1876" s="74">
        <f>B1876/30.48</f>
        <v/>
      </c>
      <c r="G1876" s="74">
        <f>D1876/30.48</f>
        <v/>
      </c>
      <c r="H1876" s="592" t="inlineStr">
        <is>
          <t>PAC</t>
        </is>
      </c>
      <c r="I1876" s="570" t="inlineStr">
        <is>
          <t>Doug Mitchell</t>
        </is>
      </c>
      <c r="J1876" s="557" t="n"/>
    </row>
    <row r="1877" ht="17.25" customHeight="1" s="305">
      <c r="A1877" s="8" t="n">
        <v>2824</v>
      </c>
      <c r="B1877" s="5" t="n">
        <v>106</v>
      </c>
      <c r="C1877" s="72" t="inlineStr">
        <is>
          <t>X</t>
        </is>
      </c>
      <c r="D1877" s="5" t="n">
        <v>231</v>
      </c>
      <c r="E1877" s="73">
        <f>B1877*D1877/10000</f>
        <v/>
      </c>
      <c r="F1877" s="74">
        <f>B1877/30.48</f>
        <v/>
      </c>
      <c r="G1877" s="74">
        <f>D1877/30.48</f>
        <v/>
      </c>
      <c r="H1877" s="69" t="inlineStr">
        <is>
          <t>MCHD-TR</t>
        </is>
      </c>
      <c r="I1877" s="557" t="n"/>
      <c r="J1877" s="557" t="n"/>
    </row>
    <row r="1878" ht="17.25" customHeight="1" s="305">
      <c r="A1878" s="8" t="n">
        <v>2211</v>
      </c>
      <c r="B1878" s="5" t="n">
        <v>153</v>
      </c>
      <c r="C1878" s="72" t="inlineStr">
        <is>
          <t>X</t>
        </is>
      </c>
      <c r="D1878" s="5" t="n">
        <v>213</v>
      </c>
      <c r="E1878" s="73">
        <f>B1878*D1878/10000</f>
        <v/>
      </c>
      <c r="F1878" s="74">
        <f>B1878/30.48</f>
        <v/>
      </c>
      <c r="G1878" s="74">
        <f>D1878/30.48</f>
        <v/>
      </c>
      <c r="H1878" s="69" t="inlineStr">
        <is>
          <t>MCHD-TR</t>
        </is>
      </c>
      <c r="I1878" s="545" t="n"/>
      <c r="J1878" s="545" t="n"/>
    </row>
    <row r="1879" ht="17.25" customHeight="1" s="305">
      <c r="A1879" s="8" t="n">
        <v>3412</v>
      </c>
      <c r="B1879" s="5" t="n"/>
      <c r="C1879" s="72" t="inlineStr">
        <is>
          <t>X</t>
        </is>
      </c>
      <c r="D1879" s="5" t="n"/>
      <c r="E1879" s="73">
        <f>B1879*D1879/10000</f>
        <v/>
      </c>
      <c r="F1879" s="74">
        <f>B1879/30.48</f>
        <v/>
      </c>
      <c r="G1879" s="74">
        <f>D1879/30.48</f>
        <v/>
      </c>
      <c r="H1879" s="69" t="inlineStr">
        <is>
          <t>MCHD-TR</t>
        </is>
      </c>
      <c r="I1879" s="545" t="n"/>
      <c r="J1879" s="545" t="n"/>
    </row>
    <row r="1880" ht="17.25" customHeight="1" s="305">
      <c r="A1880" s="8" t="n">
        <v>3271</v>
      </c>
      <c r="B1880" s="5" t="n">
        <v>128</v>
      </c>
      <c r="C1880" s="72" t="inlineStr">
        <is>
          <t>X</t>
        </is>
      </c>
      <c r="D1880" s="5" t="n">
        <v>180</v>
      </c>
      <c r="E1880" s="73">
        <f>B1880*D1880/10000</f>
        <v/>
      </c>
      <c r="F1880" s="74">
        <f>B1880/30.48</f>
        <v/>
      </c>
      <c r="G1880" s="74">
        <f>D1880/30.48</f>
        <v/>
      </c>
      <c r="H1880" s="592" t="inlineStr">
        <is>
          <t>PAC</t>
        </is>
      </c>
      <c r="I1880" s="570" t="inlineStr">
        <is>
          <t>Tracy Mardre</t>
        </is>
      </c>
      <c r="J1880" s="557" t="n"/>
    </row>
    <row r="1881" ht="17.25" customHeight="1" s="305">
      <c r="A1881" s="8" t="n">
        <v>1934</v>
      </c>
      <c r="B1881" s="5" t="n">
        <v>80</v>
      </c>
      <c r="C1881" s="72" t="inlineStr">
        <is>
          <t>X</t>
        </is>
      </c>
      <c r="D1881" s="5" t="n">
        <v>303</v>
      </c>
      <c r="E1881" s="73">
        <f>B1881*D1881/10000</f>
        <v/>
      </c>
      <c r="F1881" s="74">
        <f>B1881/30.48</f>
        <v/>
      </c>
      <c r="G1881" s="74">
        <f>D1881/30.48</f>
        <v/>
      </c>
      <c r="H1881" s="69" t="inlineStr">
        <is>
          <t>MCHD-TR</t>
        </is>
      </c>
      <c r="I1881" s="545" t="n"/>
      <c r="J1881" s="545" t="n"/>
    </row>
    <row r="1882" ht="17.25" customHeight="1" s="305">
      <c r="A1882" s="8" t="n">
        <v>3182</v>
      </c>
      <c r="B1882" s="5" t="n">
        <v>82</v>
      </c>
      <c r="C1882" s="72" t="inlineStr">
        <is>
          <t>X</t>
        </is>
      </c>
      <c r="D1882" s="5" t="n">
        <v>188</v>
      </c>
      <c r="E1882" s="73">
        <f>B1882*D1882/10000</f>
        <v/>
      </c>
      <c r="F1882" s="74">
        <f>B1882/30.48</f>
        <v/>
      </c>
      <c r="G1882" s="74">
        <f>D1882/30.48</f>
        <v/>
      </c>
      <c r="H1882" s="272" t="inlineStr">
        <is>
          <t>WTR</t>
        </is>
      </c>
      <c r="I1882" s="534" t="inlineStr">
        <is>
          <t>Janelle Beamer</t>
        </is>
      </c>
      <c r="J1882" s="545" t="n"/>
    </row>
    <row r="1883" ht="17.25" customHeight="1" s="305">
      <c r="A1883" s="8" t="inlineStr">
        <is>
          <t>C 681</t>
        </is>
      </c>
      <c r="B1883" s="5" t="n">
        <v>117</v>
      </c>
      <c r="C1883" s="6" t="inlineStr">
        <is>
          <t>X</t>
        </is>
      </c>
      <c r="D1883" s="5" t="n">
        <v>190</v>
      </c>
      <c r="E1883" s="2">
        <f>B1883*D1883/10000</f>
        <v/>
      </c>
      <c r="F1883" s="3">
        <f>B1883/30.48</f>
        <v/>
      </c>
      <c r="G1883" s="3">
        <f>D1883/30.48</f>
        <v/>
      </c>
      <c r="H1883" s="592" t="inlineStr">
        <is>
          <t>PAC</t>
        </is>
      </c>
      <c r="I1883" s="570" t="inlineStr">
        <is>
          <t>Kelly Noble</t>
        </is>
      </c>
      <c r="J1883" s="557" t="n"/>
    </row>
    <row r="1884" ht="17.25" customHeight="1" s="305">
      <c r="A1884" s="8" t="n">
        <v>1780</v>
      </c>
      <c r="B1884" s="5" t="n">
        <v>147</v>
      </c>
      <c r="C1884" s="72" t="inlineStr">
        <is>
          <t>X</t>
        </is>
      </c>
      <c r="D1884" s="5" t="n">
        <v>254</v>
      </c>
      <c r="E1884" s="73">
        <f>B1884*D1884/10000</f>
        <v/>
      </c>
      <c r="F1884" s="74">
        <f>B1884/30.48</f>
        <v/>
      </c>
      <c r="G1884" s="74">
        <f>D1884/30.48</f>
        <v/>
      </c>
      <c r="H1884" s="16" t="inlineStr">
        <is>
          <t>VR</t>
        </is>
      </c>
      <c r="I1884" s="570" t="inlineStr">
        <is>
          <t>Alexandra Seeley</t>
        </is>
      </c>
      <c r="J1884" s="557" t="n"/>
    </row>
    <row r="1885" ht="17.25" customHeight="1" s="305">
      <c r="A1885" s="8" t="inlineStr">
        <is>
          <t>D 271</t>
        </is>
      </c>
      <c r="B1885" s="5" t="n">
        <v>51</v>
      </c>
      <c r="C1885" s="72" t="inlineStr">
        <is>
          <t>X</t>
        </is>
      </c>
      <c r="D1885" s="5" t="n">
        <v>90</v>
      </c>
      <c r="E1885" s="73">
        <f>B1885*D1885/10000</f>
        <v/>
      </c>
      <c r="F1885" s="74">
        <f>B1885/30.48</f>
        <v/>
      </c>
      <c r="G1885" s="74">
        <f>D1885/30.48</f>
        <v/>
      </c>
      <c r="H1885" s="569" t="inlineStr">
        <is>
          <t>OLD</t>
        </is>
      </c>
      <c r="I1885" s="534" t="inlineStr">
        <is>
          <t>Colby Johansen</t>
        </is>
      </c>
      <c r="J1885" s="545" t="n"/>
    </row>
    <row r="1886" ht="17.25" customHeight="1" s="305">
      <c r="A1886" s="8" t="inlineStr">
        <is>
          <t>D 35</t>
        </is>
      </c>
      <c r="B1886" s="5" t="n">
        <v>51</v>
      </c>
      <c r="C1886" s="72" t="inlineStr">
        <is>
          <t>X</t>
        </is>
      </c>
      <c r="D1886" s="5" t="n">
        <v>91</v>
      </c>
      <c r="E1886" s="73">
        <f>B1886*D1886/10000</f>
        <v/>
      </c>
      <c r="F1886" s="74">
        <f>B1886/30.48</f>
        <v/>
      </c>
      <c r="G1886" s="74">
        <f>D1886/30.48</f>
        <v/>
      </c>
      <c r="H1886" s="16" t="inlineStr">
        <is>
          <t>VR</t>
        </is>
      </c>
      <c r="I1886" s="534" t="inlineStr">
        <is>
          <t xml:space="preserve">Michelle Meyers </t>
        </is>
      </c>
      <c r="J1886" s="545" t="n"/>
      <c r="P1886" s="280" t="n"/>
    </row>
    <row r="1887" ht="17.25" customHeight="1" s="305">
      <c r="A1887" s="8" t="n">
        <v>2997</v>
      </c>
      <c r="B1887" s="5" t="n">
        <v>89</v>
      </c>
      <c r="C1887" s="72" t="inlineStr">
        <is>
          <t>X</t>
        </is>
      </c>
      <c r="D1887" s="5" t="n">
        <v>142</v>
      </c>
      <c r="E1887" s="73">
        <f>B1887*D1887/10000</f>
        <v/>
      </c>
      <c r="F1887" s="74">
        <f>B1887/30.48</f>
        <v/>
      </c>
      <c r="G1887" s="74">
        <f>D1887/30.48</f>
        <v/>
      </c>
      <c r="H1887" s="69" t="inlineStr">
        <is>
          <t>MCHD-TR</t>
        </is>
      </c>
      <c r="I1887" s="557" t="n"/>
      <c r="J1887" s="557" t="n"/>
      <c r="P1887" s="280" t="n"/>
    </row>
    <row r="1888" ht="17.25" customHeight="1" s="305">
      <c r="A1888" s="8" t="n">
        <v>1886</v>
      </c>
      <c r="B1888" s="5" t="n">
        <v>205</v>
      </c>
      <c r="C1888" s="72" t="inlineStr">
        <is>
          <t>X</t>
        </is>
      </c>
      <c r="D1888" s="5" t="n">
        <v>282</v>
      </c>
      <c r="E1888" s="73">
        <f>B1888*D1888/10000</f>
        <v/>
      </c>
      <c r="F1888" s="74">
        <f>B1888/30.48</f>
        <v/>
      </c>
      <c r="G1888" s="74">
        <f>D1888/30.48</f>
        <v/>
      </c>
      <c r="H1888" s="69" t="inlineStr">
        <is>
          <t>RK</t>
        </is>
      </c>
      <c r="I1888" s="570" t="inlineStr">
        <is>
          <t>Rob McLay</t>
        </is>
      </c>
      <c r="J1888" s="557" t="n"/>
      <c r="P1888" s="280" t="n"/>
    </row>
    <row r="1889" ht="17.25" customHeight="1" s="305">
      <c r="A1889" s="8" t="n">
        <v>1896</v>
      </c>
      <c r="B1889" s="5" t="n">
        <v>81</v>
      </c>
      <c r="C1889" s="72" t="inlineStr">
        <is>
          <t>X</t>
        </is>
      </c>
      <c r="D1889" s="5" t="n">
        <v>180</v>
      </c>
      <c r="E1889" s="73">
        <f>B1889*D1889/10000</f>
        <v/>
      </c>
      <c r="F1889" s="74">
        <f>B1889/30.48</f>
        <v/>
      </c>
      <c r="G1889" s="74">
        <f>D1889/30.48</f>
        <v/>
      </c>
      <c r="H1889" s="69" t="inlineStr">
        <is>
          <t>RK</t>
        </is>
      </c>
      <c r="I1889" s="534" t="inlineStr">
        <is>
          <t>Melina Vinasco</t>
        </is>
      </c>
      <c r="J1889" s="545" t="n"/>
      <c r="P1889" s="280" t="n"/>
    </row>
    <row r="1890" ht="17.25" customHeight="1" s="305">
      <c r="A1890" s="8" t="n">
        <v>2885</v>
      </c>
      <c r="B1890" s="5" t="n">
        <v>118</v>
      </c>
      <c r="C1890" s="72" t="inlineStr">
        <is>
          <t>X</t>
        </is>
      </c>
      <c r="D1890" s="5" t="n">
        <v>346</v>
      </c>
      <c r="E1890" s="73">
        <f>B1890*D1890/10000</f>
        <v/>
      </c>
      <c r="F1890" s="74">
        <f>B1890/30.48</f>
        <v/>
      </c>
      <c r="G1890" s="74">
        <f>D1890/30.48</f>
        <v/>
      </c>
      <c r="H1890" s="592" t="inlineStr">
        <is>
          <t>PAC</t>
        </is>
      </c>
      <c r="I1890" s="570" t="inlineStr">
        <is>
          <t>Lindsey Nigon</t>
        </is>
      </c>
      <c r="J1890" s="557" t="n"/>
      <c r="P1890" s="280" t="n"/>
    </row>
    <row r="1891" ht="17.25" customHeight="1" s="305">
      <c r="A1891" s="8" t="inlineStr">
        <is>
          <t>Y 310</t>
        </is>
      </c>
      <c r="B1891" s="5" t="n">
        <v>217</v>
      </c>
      <c r="C1891" s="6" t="inlineStr">
        <is>
          <t>X</t>
        </is>
      </c>
      <c r="D1891" s="5" t="n">
        <v>82</v>
      </c>
      <c r="E1891" s="2">
        <f>B1891*D1891/10000</f>
        <v/>
      </c>
      <c r="F1891" s="3">
        <f>B1891/30.48</f>
        <v/>
      </c>
      <c r="G1891" s="3">
        <f>D1891/30.48</f>
        <v/>
      </c>
      <c r="H1891" s="69" t="inlineStr">
        <is>
          <t>MCHD-TR</t>
        </is>
      </c>
      <c r="I1891" s="557" t="n"/>
      <c r="J1891" s="557" t="n"/>
      <c r="P1891" s="280" t="n"/>
    </row>
    <row r="1892" ht="17.25" customHeight="1" s="305">
      <c r="A1892" s="8" t="n">
        <v>1745</v>
      </c>
      <c r="B1892" s="5" t="n">
        <v>227</v>
      </c>
      <c r="C1892" s="72" t="inlineStr">
        <is>
          <t>X</t>
        </is>
      </c>
      <c r="D1892" s="5" t="n">
        <v>332</v>
      </c>
      <c r="E1892" s="73">
        <f>B1892*D1892/10000</f>
        <v/>
      </c>
      <c r="F1892" s="74">
        <f>B1892/30.48</f>
        <v/>
      </c>
      <c r="G1892" s="74">
        <f>D1892/30.48</f>
        <v/>
      </c>
      <c r="H1892" s="69" t="inlineStr">
        <is>
          <t>MCHD-TR</t>
        </is>
      </c>
      <c r="I1892" s="545" t="n"/>
      <c r="J1892" s="545" t="n"/>
      <c r="P1892" s="280" t="n"/>
    </row>
    <row r="1893">
      <c r="A1893" s="536" t="inlineStr">
        <is>
          <t>-2024 KASIM-</t>
        </is>
      </c>
      <c r="H1893" s="104" t="inlineStr">
        <is>
          <t>SATAN-SİTE</t>
        </is>
      </c>
      <c r="I1893" s="98" t="inlineStr">
        <is>
          <t>MÜŞTERİ ADI</t>
        </is>
      </c>
      <c r="J1893" s="63" t="inlineStr">
        <is>
          <t>MÜŞTERİ İLETİŞİM &amp; ÜLKE</t>
        </is>
      </c>
      <c r="P1893" s="1" t="n"/>
    </row>
    <row r="1894" ht="17.25" customHeight="1" s="305">
      <c r="A1894" s="8" t="inlineStr">
        <is>
          <t>D 451</t>
        </is>
      </c>
      <c r="B1894" s="5" t="n">
        <v>51</v>
      </c>
      <c r="C1894" s="72" t="inlineStr">
        <is>
          <t>X</t>
        </is>
      </c>
      <c r="D1894" s="5" t="n">
        <v>93</v>
      </c>
      <c r="E1894" s="73">
        <f>B1894*D1894/10000</f>
        <v/>
      </c>
      <c r="F1894" s="74">
        <f>B1894/30.48</f>
        <v/>
      </c>
      <c r="G1894" s="74">
        <f>D1894/30.48</f>
        <v/>
      </c>
      <c r="H1894" s="272" t="inlineStr">
        <is>
          <t>WTR</t>
        </is>
      </c>
      <c r="I1894" s="570" t="inlineStr">
        <is>
          <t>Lindsay Wagoner</t>
        </is>
      </c>
      <c r="J1894" s="557" t="n"/>
      <c r="P1894" s="280" t="n"/>
    </row>
    <row r="1895" ht="17.25" customHeight="1" s="305">
      <c r="A1895" s="8" t="inlineStr">
        <is>
          <t>D 124</t>
        </is>
      </c>
      <c r="B1895" s="5" t="n">
        <v>50</v>
      </c>
      <c r="C1895" s="72" t="inlineStr">
        <is>
          <t>X</t>
        </is>
      </c>
      <c r="D1895" s="5" t="n">
        <v>90</v>
      </c>
      <c r="E1895" s="73">
        <f>B1895*D1895/10000</f>
        <v/>
      </c>
      <c r="F1895" s="74">
        <f>B1895/30.48</f>
        <v/>
      </c>
      <c r="G1895" s="74">
        <f>D1895/30.48</f>
        <v/>
      </c>
      <c r="H1895" s="569" t="inlineStr">
        <is>
          <t>OLD</t>
        </is>
      </c>
      <c r="I1895" s="570" t="inlineStr">
        <is>
          <t>Benjamin Charles Robboy</t>
        </is>
      </c>
      <c r="J1895" s="557" t="n"/>
      <c r="P1895" s="280" t="n"/>
    </row>
    <row r="1896" ht="17.25" customHeight="1" s="305">
      <c r="A1896" s="8" t="n">
        <v>1348</v>
      </c>
      <c r="B1896" s="5" t="n">
        <v>92</v>
      </c>
      <c r="C1896" s="72" t="inlineStr">
        <is>
          <t>X</t>
        </is>
      </c>
      <c r="D1896" s="5" t="n">
        <v>210</v>
      </c>
      <c r="E1896" s="73">
        <f>B1896*D1896/10000</f>
        <v/>
      </c>
      <c r="F1896" s="74">
        <f>B1896/30.48</f>
        <v/>
      </c>
      <c r="G1896" s="74">
        <f>D1896/30.48</f>
        <v/>
      </c>
      <c r="H1896" s="569" t="inlineStr">
        <is>
          <t>OLD</t>
        </is>
      </c>
      <c r="I1896" s="570" t="inlineStr">
        <is>
          <t>Skyler Kearney</t>
        </is>
      </c>
      <c r="J1896" s="557" t="n"/>
      <c r="P1896" s="280" t="n"/>
    </row>
    <row r="1897" ht="17.25" customHeight="1" s="305">
      <c r="A1897" s="8" t="n">
        <v>2041</v>
      </c>
      <c r="B1897" s="5" t="n">
        <v>86</v>
      </c>
      <c r="C1897" s="72" t="inlineStr">
        <is>
          <t>X</t>
        </is>
      </c>
      <c r="D1897" s="5" t="n">
        <v>389</v>
      </c>
      <c r="E1897" s="73">
        <f>B1897*D1897/10000</f>
        <v/>
      </c>
      <c r="F1897" s="74">
        <f>B1897/30.48</f>
        <v/>
      </c>
      <c r="G1897" s="74">
        <f>D1897/30.48</f>
        <v/>
      </c>
      <c r="H1897" s="69" t="inlineStr">
        <is>
          <t>MCHD-TR</t>
        </is>
      </c>
      <c r="I1897" s="557" t="n"/>
      <c r="J1897" s="557" t="n"/>
      <c r="P1897" s="280" t="n"/>
    </row>
    <row r="1898" ht="17.25" customHeight="1" s="305">
      <c r="A1898" s="8" t="n">
        <v>4006</v>
      </c>
      <c r="B1898" s="5" t="n">
        <v>63</v>
      </c>
      <c r="C1898" s="72" t="inlineStr">
        <is>
          <t>X</t>
        </is>
      </c>
      <c r="D1898" s="5" t="n">
        <v>165</v>
      </c>
      <c r="E1898" s="73">
        <f>B1898*D1898/10000</f>
        <v/>
      </c>
      <c r="F1898" s="74">
        <f>B1898/30.48</f>
        <v/>
      </c>
      <c r="G1898" s="74">
        <f>D1898/30.48</f>
        <v/>
      </c>
      <c r="H1898" s="69" t="inlineStr">
        <is>
          <t>MCHD-TR</t>
        </is>
      </c>
      <c r="I1898" s="545" t="n"/>
      <c r="J1898" s="545" t="n"/>
      <c r="P1898" s="280" t="n"/>
    </row>
    <row r="1899" ht="17.25" customHeight="1" s="305">
      <c r="A1899" s="8" t="inlineStr">
        <is>
          <t>Y 831</t>
        </is>
      </c>
      <c r="B1899" s="5" t="n">
        <v>288</v>
      </c>
      <c r="C1899" s="6" t="inlineStr">
        <is>
          <t>X</t>
        </is>
      </c>
      <c r="D1899" s="5" t="n">
        <v>395</v>
      </c>
      <c r="E1899" s="2">
        <f>B1899*D1899/10000</f>
        <v/>
      </c>
      <c r="F1899" s="3">
        <f>B1899/30.48</f>
        <v/>
      </c>
      <c r="G1899" s="3">
        <f>D1899/30.48</f>
        <v/>
      </c>
      <c r="H1899" s="592" t="inlineStr">
        <is>
          <t>PAC</t>
        </is>
      </c>
      <c r="I1899" s="570" t="inlineStr">
        <is>
          <t>Rustem Gashi</t>
        </is>
      </c>
      <c r="J1899" s="557" t="n"/>
      <c r="P1899" s="280" t="n"/>
    </row>
    <row r="1900" ht="17.25" customHeight="1" s="305">
      <c r="A1900" s="8" t="n">
        <v>4144</v>
      </c>
      <c r="B1900" s="5" t="n">
        <v>285</v>
      </c>
      <c r="C1900" s="72" t="inlineStr">
        <is>
          <t>X</t>
        </is>
      </c>
      <c r="D1900" s="5" t="n">
        <v>377</v>
      </c>
      <c r="E1900" s="73">
        <f>B1900*D1900/10000</f>
        <v/>
      </c>
      <c r="F1900" s="74">
        <f>B1900/30.48</f>
        <v/>
      </c>
      <c r="G1900" s="74">
        <f>D1900/30.48</f>
        <v/>
      </c>
      <c r="H1900" s="272" t="inlineStr">
        <is>
          <t>WTR</t>
        </is>
      </c>
      <c r="I1900" s="570" t="inlineStr">
        <is>
          <t>Maria fernandez</t>
        </is>
      </c>
      <c r="J1900" s="557" t="n"/>
      <c r="P1900" s="280" t="n"/>
    </row>
    <row r="1901" ht="17.25" customHeight="1" s="305">
      <c r="A1901" s="8" t="n">
        <v>1900</v>
      </c>
      <c r="B1901" s="5" t="n">
        <v>78</v>
      </c>
      <c r="C1901" s="72" t="inlineStr">
        <is>
          <t>X</t>
        </is>
      </c>
      <c r="D1901" s="5" t="n">
        <v>477</v>
      </c>
      <c r="E1901" s="73">
        <f>B1901*D1901/10000</f>
        <v/>
      </c>
      <c r="F1901" s="74">
        <f>B1901/30.48</f>
        <v/>
      </c>
      <c r="G1901" s="74">
        <f>D1901/30.48</f>
        <v/>
      </c>
      <c r="H1901" s="69" t="inlineStr">
        <is>
          <t>MCHD-TR</t>
        </is>
      </c>
      <c r="I1901" s="557" t="n"/>
      <c r="J1901" s="557" t="n"/>
      <c r="P1901" s="280" t="n"/>
    </row>
    <row r="1902" ht="17.25" customHeight="1" s="305">
      <c r="A1902" s="8" t="n">
        <v>1072</v>
      </c>
      <c r="B1902" s="5" t="n">
        <v>88</v>
      </c>
      <c r="C1902" s="72" t="inlineStr">
        <is>
          <t>X</t>
        </is>
      </c>
      <c r="D1902" s="5" t="n">
        <v>330</v>
      </c>
      <c r="E1902" s="73">
        <f>B1902*D1902/10000</f>
        <v/>
      </c>
      <c r="F1902" s="74">
        <f>B1902/30.48</f>
        <v/>
      </c>
      <c r="G1902" s="74">
        <f>D1902/30.48</f>
        <v/>
      </c>
      <c r="H1902" s="69" t="inlineStr">
        <is>
          <t>MCHD-TR</t>
        </is>
      </c>
      <c r="I1902" s="545" t="n"/>
      <c r="J1902" s="545" t="n"/>
      <c r="P1902" s="280" t="n"/>
    </row>
    <row r="1903" ht="17.25" customHeight="1" s="305">
      <c r="A1903" s="8" t="n">
        <v>1704</v>
      </c>
      <c r="B1903" s="5" t="n">
        <v>291</v>
      </c>
      <c r="C1903" s="72" t="inlineStr">
        <is>
          <t>X</t>
        </is>
      </c>
      <c r="D1903" s="5" t="n">
        <v>376</v>
      </c>
      <c r="E1903" s="73">
        <f>B1903*D1903/10000</f>
        <v/>
      </c>
      <c r="F1903" s="74">
        <f>B1903/30.48</f>
        <v/>
      </c>
      <c r="G1903" s="74">
        <f>D1903/30.48</f>
        <v/>
      </c>
      <c r="H1903" s="272" t="inlineStr">
        <is>
          <t>WTR</t>
        </is>
      </c>
      <c r="I1903" s="570" t="inlineStr">
        <is>
          <t>Jeh Meher</t>
        </is>
      </c>
      <c r="J1903" s="557" t="n"/>
      <c r="P1903" s="280" t="n"/>
    </row>
    <row r="1904" ht="17.25" customHeight="1" s="305">
      <c r="A1904" s="8" t="n">
        <v>3156</v>
      </c>
      <c r="B1904" s="5" t="n">
        <v>83</v>
      </c>
      <c r="C1904" s="72" t="inlineStr">
        <is>
          <t>X</t>
        </is>
      </c>
      <c r="D1904" s="5" t="n">
        <v>140</v>
      </c>
      <c r="E1904" s="73">
        <f>B1904*D1904/10000</f>
        <v/>
      </c>
      <c r="F1904" s="74">
        <f>B1904/30.48</f>
        <v/>
      </c>
      <c r="G1904" s="74">
        <f>D1904/30.48</f>
        <v/>
      </c>
      <c r="H1904" s="69" t="inlineStr">
        <is>
          <t>MCHD-TR</t>
        </is>
      </c>
      <c r="I1904" s="545" t="n"/>
      <c r="J1904" s="545" t="n"/>
      <c r="P1904" s="280" t="n"/>
    </row>
    <row r="1905" ht="17.25" customHeight="1" s="305">
      <c r="A1905" s="8" t="n">
        <v>4147</v>
      </c>
      <c r="B1905" s="5" t="n">
        <v>290</v>
      </c>
      <c r="C1905" s="72" t="inlineStr">
        <is>
          <t>X</t>
        </is>
      </c>
      <c r="D1905" s="5" t="n">
        <v>391</v>
      </c>
      <c r="E1905" s="73">
        <f>B1905*D1905/10000</f>
        <v/>
      </c>
      <c r="F1905" s="74">
        <f>B1905/30.48</f>
        <v/>
      </c>
      <c r="G1905" s="74">
        <f>D1905/30.48</f>
        <v/>
      </c>
      <c r="H1905" s="272" t="inlineStr">
        <is>
          <t>WTR</t>
        </is>
      </c>
      <c r="I1905" s="570" t="inlineStr">
        <is>
          <t>gabrielle messina</t>
        </is>
      </c>
      <c r="J1905" s="557" t="n"/>
      <c r="P1905" s="280" t="n"/>
    </row>
    <row r="1906" ht="17.25" customHeight="1" s="305">
      <c r="A1906" s="8" t="n">
        <v>3226</v>
      </c>
      <c r="B1906" s="5" t="n">
        <v>73</v>
      </c>
      <c r="C1906" s="72" t="inlineStr">
        <is>
          <t>X</t>
        </is>
      </c>
      <c r="D1906" s="5" t="n">
        <v>261</v>
      </c>
      <c r="E1906" s="73">
        <f>B1906*D1906/10000</f>
        <v/>
      </c>
      <c r="F1906" s="74">
        <f>B1906/30.48</f>
        <v/>
      </c>
      <c r="G1906" s="74">
        <f>D1906/30.48</f>
        <v/>
      </c>
      <c r="H1906" s="272" t="inlineStr">
        <is>
          <t>WTR</t>
        </is>
      </c>
      <c r="I1906" s="570" t="inlineStr">
        <is>
          <t>Jenny Keenan</t>
        </is>
      </c>
      <c r="J1906" s="557" t="n"/>
      <c r="P1906" s="280" t="n"/>
    </row>
    <row r="1907" ht="17.25" customHeight="1" s="305">
      <c r="A1907" s="8" t="inlineStr">
        <is>
          <t>D 461</t>
        </is>
      </c>
      <c r="B1907" s="5" t="n">
        <v>47</v>
      </c>
      <c r="C1907" s="72" t="inlineStr">
        <is>
          <t>X</t>
        </is>
      </c>
      <c r="D1907" s="5" t="n">
        <v>94</v>
      </c>
      <c r="E1907" s="73">
        <f>B1907*D1907/10000</f>
        <v/>
      </c>
      <c r="F1907" s="74">
        <f>B1907/30.48</f>
        <v/>
      </c>
      <c r="G1907" s="74">
        <f>D1907/30.48</f>
        <v/>
      </c>
      <c r="H1907" s="69" t="inlineStr">
        <is>
          <t>MCHD-TR</t>
        </is>
      </c>
      <c r="I1907" s="545" t="n"/>
      <c r="J1907" s="545" t="n"/>
      <c r="P1907" s="280" t="n"/>
    </row>
    <row r="1908" ht="17.25" customHeight="1" s="305">
      <c r="A1908" s="8" t="n">
        <v>1516</v>
      </c>
      <c r="B1908" s="5" t="n">
        <v>134</v>
      </c>
      <c r="C1908" s="72" t="inlineStr">
        <is>
          <t>X</t>
        </is>
      </c>
      <c r="D1908" s="5" t="n">
        <v>63</v>
      </c>
      <c r="E1908" s="73">
        <f>B1908*D1908/10000</f>
        <v/>
      </c>
      <c r="F1908" s="74">
        <f>B1908/30.48</f>
        <v/>
      </c>
      <c r="G1908" s="74">
        <f>D1908/30.48</f>
        <v/>
      </c>
      <c r="H1908" s="16" t="inlineStr">
        <is>
          <t>VR</t>
        </is>
      </c>
      <c r="I1908" s="570" t="inlineStr">
        <is>
          <t>Sherri Pullen</t>
        </is>
      </c>
      <c r="J1908" s="557" t="n"/>
      <c r="P1908" s="280" t="n"/>
    </row>
    <row r="1909" ht="18" customHeight="1" s="305">
      <c r="A1909" s="8" t="inlineStr">
        <is>
          <t>D 118</t>
        </is>
      </c>
      <c r="B1909" s="5" t="n">
        <v>53</v>
      </c>
      <c r="C1909" s="72" t="inlineStr">
        <is>
          <t>X</t>
        </is>
      </c>
      <c r="D1909" s="5" t="n">
        <v>64</v>
      </c>
      <c r="E1909" s="73">
        <f>B1909*D1909/10000</f>
        <v/>
      </c>
      <c r="F1909" s="74">
        <f>B1909/30.48</f>
        <v/>
      </c>
      <c r="G1909" s="74">
        <f>D1909/30.48</f>
        <v/>
      </c>
      <c r="H1909" s="286" t="inlineStr">
        <is>
          <t>BHR</t>
        </is>
      </c>
      <c r="I1909" s="570" t="inlineStr">
        <is>
          <t>Pamela Royster</t>
        </is>
      </c>
      <c r="J1909" s="557" t="n"/>
      <c r="P1909" s="280" t="n"/>
    </row>
    <row r="1910" ht="17.25" customHeight="1" s="305">
      <c r="A1910" s="8" t="n">
        <v>2230</v>
      </c>
      <c r="B1910" s="5" t="n">
        <v>85</v>
      </c>
      <c r="C1910" s="72" t="inlineStr">
        <is>
          <t>X</t>
        </is>
      </c>
      <c r="D1910" s="5" t="n">
        <v>268</v>
      </c>
      <c r="E1910" s="73">
        <f>B1910*D1910/10000</f>
        <v/>
      </c>
      <c r="F1910" s="74">
        <f>B1910/30.48</f>
        <v/>
      </c>
      <c r="G1910" s="74">
        <f>D1910/30.48</f>
        <v/>
      </c>
      <c r="H1910" s="69" t="inlineStr">
        <is>
          <t>MCHD-TR</t>
        </is>
      </c>
      <c r="I1910" s="557" t="n"/>
      <c r="J1910" s="557" t="n"/>
      <c r="P1910" s="280" t="n"/>
    </row>
    <row r="1911" ht="17.25" customHeight="1" s="305">
      <c r="A1911" s="8" t="n">
        <v>2283</v>
      </c>
      <c r="B1911" s="5" t="n">
        <v>129</v>
      </c>
      <c r="C1911" s="72" t="inlineStr">
        <is>
          <t>X</t>
        </is>
      </c>
      <c r="D1911" s="5" t="n">
        <v>189</v>
      </c>
      <c r="E1911" s="73">
        <f>B1911*D1911/10000</f>
        <v/>
      </c>
      <c r="F1911" s="74">
        <f>B1911/30.48</f>
        <v/>
      </c>
      <c r="G1911" s="74">
        <f>D1911/30.48</f>
        <v/>
      </c>
      <c r="H1911" s="69" t="inlineStr">
        <is>
          <t>MCHD-TR</t>
        </is>
      </c>
      <c r="I1911" s="557" t="n"/>
      <c r="J1911" s="557" t="n"/>
      <c r="P1911" s="280" t="n"/>
    </row>
    <row r="1912" ht="17.25" customHeight="1" s="305">
      <c r="A1912" s="8" t="n">
        <v>3079</v>
      </c>
      <c r="B1912" s="5" t="n">
        <v>87</v>
      </c>
      <c r="C1912" s="72" t="inlineStr">
        <is>
          <t>X</t>
        </is>
      </c>
      <c r="D1912" s="5" t="n">
        <v>105</v>
      </c>
      <c r="E1912" s="73">
        <f>B1912*D1912/10000</f>
        <v/>
      </c>
      <c r="F1912" s="74">
        <f>B1912/30.48</f>
        <v/>
      </c>
      <c r="G1912" s="74">
        <f>D1912/30.48</f>
        <v/>
      </c>
      <c r="H1912" s="69" t="inlineStr">
        <is>
          <t>MCHD-TR</t>
        </is>
      </c>
      <c r="I1912" s="557" t="n"/>
      <c r="J1912" s="557" t="n"/>
      <c r="P1912" s="280" t="n"/>
    </row>
    <row r="1913" ht="17.25" customHeight="1" s="305">
      <c r="A1913" s="8" t="inlineStr">
        <is>
          <t>D 421</t>
        </is>
      </c>
      <c r="B1913" s="5" t="n">
        <v>46</v>
      </c>
      <c r="C1913" s="72" t="inlineStr">
        <is>
          <t>X</t>
        </is>
      </c>
      <c r="D1913" s="5" t="n">
        <v>94</v>
      </c>
      <c r="E1913" s="73">
        <f>B1913*D1913/10000</f>
        <v/>
      </c>
      <c r="F1913" s="74">
        <f>B1913/30.48</f>
        <v/>
      </c>
      <c r="G1913" s="74">
        <f>D1913/30.48</f>
        <v/>
      </c>
      <c r="H1913" s="69" t="inlineStr">
        <is>
          <t>MCHD-TR</t>
        </is>
      </c>
      <c r="I1913" s="545" t="n"/>
      <c r="J1913" s="545" t="n"/>
      <c r="P1913" s="280" t="n"/>
    </row>
    <row r="1914" ht="17.25" customHeight="1" s="305">
      <c r="A1914" s="8" t="inlineStr">
        <is>
          <t>C 571</t>
        </is>
      </c>
      <c r="B1914" s="5" t="n">
        <v>223</v>
      </c>
      <c r="C1914" s="6" t="inlineStr">
        <is>
          <t>X</t>
        </is>
      </c>
      <c r="D1914" s="5" t="n">
        <v>306</v>
      </c>
      <c r="E1914" s="2">
        <f>B1914*D1914/10000</f>
        <v/>
      </c>
      <c r="F1914" s="3">
        <f>B1914/30.48</f>
        <v/>
      </c>
      <c r="G1914" s="3">
        <f>D1914/30.48</f>
        <v/>
      </c>
      <c r="H1914" s="569" t="inlineStr">
        <is>
          <t>OLD</t>
        </is>
      </c>
      <c r="I1914" s="570" t="inlineStr">
        <is>
          <t>Carla Phillips</t>
        </is>
      </c>
      <c r="J1914" s="557" t="n"/>
      <c r="P1914" s="280" t="n"/>
    </row>
    <row r="1915" ht="17.25" customHeight="1" s="305">
      <c r="A1915" s="8" t="n">
        <v>2241</v>
      </c>
      <c r="B1915" s="5" t="n">
        <v>176</v>
      </c>
      <c r="C1915" s="72" t="inlineStr">
        <is>
          <t>X</t>
        </is>
      </c>
      <c r="D1915" s="5" t="n">
        <v>278</v>
      </c>
      <c r="E1915" s="73">
        <f>B1915*D1915/10000</f>
        <v/>
      </c>
      <c r="F1915" s="74">
        <f>B1915/30.48</f>
        <v/>
      </c>
      <c r="G1915" s="74">
        <f>D1915/30.48</f>
        <v/>
      </c>
      <c r="H1915" s="286" t="inlineStr">
        <is>
          <t>LMX</t>
        </is>
      </c>
      <c r="I1915" s="570" t="inlineStr">
        <is>
          <t>Margo Bell</t>
        </is>
      </c>
      <c r="J1915" s="557" t="n"/>
      <c r="P1915" s="280" t="n"/>
    </row>
    <row r="1916" ht="17.25" customHeight="1" s="305">
      <c r="A1916" s="8" t="inlineStr">
        <is>
          <t>C 518</t>
        </is>
      </c>
      <c r="B1916" s="5" t="n">
        <v>99</v>
      </c>
      <c r="C1916" s="6" t="inlineStr">
        <is>
          <t>X</t>
        </is>
      </c>
      <c r="D1916" s="5" t="n">
        <v>333</v>
      </c>
      <c r="E1916" s="2">
        <f>B1916*D1916/10000</f>
        <v/>
      </c>
      <c r="F1916" s="3">
        <f>B1916/30.48</f>
        <v/>
      </c>
      <c r="G1916" s="3">
        <f>D1916/30.48</f>
        <v/>
      </c>
      <c r="H1916" s="16" t="inlineStr">
        <is>
          <t>VR</t>
        </is>
      </c>
      <c r="I1916" s="570" t="inlineStr">
        <is>
          <t>Lindsay Devos</t>
        </is>
      </c>
      <c r="J1916" s="557" t="n"/>
      <c r="P1916" s="280" t="n"/>
    </row>
    <row r="1917" ht="17.25" customHeight="1" s="305">
      <c r="A1917" s="8" t="n">
        <v>1415</v>
      </c>
      <c r="B1917" s="5" t="n">
        <v>79</v>
      </c>
      <c r="C1917" s="72" t="inlineStr">
        <is>
          <t>X</t>
        </is>
      </c>
      <c r="D1917" s="5" t="n">
        <v>197</v>
      </c>
      <c r="E1917" s="73">
        <f>B1917*D1917/10000</f>
        <v/>
      </c>
      <c r="F1917" s="74">
        <f>B1917/30.48</f>
        <v/>
      </c>
      <c r="G1917" s="74">
        <f>D1917/30.48</f>
        <v/>
      </c>
      <c r="H1917" s="286" t="inlineStr">
        <is>
          <t>BHR</t>
        </is>
      </c>
      <c r="I1917" s="570" t="inlineStr">
        <is>
          <t>Mary Beth Thrasher</t>
        </is>
      </c>
      <c r="J1917" s="557" t="n"/>
      <c r="P1917" s="280" t="n"/>
    </row>
    <row r="1918" ht="17.25" customHeight="1" s="305">
      <c r="A1918" s="8" t="inlineStr">
        <is>
          <t>H 240</t>
        </is>
      </c>
      <c r="B1918" s="5" t="n">
        <v>78</v>
      </c>
      <c r="C1918" s="72" t="inlineStr">
        <is>
          <t>X</t>
        </is>
      </c>
      <c r="D1918" s="5" t="n">
        <v>238</v>
      </c>
      <c r="E1918" s="73">
        <f>B1918*D1918/10000</f>
        <v/>
      </c>
      <c r="F1918" s="74">
        <f>B1918/30.48</f>
        <v/>
      </c>
      <c r="G1918" s="74">
        <f>D1918/30.48</f>
        <v/>
      </c>
      <c r="H1918" s="272" t="inlineStr">
        <is>
          <t>WTR</t>
        </is>
      </c>
      <c r="I1918" s="570" t="inlineStr">
        <is>
          <t>Casey Davenport</t>
        </is>
      </c>
      <c r="J1918" s="557" t="n"/>
      <c r="P1918" s="280" t="n"/>
    </row>
    <row r="1919" ht="17.25" customHeight="1" s="305">
      <c r="A1919" s="8" t="n">
        <v>2084</v>
      </c>
      <c r="B1919" s="5" t="n">
        <v>85</v>
      </c>
      <c r="C1919" s="72" t="inlineStr">
        <is>
          <t>X</t>
        </is>
      </c>
      <c r="D1919" s="5" t="n">
        <v>384</v>
      </c>
      <c r="E1919" s="73">
        <f>B1919*D1919/10000</f>
        <v/>
      </c>
      <c r="F1919" s="74">
        <f>B1919/30.48</f>
        <v/>
      </c>
      <c r="G1919" s="74">
        <f>D1919/30.48</f>
        <v/>
      </c>
      <c r="H1919" s="69" t="inlineStr">
        <is>
          <t>MCHD-TR</t>
        </is>
      </c>
      <c r="I1919" s="557" t="n"/>
      <c r="J1919" s="557" t="n"/>
      <c r="P1919" s="280" t="n"/>
    </row>
    <row r="1920" ht="17.25" customHeight="1" s="305">
      <c r="A1920" s="8" t="inlineStr">
        <is>
          <t>C 487</t>
        </is>
      </c>
      <c r="B1920" s="5" t="n">
        <v>95</v>
      </c>
      <c r="C1920" s="6" t="inlineStr">
        <is>
          <t>X</t>
        </is>
      </c>
      <c r="D1920" s="5" t="n">
        <v>324</v>
      </c>
      <c r="E1920" s="2">
        <f>B1920*D1920/10000</f>
        <v/>
      </c>
      <c r="F1920" s="3">
        <f>B1920/30.48</f>
        <v/>
      </c>
      <c r="G1920" s="3">
        <f>D1920/30.48</f>
        <v/>
      </c>
      <c r="H1920" s="69" t="inlineStr">
        <is>
          <t>MCHD-TR</t>
        </is>
      </c>
      <c r="I1920" s="557" t="n"/>
      <c r="J1920" s="557" t="n"/>
      <c r="P1920" s="280" t="n"/>
    </row>
    <row r="1921" ht="17.25" customHeight="1" s="305">
      <c r="A1921" s="8" t="inlineStr">
        <is>
          <t>D 457</t>
        </is>
      </c>
      <c r="B1921" s="5" t="n">
        <v>45</v>
      </c>
      <c r="C1921" s="72" t="inlineStr">
        <is>
          <t>X</t>
        </is>
      </c>
      <c r="D1921" s="5" t="n">
        <v>87</v>
      </c>
      <c r="E1921" s="73">
        <f>B1921*D1921/10000</f>
        <v/>
      </c>
      <c r="F1921" s="74">
        <f>B1921/30.48</f>
        <v/>
      </c>
      <c r="G1921" s="74">
        <f>D1921/30.48</f>
        <v/>
      </c>
      <c r="H1921" s="69" t="inlineStr">
        <is>
          <t>MCHD-TR</t>
        </is>
      </c>
      <c r="I1921" s="557" t="n"/>
      <c r="J1921" s="557" t="n"/>
      <c r="P1921" s="280" t="n"/>
    </row>
    <row r="1922" ht="17.25" customHeight="1" s="305">
      <c r="A1922" s="8" t="n">
        <v>2514</v>
      </c>
      <c r="B1922" s="5" t="n">
        <v>181</v>
      </c>
      <c r="C1922" s="72" t="inlineStr">
        <is>
          <t>X</t>
        </is>
      </c>
      <c r="D1922" s="5" t="n">
        <v>329</v>
      </c>
      <c r="E1922" s="73">
        <f>B1922*D1922/10000</f>
        <v/>
      </c>
      <c r="F1922" s="74">
        <f>B1922/30.48</f>
        <v/>
      </c>
      <c r="G1922" s="74">
        <f>D1922/30.48</f>
        <v/>
      </c>
      <c r="H1922" s="69" t="inlineStr">
        <is>
          <t>RK</t>
        </is>
      </c>
      <c r="I1922" s="570" t="inlineStr">
        <is>
          <t>Emily Rogers</t>
        </is>
      </c>
      <c r="J1922" s="557" t="n"/>
      <c r="P1922" s="280" t="n"/>
    </row>
    <row r="1923" ht="17.25" customHeight="1" s="305">
      <c r="A1923" s="8" t="n">
        <v>1906</v>
      </c>
      <c r="B1923" s="5" t="n">
        <v>79</v>
      </c>
      <c r="C1923" s="72" t="inlineStr">
        <is>
          <t>X</t>
        </is>
      </c>
      <c r="D1923" s="5" t="n">
        <v>360</v>
      </c>
      <c r="E1923" s="73">
        <f>B1923*D1923/10000</f>
        <v/>
      </c>
      <c r="F1923" s="74">
        <f>B1923/30.48</f>
        <v/>
      </c>
      <c r="G1923" s="74">
        <f>D1923/30.48</f>
        <v/>
      </c>
      <c r="H1923" s="69" t="inlineStr">
        <is>
          <t>RK</t>
        </is>
      </c>
      <c r="I1923" s="534" t="inlineStr">
        <is>
          <t>Wendy Feldstein</t>
        </is>
      </c>
      <c r="J1923" s="545" t="n"/>
      <c r="P1923" s="280" t="n"/>
    </row>
    <row r="1924" ht="17.25" customHeight="1" s="305">
      <c r="A1924" s="8" t="n">
        <v>2120</v>
      </c>
      <c r="B1924" s="5" t="n">
        <v>121</v>
      </c>
      <c r="C1924" s="72" t="inlineStr">
        <is>
          <t>X</t>
        </is>
      </c>
      <c r="D1924" s="5" t="n">
        <v>195</v>
      </c>
      <c r="E1924" s="73">
        <f>B1924*D1924/10000</f>
        <v/>
      </c>
      <c r="F1924" s="74">
        <f>B1924/30.48</f>
        <v/>
      </c>
      <c r="G1924" s="74">
        <f>D1924/30.48</f>
        <v/>
      </c>
      <c r="H1924" s="272" t="inlineStr">
        <is>
          <t>WTR</t>
        </is>
      </c>
      <c r="I1924" s="570" t="inlineStr">
        <is>
          <t>Mary Knight</t>
        </is>
      </c>
      <c r="J1924" s="557" t="n"/>
      <c r="P1924" s="280" t="n"/>
    </row>
    <row r="1925" ht="17.25" customHeight="1" s="305">
      <c r="A1925" s="8" t="n">
        <v>1743</v>
      </c>
      <c r="B1925" s="5" t="n">
        <v>225</v>
      </c>
      <c r="C1925" s="72" t="inlineStr">
        <is>
          <t>X</t>
        </is>
      </c>
      <c r="D1925" s="5" t="n">
        <v>320</v>
      </c>
      <c r="E1925" s="73">
        <f>B1925*D1925/10000</f>
        <v/>
      </c>
      <c r="F1925" s="74">
        <f>B1925/30.48</f>
        <v/>
      </c>
      <c r="G1925" s="74">
        <f>D1925/30.48</f>
        <v/>
      </c>
      <c r="H1925" s="592" t="inlineStr">
        <is>
          <t>PAC</t>
        </is>
      </c>
      <c r="I1925" s="570" t="inlineStr">
        <is>
          <t>Stephanie Thomas</t>
        </is>
      </c>
      <c r="J1925" s="557" t="n"/>
      <c r="P1925" s="280" t="n"/>
    </row>
    <row r="1926" ht="18" customHeight="1" s="305">
      <c r="A1926" s="8" t="n">
        <v>1417</v>
      </c>
      <c r="B1926" s="5" t="n">
        <v>69</v>
      </c>
      <c r="C1926" s="72" t="inlineStr">
        <is>
          <t>X</t>
        </is>
      </c>
      <c r="D1926" s="5" t="n">
        <v>112</v>
      </c>
      <c r="E1926" s="73">
        <f>B1926*D1926/10000</f>
        <v/>
      </c>
      <c r="F1926" s="74">
        <f>B1926/30.48</f>
        <v/>
      </c>
      <c r="G1926" s="74">
        <f>D1926/30.48</f>
        <v/>
      </c>
      <c r="H1926" s="592" t="inlineStr">
        <is>
          <t>PAC</t>
        </is>
      </c>
      <c r="I1926" s="534" t="inlineStr">
        <is>
          <t>Molly Johnson Ragu</t>
        </is>
      </c>
      <c r="J1926" s="575" t="inlineStr">
        <is>
          <t>US-973 634 7094</t>
        </is>
      </c>
      <c r="P1926" s="280" t="n"/>
    </row>
    <row r="1927" ht="17.25" customHeight="1" s="305">
      <c r="A1927" s="8" t="n">
        <v>2567</v>
      </c>
      <c r="B1927" s="5" t="n">
        <v>100</v>
      </c>
      <c r="C1927" s="72" t="inlineStr">
        <is>
          <t>X</t>
        </is>
      </c>
      <c r="D1927" s="5" t="n">
        <v>291</v>
      </c>
      <c r="E1927" s="73">
        <f>B1927*D1927/10000</f>
        <v/>
      </c>
      <c r="F1927" s="74">
        <f>B1927/30.48</f>
        <v/>
      </c>
      <c r="G1927" s="74">
        <f>D1927/30.48</f>
        <v/>
      </c>
      <c r="H1927" s="69" t="inlineStr">
        <is>
          <t>MCHD-TR</t>
        </is>
      </c>
      <c r="I1927" s="545" t="n"/>
      <c r="J1927" s="545" t="n"/>
      <c r="P1927" s="280" t="n"/>
    </row>
    <row r="1928" ht="17.25" customHeight="1" s="305">
      <c r="A1928" s="8" t="n">
        <v>2680</v>
      </c>
      <c r="B1928" s="5" t="n">
        <v>77</v>
      </c>
      <c r="C1928" s="72" t="inlineStr">
        <is>
          <t>X</t>
        </is>
      </c>
      <c r="D1928" s="5" t="n">
        <v>230</v>
      </c>
      <c r="E1928" s="73">
        <f>B1928*D1928/10000</f>
        <v/>
      </c>
      <c r="F1928" s="74">
        <f>B1928/30.48</f>
        <v/>
      </c>
      <c r="G1928" s="74">
        <f>D1928/30.48</f>
        <v/>
      </c>
      <c r="H1928" s="69" t="inlineStr">
        <is>
          <t>MCHD-TR</t>
        </is>
      </c>
      <c r="I1928" s="557" t="n"/>
      <c r="J1928" s="557" t="n"/>
      <c r="P1928" s="280" t="n"/>
    </row>
    <row r="1929" ht="17.25" customHeight="1" s="305">
      <c r="A1929" s="8" t="inlineStr">
        <is>
          <t>D 438</t>
        </is>
      </c>
      <c r="B1929" s="5" t="n">
        <v>45</v>
      </c>
      <c r="C1929" s="72" t="inlineStr">
        <is>
          <t>X</t>
        </is>
      </c>
      <c r="D1929" s="5" t="n">
        <v>83</v>
      </c>
      <c r="E1929" s="73">
        <f>B1929*D1929/10000</f>
        <v/>
      </c>
      <c r="F1929" s="74">
        <f>B1929/30.48</f>
        <v/>
      </c>
      <c r="G1929" s="74">
        <f>D1929/30.48</f>
        <v/>
      </c>
      <c r="H1929" s="69" t="inlineStr">
        <is>
          <t>MCHD-TR</t>
        </is>
      </c>
      <c r="I1929" s="557" t="n"/>
      <c r="J1929" s="557" t="n"/>
      <c r="P1929" s="280" t="n"/>
    </row>
    <row r="1930" ht="17.25" customHeight="1" s="305">
      <c r="A1930" s="8" t="inlineStr">
        <is>
          <t>C 457</t>
        </is>
      </c>
      <c r="B1930" s="5" t="n">
        <v>160</v>
      </c>
      <c r="C1930" s="6" t="inlineStr">
        <is>
          <t>X</t>
        </is>
      </c>
      <c r="D1930" s="5" t="n">
        <v>256</v>
      </c>
      <c r="E1930" s="2">
        <f>B1930*D1930/10000</f>
        <v/>
      </c>
      <c r="F1930" s="3">
        <f>B1930/30.48</f>
        <v/>
      </c>
      <c r="G1930" s="3">
        <f>D1930/30.48</f>
        <v/>
      </c>
      <c r="H1930" s="592" t="inlineStr">
        <is>
          <t>PAC</t>
        </is>
      </c>
      <c r="I1930" s="570" t="inlineStr">
        <is>
          <t>Hilary Hefner</t>
        </is>
      </c>
      <c r="J1930" s="557" t="n"/>
      <c r="P1930" s="280" t="n"/>
    </row>
    <row r="1931" ht="17.25" customHeight="1" s="305">
      <c r="A1931" s="8" t="inlineStr">
        <is>
          <t>C 605</t>
        </is>
      </c>
      <c r="B1931" s="5" t="n">
        <v>143</v>
      </c>
      <c r="C1931" s="6" t="inlineStr">
        <is>
          <t>X</t>
        </is>
      </c>
      <c r="D1931" s="5" t="n">
        <v>245</v>
      </c>
      <c r="E1931" s="2">
        <f>B1931*D1931/10000</f>
        <v/>
      </c>
      <c r="F1931" s="3">
        <f>B1931/30.48</f>
        <v/>
      </c>
      <c r="G1931" s="3">
        <f>D1931/30.48</f>
        <v/>
      </c>
      <c r="H1931" s="592" t="inlineStr">
        <is>
          <t>PAC</t>
        </is>
      </c>
      <c r="I1931" s="570" t="inlineStr">
        <is>
          <t>Megan Costello</t>
        </is>
      </c>
      <c r="J1931" s="557" t="n"/>
      <c r="P1931" s="280" t="n"/>
    </row>
    <row r="1932" ht="17.25" customHeight="1" s="305">
      <c r="A1932" s="8" t="inlineStr">
        <is>
          <t>D 166</t>
        </is>
      </c>
      <c r="B1932" s="5" t="n">
        <v>46</v>
      </c>
      <c r="C1932" s="72" t="inlineStr">
        <is>
          <t>X</t>
        </is>
      </c>
      <c r="D1932" s="5" t="n">
        <v>84</v>
      </c>
      <c r="E1932" s="73">
        <f>B1932*D1932/10000</f>
        <v/>
      </c>
      <c r="F1932" s="74">
        <f>B1932/30.48</f>
        <v/>
      </c>
      <c r="G1932" s="74">
        <f>D1932/30.48</f>
        <v/>
      </c>
      <c r="H1932" s="569" t="inlineStr">
        <is>
          <t>OLD</t>
        </is>
      </c>
      <c r="I1932" s="570" t="inlineStr">
        <is>
          <t>Holly Lilly</t>
        </is>
      </c>
      <c r="J1932" s="557" t="n"/>
      <c r="P1932" s="280" t="n"/>
    </row>
    <row r="1933" ht="17.25" customHeight="1" s="305">
      <c r="A1933" s="8" t="n">
        <v>1074</v>
      </c>
      <c r="B1933" s="5" t="n">
        <v>82</v>
      </c>
      <c r="C1933" s="72" t="inlineStr">
        <is>
          <t>X</t>
        </is>
      </c>
      <c r="D1933" s="5" t="n">
        <v>379</v>
      </c>
      <c r="E1933" s="73">
        <f>B1933*D1933/10000</f>
        <v/>
      </c>
      <c r="F1933" s="74">
        <f>B1933/30.48</f>
        <v/>
      </c>
      <c r="G1933" s="74">
        <f>D1933/30.48</f>
        <v/>
      </c>
      <c r="H1933" s="16" t="inlineStr">
        <is>
          <t>VR</t>
        </is>
      </c>
      <c r="I1933" s="534" t="inlineStr">
        <is>
          <t>Mary claire Taylor</t>
        </is>
      </c>
      <c r="J1933" s="557" t="inlineStr">
        <is>
          <t>US-601 416 0886</t>
        </is>
      </c>
      <c r="P1933" s="280" t="n"/>
    </row>
    <row r="1934" ht="17.25" customHeight="1" s="305">
      <c r="A1934" s="8" t="inlineStr">
        <is>
          <t>Y 359</t>
        </is>
      </c>
      <c r="B1934" s="5" t="n">
        <v>189</v>
      </c>
      <c r="C1934" s="6" t="inlineStr">
        <is>
          <t>X</t>
        </is>
      </c>
      <c r="D1934" s="5" t="n">
        <v>109</v>
      </c>
      <c r="E1934" s="2">
        <f>B1934*D1934/10000</f>
        <v/>
      </c>
      <c r="F1934" s="3">
        <f>B1934/30.48</f>
        <v/>
      </c>
      <c r="G1934" s="3">
        <f>D1934/30.48</f>
        <v/>
      </c>
      <c r="H1934" s="569" t="inlineStr">
        <is>
          <t>OLD</t>
        </is>
      </c>
      <c r="I1934" s="570" t="inlineStr">
        <is>
          <t>Annabel Cater</t>
        </is>
      </c>
      <c r="J1934" s="557" t="n"/>
      <c r="P1934" s="280" t="n"/>
    </row>
    <row r="1935" ht="17.25" customHeight="1" s="305">
      <c r="A1935" s="8" t="n">
        <v>2336</v>
      </c>
      <c r="B1935" s="5" t="n">
        <v>72</v>
      </c>
      <c r="C1935" s="72" t="inlineStr">
        <is>
          <t>X</t>
        </is>
      </c>
      <c r="D1935" s="5" t="n">
        <v>331</v>
      </c>
      <c r="E1935" s="73">
        <f>B1935*D1935/10000</f>
        <v/>
      </c>
      <c r="F1935" s="74">
        <f>B1935/30.48</f>
        <v/>
      </c>
      <c r="G1935" s="74">
        <f>D1935/30.48</f>
        <v/>
      </c>
      <c r="H1935" s="272" t="inlineStr">
        <is>
          <t>WTR</t>
        </is>
      </c>
      <c r="I1935" s="534" t="inlineStr">
        <is>
          <t>Lauren Morgan</t>
        </is>
      </c>
      <c r="J1935" s="545" t="n"/>
      <c r="P1935" s="280" t="n"/>
    </row>
    <row r="1936" ht="17.25" customHeight="1" s="305">
      <c r="A1936" s="8" t="n">
        <v>2467</v>
      </c>
      <c r="B1936" s="5" t="n">
        <v>82</v>
      </c>
      <c r="C1936" s="72" t="inlineStr">
        <is>
          <t>X</t>
        </is>
      </c>
      <c r="D1936" s="5" t="n">
        <v>475</v>
      </c>
      <c r="E1936" s="73">
        <f>B1936*D1936/10000</f>
        <v/>
      </c>
      <c r="F1936" s="74">
        <f>B1936/30.48</f>
        <v/>
      </c>
      <c r="G1936" s="74">
        <f>D1936/30.48</f>
        <v/>
      </c>
      <c r="H1936" s="592" t="inlineStr">
        <is>
          <t>PAC</t>
        </is>
      </c>
      <c r="I1936" s="570" t="inlineStr">
        <is>
          <t>Daniel Landers</t>
        </is>
      </c>
      <c r="J1936" s="557" t="n"/>
      <c r="P1936" s="280" t="n"/>
    </row>
    <row r="1937" ht="17.25" customHeight="1" s="305">
      <c r="A1937" s="8" t="inlineStr">
        <is>
          <t>C 868</t>
        </is>
      </c>
      <c r="B1937" s="5" t="n">
        <v>70</v>
      </c>
      <c r="C1937" s="6" t="inlineStr">
        <is>
          <t>X</t>
        </is>
      </c>
      <c r="D1937" s="5" t="n">
        <v>200</v>
      </c>
      <c r="E1937" s="2">
        <f>B1937*D1937/10000</f>
        <v/>
      </c>
      <c r="F1937" s="3">
        <f>B1937/30.48</f>
        <v/>
      </c>
      <c r="G1937" s="3">
        <f>D1937/30.48</f>
        <v/>
      </c>
      <c r="H1937" s="592" t="inlineStr">
        <is>
          <t>PAC</t>
        </is>
      </c>
      <c r="I1937" s="570" t="inlineStr">
        <is>
          <t>Hudstruck Holdings/KLD Roberts</t>
        </is>
      </c>
      <c r="J1937" s="557" t="n"/>
      <c r="P1937" s="280" t="n"/>
    </row>
    <row r="1938" ht="17.25" customHeight="1" s="305">
      <c r="A1938" s="8" t="n">
        <v>1184</v>
      </c>
      <c r="B1938" s="5" t="n">
        <v>164</v>
      </c>
      <c r="C1938" s="72" t="inlineStr">
        <is>
          <t>X</t>
        </is>
      </c>
      <c r="D1938" s="5" t="n">
        <v>272</v>
      </c>
      <c r="E1938" s="73">
        <f>B1938*D1938/10000</f>
        <v/>
      </c>
      <c r="F1938" s="74">
        <f>B1938/30.48</f>
        <v/>
      </c>
      <c r="G1938" s="74">
        <f>D1938/30.48</f>
        <v/>
      </c>
      <c r="H1938" s="614" t="inlineStr">
        <is>
          <t>BHR</t>
        </is>
      </c>
      <c r="I1938" s="570" t="inlineStr">
        <is>
          <t>Natasha Underwood</t>
        </is>
      </c>
      <c r="J1938" s="557" t="n"/>
      <c r="P1938" s="280" t="n"/>
    </row>
    <row r="1939" ht="17.25" customHeight="1" s="305">
      <c r="A1939" s="8" t="n">
        <v>1050</v>
      </c>
      <c r="B1939" s="5" t="n">
        <v>125</v>
      </c>
      <c r="C1939" s="72" t="inlineStr">
        <is>
          <t>X</t>
        </is>
      </c>
      <c r="D1939" s="5" t="n">
        <v>303</v>
      </c>
      <c r="E1939" s="73">
        <f>B1939*D1939/10000</f>
        <v/>
      </c>
      <c r="F1939" s="74">
        <f>B1939/30.48</f>
        <v/>
      </c>
      <c r="G1939" s="74">
        <f>D1939/30.48</f>
        <v/>
      </c>
      <c r="H1939" s="694" t="n"/>
      <c r="I1939" s="694" t="n"/>
      <c r="J1939" s="557" t="n"/>
      <c r="P1939" s="280" t="n"/>
    </row>
    <row r="1940" ht="17.25" customHeight="1" s="305">
      <c r="A1940" s="8" t="inlineStr">
        <is>
          <t>A 111</t>
        </is>
      </c>
      <c r="B1940" s="5" t="n">
        <v>63</v>
      </c>
      <c r="C1940" s="6" t="inlineStr">
        <is>
          <t>X</t>
        </is>
      </c>
      <c r="D1940" s="5" t="n">
        <v>117</v>
      </c>
      <c r="E1940" s="2">
        <f>B1940*D1940/10000</f>
        <v/>
      </c>
      <c r="F1940" s="3">
        <f>B1940/30.48</f>
        <v/>
      </c>
      <c r="G1940" s="3">
        <f>D1940/30.48</f>
        <v/>
      </c>
      <c r="H1940" s="569" t="inlineStr">
        <is>
          <t>OLD</t>
        </is>
      </c>
      <c r="I1940" s="570" t="inlineStr">
        <is>
          <t>Natalie Kempker</t>
        </is>
      </c>
      <c r="J1940" s="557" t="n"/>
      <c r="P1940" s="280" t="n"/>
    </row>
    <row r="1941" ht="17.25" customHeight="1" s="305">
      <c r="A1941" s="8" t="inlineStr">
        <is>
          <t>Y 584</t>
        </is>
      </c>
      <c r="B1941" s="5" t="n">
        <v>268</v>
      </c>
      <c r="C1941" s="6" t="inlineStr">
        <is>
          <t>X</t>
        </is>
      </c>
      <c r="D1941" s="5" t="n">
        <v>133</v>
      </c>
      <c r="E1941" s="2">
        <f>B1941*D1941/10000</f>
        <v/>
      </c>
      <c r="F1941" s="3">
        <f>B1941/30.48</f>
        <v/>
      </c>
      <c r="G1941" s="3">
        <f>D1941/30.48</f>
        <v/>
      </c>
      <c r="H1941" s="569" t="inlineStr">
        <is>
          <t>OLD</t>
        </is>
      </c>
      <c r="I1941" s="570" t="inlineStr">
        <is>
          <t>Caleb Wright</t>
        </is>
      </c>
      <c r="J1941" s="557" t="n"/>
      <c r="P1941" s="280" t="n"/>
    </row>
    <row r="1942" ht="17.25" customHeight="1" s="305">
      <c r="A1942" s="8" t="n">
        <v>1864</v>
      </c>
      <c r="B1942" s="5" t="n">
        <v>149</v>
      </c>
      <c r="C1942" s="72" t="inlineStr">
        <is>
          <t>X</t>
        </is>
      </c>
      <c r="D1942" s="5" t="n">
        <v>234</v>
      </c>
      <c r="E1942" s="73">
        <f>B1942*D1942/10000</f>
        <v/>
      </c>
      <c r="F1942" s="74">
        <f>B1942/30.48</f>
        <v/>
      </c>
      <c r="G1942" s="74">
        <f>D1942/30.48</f>
        <v/>
      </c>
      <c r="H1942" s="16" t="inlineStr">
        <is>
          <t>VR</t>
        </is>
      </c>
      <c r="I1942" s="570" t="inlineStr">
        <is>
          <t>Becky Sturman</t>
        </is>
      </c>
      <c r="J1942" s="557" t="n"/>
      <c r="P1942" s="280" t="n"/>
    </row>
    <row r="1943" ht="17.25" customHeight="1" s="305">
      <c r="A1943" s="8" t="n">
        <v>1692</v>
      </c>
      <c r="B1943" s="5" t="n">
        <v>249</v>
      </c>
      <c r="C1943" s="72" t="inlineStr">
        <is>
          <t>X</t>
        </is>
      </c>
      <c r="D1943" s="5" t="n">
        <v>200</v>
      </c>
      <c r="E1943" s="73">
        <f>B1943*D1943/10000</f>
        <v/>
      </c>
      <c r="F1943" s="74">
        <f>B1943/30.48</f>
        <v/>
      </c>
      <c r="G1943" s="74">
        <f>D1943/30.48</f>
        <v/>
      </c>
      <c r="H1943" s="69" t="inlineStr">
        <is>
          <t>MCHD-TR</t>
        </is>
      </c>
      <c r="I1943" s="557" t="n"/>
      <c r="J1943" s="557" t="n"/>
      <c r="P1943" s="280" t="n"/>
    </row>
    <row r="1944" ht="17.25" customHeight="1" s="305">
      <c r="A1944" s="8" t="n">
        <v>2907</v>
      </c>
      <c r="B1944" s="5" t="n">
        <v>141</v>
      </c>
      <c r="C1944" s="72" t="inlineStr">
        <is>
          <t>X</t>
        </is>
      </c>
      <c r="D1944" s="5" t="n">
        <v>186</v>
      </c>
      <c r="E1944" s="73">
        <f>B1944*D1944/10000</f>
        <v/>
      </c>
      <c r="F1944" s="74">
        <f>B1944/30.48</f>
        <v/>
      </c>
      <c r="G1944" s="74">
        <f>D1944/30.48</f>
        <v/>
      </c>
      <c r="H1944" s="69" t="inlineStr">
        <is>
          <t>MCHD-TR</t>
        </is>
      </c>
      <c r="I1944" s="545" t="n"/>
      <c r="J1944" s="545" t="n"/>
      <c r="P1944" s="280" t="n"/>
    </row>
    <row r="1945" ht="17.25" customHeight="1" s="305">
      <c r="A1945" s="8" t="n">
        <v>1456</v>
      </c>
      <c r="B1945" s="5" t="n">
        <v>76</v>
      </c>
      <c r="C1945" s="72" t="inlineStr">
        <is>
          <t>X</t>
        </is>
      </c>
      <c r="D1945" s="5" t="n">
        <v>273</v>
      </c>
      <c r="E1945" s="73">
        <f>B1945*D1945/10000</f>
        <v/>
      </c>
      <c r="F1945" s="74">
        <f>B1945/30.48</f>
        <v/>
      </c>
      <c r="G1945" s="74">
        <f>D1945/30.48</f>
        <v/>
      </c>
      <c r="H1945" s="569" t="inlineStr">
        <is>
          <t>OLD</t>
        </is>
      </c>
      <c r="I1945" s="80" t="inlineStr">
        <is>
          <t>Lauren Hunt</t>
        </is>
      </c>
      <c r="J1945" s="102" t="n"/>
      <c r="P1945" s="280" t="n"/>
    </row>
    <row r="1946" ht="17.25" customHeight="1" s="305">
      <c r="A1946" s="8" t="inlineStr">
        <is>
          <t>Y 606</t>
        </is>
      </c>
      <c r="B1946" s="5" t="n">
        <v>289</v>
      </c>
      <c r="C1946" s="6" t="inlineStr">
        <is>
          <t>X</t>
        </is>
      </c>
      <c r="D1946" s="5" t="n">
        <v>93</v>
      </c>
      <c r="E1946" s="2">
        <f>B1946*D1946/10000</f>
        <v/>
      </c>
      <c r="F1946" s="3">
        <f>B1946/30.48</f>
        <v/>
      </c>
      <c r="G1946" s="3">
        <f>D1946/30.48</f>
        <v/>
      </c>
      <c r="H1946" s="569" t="inlineStr">
        <is>
          <t>OLD</t>
        </is>
      </c>
      <c r="I1946" s="80" t="inlineStr">
        <is>
          <t>Erin Diegel</t>
        </is>
      </c>
      <c r="J1946" s="102" t="n"/>
      <c r="P1946" s="280" t="n"/>
    </row>
    <row r="1947" ht="17.25" customHeight="1" s="305">
      <c r="A1947" s="8" t="n">
        <v>1024</v>
      </c>
      <c r="B1947" s="5" t="n">
        <v>123</v>
      </c>
      <c r="C1947" s="72" t="inlineStr">
        <is>
          <t>X</t>
        </is>
      </c>
      <c r="D1947" s="5" t="n">
        <v>219</v>
      </c>
      <c r="E1947" s="73">
        <f>B1947*D1947/10000</f>
        <v/>
      </c>
      <c r="F1947" s="74">
        <f>B1947/30.48</f>
        <v/>
      </c>
      <c r="G1947" s="74">
        <f>D1947/30.48</f>
        <v/>
      </c>
      <c r="H1947" s="286" t="inlineStr">
        <is>
          <t>BHR</t>
        </is>
      </c>
      <c r="I1947" s="80" t="inlineStr">
        <is>
          <t>lila fox</t>
        </is>
      </c>
      <c r="J1947" s="102" t="n"/>
      <c r="P1947" s="280" t="n"/>
    </row>
    <row r="1948" ht="17.25" customHeight="1" s="305">
      <c r="A1948" s="8" t="n">
        <v>2239</v>
      </c>
      <c r="B1948" s="5" t="n">
        <v>141</v>
      </c>
      <c r="C1948" s="72" t="inlineStr">
        <is>
          <t>X</t>
        </is>
      </c>
      <c r="D1948" s="5" t="n">
        <v>205</v>
      </c>
      <c r="E1948" s="73">
        <f>B1948*D1948/10000</f>
        <v/>
      </c>
      <c r="F1948" s="74">
        <f>B1948/30.48</f>
        <v/>
      </c>
      <c r="G1948" s="74">
        <f>D1948/30.48</f>
        <v/>
      </c>
      <c r="H1948" s="272" t="inlineStr">
        <is>
          <t>WTR</t>
        </is>
      </c>
      <c r="I1948" s="80" t="inlineStr">
        <is>
          <t>Kristi Onzik</t>
        </is>
      </c>
      <c r="J1948" s="102" t="n"/>
      <c r="P1948" s="280" t="n"/>
    </row>
    <row r="1949" ht="17.25" customHeight="1" s="305">
      <c r="A1949" s="8" t="n">
        <v>2000</v>
      </c>
      <c r="B1949" s="5" t="n">
        <v>71</v>
      </c>
      <c r="C1949" s="72" t="inlineStr">
        <is>
          <t>X</t>
        </is>
      </c>
      <c r="D1949" s="5" t="n">
        <v>272</v>
      </c>
      <c r="E1949" s="73">
        <f>B1949*D1949/10000</f>
        <v/>
      </c>
      <c r="F1949" s="74">
        <f>B1949/30.48</f>
        <v/>
      </c>
      <c r="G1949" s="74">
        <f>D1949/30.48</f>
        <v/>
      </c>
      <c r="H1949" s="69" t="inlineStr">
        <is>
          <t>MCHD-TR</t>
        </is>
      </c>
      <c r="I1949" s="287" t="n"/>
      <c r="J1949" s="287" t="n"/>
      <c r="P1949" s="280" t="n"/>
    </row>
    <row r="1950" ht="17.25" customHeight="1" s="305">
      <c r="A1950" s="8" t="inlineStr">
        <is>
          <t>C 347</t>
        </is>
      </c>
      <c r="B1950" s="5" t="n">
        <v>134</v>
      </c>
      <c r="C1950" s="6" t="inlineStr">
        <is>
          <t>X</t>
        </is>
      </c>
      <c r="D1950" s="5" t="n">
        <v>240</v>
      </c>
      <c r="E1950" s="2">
        <f>B1950*D1950/10000</f>
        <v/>
      </c>
      <c r="F1950" s="3">
        <f>B1950/30.48</f>
        <v/>
      </c>
      <c r="G1950" s="3">
        <f>D1950/30.48</f>
        <v/>
      </c>
      <c r="H1950" s="592" t="inlineStr">
        <is>
          <t>PAC</t>
        </is>
      </c>
      <c r="I1950" s="570" t="inlineStr">
        <is>
          <t>Alyssa Svedeman</t>
        </is>
      </c>
      <c r="J1950" s="557" t="n"/>
      <c r="P1950" s="280" t="n"/>
    </row>
    <row r="1951" ht="17.25" customHeight="1" s="305">
      <c r="A1951" s="8" t="inlineStr">
        <is>
          <t>D 275</t>
        </is>
      </c>
      <c r="B1951" s="5" t="n">
        <v>54</v>
      </c>
      <c r="C1951" s="72" t="inlineStr">
        <is>
          <t>X</t>
        </is>
      </c>
      <c r="D1951" s="5" t="n">
        <v>93</v>
      </c>
      <c r="E1951" s="73">
        <f>B1951*D1951/10000</f>
        <v/>
      </c>
      <c r="F1951" s="74">
        <f>B1951/30.48</f>
        <v/>
      </c>
      <c r="G1951" s="74">
        <f>D1951/30.48</f>
        <v/>
      </c>
      <c r="H1951" s="286" t="inlineStr">
        <is>
          <t>LMX</t>
        </is>
      </c>
      <c r="I1951" s="570" t="inlineStr">
        <is>
          <t>Cristina Massa</t>
        </is>
      </c>
      <c r="J1951" s="557" t="n"/>
      <c r="P1951" s="280" t="n"/>
    </row>
    <row r="1952" ht="17.25" customHeight="1" s="305">
      <c r="A1952" s="8" t="inlineStr">
        <is>
          <t>D 50</t>
        </is>
      </c>
      <c r="B1952" s="5" t="n">
        <v>56</v>
      </c>
      <c r="C1952" s="72" t="inlineStr">
        <is>
          <t>X</t>
        </is>
      </c>
      <c r="D1952" s="5" t="n">
        <v>79</v>
      </c>
      <c r="E1952" s="73">
        <f>B1952*D1952/10000</f>
        <v/>
      </c>
      <c r="F1952" s="74">
        <f>B1952/30.48</f>
        <v/>
      </c>
      <c r="G1952" s="74">
        <f>D1952/30.48</f>
        <v/>
      </c>
      <c r="H1952" s="286" t="inlineStr">
        <is>
          <t>LMX</t>
        </is>
      </c>
      <c r="I1952" s="570" t="inlineStr">
        <is>
          <t>Ashley Tiffany</t>
        </is>
      </c>
      <c r="J1952" s="557" t="n"/>
      <c r="P1952" s="280" t="n"/>
    </row>
    <row r="1953" ht="17.25" customHeight="1" s="305">
      <c r="A1953" s="8" t="n">
        <v>2382</v>
      </c>
      <c r="B1953" s="5" t="n">
        <v>88</v>
      </c>
      <c r="C1953" s="72" t="inlineStr">
        <is>
          <t>X</t>
        </is>
      </c>
      <c r="D1953" s="5" t="n">
        <v>227</v>
      </c>
      <c r="E1953" s="73">
        <f>B1953*D1953/10000</f>
        <v/>
      </c>
      <c r="F1953" s="74">
        <f>B1953/30.48</f>
        <v/>
      </c>
      <c r="G1953" s="74">
        <f>D1953/30.48</f>
        <v/>
      </c>
      <c r="H1953" s="272" t="inlineStr">
        <is>
          <t>WTR</t>
        </is>
      </c>
      <c r="I1953" s="570" t="inlineStr">
        <is>
          <t>Tyler Correll</t>
        </is>
      </c>
      <c r="J1953" s="557" t="n"/>
      <c r="P1953" s="280" t="n"/>
    </row>
    <row r="1954" ht="17.25" customHeight="1" s="305">
      <c r="A1954" s="8" t="n">
        <v>2</v>
      </c>
      <c r="B1954" s="5" t="n">
        <v>80</v>
      </c>
      <c r="C1954" s="6" t="inlineStr">
        <is>
          <t>X</t>
        </is>
      </c>
      <c r="D1954" s="5" t="n">
        <v>57</v>
      </c>
      <c r="E1954" s="2">
        <f>B1954*D1954/10000</f>
        <v/>
      </c>
      <c r="F1954" s="3">
        <f>B1954/30.48</f>
        <v/>
      </c>
      <c r="G1954" s="3">
        <f>D1954/30.48</f>
        <v/>
      </c>
      <c r="H1954" s="569" t="inlineStr">
        <is>
          <t>OLD</t>
        </is>
      </c>
      <c r="I1954" s="570" t="inlineStr">
        <is>
          <t>Leah Norwood</t>
        </is>
      </c>
      <c r="J1954" s="557" t="n"/>
      <c r="P1954" s="280" t="n"/>
    </row>
    <row r="1955" ht="17.25" customHeight="1" s="305">
      <c r="A1955" s="8" t="n">
        <v>1546</v>
      </c>
      <c r="B1955" s="5" t="n">
        <v>218</v>
      </c>
      <c r="C1955" s="72" t="inlineStr">
        <is>
          <t>X</t>
        </is>
      </c>
      <c r="D1955" s="5" t="n">
        <v>70</v>
      </c>
      <c r="E1955" s="73">
        <f>B1955*D1955/10000</f>
        <v/>
      </c>
      <c r="F1955" s="74">
        <f>B1955/30.48</f>
        <v/>
      </c>
      <c r="G1955" s="74">
        <f>D1955/30.48</f>
        <v/>
      </c>
      <c r="H1955" s="69" t="inlineStr">
        <is>
          <t>MCHD-TR</t>
        </is>
      </c>
      <c r="I1955" s="557" t="n"/>
      <c r="J1955" s="557" t="n"/>
      <c r="P1955" s="280" t="n"/>
    </row>
    <row r="1956" ht="17.25" customHeight="1" s="305">
      <c r="A1956" s="8" t="n">
        <v>2893</v>
      </c>
      <c r="B1956" s="5" t="n">
        <v>128</v>
      </c>
      <c r="C1956" s="72" t="inlineStr">
        <is>
          <t>X</t>
        </is>
      </c>
      <c r="D1956" s="5" t="n">
        <v>193</v>
      </c>
      <c r="E1956" s="73">
        <f>B1956*D1956/10000</f>
        <v/>
      </c>
      <c r="F1956" s="74">
        <f>B1956/30.48</f>
        <v/>
      </c>
      <c r="G1956" s="74">
        <f>D1956/30.48</f>
        <v/>
      </c>
      <c r="H1956" s="69" t="inlineStr">
        <is>
          <t>MCHD-TR</t>
        </is>
      </c>
      <c r="I1956" s="545" t="n"/>
      <c r="J1956" s="545" t="n"/>
      <c r="P1956" s="280" t="n"/>
    </row>
    <row r="1957" ht="17.25" customHeight="1" s="305">
      <c r="A1957" s="8" t="n">
        <v>2143</v>
      </c>
      <c r="B1957" s="5" t="n">
        <v>100</v>
      </c>
      <c r="C1957" s="72" t="inlineStr">
        <is>
          <t>X</t>
        </is>
      </c>
      <c r="D1957" s="5" t="n">
        <v>271</v>
      </c>
      <c r="E1957" s="73">
        <f>B1957*D1957/10000</f>
        <v/>
      </c>
      <c r="F1957" s="74">
        <f>B1957/30.48</f>
        <v/>
      </c>
      <c r="G1957" s="74">
        <f>D1957/30.48</f>
        <v/>
      </c>
      <c r="H1957" s="69" t="inlineStr">
        <is>
          <t>MCHD-TR</t>
        </is>
      </c>
      <c r="I1957" s="557" t="n"/>
      <c r="J1957" s="557" t="n"/>
      <c r="P1957" s="280" t="n"/>
    </row>
    <row r="1958" ht="17.25" customHeight="1" s="305">
      <c r="A1958" s="8" t="inlineStr">
        <is>
          <t>D 444</t>
        </is>
      </c>
      <c r="B1958" s="5" t="n">
        <v>51</v>
      </c>
      <c r="C1958" s="72" t="inlineStr">
        <is>
          <t>X</t>
        </is>
      </c>
      <c r="D1958" s="5" t="n">
        <v>87</v>
      </c>
      <c r="E1958" s="73">
        <f>B1958*D1958/10000</f>
        <v/>
      </c>
      <c r="F1958" s="74">
        <f>B1958/30.48</f>
        <v/>
      </c>
      <c r="G1958" s="74">
        <f>D1958/30.48</f>
        <v/>
      </c>
      <c r="H1958" s="69" t="inlineStr">
        <is>
          <t>MCHD-TR</t>
        </is>
      </c>
      <c r="I1958" s="557" t="n"/>
      <c r="J1958" s="557" t="n"/>
      <c r="P1958" s="280" t="n"/>
    </row>
    <row r="1959" ht="17.25" customHeight="1" s="305">
      <c r="A1959" s="8" t="n">
        <v>2536</v>
      </c>
      <c r="B1959" s="5" t="n">
        <v>84</v>
      </c>
      <c r="C1959" s="72" t="inlineStr">
        <is>
          <t>X</t>
        </is>
      </c>
      <c r="D1959" s="5" t="n">
        <v>277</v>
      </c>
      <c r="E1959" s="73">
        <f>B1959*D1959/10000</f>
        <v/>
      </c>
      <c r="F1959" s="74">
        <f>B1959/30.48</f>
        <v/>
      </c>
      <c r="G1959" s="74">
        <f>D1959/30.48</f>
        <v/>
      </c>
      <c r="H1959" s="69" t="inlineStr">
        <is>
          <t>RK</t>
        </is>
      </c>
      <c r="I1959" s="534" t="inlineStr">
        <is>
          <t>Allison Lambert</t>
        </is>
      </c>
      <c r="J1959" s="545" t="n"/>
      <c r="P1959" s="280" t="n"/>
    </row>
    <row r="1960" ht="17.25" customHeight="1" s="305">
      <c r="A1960" s="8" t="n">
        <v>1946</v>
      </c>
      <c r="B1960" s="5" t="n">
        <v>74</v>
      </c>
      <c r="C1960" s="72" t="inlineStr">
        <is>
          <t>X</t>
        </is>
      </c>
      <c r="D1960" s="5" t="n">
        <v>246</v>
      </c>
      <c r="E1960" s="73">
        <f>B1960*D1960/10000</f>
        <v/>
      </c>
      <c r="F1960" s="74">
        <f>B1960/30.48</f>
        <v/>
      </c>
      <c r="G1960" s="74">
        <f>D1960/30.48</f>
        <v/>
      </c>
      <c r="H1960" s="69" t="inlineStr">
        <is>
          <t>RK</t>
        </is>
      </c>
      <c r="I1960" s="570" t="inlineStr">
        <is>
          <t>Michelle Ryder</t>
        </is>
      </c>
      <c r="J1960" s="557" t="n"/>
      <c r="P1960" s="280" t="n"/>
    </row>
    <row r="1961" ht="17.25" customHeight="1" s="305">
      <c r="A1961" s="8" t="n">
        <v>2197</v>
      </c>
      <c r="B1961" s="5" t="n">
        <v>97</v>
      </c>
      <c r="C1961" s="72" t="inlineStr">
        <is>
          <t>X</t>
        </is>
      </c>
      <c r="D1961" s="5" t="n">
        <v>158</v>
      </c>
      <c r="E1961" s="73">
        <f>B1961*D1961/10000</f>
        <v/>
      </c>
      <c r="F1961" s="74">
        <f>B1961/30.48</f>
        <v/>
      </c>
      <c r="G1961" s="74">
        <f>D1961/30.48</f>
        <v/>
      </c>
      <c r="H1961" s="272" t="inlineStr">
        <is>
          <t>WTR</t>
        </is>
      </c>
      <c r="I1961" s="534" t="inlineStr">
        <is>
          <t>Judith Bright</t>
        </is>
      </c>
      <c r="J1961" s="545" t="n"/>
      <c r="P1961" s="280" t="n"/>
    </row>
    <row r="1962" ht="17.25" customHeight="1" s="305">
      <c r="A1962" s="8" t="n">
        <v>1372</v>
      </c>
      <c r="B1962" s="5" t="n">
        <v>88</v>
      </c>
      <c r="C1962" s="72" t="inlineStr">
        <is>
          <t>X</t>
        </is>
      </c>
      <c r="D1962" s="5" t="n">
        <v>290</v>
      </c>
      <c r="E1962" s="73">
        <f>B1962*D1962/10000</f>
        <v/>
      </c>
      <c r="F1962" s="74">
        <f>B1962/30.48</f>
        <v/>
      </c>
      <c r="G1962" s="74">
        <f>D1962/30.48</f>
        <v/>
      </c>
      <c r="H1962" s="569" t="inlineStr">
        <is>
          <t>OLD</t>
        </is>
      </c>
      <c r="I1962" s="534" t="inlineStr">
        <is>
          <t>Corri Peterson</t>
        </is>
      </c>
      <c r="J1962" s="545" t="n"/>
      <c r="P1962" s="280" t="n"/>
    </row>
    <row r="1963" ht="17.25" customHeight="1" s="305">
      <c r="A1963" s="8" t="n">
        <v>2741</v>
      </c>
      <c r="B1963" s="5" t="n">
        <v>107</v>
      </c>
      <c r="C1963" s="72" t="inlineStr">
        <is>
          <t>X</t>
        </is>
      </c>
      <c r="D1963" s="5" t="n">
        <v>425</v>
      </c>
      <c r="E1963" s="73">
        <f>B1963*D1963/10000</f>
        <v/>
      </c>
      <c r="F1963" s="74">
        <f>B1963/30.48</f>
        <v/>
      </c>
      <c r="G1963" s="74">
        <f>D1963/30.48</f>
        <v/>
      </c>
      <c r="H1963" s="69" t="inlineStr">
        <is>
          <t>MCHD-TR</t>
        </is>
      </c>
      <c r="I1963" s="557" t="n"/>
      <c r="J1963" s="557" t="n"/>
      <c r="P1963" s="280" t="n"/>
    </row>
    <row r="1964" ht="17.25" customHeight="1" s="305">
      <c r="A1964" s="8" t="n">
        <v>1268</v>
      </c>
      <c r="B1964" s="5" t="n">
        <v>108</v>
      </c>
      <c r="C1964" s="72" t="inlineStr">
        <is>
          <t>X</t>
        </is>
      </c>
      <c r="D1964" s="5" t="n">
        <v>276</v>
      </c>
      <c r="E1964" s="73">
        <f>B1964*D1964/10000</f>
        <v/>
      </c>
      <c r="F1964" s="74">
        <f>B1964/30.48</f>
        <v/>
      </c>
      <c r="G1964" s="74">
        <f>D1964/30.48</f>
        <v/>
      </c>
      <c r="H1964" s="69" t="inlineStr">
        <is>
          <t>MCHD-TR</t>
        </is>
      </c>
      <c r="I1964" s="545" t="n"/>
      <c r="J1964" s="545" t="n"/>
      <c r="P1964" s="280" t="n"/>
    </row>
    <row r="1965" ht="17.25" customHeight="1" s="305">
      <c r="A1965" s="8" t="inlineStr">
        <is>
          <t>D 332</t>
        </is>
      </c>
      <c r="B1965" s="5" t="n">
        <v>47</v>
      </c>
      <c r="C1965" s="72" t="inlineStr">
        <is>
          <t>X</t>
        </is>
      </c>
      <c r="D1965" s="5" t="n">
        <v>85</v>
      </c>
      <c r="E1965" s="73">
        <f>B1965*D1965/10000</f>
        <v/>
      </c>
      <c r="F1965" s="74">
        <f>B1965/30.48</f>
        <v/>
      </c>
      <c r="G1965" s="74">
        <f>D1965/30.48</f>
        <v/>
      </c>
      <c r="H1965" s="272" t="inlineStr">
        <is>
          <t>WTR</t>
        </is>
      </c>
      <c r="I1965" s="570" t="inlineStr">
        <is>
          <t>Krissy Simpson</t>
        </is>
      </c>
      <c r="J1965" s="557" t="n"/>
      <c r="P1965" s="280" t="n"/>
    </row>
    <row r="1966" ht="17.25" customHeight="1" s="305">
      <c r="A1966" s="8" t="inlineStr">
        <is>
          <t>D 52</t>
        </is>
      </c>
      <c r="B1966" s="5" t="n">
        <v>53</v>
      </c>
      <c r="C1966" s="72" t="inlineStr">
        <is>
          <t>X</t>
        </is>
      </c>
      <c r="D1966" s="5" t="n">
        <v>96</v>
      </c>
      <c r="E1966" s="73">
        <f>B1966*D1966/10000</f>
        <v/>
      </c>
      <c r="F1966" s="74">
        <f>B1966/30.48</f>
        <v/>
      </c>
      <c r="G1966" s="74">
        <f>D1966/30.48</f>
        <v/>
      </c>
      <c r="H1966" s="286" t="inlineStr">
        <is>
          <t>LMX</t>
        </is>
      </c>
      <c r="I1966" s="570" t="inlineStr">
        <is>
          <t>JILL SLEE</t>
        </is>
      </c>
      <c r="J1966" s="557" t="n"/>
      <c r="P1966" s="280" t="n"/>
    </row>
    <row r="1967" ht="17.25" customHeight="1" s="305">
      <c r="A1967" s="8" t="n">
        <v>1</v>
      </c>
      <c r="B1967" s="5" t="n">
        <v>341</v>
      </c>
      <c r="C1967" s="6" t="inlineStr">
        <is>
          <t>X</t>
        </is>
      </c>
      <c r="D1967" s="5" t="n">
        <v>94</v>
      </c>
      <c r="E1967" s="2">
        <f>B1967*D1967/10000</f>
        <v/>
      </c>
      <c r="F1967" s="3">
        <f>B1967/30.48</f>
        <v/>
      </c>
      <c r="G1967" s="3">
        <f>D1967/30.48</f>
        <v/>
      </c>
      <c r="H1967" s="272" t="inlineStr">
        <is>
          <t>WTR</t>
        </is>
      </c>
      <c r="I1967" s="570" t="inlineStr">
        <is>
          <t>Leslie Mcmillan</t>
        </is>
      </c>
      <c r="J1967" s="557" t="n"/>
      <c r="P1967" s="280" t="n"/>
    </row>
    <row r="1968" ht="17.25" customHeight="1" s="305">
      <c r="A1968" s="8" t="inlineStr">
        <is>
          <t>B 159</t>
        </is>
      </c>
      <c r="B1968" s="5" t="n">
        <v>161</v>
      </c>
      <c r="C1968" s="6" t="inlineStr">
        <is>
          <t>X</t>
        </is>
      </c>
      <c r="D1968" s="5" t="n">
        <v>249</v>
      </c>
      <c r="E1968" s="2">
        <f>B1968*D1968/10000</f>
        <v/>
      </c>
      <c r="F1968" s="3">
        <f>B1968/30.48</f>
        <v/>
      </c>
      <c r="G1968" s="3">
        <f>D1968/30.48</f>
        <v/>
      </c>
      <c r="H1968" s="592" t="inlineStr">
        <is>
          <t>PAC</t>
        </is>
      </c>
      <c r="I1968" s="570" t="inlineStr">
        <is>
          <t>Freya Ellis</t>
        </is>
      </c>
      <c r="J1968" s="557" t="n"/>
      <c r="P1968" s="280" t="n"/>
    </row>
    <row r="1969" ht="17.25" customHeight="1" s="305">
      <c r="A1969" s="8" t="n">
        <v>3107</v>
      </c>
      <c r="B1969" s="5" t="n">
        <v>179</v>
      </c>
      <c r="C1969" s="72" t="inlineStr">
        <is>
          <t>X</t>
        </is>
      </c>
      <c r="D1969" s="5" t="n">
        <v>248</v>
      </c>
      <c r="E1969" s="73">
        <f>B1969*D1969/10000</f>
        <v/>
      </c>
      <c r="F1969" s="74">
        <f>B1969/30.48</f>
        <v/>
      </c>
      <c r="G1969" s="74">
        <f>D1969/30.48</f>
        <v/>
      </c>
      <c r="H1969" s="592" t="inlineStr">
        <is>
          <t>PAC</t>
        </is>
      </c>
      <c r="I1969" s="570" t="inlineStr">
        <is>
          <t>Haley Dale</t>
        </is>
      </c>
      <c r="J1969" s="557" t="n"/>
      <c r="P1969" s="280" t="n"/>
    </row>
    <row r="1970" ht="17.25" customHeight="1" s="305">
      <c r="A1970" s="8" t="n">
        <v>1317</v>
      </c>
      <c r="B1970" s="5" t="n">
        <v>88</v>
      </c>
      <c r="C1970" s="72" t="inlineStr">
        <is>
          <t>X</t>
        </is>
      </c>
      <c r="D1970" s="5" t="n">
        <v>353</v>
      </c>
      <c r="E1970" s="73">
        <f>B1970*D1970/10000</f>
        <v/>
      </c>
      <c r="F1970" s="74">
        <f>B1970/30.48</f>
        <v/>
      </c>
      <c r="G1970" s="74">
        <f>D1970/30.48</f>
        <v/>
      </c>
      <c r="H1970" s="569" t="inlineStr">
        <is>
          <t>OLD</t>
        </is>
      </c>
      <c r="I1970" s="570" t="inlineStr">
        <is>
          <t>Melanie Barganier</t>
        </is>
      </c>
      <c r="J1970" s="557" t="n"/>
      <c r="P1970" s="280" t="n"/>
    </row>
    <row r="1971" ht="17.25" customHeight="1" s="305">
      <c r="A1971" s="8" t="n">
        <v>3313</v>
      </c>
      <c r="B1971" s="5" t="n">
        <v>190</v>
      </c>
      <c r="C1971" s="72" t="inlineStr">
        <is>
          <t>X</t>
        </is>
      </c>
      <c r="D1971" s="5" t="n">
        <v>285</v>
      </c>
      <c r="E1971" s="73">
        <f>B1971*D1971/10000</f>
        <v/>
      </c>
      <c r="F1971" s="74">
        <f>B1971/30.48</f>
        <v/>
      </c>
      <c r="G1971" s="74">
        <f>D1971/30.48</f>
        <v/>
      </c>
      <c r="H1971" s="592" t="inlineStr">
        <is>
          <t>PAC</t>
        </is>
      </c>
      <c r="I1971" s="570" t="inlineStr">
        <is>
          <t>Nathaniel Haskins</t>
        </is>
      </c>
      <c r="J1971" s="557" t="n"/>
      <c r="P1971" s="280" t="n"/>
    </row>
    <row r="1972" ht="17.25" customHeight="1" s="305">
      <c r="A1972" s="8" t="n">
        <v>2559</v>
      </c>
      <c r="B1972" s="5" t="n">
        <v>173</v>
      </c>
      <c r="C1972" s="72" t="inlineStr">
        <is>
          <t>X</t>
        </is>
      </c>
      <c r="D1972" s="5" t="n">
        <v>225</v>
      </c>
      <c r="E1972" s="73">
        <f>B1972*D1972/10000</f>
        <v/>
      </c>
      <c r="F1972" s="74">
        <f>B1972/30.48</f>
        <v/>
      </c>
      <c r="G1972" s="74">
        <f>D1972/30.48</f>
        <v/>
      </c>
      <c r="H1972" s="286" t="inlineStr">
        <is>
          <t>LMX</t>
        </is>
      </c>
      <c r="I1972" s="570" t="inlineStr">
        <is>
          <t>Matt Rosendahl</t>
        </is>
      </c>
      <c r="J1972" s="557" t="n"/>
      <c r="P1972" s="280" t="n"/>
    </row>
    <row r="1973" ht="17.25" customHeight="1" s="305">
      <c r="A1973" s="8" t="n">
        <v>2158</v>
      </c>
      <c r="B1973" s="5" t="n">
        <v>73</v>
      </c>
      <c r="C1973" s="72" t="inlineStr">
        <is>
          <t>X</t>
        </is>
      </c>
      <c r="D1973" s="5" t="n">
        <v>282</v>
      </c>
      <c r="E1973" s="73">
        <f>B1973*D1973/10000</f>
        <v/>
      </c>
      <c r="F1973" s="74">
        <f>B1973/30.48</f>
        <v/>
      </c>
      <c r="G1973" s="74">
        <f>D1973/30.48</f>
        <v/>
      </c>
      <c r="H1973" s="69" t="inlineStr">
        <is>
          <t>MCHD-TR</t>
        </is>
      </c>
      <c r="I1973" s="557" t="n"/>
      <c r="J1973" s="557" t="n"/>
      <c r="P1973" s="280" t="n"/>
    </row>
    <row r="1974" ht="17.25" customHeight="1" s="305">
      <c r="A1974" s="8" t="inlineStr">
        <is>
          <t>H 226</t>
        </is>
      </c>
      <c r="B1974" s="5" t="n">
        <v>82</v>
      </c>
      <c r="C1974" s="6" t="inlineStr">
        <is>
          <t>X</t>
        </is>
      </c>
      <c r="D1974" s="5" t="n">
        <v>374</v>
      </c>
      <c r="E1974" s="2">
        <f>B1974*D1974/10000</f>
        <v/>
      </c>
      <c r="F1974" s="3">
        <f>B1974/30.48</f>
        <v/>
      </c>
      <c r="G1974" s="3">
        <f>D1974/30.48</f>
        <v/>
      </c>
      <c r="H1974" s="69" t="inlineStr">
        <is>
          <t>MCHD-TR</t>
        </is>
      </c>
      <c r="I1974" s="545" t="n"/>
      <c r="J1974" s="545" t="n"/>
      <c r="P1974" s="280" t="n"/>
    </row>
    <row r="1975" ht="17.25" customHeight="1" s="305">
      <c r="A1975" s="8" t="inlineStr">
        <is>
          <t>D 437</t>
        </is>
      </c>
      <c r="B1975" s="5" t="n">
        <v>59</v>
      </c>
      <c r="C1975" s="72" t="inlineStr">
        <is>
          <t>X</t>
        </is>
      </c>
      <c r="D1975" s="5" t="n">
        <v>94</v>
      </c>
      <c r="E1975" s="73">
        <f>B1975*D1975/10000</f>
        <v/>
      </c>
      <c r="F1975" s="74">
        <f>B1975/30.48</f>
        <v/>
      </c>
      <c r="G1975" s="74">
        <f>D1975/30.48</f>
        <v/>
      </c>
      <c r="H1975" s="69" t="inlineStr">
        <is>
          <t>MCHD-TR</t>
        </is>
      </c>
      <c r="I1975" s="557" t="n"/>
      <c r="J1975" s="557" t="n"/>
      <c r="P1975" s="280" t="n"/>
    </row>
    <row r="1976" ht="17.25" customHeight="1" s="305">
      <c r="A1976" s="8" t="n">
        <v>1990</v>
      </c>
      <c r="B1976" s="5" t="n">
        <v>93</v>
      </c>
      <c r="C1976" s="72" t="inlineStr">
        <is>
          <t>X</t>
        </is>
      </c>
      <c r="D1976" s="5" t="n">
        <v>296</v>
      </c>
      <c r="E1976" s="73">
        <f>B1976*D1976/10000</f>
        <v/>
      </c>
      <c r="F1976" s="74">
        <f>B1976/30.48</f>
        <v/>
      </c>
      <c r="G1976" s="74">
        <f>D1976/30.48</f>
        <v/>
      </c>
      <c r="H1976" s="69" t="inlineStr">
        <is>
          <t>MCHD-TR</t>
        </is>
      </c>
      <c r="I1976" s="557" t="n"/>
      <c r="J1976" s="557" t="n"/>
      <c r="P1976" s="280" t="n"/>
    </row>
    <row r="1977" ht="17.25" customHeight="1" s="305">
      <c r="A1977" s="8" t="n">
        <v>1562</v>
      </c>
      <c r="B1977" s="5" t="n">
        <v>279</v>
      </c>
      <c r="C1977" s="72" t="inlineStr">
        <is>
          <t>X</t>
        </is>
      </c>
      <c r="D1977" s="5" t="n">
        <v>96</v>
      </c>
      <c r="E1977" s="73">
        <f>B1977*D1977/10000</f>
        <v/>
      </c>
      <c r="F1977" s="74">
        <f>B1977/30.48</f>
        <v/>
      </c>
      <c r="G1977" s="74">
        <f>D1977/30.48</f>
        <v/>
      </c>
      <c r="H1977" s="286" t="inlineStr">
        <is>
          <t>BHR</t>
        </is>
      </c>
      <c r="I1977" s="534" t="inlineStr">
        <is>
          <t>Brooke Rosenberg</t>
        </is>
      </c>
      <c r="J1977" s="557" t="n"/>
      <c r="P1977" s="280" t="n"/>
    </row>
    <row r="1978" ht="17.25" customHeight="1" s="305">
      <c r="A1978" s="8" t="inlineStr">
        <is>
          <t>D 54</t>
        </is>
      </c>
      <c r="B1978" s="5" t="n">
        <v>51</v>
      </c>
      <c r="C1978" s="72" t="inlineStr">
        <is>
          <t>X</t>
        </is>
      </c>
      <c r="D1978" s="5" t="n">
        <v>93</v>
      </c>
      <c r="E1978" s="73">
        <f>B1978*D1978/10000</f>
        <v/>
      </c>
      <c r="F1978" s="74">
        <f>B1978/30.48</f>
        <v/>
      </c>
      <c r="G1978" s="74">
        <f>D1978/30.48</f>
        <v/>
      </c>
      <c r="H1978" s="286" t="inlineStr">
        <is>
          <t>LMX</t>
        </is>
      </c>
      <c r="I1978" s="534" t="inlineStr">
        <is>
          <t>Christina Soontornvat</t>
        </is>
      </c>
      <c r="J1978" s="571" t="n"/>
      <c r="P1978" s="280" t="n"/>
    </row>
    <row r="1979" ht="17.25" customHeight="1" s="305">
      <c r="A1979" s="8" t="n">
        <v>1897</v>
      </c>
      <c r="B1979" s="5" t="n">
        <v>112</v>
      </c>
      <c r="C1979" s="72" t="inlineStr">
        <is>
          <t>X</t>
        </is>
      </c>
      <c r="D1979" s="5" t="n">
        <v>203</v>
      </c>
      <c r="E1979" s="73">
        <f>B1979*D1979/10000</f>
        <v/>
      </c>
      <c r="F1979" s="74">
        <f>B1979/30.48</f>
        <v/>
      </c>
      <c r="G1979" s="74">
        <f>D1979/30.48</f>
        <v/>
      </c>
      <c r="H1979" s="69" t="inlineStr">
        <is>
          <t>RK</t>
        </is>
      </c>
      <c r="I1979" s="534" t="inlineStr">
        <is>
          <t>Debbie Jones</t>
        </is>
      </c>
      <c r="J1979" s="545" t="n"/>
      <c r="P1979" s="280" t="n"/>
    </row>
    <row r="1980" ht="17.25" customHeight="1" s="305">
      <c r="A1980" s="8" t="inlineStr">
        <is>
          <t>D 219</t>
        </is>
      </c>
      <c r="B1980" s="5" t="n">
        <v>51</v>
      </c>
      <c r="C1980" s="72" t="inlineStr">
        <is>
          <t>X</t>
        </is>
      </c>
      <c r="D1980" s="5" t="n">
        <v>96</v>
      </c>
      <c r="E1980" s="73">
        <f>B1980*D1980/10000</f>
        <v/>
      </c>
      <c r="F1980" s="74">
        <f>B1980/30.48</f>
        <v/>
      </c>
      <c r="G1980" s="74">
        <f>D1980/30.48</f>
        <v/>
      </c>
      <c r="H1980" s="569" t="inlineStr">
        <is>
          <t>OLD</t>
        </is>
      </c>
      <c r="I1980" s="534" t="inlineStr">
        <is>
          <t>Erika Vandyck</t>
        </is>
      </c>
      <c r="J1980" s="545" t="n"/>
      <c r="P1980" s="280" t="n"/>
    </row>
    <row r="1981" ht="17.25" customHeight="1" s="305">
      <c r="A1981" s="8" t="inlineStr">
        <is>
          <t>D 96</t>
        </is>
      </c>
      <c r="B1981" s="5" t="n">
        <v>39</v>
      </c>
      <c r="C1981" s="72" t="inlineStr">
        <is>
          <t>X</t>
        </is>
      </c>
      <c r="D1981" s="5" t="n">
        <v>89</v>
      </c>
      <c r="E1981" s="73">
        <f>B1981*D1981/10000</f>
        <v/>
      </c>
      <c r="F1981" s="74">
        <f>B1981/30.48</f>
        <v/>
      </c>
      <c r="G1981" s="74">
        <f>D1981/30.48</f>
        <v/>
      </c>
      <c r="H1981" s="289" t="inlineStr">
        <is>
          <t>BHR</t>
        </is>
      </c>
      <c r="I1981" s="534" t="inlineStr">
        <is>
          <t>Linda Nicholson</t>
        </is>
      </c>
      <c r="J1981" s="545" t="n"/>
      <c r="P1981" s="280" t="n"/>
    </row>
    <row r="1982" ht="17.25" customHeight="1" s="305">
      <c r="A1982" s="8" t="inlineStr">
        <is>
          <t>D 176</t>
        </is>
      </c>
      <c r="B1982" s="5" t="n">
        <v>50</v>
      </c>
      <c r="C1982" s="72" t="inlineStr">
        <is>
          <t>X</t>
        </is>
      </c>
      <c r="D1982" s="5" t="n">
        <v>90</v>
      </c>
      <c r="E1982" s="73">
        <f>B1982*D1982/10000</f>
        <v/>
      </c>
      <c r="F1982" s="74">
        <f>B1982/30.48</f>
        <v/>
      </c>
      <c r="G1982" s="74">
        <f>D1982/30.48</f>
        <v/>
      </c>
      <c r="H1982" s="16" t="inlineStr">
        <is>
          <t>VR</t>
        </is>
      </c>
      <c r="I1982" s="570" t="inlineStr">
        <is>
          <t>Katelyn Strickland</t>
        </is>
      </c>
      <c r="J1982" s="557" t="n"/>
      <c r="P1982" s="280" t="n"/>
    </row>
    <row r="1983" ht="17.25" customHeight="1" s="305">
      <c r="A1983" s="8" t="inlineStr">
        <is>
          <t>D 79</t>
        </is>
      </c>
      <c r="B1983" s="5" t="n">
        <v>44</v>
      </c>
      <c r="C1983" s="72" t="inlineStr">
        <is>
          <t>X</t>
        </is>
      </c>
      <c r="D1983" s="5" t="n">
        <v>95</v>
      </c>
      <c r="E1983" s="73">
        <f>B1983*D1983/10000</f>
        <v/>
      </c>
      <c r="F1983" s="74">
        <f>B1983/30.48</f>
        <v/>
      </c>
      <c r="G1983" s="74">
        <f>D1983/30.48</f>
        <v/>
      </c>
      <c r="H1983" s="694" t="n"/>
      <c r="I1983" s="694" t="n"/>
      <c r="J1983" s="557" t="n"/>
      <c r="P1983" s="280" t="n"/>
    </row>
    <row r="1984">
      <c r="A1984" s="536" t="inlineStr">
        <is>
          <t>-2024 ARALIK-</t>
        </is>
      </c>
      <c r="H1984" s="104" t="inlineStr">
        <is>
          <t>SATAN-SİTE</t>
        </is>
      </c>
      <c r="I1984" s="98" t="inlineStr">
        <is>
          <t>MÜŞTERİ ADI</t>
        </is>
      </c>
      <c r="J1984" s="63" t="inlineStr">
        <is>
          <t>MÜŞTERİ İLETİŞİM &amp; ÜLKE</t>
        </is>
      </c>
      <c r="P1984" s="1" t="n"/>
    </row>
    <row r="1985" ht="17.25" customHeight="1" s="305">
      <c r="A1985" s="8" t="inlineStr">
        <is>
          <t>Y 724</t>
        </is>
      </c>
      <c r="B1985" s="5" t="n">
        <v>387</v>
      </c>
      <c r="C1985" s="6" t="inlineStr">
        <is>
          <t>X</t>
        </is>
      </c>
      <c r="D1985" s="5" t="n">
        <v>145</v>
      </c>
      <c r="E1985" s="2">
        <f>B1985*D1985/10000</f>
        <v/>
      </c>
      <c r="F1985" s="3">
        <f>B1985/30.48</f>
        <v/>
      </c>
      <c r="G1985" s="3">
        <f>D1985/30.48</f>
        <v/>
      </c>
      <c r="H1985" s="592" t="inlineStr">
        <is>
          <t>PAC</t>
        </is>
      </c>
      <c r="I1985" s="570" t="inlineStr">
        <is>
          <t>Melinda Bean</t>
        </is>
      </c>
      <c r="J1985" s="557" t="n"/>
      <c r="P1985" s="280" t="n"/>
    </row>
    <row r="1986" ht="17.25" customHeight="1" s="305">
      <c r="A1986" s="8" t="n">
        <v>98</v>
      </c>
      <c r="B1986" s="5" t="n">
        <v>243</v>
      </c>
      <c r="C1986" s="6" t="inlineStr">
        <is>
          <t>X</t>
        </is>
      </c>
      <c r="D1986" s="5" t="n">
        <v>150</v>
      </c>
      <c r="E1986" s="2">
        <f>B1986*D1986/10000</f>
        <v/>
      </c>
      <c r="F1986" s="3">
        <f>B1986/30.48</f>
        <v/>
      </c>
      <c r="G1986" s="3">
        <f>D1986/30.48</f>
        <v/>
      </c>
      <c r="H1986" s="592" t="inlineStr">
        <is>
          <t>PAC</t>
        </is>
      </c>
      <c r="I1986" s="570" t="inlineStr">
        <is>
          <t>Francis Hung</t>
        </is>
      </c>
      <c r="J1986" s="557" t="n"/>
      <c r="P1986" s="280" t="n"/>
    </row>
    <row r="1987" ht="17.25" customHeight="1" s="305">
      <c r="A1987" s="8" t="n">
        <v>4146</v>
      </c>
      <c r="B1987" s="5" t="n">
        <v>264</v>
      </c>
      <c r="C1987" s="72" t="inlineStr">
        <is>
          <t>X</t>
        </is>
      </c>
      <c r="D1987" s="5" t="n">
        <v>352</v>
      </c>
      <c r="E1987" s="73">
        <f>B1987*D1987/10000</f>
        <v/>
      </c>
      <c r="F1987" s="74">
        <f>B1987/30.48</f>
        <v/>
      </c>
      <c r="G1987" s="74">
        <f>D1987/30.48</f>
        <v/>
      </c>
      <c r="H1987" s="592" t="inlineStr">
        <is>
          <t>PAC</t>
        </is>
      </c>
      <c r="I1987" s="570" t="inlineStr">
        <is>
          <t>Kate Wood</t>
        </is>
      </c>
      <c r="J1987" s="557" t="n"/>
      <c r="P1987" s="280" t="n"/>
    </row>
    <row r="1988" ht="17.25" customHeight="1" s="305">
      <c r="A1988" s="8" t="n">
        <v>2477</v>
      </c>
      <c r="B1988" s="5" t="n">
        <v>88</v>
      </c>
      <c r="C1988" s="72" t="inlineStr">
        <is>
          <t>X</t>
        </is>
      </c>
      <c r="D1988" s="5" t="n">
        <v>440</v>
      </c>
      <c r="E1988" s="73">
        <f>B1988*D1988/10000</f>
        <v/>
      </c>
      <c r="F1988" s="74">
        <f>B1988/30.48</f>
        <v/>
      </c>
      <c r="G1988" s="74">
        <f>D1988/30.48</f>
        <v/>
      </c>
      <c r="H1988" s="272" t="inlineStr">
        <is>
          <t>WTR</t>
        </is>
      </c>
      <c r="I1988" s="570" t="inlineStr">
        <is>
          <t>lynnraisman</t>
        </is>
      </c>
      <c r="J1988" s="557" t="n"/>
      <c r="P1988" s="280" t="n"/>
    </row>
    <row r="1989" ht="17.25" customHeight="1" s="305">
      <c r="A1989" s="8" t="inlineStr">
        <is>
          <t>D 369</t>
        </is>
      </c>
      <c r="B1989" s="5" t="n">
        <v>48</v>
      </c>
      <c r="C1989" s="72" t="inlineStr">
        <is>
          <t>X</t>
        </is>
      </c>
      <c r="D1989" s="5" t="n">
        <v>108</v>
      </c>
      <c r="E1989" s="73">
        <f>B1989*D1989/10000</f>
        <v/>
      </c>
      <c r="F1989" s="74">
        <f>B1989/30.48</f>
        <v/>
      </c>
      <c r="G1989" s="74">
        <f>D1989/30.48</f>
        <v/>
      </c>
      <c r="H1989" s="290" t="inlineStr">
        <is>
          <t>WTR</t>
        </is>
      </c>
      <c r="I1989" s="616" t="inlineStr">
        <is>
          <t>Michelle Pimm</t>
        </is>
      </c>
      <c r="J1989" s="545" t="n"/>
      <c r="P1989" s="280" t="n"/>
    </row>
    <row r="1990" ht="17.25" customHeight="1" s="305">
      <c r="A1990" s="8" t="n">
        <v>1185</v>
      </c>
      <c r="B1990" s="5" t="n">
        <v>234</v>
      </c>
      <c r="C1990" s="72" t="inlineStr">
        <is>
          <t>X</t>
        </is>
      </c>
      <c r="D1990" s="5" t="n">
        <v>331</v>
      </c>
      <c r="E1990" s="73">
        <f>B1990*D1990/10000</f>
        <v/>
      </c>
      <c r="F1990" s="74">
        <f>B1990/30.48</f>
        <v/>
      </c>
      <c r="G1990" s="74">
        <f>D1990/30.48</f>
        <v/>
      </c>
      <c r="H1990" s="592" t="inlineStr">
        <is>
          <t>PAC</t>
        </is>
      </c>
      <c r="I1990" s="570" t="inlineStr">
        <is>
          <t>Charles E Vaden c/o The UPS Store</t>
        </is>
      </c>
      <c r="J1990" s="557" t="n"/>
      <c r="P1990" s="280" t="n"/>
    </row>
    <row r="1991" ht="17.25" customHeight="1" s="305">
      <c r="A1991" s="8" t="n">
        <v>2540</v>
      </c>
      <c r="B1991" s="5" t="n">
        <v>78</v>
      </c>
      <c r="C1991" s="72" t="inlineStr">
        <is>
          <t>X</t>
        </is>
      </c>
      <c r="D1991" s="5" t="n">
        <v>322</v>
      </c>
      <c r="E1991" s="73">
        <f>B1991*D1991/10000</f>
        <v/>
      </c>
      <c r="F1991" s="74">
        <f>B1991/30.48</f>
        <v/>
      </c>
      <c r="G1991" s="74">
        <f>D1991/30.48</f>
        <v/>
      </c>
      <c r="H1991" s="69" t="inlineStr">
        <is>
          <t>RK</t>
        </is>
      </c>
      <c r="I1991" s="534" t="inlineStr">
        <is>
          <t>Morgan Metzger</t>
        </is>
      </c>
      <c r="J1991" s="545" t="n"/>
      <c r="P1991" s="280" t="n"/>
    </row>
    <row r="1992" ht="17.25" customHeight="1" s="305">
      <c r="A1992" s="8" t="inlineStr">
        <is>
          <t>H 17</t>
        </is>
      </c>
      <c r="B1992" s="5" t="n">
        <v>88</v>
      </c>
      <c r="C1992" s="72" t="inlineStr">
        <is>
          <t>X</t>
        </is>
      </c>
      <c r="D1992" s="5" t="n">
        <v>300</v>
      </c>
      <c r="E1992" s="73">
        <f>B1992*D1992/10000</f>
        <v/>
      </c>
      <c r="F1992" s="74">
        <f>B1992/30.48</f>
        <v/>
      </c>
      <c r="G1992" s="74">
        <f>D1992/30.48</f>
        <v/>
      </c>
      <c r="H1992" s="272" t="inlineStr">
        <is>
          <t>WTR</t>
        </is>
      </c>
      <c r="I1992" s="570" t="inlineStr">
        <is>
          <t>Pat Brady</t>
        </is>
      </c>
      <c r="J1992" s="557" t="n"/>
      <c r="P1992" s="280" t="n"/>
    </row>
    <row r="1993" ht="17.25" customHeight="1" s="305">
      <c r="A1993" s="8" t="n">
        <v>3201</v>
      </c>
      <c r="B1993" s="5" t="n">
        <v>89</v>
      </c>
      <c r="C1993" s="72" t="inlineStr">
        <is>
          <t>X</t>
        </is>
      </c>
      <c r="D1993" s="5" t="n">
        <v>338</v>
      </c>
      <c r="E1993" s="73">
        <f>B1993*D1993/10000</f>
        <v/>
      </c>
      <c r="F1993" s="74">
        <f>B1993/30.48</f>
        <v/>
      </c>
      <c r="G1993" s="74">
        <f>D1993/30.48</f>
        <v/>
      </c>
      <c r="H1993" s="592" t="inlineStr">
        <is>
          <t>PAC</t>
        </is>
      </c>
      <c r="I1993" s="570" t="inlineStr">
        <is>
          <t>Steph Musur</t>
        </is>
      </c>
      <c r="J1993" s="557" t="n"/>
      <c r="P1993" s="280" t="n"/>
    </row>
    <row r="1994" ht="17.25" customHeight="1" s="305">
      <c r="A1994" s="8" t="n">
        <v>1898</v>
      </c>
      <c r="B1994" s="5" t="n">
        <v>76</v>
      </c>
      <c r="C1994" s="72" t="inlineStr">
        <is>
          <t>X</t>
        </is>
      </c>
      <c r="D1994" s="5" t="n">
        <v>382</v>
      </c>
      <c r="E1994" s="73">
        <f>B1994*D1994/10000</f>
        <v/>
      </c>
      <c r="F1994" s="74">
        <f>B1994/30.48</f>
        <v/>
      </c>
      <c r="G1994" s="74">
        <f>D1994/30.48</f>
        <v/>
      </c>
      <c r="H1994" s="569" t="inlineStr">
        <is>
          <t>OLD</t>
        </is>
      </c>
      <c r="I1994" s="570" t="inlineStr">
        <is>
          <t>Emma Rider</t>
        </is>
      </c>
      <c r="J1994" s="557" t="n"/>
      <c r="P1994" s="280" t="n"/>
    </row>
    <row r="1995" ht="17.25" customHeight="1" s="305">
      <c r="A1995" s="8" t="n">
        <v>1587</v>
      </c>
      <c r="B1995" s="5" t="n">
        <v>211</v>
      </c>
      <c r="C1995" s="72" t="inlineStr">
        <is>
          <t>X</t>
        </is>
      </c>
      <c r="D1995" s="5" t="n">
        <v>138</v>
      </c>
      <c r="E1995" s="73">
        <f>B1995*D1995/10000</f>
        <v/>
      </c>
      <c r="F1995" s="74">
        <f>B1995/30.48</f>
        <v/>
      </c>
      <c r="G1995" s="74">
        <f>D1995/30.48</f>
        <v/>
      </c>
      <c r="H1995" s="569" t="inlineStr">
        <is>
          <t>OLD</t>
        </is>
      </c>
      <c r="I1995" s="570" t="inlineStr">
        <is>
          <t>Martha Wright</t>
        </is>
      </c>
      <c r="J1995" s="557" t="n"/>
      <c r="P1995" s="280" t="n"/>
    </row>
    <row r="1996" ht="17.25" customHeight="1" s="305">
      <c r="A1996" s="8" t="n">
        <v>2516</v>
      </c>
      <c r="B1996" s="5" t="n">
        <v>110</v>
      </c>
      <c r="C1996" s="72" t="inlineStr">
        <is>
          <t>X</t>
        </is>
      </c>
      <c r="D1996" s="5" t="n">
        <v>313</v>
      </c>
      <c r="E1996" s="73">
        <f>B1996*D1996/10000</f>
        <v/>
      </c>
      <c r="F1996" s="74">
        <f>B1996/30.48</f>
        <v/>
      </c>
      <c r="G1996" s="74">
        <f>D1996/30.48</f>
        <v/>
      </c>
      <c r="H1996" s="69" t="inlineStr">
        <is>
          <t>RK</t>
        </is>
      </c>
      <c r="I1996" s="534" t="inlineStr">
        <is>
          <t>Paula Wood</t>
        </is>
      </c>
      <c r="J1996" s="545" t="n"/>
      <c r="P1996" s="280" t="n"/>
    </row>
    <row r="1997" ht="17.25" customHeight="1" s="305">
      <c r="A1997" s="8" t="n">
        <v>2111</v>
      </c>
      <c r="B1997" s="5" t="n">
        <v>127</v>
      </c>
      <c r="C1997" s="72" t="inlineStr">
        <is>
          <t>X</t>
        </is>
      </c>
      <c r="D1997" s="5" t="n">
        <v>224</v>
      </c>
      <c r="E1997" s="73">
        <f>B1997*D1997/10000</f>
        <v/>
      </c>
      <c r="F1997" s="74">
        <f>B1997/30.48</f>
        <v/>
      </c>
      <c r="G1997" s="74">
        <f>D1997/30.48</f>
        <v/>
      </c>
      <c r="H1997" s="69" t="inlineStr">
        <is>
          <t>RK</t>
        </is>
      </c>
      <c r="I1997" s="534" t="inlineStr">
        <is>
          <t>Claire Wild</t>
        </is>
      </c>
      <c r="J1997" s="545" t="n"/>
      <c r="P1997" s="280" t="n"/>
    </row>
    <row r="1998" ht="17.25" customHeight="1" s="305">
      <c r="A1998" s="8" t="inlineStr">
        <is>
          <t>D 8</t>
        </is>
      </c>
      <c r="B1998" s="5" t="n">
        <v>53</v>
      </c>
      <c r="C1998" s="72" t="inlineStr">
        <is>
          <t>X</t>
        </is>
      </c>
      <c r="D1998" s="5" t="n">
        <v>88</v>
      </c>
      <c r="E1998" s="73">
        <f>B1998*D1998/10000</f>
        <v/>
      </c>
      <c r="F1998" s="74">
        <f>B1998/30.48</f>
        <v/>
      </c>
      <c r="G1998" s="74">
        <f>D1998/30.48</f>
        <v/>
      </c>
      <c r="H1998" s="69" t="inlineStr">
        <is>
          <t>RK</t>
        </is>
      </c>
      <c r="I1998" s="570" t="inlineStr">
        <is>
          <t>Lily Verdone</t>
        </is>
      </c>
      <c r="J1998" s="557" t="n"/>
      <c r="P1998" s="280" t="n"/>
    </row>
    <row r="1999" ht="17.25" customHeight="1" s="305">
      <c r="A1999" s="8" t="n">
        <v>2277</v>
      </c>
      <c r="B1999" s="5" t="n">
        <v>111</v>
      </c>
      <c r="C1999" s="72" t="inlineStr">
        <is>
          <t>X</t>
        </is>
      </c>
      <c r="D1999" s="5" t="n">
        <v>184</v>
      </c>
      <c r="E1999" s="73">
        <f>B1999*D1999/10000</f>
        <v/>
      </c>
      <c r="F1999" s="74">
        <f>B1999/30.48</f>
        <v/>
      </c>
      <c r="G1999" s="74">
        <f>D1999/30.48</f>
        <v/>
      </c>
      <c r="H1999" s="292" t="inlineStr">
        <is>
          <t>LMX</t>
        </is>
      </c>
      <c r="I1999" s="570" t="inlineStr">
        <is>
          <t>Ashley Weaver</t>
        </is>
      </c>
      <c r="J1999" s="557" t="n"/>
      <c r="P1999" s="280" t="n"/>
    </row>
    <row r="2000" ht="17.25" customHeight="1" s="305">
      <c r="A2000" s="8" t="n">
        <v>2531</v>
      </c>
      <c r="B2000" s="5" t="n">
        <v>99</v>
      </c>
      <c r="C2000" s="72" t="inlineStr">
        <is>
          <t>X</t>
        </is>
      </c>
      <c r="D2000" s="5" t="n">
        <v>283</v>
      </c>
      <c r="E2000" s="73">
        <f>B2000*D2000/10000</f>
        <v/>
      </c>
      <c r="F2000" s="74">
        <f>B2000/30.48</f>
        <v/>
      </c>
      <c r="G2000" s="74">
        <f>D2000/30.48</f>
        <v/>
      </c>
      <c r="H2000" s="69" t="inlineStr">
        <is>
          <t>RK</t>
        </is>
      </c>
      <c r="I2000" s="570" t="inlineStr">
        <is>
          <t>James Smith</t>
        </is>
      </c>
      <c r="J2000" s="557" t="n"/>
      <c r="P2000" s="280" t="n"/>
    </row>
    <row r="2001" ht="17.25" customHeight="1" s="305">
      <c r="A2001" s="8" t="n">
        <v>2220</v>
      </c>
      <c r="B2001" s="5" t="n">
        <v>91</v>
      </c>
      <c r="C2001" s="72" t="inlineStr">
        <is>
          <t>X</t>
        </is>
      </c>
      <c r="D2001" s="5" t="n">
        <v>393</v>
      </c>
      <c r="E2001" s="73">
        <f>B2001*D2001/10000</f>
        <v/>
      </c>
      <c r="F2001" s="74">
        <f>B2001/30.48</f>
        <v/>
      </c>
      <c r="G2001" s="74">
        <f>D2001/30.48</f>
        <v/>
      </c>
      <c r="H2001" s="69" t="inlineStr">
        <is>
          <t>MCHD-TR</t>
        </is>
      </c>
      <c r="I2001" s="545" t="n"/>
      <c r="J2001" s="545" t="n"/>
      <c r="P2001" s="280" t="n"/>
    </row>
    <row r="2002" ht="17.25" customHeight="1" s="305">
      <c r="A2002" s="8" t="inlineStr">
        <is>
          <t>D 344</t>
        </is>
      </c>
      <c r="B2002" s="5" t="n">
        <v>49</v>
      </c>
      <c r="C2002" s="72" t="inlineStr">
        <is>
          <t>X</t>
        </is>
      </c>
      <c r="D2002" s="5" t="n">
        <v>92</v>
      </c>
      <c r="E2002" s="73">
        <f>B2002*D2002/10000</f>
        <v/>
      </c>
      <c r="F2002" s="74">
        <f>B2002/30.48</f>
        <v/>
      </c>
      <c r="G2002" s="74">
        <f>D2002/30.48</f>
        <v/>
      </c>
      <c r="H2002" s="272" t="inlineStr">
        <is>
          <t>WTR</t>
        </is>
      </c>
      <c r="I2002" s="570" t="inlineStr">
        <is>
          <t>Kyle Taylor</t>
        </is>
      </c>
      <c r="J2002" s="557" t="n"/>
      <c r="P2002" s="280" t="n"/>
    </row>
    <row r="2003" ht="17.25" customHeight="1" s="305">
      <c r="A2003" s="8" t="n">
        <v>3092</v>
      </c>
      <c r="B2003" s="5" t="n">
        <v>61</v>
      </c>
      <c r="C2003" s="72" t="inlineStr">
        <is>
          <t>X</t>
        </is>
      </c>
      <c r="D2003" s="5" t="n">
        <v>143</v>
      </c>
      <c r="E2003" s="73">
        <f>B2003*D2003/10000</f>
        <v/>
      </c>
      <c r="F2003" s="74">
        <f>B2003/30.48</f>
        <v/>
      </c>
      <c r="G2003" s="74">
        <f>D2003/30.48</f>
        <v/>
      </c>
      <c r="H2003" s="272" t="inlineStr">
        <is>
          <t>WTR</t>
        </is>
      </c>
      <c r="I2003" s="570" t="inlineStr">
        <is>
          <t>MOLLY MORRISSEY</t>
        </is>
      </c>
      <c r="J2003" s="557" t="n"/>
      <c r="P2003" s="280" t="n"/>
    </row>
    <row r="2004" ht="17.25" customHeight="1" s="305">
      <c r="A2004" s="8" t="n">
        <v>2502</v>
      </c>
      <c r="B2004" s="5" t="n">
        <v>84</v>
      </c>
      <c r="C2004" s="72" t="inlineStr">
        <is>
          <t>X</t>
        </is>
      </c>
      <c r="D2004" s="5" t="n">
        <v>363</v>
      </c>
      <c r="E2004" s="73">
        <f>B2004*D2004/10000</f>
        <v/>
      </c>
      <c r="F2004" s="74">
        <f>B2004/30.48</f>
        <v/>
      </c>
      <c r="G2004" s="74">
        <f>D2004/30.48</f>
        <v/>
      </c>
      <c r="H2004" s="272" t="inlineStr">
        <is>
          <t>WTR</t>
        </is>
      </c>
      <c r="I2004" s="570" t="inlineStr">
        <is>
          <t>Niki Hollingsworth</t>
        </is>
      </c>
      <c r="J2004" s="557" t="n"/>
      <c r="P2004" s="280" t="n"/>
    </row>
    <row r="2005" ht="17.25" customHeight="1" s="305">
      <c r="A2005" s="8" t="n">
        <v>2024</v>
      </c>
      <c r="B2005" s="5" t="n">
        <v>75</v>
      </c>
      <c r="C2005" s="72" t="inlineStr">
        <is>
          <t>X</t>
        </is>
      </c>
      <c r="D2005" s="5" t="n">
        <v>288</v>
      </c>
      <c r="E2005" s="73">
        <f>B2005*D2005/10000</f>
        <v/>
      </c>
      <c r="F2005" s="74">
        <f>B2005/30.48</f>
        <v/>
      </c>
      <c r="G2005" s="74">
        <f>D2005/30.48</f>
        <v/>
      </c>
      <c r="H2005" s="16" t="inlineStr">
        <is>
          <t>VR</t>
        </is>
      </c>
      <c r="I2005" s="570" t="inlineStr">
        <is>
          <t>Kirsten Schipper</t>
        </is>
      </c>
      <c r="J2005" s="557" t="n"/>
      <c r="P2005" s="280" t="n"/>
    </row>
    <row r="2006" ht="17.25" customHeight="1" s="305">
      <c r="A2006" s="8" t="n">
        <v>2122</v>
      </c>
      <c r="B2006" s="5" t="n">
        <v>159</v>
      </c>
      <c r="C2006" s="72" t="inlineStr">
        <is>
          <t>X</t>
        </is>
      </c>
      <c r="D2006" s="5" t="n">
        <v>229</v>
      </c>
      <c r="E2006" s="73">
        <f>B2006*D2006/10000</f>
        <v/>
      </c>
      <c r="F2006" s="74">
        <f>B2006/30.48</f>
        <v/>
      </c>
      <c r="G2006" s="74">
        <f>D2006/30.48</f>
        <v/>
      </c>
      <c r="H2006" s="69" t="inlineStr">
        <is>
          <t>MCHD-TR</t>
        </is>
      </c>
      <c r="I2006" s="557" t="n"/>
      <c r="J2006" s="557" t="n"/>
      <c r="P2006" s="280" t="n"/>
    </row>
    <row r="2007" ht="17.25" customHeight="1" s="305">
      <c r="A2007" s="8" t="n">
        <v>1889</v>
      </c>
      <c r="B2007" s="5" t="n">
        <v>160</v>
      </c>
      <c r="C2007" s="72" t="inlineStr">
        <is>
          <t>X</t>
        </is>
      </c>
      <c r="D2007" s="5" t="n">
        <v>324</v>
      </c>
      <c r="E2007" s="73">
        <f>B2007*D2007/10000</f>
        <v/>
      </c>
      <c r="F2007" s="74">
        <f>B2007/30.48</f>
        <v/>
      </c>
      <c r="G2007" s="74">
        <f>D2007/30.48</f>
        <v/>
      </c>
      <c r="H2007" s="69" t="inlineStr">
        <is>
          <t>RK</t>
        </is>
      </c>
      <c r="I2007" s="570" t="inlineStr">
        <is>
          <t>Kate Hartfiel</t>
        </is>
      </c>
      <c r="J2007" s="557" t="n"/>
      <c r="P2007" s="280" t="n"/>
    </row>
    <row r="2008" ht="17.25" customHeight="1" s="305">
      <c r="A2008" s="8" t="n">
        <v>1964</v>
      </c>
      <c r="B2008" s="5" t="n">
        <v>158</v>
      </c>
      <c r="C2008" s="72" t="inlineStr">
        <is>
          <t>X</t>
        </is>
      </c>
      <c r="D2008" s="5" t="n">
        <v>257</v>
      </c>
      <c r="E2008" s="73">
        <f>B2008*D2008/10000</f>
        <v/>
      </c>
      <c r="F2008" s="74">
        <f>B2008/30.48</f>
        <v/>
      </c>
      <c r="G2008" s="74">
        <f>D2008/30.48</f>
        <v/>
      </c>
      <c r="H2008" s="69" t="inlineStr">
        <is>
          <t>RK</t>
        </is>
      </c>
      <c r="I2008" s="570" t="inlineStr">
        <is>
          <t>Laura Genung</t>
        </is>
      </c>
      <c r="J2008" s="557" t="n"/>
      <c r="P2008" s="280" t="n"/>
    </row>
    <row r="2009" ht="17.25" customHeight="1" s="305">
      <c r="A2009" s="8" t="n">
        <v>1843</v>
      </c>
      <c r="B2009" s="5" t="n">
        <v>73</v>
      </c>
      <c r="C2009" s="72" t="inlineStr">
        <is>
          <t>X</t>
        </is>
      </c>
      <c r="D2009" s="5" t="n">
        <v>272</v>
      </c>
      <c r="E2009" s="73">
        <f>B2009*D2009/10000</f>
        <v/>
      </c>
      <c r="F2009" s="74">
        <f>B2009/30.48</f>
        <v/>
      </c>
      <c r="G2009" s="74">
        <f>D2009/30.48</f>
        <v/>
      </c>
      <c r="H2009" s="66" t="inlineStr">
        <is>
          <t>RK</t>
        </is>
      </c>
      <c r="I2009" s="534" t="inlineStr">
        <is>
          <t>Tristen Haines</t>
        </is>
      </c>
      <c r="J2009" s="557" t="n"/>
      <c r="P2009" s="280" t="n"/>
    </row>
    <row r="2010" ht="17.25" customHeight="1" s="305">
      <c r="A2010" s="8" t="n">
        <v>2539</v>
      </c>
      <c r="B2010" s="5" t="n">
        <v>89</v>
      </c>
      <c r="C2010" s="72" t="inlineStr">
        <is>
          <t>X</t>
        </is>
      </c>
      <c r="D2010" s="5" t="n">
        <v>251</v>
      </c>
      <c r="E2010" s="73">
        <f>B2010*D2010/10000</f>
        <v/>
      </c>
      <c r="F2010" s="74">
        <f>B2010/30.48</f>
        <v/>
      </c>
      <c r="G2010" s="74">
        <f>D2010/30.48</f>
        <v/>
      </c>
      <c r="H2010" s="694" t="n"/>
      <c r="I2010" s="693" t="n"/>
      <c r="J2010" s="545" t="n"/>
      <c r="P2010" s="280" t="n"/>
    </row>
    <row r="2011" ht="17.25" customHeight="1" s="305">
      <c r="A2011" s="8" t="n">
        <v>2112</v>
      </c>
      <c r="B2011" s="5" t="n">
        <v>62</v>
      </c>
      <c r="C2011" s="72" t="inlineStr">
        <is>
          <t>X</t>
        </is>
      </c>
      <c r="D2011" s="5" t="n">
        <v>123</v>
      </c>
      <c r="E2011" s="73">
        <f>B2011*D2011/10000</f>
        <v/>
      </c>
      <c r="F2011" s="74">
        <f>B2011/30.48</f>
        <v/>
      </c>
      <c r="G2011" s="74">
        <f>D2011/30.48</f>
        <v/>
      </c>
      <c r="H2011" s="69" t="inlineStr">
        <is>
          <t>MCHD-TR</t>
        </is>
      </c>
      <c r="I2011" s="557" t="n"/>
      <c r="J2011" s="557" t="n"/>
      <c r="P2011" s="280" t="n"/>
    </row>
    <row r="2012" ht="17.25" customHeight="1" s="305">
      <c r="A2012" s="8" t="n">
        <v>2994</v>
      </c>
      <c r="B2012" s="5" t="n">
        <v>82</v>
      </c>
      <c r="C2012" s="72" t="inlineStr">
        <is>
          <t>X</t>
        </is>
      </c>
      <c r="D2012" s="5" t="n">
        <v>132</v>
      </c>
      <c r="E2012" s="73">
        <f>B2012*D2012/10000</f>
        <v/>
      </c>
      <c r="F2012" s="74">
        <f>B2012/30.48</f>
        <v/>
      </c>
      <c r="G2012" s="74">
        <f>D2012/30.48</f>
        <v/>
      </c>
      <c r="H2012" s="272" t="inlineStr">
        <is>
          <t>WTR</t>
        </is>
      </c>
      <c r="I2012" s="534" t="inlineStr">
        <is>
          <t>joelle mayer</t>
        </is>
      </c>
      <c r="J2012" s="545" t="n"/>
      <c r="P2012" s="280" t="n"/>
    </row>
    <row r="2013" ht="17.25" customHeight="1" s="305">
      <c r="A2013" s="8" t="n">
        <v>1400</v>
      </c>
      <c r="B2013" s="5" t="n">
        <v>93</v>
      </c>
      <c r="C2013" s="72" t="inlineStr">
        <is>
          <t>X</t>
        </is>
      </c>
      <c r="D2013" s="5" t="n">
        <v>310</v>
      </c>
      <c r="E2013" s="73">
        <f>B2013*D2013/10000</f>
        <v/>
      </c>
      <c r="F2013" s="74">
        <f>B2013/30.48</f>
        <v/>
      </c>
      <c r="G2013" s="74">
        <f>D2013/30.48</f>
        <v/>
      </c>
      <c r="H2013" s="592" t="inlineStr">
        <is>
          <t>PAC</t>
        </is>
      </c>
      <c r="I2013" s="534" t="inlineStr">
        <is>
          <t>Andrea Pfister</t>
        </is>
      </c>
      <c r="J2013" s="545" t="n"/>
      <c r="P2013" s="280" t="n"/>
    </row>
    <row r="2014" ht="17.25" customHeight="1" s="305">
      <c r="A2014" s="8" t="n">
        <v>2390</v>
      </c>
      <c r="B2014" s="5" t="n">
        <v>122</v>
      </c>
      <c r="C2014" s="72" t="inlineStr">
        <is>
          <t>X</t>
        </is>
      </c>
      <c r="D2014" s="5" t="n">
        <v>285</v>
      </c>
      <c r="E2014" s="73">
        <f>B2014*D2014/10000</f>
        <v/>
      </c>
      <c r="F2014" s="74">
        <f>B2014/30.48</f>
        <v/>
      </c>
      <c r="G2014" s="74">
        <f>D2014/30.48</f>
        <v/>
      </c>
      <c r="H2014" s="272" t="inlineStr">
        <is>
          <t>WTR</t>
        </is>
      </c>
      <c r="I2014" s="570" t="inlineStr">
        <is>
          <t>Kathleen Martin</t>
        </is>
      </c>
      <c r="J2014" s="557" t="n"/>
      <c r="P2014" s="280" t="n"/>
    </row>
    <row r="2015" ht="17.25" customHeight="1" s="305">
      <c r="A2015" s="8" t="n">
        <v>2542</v>
      </c>
      <c r="B2015" s="5" t="n">
        <v>80</v>
      </c>
      <c r="C2015" s="72" t="inlineStr">
        <is>
          <t>X</t>
        </is>
      </c>
      <c r="D2015" s="5" t="n">
        <v>258</v>
      </c>
      <c r="E2015" s="73">
        <f>B2015*D2015/10000</f>
        <v/>
      </c>
      <c r="F2015" s="74">
        <f>B2015/30.48</f>
        <v/>
      </c>
      <c r="G2015" s="74">
        <f>D2015/30.48</f>
        <v/>
      </c>
      <c r="H2015" s="69" t="inlineStr">
        <is>
          <t>RK</t>
        </is>
      </c>
      <c r="I2015" s="570" t="inlineStr">
        <is>
          <t>Nikki Meier</t>
        </is>
      </c>
      <c r="J2015" s="557" t="n"/>
      <c r="P2015" s="280" t="n"/>
    </row>
    <row r="2016" ht="17.25" customHeight="1" s="305">
      <c r="A2016" s="8" t="n">
        <v>2548</v>
      </c>
      <c r="B2016" s="5" t="n">
        <v>92</v>
      </c>
      <c r="C2016" s="72" t="inlineStr">
        <is>
          <t>X</t>
        </is>
      </c>
      <c r="D2016" s="5" t="n">
        <v>160</v>
      </c>
      <c r="E2016" s="73">
        <f>B2016*D2016/10000</f>
        <v/>
      </c>
      <c r="F2016" s="74">
        <f>B2016/30.48</f>
        <v/>
      </c>
      <c r="G2016" s="74">
        <f>D2016/30.48</f>
        <v/>
      </c>
      <c r="H2016" s="69" t="inlineStr">
        <is>
          <t>RK</t>
        </is>
      </c>
      <c r="I2016" s="570" t="inlineStr">
        <is>
          <t>Brooke Burton</t>
        </is>
      </c>
      <c r="J2016" s="557" t="n"/>
      <c r="P2016" s="280" t="n"/>
    </row>
    <row r="2017" ht="17.25" customHeight="1" s="305">
      <c r="A2017" s="8" t="n">
        <v>3411</v>
      </c>
      <c r="B2017" s="5" t="n">
        <v>78</v>
      </c>
      <c r="C2017" s="72" t="inlineStr">
        <is>
          <t>X</t>
        </is>
      </c>
      <c r="D2017" s="5" t="n">
        <v>421</v>
      </c>
      <c r="E2017" s="73">
        <f>B2017*D2017/10000</f>
        <v/>
      </c>
      <c r="F2017" s="74">
        <f>B2017/30.48</f>
        <v/>
      </c>
      <c r="G2017" s="74">
        <f>D2017/30.48</f>
        <v/>
      </c>
      <c r="H2017" s="69" t="inlineStr">
        <is>
          <t>MCHD-TR</t>
        </is>
      </c>
      <c r="I2017" s="545" t="n"/>
      <c r="J2017" s="545" t="n"/>
      <c r="P2017" s="280" t="n"/>
    </row>
    <row r="2018" ht="17.25" customHeight="1" s="305">
      <c r="A2018" s="8" t="n">
        <v>1634</v>
      </c>
      <c r="B2018" s="5" t="n">
        <v>293</v>
      </c>
      <c r="C2018" s="72" t="inlineStr">
        <is>
          <t>X</t>
        </is>
      </c>
      <c r="D2018" s="5" t="n">
        <v>75</v>
      </c>
      <c r="E2018" s="73">
        <f>B2018*D2018/10000</f>
        <v/>
      </c>
      <c r="F2018" s="74">
        <f>B2018/30.48</f>
        <v/>
      </c>
      <c r="G2018" s="74">
        <f>D2018/30.48</f>
        <v/>
      </c>
      <c r="H2018" s="69" t="inlineStr">
        <is>
          <t>MCHD-TR</t>
        </is>
      </c>
      <c r="I2018" s="545" t="n"/>
      <c r="J2018" s="545" t="n"/>
      <c r="P2018" s="280" t="n"/>
    </row>
    <row r="2019" ht="17.25" customHeight="1" s="305">
      <c r="A2019" s="8" t="inlineStr">
        <is>
          <t>D 65</t>
        </is>
      </c>
      <c r="B2019" s="5" t="n">
        <v>54</v>
      </c>
      <c r="C2019" s="72" t="inlineStr">
        <is>
          <t>X</t>
        </is>
      </c>
      <c r="D2019" s="5" t="n">
        <v>80</v>
      </c>
      <c r="E2019" s="73">
        <f>B2019*D2019/10000</f>
        <v/>
      </c>
      <c r="F2019" s="74">
        <f>B2019/30.48</f>
        <v/>
      </c>
      <c r="G2019" s="74">
        <f>D2019/30.48</f>
        <v/>
      </c>
      <c r="H2019" s="569" t="inlineStr">
        <is>
          <t>OLD</t>
        </is>
      </c>
      <c r="I2019" s="570" t="inlineStr">
        <is>
          <t>Katherine Gatward</t>
        </is>
      </c>
      <c r="J2019" s="557" t="n"/>
      <c r="P2019" s="280" t="n"/>
    </row>
    <row r="2020" ht="17.25" customHeight="1" s="305">
      <c r="A2020" s="8" t="n">
        <v>3194</v>
      </c>
      <c r="B2020" s="5" t="n">
        <v>116</v>
      </c>
      <c r="C2020" s="72" t="inlineStr">
        <is>
          <t>X</t>
        </is>
      </c>
      <c r="D2020" s="5" t="n">
        <v>194</v>
      </c>
      <c r="E2020" s="73">
        <f>B2020*D2020/10000</f>
        <v/>
      </c>
      <c r="F2020" s="74">
        <f>B2020/30.48</f>
        <v/>
      </c>
      <c r="G2020" s="74">
        <f>D2020/30.48</f>
        <v/>
      </c>
      <c r="H2020" s="272" t="inlineStr">
        <is>
          <t>WTR</t>
        </is>
      </c>
      <c r="I2020" s="534" t="inlineStr">
        <is>
          <t>Kathryn Mueller</t>
        </is>
      </c>
      <c r="J2020" s="545" t="n"/>
      <c r="P2020" s="280" t="n"/>
    </row>
    <row r="2021" ht="17.25" customHeight="1" s="305">
      <c r="A2021" s="8" t="inlineStr">
        <is>
          <t>D 26</t>
        </is>
      </c>
      <c r="B2021" s="5" t="n">
        <v>51</v>
      </c>
      <c r="C2021" s="72" t="inlineStr">
        <is>
          <t>X</t>
        </is>
      </c>
      <c r="D2021" s="5" t="n">
        <v>90</v>
      </c>
      <c r="E2021" s="73">
        <f>B2021*D2021/10000</f>
        <v/>
      </c>
      <c r="F2021" s="74">
        <f>B2021/30.48</f>
        <v/>
      </c>
      <c r="G2021" s="74">
        <f>D2021/30.48</f>
        <v/>
      </c>
      <c r="H2021" s="16" t="inlineStr">
        <is>
          <t>VR</t>
        </is>
      </c>
      <c r="I2021" s="534" t="inlineStr">
        <is>
          <t>margaret wright</t>
        </is>
      </c>
      <c r="J2021" s="545" t="n"/>
    </row>
    <row r="2022" ht="17.25" customHeight="1" s="305">
      <c r="A2022" s="8" t="inlineStr">
        <is>
          <t>C 526</t>
        </is>
      </c>
      <c r="B2022" s="5" t="n">
        <v>74</v>
      </c>
      <c r="C2022" s="6" t="inlineStr">
        <is>
          <t>X</t>
        </is>
      </c>
      <c r="D2022" s="5" t="n">
        <v>267</v>
      </c>
      <c r="E2022" s="2">
        <f>B2022*D2022/10000</f>
        <v/>
      </c>
      <c r="F2022" s="3">
        <f>B2022/30.48</f>
        <v/>
      </c>
      <c r="G2022" s="3">
        <f>D2022/30.48</f>
        <v/>
      </c>
      <c r="H2022" s="569" t="inlineStr">
        <is>
          <t>OLD</t>
        </is>
      </c>
      <c r="I2022" s="570" t="inlineStr">
        <is>
          <t>Brianna Owens</t>
        </is>
      </c>
      <c r="J2022" s="557" t="n"/>
    </row>
    <row r="2023" ht="17.25" customHeight="1" s="305">
      <c r="A2023" s="8" t="n">
        <v>2207</v>
      </c>
      <c r="B2023" s="5" t="n">
        <v>91</v>
      </c>
      <c r="C2023" s="72" t="inlineStr">
        <is>
          <t>X</t>
        </is>
      </c>
      <c r="D2023" s="5" t="n">
        <v>251</v>
      </c>
      <c r="E2023" s="73">
        <f>B2023*D2023/10000</f>
        <v/>
      </c>
      <c r="F2023" s="74">
        <f>B2023/30.48</f>
        <v/>
      </c>
      <c r="G2023" s="74">
        <f>D2023/30.48</f>
        <v/>
      </c>
      <c r="H2023" s="69" t="inlineStr">
        <is>
          <t>MCHD-TR</t>
        </is>
      </c>
      <c r="I2023" s="545" t="n"/>
      <c r="J2023" s="545" t="n"/>
    </row>
    <row r="2024" ht="17.25" customHeight="1" s="305">
      <c r="A2024" s="8" t="inlineStr">
        <is>
          <t>D 440</t>
        </is>
      </c>
      <c r="B2024" s="5" t="n">
        <v>48</v>
      </c>
      <c r="C2024" s="72" t="inlineStr">
        <is>
          <t>X</t>
        </is>
      </c>
      <c r="D2024" s="5" t="n">
        <v>108</v>
      </c>
      <c r="E2024" s="73">
        <f>B2024*D2024/10000</f>
        <v/>
      </c>
      <c r="F2024" s="74">
        <f>B2024/30.48</f>
        <v/>
      </c>
      <c r="G2024" s="74">
        <f>D2024/30.48</f>
        <v/>
      </c>
      <c r="H2024" s="69" t="inlineStr">
        <is>
          <t>MCHD-TR</t>
        </is>
      </c>
      <c r="I2024" s="557" t="n"/>
      <c r="J2024" s="557" t="n"/>
    </row>
    <row r="2025" ht="17.25" customHeight="1" s="305">
      <c r="A2025" s="8" t="n">
        <v>3030</v>
      </c>
      <c r="B2025" s="5" t="n">
        <v>133</v>
      </c>
      <c r="C2025" s="72" t="inlineStr">
        <is>
          <t>X</t>
        </is>
      </c>
      <c r="D2025" s="5" t="n">
        <v>182</v>
      </c>
      <c r="E2025" s="73">
        <f>B2025*D2025/10000</f>
        <v/>
      </c>
      <c r="F2025" s="74">
        <f>B2025/30.48</f>
        <v/>
      </c>
      <c r="G2025" s="74">
        <f>D2025/30.48</f>
        <v/>
      </c>
      <c r="H2025" s="69" t="inlineStr">
        <is>
          <t>MCHD-TR</t>
        </is>
      </c>
      <c r="I2025" s="557" t="n"/>
      <c r="J2025" s="557" t="n"/>
    </row>
    <row r="2026" ht="17.25" customHeight="1" s="305">
      <c r="A2026" s="8" t="n">
        <v>2911</v>
      </c>
      <c r="B2026" s="5" t="n">
        <v>85</v>
      </c>
      <c r="C2026" s="72" t="inlineStr">
        <is>
          <t>X</t>
        </is>
      </c>
      <c r="D2026" s="5" t="n">
        <v>282</v>
      </c>
      <c r="E2026" s="73">
        <f>B2026*D2026/10000</f>
        <v/>
      </c>
      <c r="F2026" s="74">
        <f>B2026/30.48</f>
        <v/>
      </c>
      <c r="G2026" s="74">
        <f>D2026/30.48</f>
        <v/>
      </c>
      <c r="H2026" s="272" t="inlineStr">
        <is>
          <t>WTR</t>
        </is>
      </c>
      <c r="I2026" s="570" t="inlineStr">
        <is>
          <t>adele morris</t>
        </is>
      </c>
      <c r="J2026" s="557" t="n"/>
    </row>
    <row r="2027" ht="17.25" customHeight="1" s="305">
      <c r="A2027" s="8" t="n">
        <v>4145</v>
      </c>
      <c r="B2027" s="5" t="n">
        <v>286</v>
      </c>
      <c r="C2027" s="72" t="inlineStr">
        <is>
          <t>X</t>
        </is>
      </c>
      <c r="D2027" s="5" t="n">
        <v>370</v>
      </c>
      <c r="E2027" s="73">
        <f>B2027*D2027/10000</f>
        <v/>
      </c>
      <c r="F2027" s="74">
        <f>B2027/30.48</f>
        <v/>
      </c>
      <c r="G2027" s="74">
        <f>D2027/30.48</f>
        <v/>
      </c>
      <c r="H2027" s="710" t="inlineStr">
        <is>
          <t>LMX</t>
        </is>
      </c>
      <c r="I2027" s="570" t="inlineStr">
        <is>
          <t>Ashley Weaver</t>
        </is>
      </c>
      <c r="J2027" s="557" t="n"/>
    </row>
    <row r="2028" ht="17.25" customHeight="1" s="305">
      <c r="A2028" s="8" t="n">
        <v>2134</v>
      </c>
      <c r="B2028" s="5" t="n">
        <v>221</v>
      </c>
      <c r="C2028" s="72" t="inlineStr">
        <is>
          <t>X</t>
        </is>
      </c>
      <c r="D2028" s="5" t="n">
        <v>287</v>
      </c>
      <c r="E2028" s="73">
        <f>B2028*D2028/10000</f>
        <v/>
      </c>
      <c r="F2028" s="74">
        <f>B2028/30.48</f>
        <v/>
      </c>
      <c r="G2028" s="74">
        <f>D2028/30.48</f>
        <v/>
      </c>
      <c r="H2028" s="694" t="n"/>
      <c r="I2028" s="694" t="n"/>
      <c r="J2028" s="557" t="n"/>
    </row>
    <row r="2029" ht="17.25" customHeight="1" s="305">
      <c r="A2029" s="8" t="n">
        <v>2419</v>
      </c>
      <c r="B2029" s="5" t="n">
        <v>92</v>
      </c>
      <c r="C2029" s="72" t="inlineStr">
        <is>
          <t>X</t>
        </is>
      </c>
      <c r="D2029" s="5" t="n">
        <v>295</v>
      </c>
      <c r="E2029" s="73">
        <f>B2029*D2029/10000</f>
        <v/>
      </c>
      <c r="F2029" s="74">
        <f>B2029/30.48</f>
        <v/>
      </c>
      <c r="G2029" s="74">
        <f>D2029/30.48</f>
        <v/>
      </c>
      <c r="H2029" s="69" t="inlineStr">
        <is>
          <t>RK</t>
        </is>
      </c>
      <c r="I2029" s="570" t="inlineStr">
        <is>
          <t>LeeAnna Thessing</t>
        </is>
      </c>
      <c r="J2029" s="557" t="n"/>
    </row>
    <row r="2030" ht="17.25" customHeight="1" s="305">
      <c r="A2030" s="8" t="n">
        <v>2392</v>
      </c>
      <c r="B2030" s="5" t="n">
        <v>81</v>
      </c>
      <c r="C2030" s="72" t="inlineStr">
        <is>
          <t>X</t>
        </is>
      </c>
      <c r="D2030" s="5" t="n">
        <v>169</v>
      </c>
      <c r="E2030" s="73">
        <f>B2030*D2030/10000</f>
        <v/>
      </c>
      <c r="F2030" s="74">
        <f>B2030/30.48</f>
        <v/>
      </c>
      <c r="G2030" s="74">
        <f>D2030/30.48</f>
        <v/>
      </c>
      <c r="H2030" s="272" t="inlineStr">
        <is>
          <t>WTR</t>
        </is>
      </c>
      <c r="I2030" s="570" t="inlineStr">
        <is>
          <t>Jakob Kramer</t>
        </is>
      </c>
      <c r="J2030" s="557" t="n"/>
    </row>
    <row r="2031" ht="17.25" customHeight="1" s="305">
      <c r="A2031" s="8" t="n">
        <v>2434</v>
      </c>
      <c r="B2031" s="5" t="n">
        <v>87</v>
      </c>
      <c r="C2031" s="72" t="inlineStr">
        <is>
          <t>X</t>
        </is>
      </c>
      <c r="D2031" s="5" t="n">
        <v>321</v>
      </c>
      <c r="E2031" s="73">
        <f>B2031*D2031/10000</f>
        <v/>
      </c>
      <c r="F2031" s="74">
        <f>B2031/30.48</f>
        <v/>
      </c>
      <c r="G2031" s="74">
        <f>D2031/30.48</f>
        <v/>
      </c>
      <c r="H2031" s="290" t="inlineStr">
        <is>
          <t>WTR</t>
        </is>
      </c>
      <c r="I2031" s="570" t="inlineStr">
        <is>
          <t>lynnraisman</t>
        </is>
      </c>
      <c r="J2031" s="557" t="n"/>
    </row>
    <row r="2032" ht="13.5" customHeight="1" s="305">
      <c r="A2032" s="8" t="n">
        <v>2453</v>
      </c>
      <c r="B2032" s="5" t="n">
        <v>87</v>
      </c>
      <c r="C2032" s="72" t="inlineStr">
        <is>
          <t>X</t>
        </is>
      </c>
      <c r="D2032" s="5" t="n">
        <v>372</v>
      </c>
      <c r="E2032" s="73">
        <f>B2032*D2032/10000</f>
        <v/>
      </c>
      <c r="F2032" s="74">
        <f>B2032/30.48</f>
        <v/>
      </c>
      <c r="G2032" s="74">
        <f>D2032/30.48</f>
        <v/>
      </c>
      <c r="H2032" s="694" t="n"/>
      <c r="I2032" s="694" t="n"/>
      <c r="J2032" s="557" t="n"/>
    </row>
    <row r="2033" ht="17.25" customHeight="1" s="305">
      <c r="A2033" s="8" t="n">
        <v>416</v>
      </c>
      <c r="B2033" s="5" t="n">
        <v>363</v>
      </c>
      <c r="C2033" s="6" t="inlineStr">
        <is>
          <t>X</t>
        </is>
      </c>
      <c r="D2033" s="5" t="n">
        <v>248</v>
      </c>
      <c r="E2033" s="2">
        <f>B2033*D2033/10000</f>
        <v/>
      </c>
      <c r="F2033" s="3">
        <f>B2033/30.48</f>
        <v/>
      </c>
      <c r="G2033" s="3">
        <f>D2033/30.48</f>
        <v/>
      </c>
      <c r="H2033" s="289" t="inlineStr">
        <is>
          <t>BHR</t>
        </is>
      </c>
      <c r="I2033" s="570" t="inlineStr">
        <is>
          <t>Steven Burns</t>
        </is>
      </c>
      <c r="J2033" s="557" t="n"/>
    </row>
    <row r="2034" ht="17.25" customHeight="1" s="305">
      <c r="A2034" s="8" t="n">
        <v>1563</v>
      </c>
      <c r="B2034" s="5" t="n">
        <v>294</v>
      </c>
      <c r="C2034" s="72" t="inlineStr">
        <is>
          <t>X</t>
        </is>
      </c>
      <c r="D2034" s="5" t="n">
        <v>103</v>
      </c>
      <c r="E2034" s="73">
        <f>B2034*D2034/10000</f>
        <v/>
      </c>
      <c r="F2034" s="74">
        <f>B2034/30.48</f>
        <v/>
      </c>
      <c r="G2034" s="74">
        <f>D2034/30.48</f>
        <v/>
      </c>
      <c r="H2034" s="69" t="inlineStr">
        <is>
          <t>RST</t>
        </is>
      </c>
      <c r="I2034" s="570" t="inlineStr">
        <is>
          <t>Carri gardner</t>
        </is>
      </c>
      <c r="J2034" s="557" t="n"/>
    </row>
    <row r="2035" ht="17.25" customHeight="1" s="305">
      <c r="A2035" s="8" t="inlineStr">
        <is>
          <t>D 243</t>
        </is>
      </c>
      <c r="B2035" s="5" t="n">
        <v>45</v>
      </c>
      <c r="C2035" s="72" t="inlineStr">
        <is>
          <t>X</t>
        </is>
      </c>
      <c r="D2035" s="5" t="n">
        <v>95</v>
      </c>
      <c r="E2035" s="73">
        <f>B2035*D2035/10000</f>
        <v/>
      </c>
      <c r="F2035" s="74">
        <f>B2035/30.48</f>
        <v/>
      </c>
      <c r="G2035" s="74">
        <f>D2035/30.48</f>
        <v/>
      </c>
      <c r="H2035" s="711" t="inlineStr">
        <is>
          <t>LMX</t>
        </is>
      </c>
      <c r="I2035" s="570" t="inlineStr">
        <is>
          <t>Christine Sevilla</t>
        </is>
      </c>
      <c r="J2035" s="557" t="n"/>
      <c r="P2035" s="280" t="n"/>
    </row>
    <row r="2036" ht="17.25" customHeight="1" s="305">
      <c r="A2036" s="8" t="inlineStr">
        <is>
          <t>D 87</t>
        </is>
      </c>
      <c r="B2036" s="5" t="n">
        <v>52</v>
      </c>
      <c r="C2036" s="72" t="inlineStr">
        <is>
          <t>X</t>
        </is>
      </c>
      <c r="D2036" s="5" t="n">
        <v>102</v>
      </c>
      <c r="E2036" s="73">
        <f>B2036*D2036/10000</f>
        <v/>
      </c>
      <c r="F2036" s="74">
        <f>B2036/30.48</f>
        <v/>
      </c>
      <c r="G2036" s="74">
        <f>D2036/30.48</f>
        <v/>
      </c>
      <c r="H2036" s="693" t="n"/>
      <c r="I2036" s="693" t="n"/>
      <c r="J2036" s="557" t="n"/>
      <c r="P2036" s="280" t="n"/>
    </row>
    <row r="2037" ht="17.25" customHeight="1" s="305">
      <c r="A2037" s="8" t="inlineStr">
        <is>
          <t>D 57</t>
        </is>
      </c>
      <c r="B2037" s="5" t="n">
        <v>49</v>
      </c>
      <c r="C2037" s="72" t="inlineStr">
        <is>
          <t>X</t>
        </is>
      </c>
      <c r="D2037" s="5" t="n">
        <v>93</v>
      </c>
      <c r="E2037" s="73">
        <f>B2037*D2037/10000</f>
        <v/>
      </c>
      <c r="F2037" s="74">
        <f>B2037/30.48</f>
        <v/>
      </c>
      <c r="G2037" s="74">
        <f>D2037/30.48</f>
        <v/>
      </c>
      <c r="H2037" s="693" t="n"/>
      <c r="I2037" s="693" t="n"/>
      <c r="J2037" s="557" t="n"/>
      <c r="P2037" s="280" t="n"/>
    </row>
    <row r="2038" ht="17.25" customHeight="1" s="305">
      <c r="A2038" s="8" t="inlineStr">
        <is>
          <t>D 147</t>
        </is>
      </c>
      <c r="B2038" s="5" t="n">
        <v>47</v>
      </c>
      <c r="C2038" s="72" t="inlineStr">
        <is>
          <t>X</t>
        </is>
      </c>
      <c r="D2038" s="5" t="n">
        <v>89</v>
      </c>
      <c r="E2038" s="73">
        <f>B2038*D2038/10000</f>
        <v/>
      </c>
      <c r="F2038" s="74">
        <f>B2038/30.48</f>
        <v/>
      </c>
      <c r="G2038" s="74">
        <f>D2038/30.48</f>
        <v/>
      </c>
      <c r="H2038" s="693" t="n"/>
      <c r="I2038" s="693" t="n"/>
      <c r="J2038" s="557" t="n"/>
      <c r="P2038" s="280" t="n"/>
    </row>
    <row r="2039" ht="17.25" customHeight="1" s="305">
      <c r="A2039" s="28" t="inlineStr">
        <is>
          <t>D 474</t>
        </is>
      </c>
      <c r="B2039" s="29" t="n">
        <v>48</v>
      </c>
      <c r="C2039" s="236" t="inlineStr">
        <is>
          <t>X</t>
        </is>
      </c>
      <c r="D2039" s="29" t="n">
        <v>73</v>
      </c>
      <c r="E2039" s="237">
        <f>B2039*D2039/10000</f>
        <v/>
      </c>
      <c r="F2039" s="238">
        <f>B2039/30.48</f>
        <v/>
      </c>
      <c r="G2039" s="238">
        <f>D2039/30.48</f>
        <v/>
      </c>
      <c r="H2039" s="693" t="n"/>
      <c r="I2039" s="693" t="n"/>
      <c r="J2039" s="557" t="n"/>
      <c r="P2039" s="280" t="n"/>
    </row>
    <row r="2040" ht="17.25" customHeight="1" s="305">
      <c r="A2040" s="8" t="inlineStr">
        <is>
          <t>D 2</t>
        </is>
      </c>
      <c r="B2040" s="5" t="n">
        <v>59</v>
      </c>
      <c r="C2040" s="72" t="inlineStr">
        <is>
          <t>X</t>
        </is>
      </c>
      <c r="D2040" s="5" t="n">
        <v>96</v>
      </c>
      <c r="E2040" s="73">
        <f>B2040*D2040/10000</f>
        <v/>
      </c>
      <c r="F2040" s="74">
        <f>B2040/30.48</f>
        <v/>
      </c>
      <c r="G2040" s="74">
        <f>D2040/30.48</f>
        <v/>
      </c>
      <c r="H2040" s="693" t="n"/>
      <c r="I2040" s="693" t="n"/>
      <c r="J2040" s="557" t="n"/>
      <c r="P2040" s="280" t="n"/>
    </row>
    <row r="2041" ht="17.25" customHeight="1" s="305">
      <c r="A2041" s="8" t="inlineStr">
        <is>
          <t>D 71</t>
        </is>
      </c>
      <c r="B2041" s="5" t="n">
        <v>51</v>
      </c>
      <c r="C2041" s="72" t="inlineStr">
        <is>
          <t>X</t>
        </is>
      </c>
      <c r="D2041" s="5" t="n">
        <v>100</v>
      </c>
      <c r="E2041" s="73">
        <f>B2041*D2041/10000</f>
        <v/>
      </c>
      <c r="F2041" s="74">
        <f>B2041/30.48</f>
        <v/>
      </c>
      <c r="G2041" s="74">
        <f>D2041/30.48</f>
        <v/>
      </c>
      <c r="H2041" s="693" t="n"/>
      <c r="I2041" s="693" t="n"/>
      <c r="J2041" s="557" t="n"/>
      <c r="P2041" s="280" t="n"/>
    </row>
    <row r="2042" ht="17.25" customHeight="1" s="305">
      <c r="A2042" s="8" t="inlineStr">
        <is>
          <t>D 112</t>
        </is>
      </c>
      <c r="B2042" s="5" t="n">
        <v>54</v>
      </c>
      <c r="C2042" s="72" t="inlineStr">
        <is>
          <t>X</t>
        </is>
      </c>
      <c r="D2042" s="5" t="n">
        <v>61</v>
      </c>
      <c r="E2042" s="73">
        <f>B2042*D2042/10000</f>
        <v/>
      </c>
      <c r="F2042" s="74">
        <f>B2042/30.48</f>
        <v/>
      </c>
      <c r="G2042" s="74">
        <f>D2042/30.48</f>
        <v/>
      </c>
      <c r="H2042" s="693" t="n"/>
      <c r="I2042" s="693" t="n"/>
      <c r="J2042" s="557" t="n"/>
      <c r="P2042" s="280" t="n"/>
    </row>
    <row r="2043" ht="17.25" customHeight="1" s="305">
      <c r="A2043" s="8" t="inlineStr">
        <is>
          <t>D 46</t>
        </is>
      </c>
      <c r="B2043" s="5" t="n">
        <v>53</v>
      </c>
      <c r="C2043" s="72" t="inlineStr">
        <is>
          <t>X</t>
        </is>
      </c>
      <c r="D2043" s="5" t="n">
        <v>90</v>
      </c>
      <c r="E2043" s="73">
        <f>B2043*D2043/10000</f>
        <v/>
      </c>
      <c r="F2043" s="74">
        <f>B2043/30.48</f>
        <v/>
      </c>
      <c r="G2043" s="74">
        <f>D2043/30.48</f>
        <v/>
      </c>
      <c r="H2043" s="693" t="n"/>
      <c r="I2043" s="693" t="n"/>
      <c r="J2043" s="557" t="n"/>
      <c r="P2043" s="280" t="n"/>
    </row>
    <row r="2044" ht="17.25" customHeight="1" s="305">
      <c r="A2044" s="8" t="inlineStr">
        <is>
          <t>D 28</t>
        </is>
      </c>
      <c r="B2044" s="5" t="n">
        <v>47</v>
      </c>
      <c r="C2044" s="72" t="inlineStr">
        <is>
          <t>X</t>
        </is>
      </c>
      <c r="D2044" s="5" t="n">
        <v>94</v>
      </c>
      <c r="E2044" s="73">
        <f>B2044*D2044/10000</f>
        <v/>
      </c>
      <c r="F2044" s="74">
        <f>B2044/30.48</f>
        <v/>
      </c>
      <c r="G2044" s="74">
        <f>D2044/30.48</f>
        <v/>
      </c>
      <c r="H2044" s="694" t="n"/>
      <c r="I2044" s="694" t="n"/>
      <c r="J2044" s="557" t="n"/>
      <c r="P2044" s="280" t="n"/>
    </row>
    <row r="2045" ht="17.25" customHeight="1" s="305">
      <c r="A2045" s="8" t="inlineStr">
        <is>
          <t>D 42</t>
        </is>
      </c>
      <c r="B2045" s="5" t="n">
        <v>55</v>
      </c>
      <c r="C2045" s="72" t="inlineStr">
        <is>
          <t>X</t>
        </is>
      </c>
      <c r="D2045" s="5" t="n">
        <v>85</v>
      </c>
      <c r="E2045" s="73">
        <f>B2045*D2045/10000</f>
        <v/>
      </c>
      <c r="F2045" s="74">
        <f>B2045/30.48</f>
        <v/>
      </c>
      <c r="G2045" s="74">
        <f>D2045/30.48</f>
        <v/>
      </c>
      <c r="H2045" s="289" t="inlineStr">
        <is>
          <t>BHR</t>
        </is>
      </c>
      <c r="I2045" s="570" t="inlineStr">
        <is>
          <t>Tammy Robbins</t>
        </is>
      </c>
      <c r="J2045" s="557" t="n"/>
      <c r="P2045" s="280" t="n"/>
    </row>
    <row r="2046" ht="17.25" customHeight="1" s="305">
      <c r="A2046" s="8" t="n">
        <v>1287</v>
      </c>
      <c r="B2046" s="5" t="n">
        <v>125</v>
      </c>
      <c r="C2046" s="72" t="inlineStr">
        <is>
          <t>X</t>
        </is>
      </c>
      <c r="D2046" s="5" t="n">
        <v>243</v>
      </c>
      <c r="E2046" s="73">
        <f>B2046*D2046/10000</f>
        <v/>
      </c>
      <c r="F2046" s="74">
        <f>B2046/30.48</f>
        <v/>
      </c>
      <c r="G2046" s="74">
        <f>D2046/30.48</f>
        <v/>
      </c>
      <c r="H2046" s="569" t="inlineStr">
        <is>
          <t>OLD</t>
        </is>
      </c>
      <c r="I2046" s="570" t="inlineStr">
        <is>
          <t>Amy Tillery</t>
        </is>
      </c>
      <c r="J2046" s="557" t="n"/>
      <c r="P2046" s="280" t="n"/>
    </row>
    <row r="2047" ht="17.25" customHeight="1" s="305">
      <c r="A2047" s="8" t="n">
        <v>2375</v>
      </c>
      <c r="B2047" s="5" t="n">
        <v>100</v>
      </c>
      <c r="C2047" s="72" t="inlineStr">
        <is>
          <t>X</t>
        </is>
      </c>
      <c r="D2047" s="5" t="n">
        <v>177</v>
      </c>
      <c r="E2047" s="73">
        <f>B2047*D2047/10000</f>
        <v/>
      </c>
      <c r="F2047" s="74">
        <f>B2047/30.48</f>
        <v/>
      </c>
      <c r="G2047" s="74">
        <f>D2047/30.48</f>
        <v/>
      </c>
      <c r="H2047" s="69" t="inlineStr">
        <is>
          <t>MCHD-TR</t>
        </is>
      </c>
      <c r="I2047" s="557" t="inlineStr">
        <is>
          <t>Carri gardner</t>
        </is>
      </c>
      <c r="J2047" s="557" t="n"/>
      <c r="P2047" s="280" t="n"/>
    </row>
    <row r="2048" ht="18" customHeight="1" s="305">
      <c r="A2048" s="8" t="inlineStr">
        <is>
          <t>C 321</t>
        </is>
      </c>
      <c r="B2048" s="5" t="n">
        <v>268</v>
      </c>
      <c r="C2048" s="6" t="inlineStr">
        <is>
          <t>X</t>
        </is>
      </c>
      <c r="D2048" s="5" t="n">
        <v>55</v>
      </c>
      <c r="E2048" s="2">
        <f>B2048*D2048/10000</f>
        <v/>
      </c>
      <c r="F2048" s="3">
        <f>B2048/30.48</f>
        <v/>
      </c>
      <c r="G2048" s="74">
        <f>D2048/30.48</f>
        <v/>
      </c>
      <c r="H2048" s="569" t="inlineStr">
        <is>
          <t>OLD</t>
        </is>
      </c>
      <c r="I2048" s="570" t="inlineStr">
        <is>
          <t>anne paruti</t>
        </is>
      </c>
      <c r="J2048" s="557" t="n"/>
      <c r="P2048" s="280" t="n"/>
    </row>
    <row r="2049" ht="17.25" customHeight="1" s="305">
      <c r="A2049" s="8" t="n">
        <v>2520</v>
      </c>
      <c r="B2049" s="5" t="n">
        <v>149</v>
      </c>
      <c r="C2049" s="72" t="inlineStr">
        <is>
          <t>X</t>
        </is>
      </c>
      <c r="D2049" s="5" t="n">
        <v>152</v>
      </c>
      <c r="E2049" s="73">
        <f>B2049*D2049/10000</f>
        <v/>
      </c>
      <c r="F2049" s="74">
        <f>B2049/30.48</f>
        <v/>
      </c>
      <c r="G2049" s="74">
        <f>D2049/30.48</f>
        <v/>
      </c>
      <c r="H2049" s="272" t="inlineStr">
        <is>
          <t>WTR</t>
        </is>
      </c>
      <c r="I2049" s="570" t="inlineStr">
        <is>
          <t>Meagan McCormick</t>
        </is>
      </c>
      <c r="J2049" s="557" t="n"/>
      <c r="P2049" s="280" t="n"/>
    </row>
    <row r="2050" ht="17.25" customHeight="1" s="305">
      <c r="A2050" s="8" t="inlineStr">
        <is>
          <t>D 285</t>
        </is>
      </c>
      <c r="B2050" s="5" t="n">
        <v>53</v>
      </c>
      <c r="C2050" s="72" t="inlineStr">
        <is>
          <t>X</t>
        </is>
      </c>
      <c r="D2050" s="5" t="n">
        <v>90</v>
      </c>
      <c r="E2050" s="73">
        <f>B2050*D2050/10000</f>
        <v/>
      </c>
      <c r="F2050" s="74">
        <f>B2050/30.48</f>
        <v/>
      </c>
      <c r="G2050" s="74">
        <f>D2050/30.48</f>
        <v/>
      </c>
      <c r="H2050" s="292" t="inlineStr">
        <is>
          <t>LMX</t>
        </is>
      </c>
      <c r="I2050" s="570" t="inlineStr">
        <is>
          <t>Juana Guichardo</t>
        </is>
      </c>
      <c r="J2050" s="557" t="n"/>
      <c r="P2050" s="280" t="n"/>
    </row>
    <row r="2051" ht="17.25" customHeight="1" s="305">
      <c r="A2051" s="8" t="inlineStr">
        <is>
          <t>D 70</t>
        </is>
      </c>
      <c r="B2051" s="5" t="n">
        <v>47</v>
      </c>
      <c r="C2051" s="72" t="inlineStr">
        <is>
          <t>X</t>
        </is>
      </c>
      <c r="D2051" s="5" t="n">
        <v>87</v>
      </c>
      <c r="E2051" s="73">
        <f>B2051*D2051/10000</f>
        <v/>
      </c>
      <c r="F2051" s="74">
        <f>B2051/30.48</f>
        <v/>
      </c>
      <c r="G2051" s="74">
        <f>D2051/30.48</f>
        <v/>
      </c>
      <c r="H2051" s="289" t="inlineStr">
        <is>
          <t>BHR</t>
        </is>
      </c>
      <c r="I2051" s="570" t="inlineStr">
        <is>
          <t>Sarah Ngo</t>
        </is>
      </c>
      <c r="J2051" s="557" t="n"/>
      <c r="P2051" s="280" t="n"/>
    </row>
    <row r="2052" ht="17.25" customHeight="1" s="305">
      <c r="A2052" s="8" t="inlineStr">
        <is>
          <t>Y 638</t>
        </is>
      </c>
      <c r="B2052" s="5" t="n">
        <v>331</v>
      </c>
      <c r="C2052" s="6" t="inlineStr">
        <is>
          <t>X</t>
        </is>
      </c>
      <c r="D2052" s="5" t="n">
        <v>146</v>
      </c>
      <c r="E2052" s="2">
        <f>B2052*D2052/10000</f>
        <v/>
      </c>
      <c r="F2052" s="3">
        <f>B2052/30.48</f>
        <v/>
      </c>
      <c r="G2052" s="3">
        <f>D2052/30.48</f>
        <v/>
      </c>
      <c r="H2052" s="289" t="inlineStr">
        <is>
          <t>BHR</t>
        </is>
      </c>
      <c r="I2052" s="534" t="inlineStr">
        <is>
          <t>Astrid Navas</t>
        </is>
      </c>
      <c r="J2052" s="545" t="n"/>
      <c r="P2052" s="280" t="n"/>
    </row>
    <row r="2053" ht="17.25" customHeight="1" s="305">
      <c r="A2053" s="8" t="n">
        <v>2271</v>
      </c>
      <c r="B2053" s="5" t="n">
        <v>196</v>
      </c>
      <c r="C2053" s="72" t="inlineStr">
        <is>
          <t>X</t>
        </is>
      </c>
      <c r="D2053" s="5" t="n">
        <v>287</v>
      </c>
      <c r="E2053" s="73">
        <f>B2053*D2053/10000</f>
        <v/>
      </c>
      <c r="F2053" s="74">
        <f>B2053/30.48</f>
        <v/>
      </c>
      <c r="G2053" s="74">
        <f>D2053/30.48</f>
        <v/>
      </c>
      <c r="H2053" s="292" t="inlineStr">
        <is>
          <t>LMX</t>
        </is>
      </c>
      <c r="I2053" s="534" t="inlineStr">
        <is>
          <t>Rios Cynthia</t>
        </is>
      </c>
      <c r="J2053" s="545" t="n"/>
      <c r="P2053" s="280" t="n"/>
    </row>
    <row r="2054" ht="17.25" customHeight="1" s="305">
      <c r="A2054" s="8" t="n">
        <v>2521</v>
      </c>
      <c r="B2054" s="5" t="n">
        <v>114</v>
      </c>
      <c r="C2054" s="72" t="inlineStr">
        <is>
          <t>X</t>
        </is>
      </c>
      <c r="D2054" s="5" t="n">
        <v>346</v>
      </c>
      <c r="E2054" s="73">
        <f>B2054*D2054/10000</f>
        <v/>
      </c>
      <c r="F2054" s="74">
        <f>B2054/30.48</f>
        <v/>
      </c>
      <c r="G2054" s="74">
        <f>D2054/30.48</f>
        <v/>
      </c>
      <c r="H2054" s="272" t="inlineStr">
        <is>
          <t>WTR</t>
        </is>
      </c>
      <c r="I2054" s="570" t="inlineStr">
        <is>
          <t>Frances J Hancock</t>
        </is>
      </c>
      <c r="J2054" s="557" t="n"/>
      <c r="P2054" s="280" t="n"/>
      <c r="S2054" s="1" t="n"/>
    </row>
    <row r="2055" ht="17.25" customHeight="1" s="305">
      <c r="A2055" s="8" t="inlineStr">
        <is>
          <t>D 256</t>
        </is>
      </c>
      <c r="B2055" s="5" t="n">
        <v>45</v>
      </c>
      <c r="C2055" s="72" t="inlineStr">
        <is>
          <t>X</t>
        </is>
      </c>
      <c r="D2055" s="5" t="n">
        <v>74</v>
      </c>
      <c r="E2055" s="73">
        <f>B2055*D2055/10000</f>
        <v/>
      </c>
      <c r="F2055" s="74">
        <f>B2055/30.48</f>
        <v/>
      </c>
      <c r="G2055" s="74">
        <f>D2055/30.48</f>
        <v/>
      </c>
      <c r="H2055" s="569" t="inlineStr">
        <is>
          <t>OLD</t>
        </is>
      </c>
      <c r="I2055" s="551" t="inlineStr">
        <is>
          <t>Lydia Shilland</t>
        </is>
      </c>
      <c r="J2055" s="552" t="n"/>
      <c r="P2055" s="280" t="n"/>
    </row>
    <row r="2056" ht="17.25" customHeight="1" s="305">
      <c r="A2056" s="8" t="n">
        <v>1010</v>
      </c>
      <c r="B2056" s="5" t="n">
        <v>109</v>
      </c>
      <c r="C2056" s="72" t="inlineStr">
        <is>
          <t>X</t>
        </is>
      </c>
      <c r="D2056" s="5" t="n">
        <v>318</v>
      </c>
      <c r="E2056" s="73">
        <f>B2056*D2056/10000</f>
        <v/>
      </c>
      <c r="F2056" s="74">
        <f>B2056/30.48</f>
        <v/>
      </c>
      <c r="G2056" s="74">
        <f>D2056/30.48</f>
        <v/>
      </c>
      <c r="H2056" s="69" t="inlineStr">
        <is>
          <t>MCHD-TR</t>
        </is>
      </c>
      <c r="I2056" s="557" t="n"/>
      <c r="J2056" s="557" t="n"/>
      <c r="P2056" s="280" t="n"/>
    </row>
    <row r="2057" ht="17.25" customHeight="1" s="305">
      <c r="A2057" s="8" t="n">
        <v>2010</v>
      </c>
      <c r="B2057" s="5" t="n">
        <v>81</v>
      </c>
      <c r="C2057" s="72" t="inlineStr">
        <is>
          <t>X</t>
        </is>
      </c>
      <c r="D2057" s="5" t="n">
        <v>186</v>
      </c>
      <c r="E2057" s="73">
        <f>B2057*D2057/10000</f>
        <v/>
      </c>
      <c r="F2057" s="74">
        <f>B2057/30.48</f>
        <v/>
      </c>
      <c r="G2057" s="74">
        <f>D2057/30.48</f>
        <v/>
      </c>
      <c r="H2057" s="69" t="inlineStr">
        <is>
          <t>MCHD-TR</t>
        </is>
      </c>
      <c r="I2057" s="557" t="n"/>
      <c r="J2057" s="557" t="n"/>
      <c r="P2057" s="280" t="n"/>
    </row>
    <row r="2058" ht="17.25" customHeight="1" s="305">
      <c r="A2058" s="8" t="n">
        <v>2269</v>
      </c>
      <c r="B2058" s="5" t="n">
        <v>121</v>
      </c>
      <c r="C2058" s="72" t="inlineStr">
        <is>
          <t>X</t>
        </is>
      </c>
      <c r="D2058" s="5" t="n">
        <v>124</v>
      </c>
      <c r="E2058" s="73">
        <f>B2058*D2058/10000</f>
        <v/>
      </c>
      <c r="F2058" s="74">
        <f>B2058/30.48</f>
        <v/>
      </c>
      <c r="G2058" s="74">
        <f>D2058/30.48</f>
        <v/>
      </c>
      <c r="H2058" s="69" t="inlineStr">
        <is>
          <t>MCHD-TR</t>
        </is>
      </c>
      <c r="I2058" s="545" t="n"/>
      <c r="J2058" s="545" t="n"/>
      <c r="P2058" s="280" t="n"/>
    </row>
    <row r="2059" ht="17.25" customHeight="1" s="305">
      <c r="A2059" s="8" t="inlineStr">
        <is>
          <t>D 161</t>
        </is>
      </c>
      <c r="B2059" s="5" t="n">
        <v>47</v>
      </c>
      <c r="C2059" s="72" t="inlineStr">
        <is>
          <t>X</t>
        </is>
      </c>
      <c r="D2059" s="5" t="n">
        <v>126</v>
      </c>
      <c r="E2059" s="73">
        <f>B2059*D2059/10000</f>
        <v/>
      </c>
      <c r="F2059" s="74">
        <f>B2059/30.48</f>
        <v/>
      </c>
      <c r="G2059" s="74">
        <f>D2059/30.48</f>
        <v/>
      </c>
      <c r="H2059" s="569" t="inlineStr">
        <is>
          <t>OLD</t>
        </is>
      </c>
      <c r="I2059" s="570" t="inlineStr">
        <is>
          <t>Jane Park</t>
        </is>
      </c>
      <c r="J2059" s="557" t="n"/>
      <c r="P2059" s="280" t="n"/>
    </row>
    <row r="2060" ht="17.25" customHeight="1" s="305">
      <c r="A2060" s="8" t="inlineStr">
        <is>
          <t>D 228</t>
        </is>
      </c>
      <c r="B2060" s="5" t="n">
        <v>52</v>
      </c>
      <c r="C2060" s="72" t="inlineStr">
        <is>
          <t>X</t>
        </is>
      </c>
      <c r="D2060" s="5" t="n">
        <v>91</v>
      </c>
      <c r="E2060" s="73">
        <f>B2060*D2060/10000</f>
        <v/>
      </c>
      <c r="F2060" s="74">
        <f>B2060/30.48</f>
        <v/>
      </c>
      <c r="G2060" s="74">
        <f>D2060/30.48</f>
        <v/>
      </c>
      <c r="H2060" s="569" t="inlineStr">
        <is>
          <t>OLD</t>
        </is>
      </c>
      <c r="I2060" s="570" t="inlineStr">
        <is>
          <t>Kimberly Maier</t>
        </is>
      </c>
      <c r="J2060" s="557" t="n"/>
      <c r="P2060" s="280" t="n"/>
    </row>
    <row r="2061" ht="17.25" customHeight="1" s="305">
      <c r="A2061" s="8" t="n">
        <v>1662</v>
      </c>
      <c r="B2061" s="5" t="n">
        <v>207</v>
      </c>
      <c r="C2061" s="72" t="inlineStr">
        <is>
          <t>X</t>
        </is>
      </c>
      <c r="D2061" s="5" t="n">
        <v>112</v>
      </c>
      <c r="E2061" s="73">
        <f>B2061*D2061/10000</f>
        <v/>
      </c>
      <c r="F2061" s="74">
        <f>B2061/30.48</f>
        <v/>
      </c>
      <c r="G2061" s="74">
        <f>D2061/30.48</f>
        <v/>
      </c>
      <c r="H2061" s="69" t="inlineStr">
        <is>
          <t>MCHD-TR</t>
        </is>
      </c>
      <c r="I2061" s="557" t="n"/>
      <c r="J2061" s="557" t="n"/>
      <c r="P2061" s="280" t="n"/>
    </row>
    <row r="2062" ht="17.25" customHeight="1" s="305">
      <c r="A2062" s="8" t="inlineStr">
        <is>
          <t>H 114</t>
        </is>
      </c>
      <c r="B2062" s="5" t="n">
        <v>78</v>
      </c>
      <c r="C2062" s="72" t="inlineStr">
        <is>
          <t>X</t>
        </is>
      </c>
      <c r="D2062" s="5" t="n">
        <v>338</v>
      </c>
      <c r="E2062" s="73">
        <f>B2062*D2062/10000</f>
        <v/>
      </c>
      <c r="F2062" s="74">
        <f>B2062/30.48</f>
        <v/>
      </c>
      <c r="G2062" s="74">
        <f>D2062/30.48</f>
        <v/>
      </c>
      <c r="H2062" s="272" t="inlineStr">
        <is>
          <t>WTR</t>
        </is>
      </c>
      <c r="I2062" s="534" t="inlineStr">
        <is>
          <t>Kate Lewis</t>
        </is>
      </c>
      <c r="J2062" s="545" t="n"/>
      <c r="P2062" s="280" t="n"/>
    </row>
    <row r="2063">
      <c r="A2063" s="536" t="inlineStr">
        <is>
          <t>-2025 OCAK-</t>
        </is>
      </c>
      <c r="H2063" s="104" t="inlineStr">
        <is>
          <t>SATAN-SİTE</t>
        </is>
      </c>
      <c r="I2063" s="98" t="inlineStr">
        <is>
          <t>MÜŞTERİ ADI</t>
        </is>
      </c>
      <c r="J2063" s="63" t="inlineStr">
        <is>
          <t>MÜŞTERİ İLETİŞİM &amp; ÜLKE</t>
        </is>
      </c>
      <c r="P2063" s="1" t="n"/>
    </row>
    <row r="2064" ht="17.25" customHeight="1" s="305">
      <c r="A2064" s="8" t="inlineStr">
        <is>
          <t>D 365</t>
        </is>
      </c>
      <c r="B2064" s="5" t="n">
        <v>48</v>
      </c>
      <c r="C2064" s="72" t="inlineStr">
        <is>
          <t>X</t>
        </is>
      </c>
      <c r="D2064" s="5" t="n">
        <v>97</v>
      </c>
      <c r="E2064" s="73">
        <f>B2064*D2064/10000</f>
        <v/>
      </c>
      <c r="F2064" s="74">
        <f>B2064/30.48</f>
        <v/>
      </c>
      <c r="G2064" s="74">
        <f>D2064/30.48</f>
        <v/>
      </c>
      <c r="H2064" s="272" t="inlineStr">
        <is>
          <t>WTR</t>
        </is>
      </c>
      <c r="I2064" s="570" t="inlineStr">
        <is>
          <t>Linda Rettele</t>
        </is>
      </c>
      <c r="J2064" s="557" t="n"/>
      <c r="P2064" s="280" t="n"/>
    </row>
    <row r="2065" ht="17.25" customHeight="1" s="305">
      <c r="A2065" s="8" t="n">
        <v>1013</v>
      </c>
      <c r="B2065" s="5" t="n">
        <v>95</v>
      </c>
      <c r="C2065" s="6" t="inlineStr">
        <is>
          <t>X</t>
        </is>
      </c>
      <c r="D2065" s="5" t="n">
        <v>50</v>
      </c>
      <c r="E2065" s="2">
        <f>B2065*D2065/10000</f>
        <v/>
      </c>
      <c r="F2065" s="3">
        <f>B2065/30.48</f>
        <v/>
      </c>
      <c r="G2065" s="3">
        <f>D2065/30.48</f>
        <v/>
      </c>
      <c r="H2065" s="592" t="inlineStr">
        <is>
          <t>PAC</t>
        </is>
      </c>
      <c r="I2065" s="534" t="inlineStr">
        <is>
          <t>Alyssa Marquez</t>
        </is>
      </c>
      <c r="J2065" s="545" t="n"/>
      <c r="P2065" s="280" t="n"/>
    </row>
    <row r="2066" ht="17.25" customHeight="1" s="305">
      <c r="A2066" s="8" t="inlineStr">
        <is>
          <t>D 225</t>
        </is>
      </c>
      <c r="B2066" s="5" t="n">
        <v>46</v>
      </c>
      <c r="C2066" s="72" t="inlineStr">
        <is>
          <t>X</t>
        </is>
      </c>
      <c r="D2066" s="5" t="n">
        <v>93</v>
      </c>
      <c r="E2066" s="73">
        <f>B2066*D2066/10000</f>
        <v/>
      </c>
      <c r="F2066" s="74">
        <f>B2066/30.48</f>
        <v/>
      </c>
      <c r="G2066" s="74">
        <f>D2066/30.48</f>
        <v/>
      </c>
      <c r="H2066" s="569" t="inlineStr">
        <is>
          <t>OLD</t>
        </is>
      </c>
      <c r="I2066" s="534" t="inlineStr">
        <is>
          <t>Erica Knowles</t>
        </is>
      </c>
      <c r="J2066" s="545" t="n"/>
      <c r="P2066" s="280" t="n"/>
    </row>
    <row r="2067" ht="17.25" customHeight="1" s="305">
      <c r="A2067" s="8" t="inlineStr">
        <is>
          <t>D 119</t>
        </is>
      </c>
      <c r="B2067" s="5" t="n">
        <v>44</v>
      </c>
      <c r="C2067" s="72" t="inlineStr">
        <is>
          <t>X</t>
        </is>
      </c>
      <c r="D2067" s="5" t="n">
        <v>69</v>
      </c>
      <c r="E2067" s="73">
        <f>B2067*D2067/10000</f>
        <v/>
      </c>
      <c r="F2067" s="74">
        <f>B2067/30.48</f>
        <v/>
      </c>
      <c r="G2067" s="74">
        <f>D2067/30.48</f>
        <v/>
      </c>
      <c r="H2067" s="712" t="inlineStr">
        <is>
          <t>LMX</t>
        </is>
      </c>
      <c r="I2067" s="570" t="inlineStr">
        <is>
          <t>Christine Sevilla</t>
        </is>
      </c>
      <c r="J2067" s="557" t="inlineStr">
        <is>
          <t>US-630-815-6768</t>
        </is>
      </c>
      <c r="P2067" s="280" t="n"/>
    </row>
    <row r="2068" ht="17.25" customHeight="1" s="305">
      <c r="A2068" s="8" t="inlineStr">
        <is>
          <t>D 135</t>
        </is>
      </c>
      <c r="B2068" s="5" t="n">
        <v>50</v>
      </c>
      <c r="C2068" s="72" t="inlineStr">
        <is>
          <t>X</t>
        </is>
      </c>
      <c r="D2068" s="5" t="n">
        <v>92</v>
      </c>
      <c r="E2068" s="73">
        <f>B2068*D2068/10000</f>
        <v/>
      </c>
      <c r="F2068" s="74">
        <f>B2068/30.48</f>
        <v/>
      </c>
      <c r="G2068" s="74">
        <f>D2068/30.48</f>
        <v/>
      </c>
      <c r="H2068" s="693" t="n"/>
      <c r="I2068" s="693" t="n"/>
      <c r="J2068" s="693" t="n"/>
      <c r="P2068" s="280" t="n"/>
    </row>
    <row r="2069" ht="17.25" customHeight="1" s="305">
      <c r="A2069" s="8" t="inlineStr">
        <is>
          <t>D 144</t>
        </is>
      </c>
      <c r="B2069" s="5" t="n">
        <v>43</v>
      </c>
      <c r="C2069" s="72" t="inlineStr">
        <is>
          <t>X</t>
        </is>
      </c>
      <c r="D2069" s="5" t="n">
        <v>87</v>
      </c>
      <c r="E2069" s="73">
        <f>B2069*D2069/10000</f>
        <v/>
      </c>
      <c r="F2069" s="74">
        <f>B2069/30.48</f>
        <v/>
      </c>
      <c r="G2069" s="74">
        <f>D2069/30.48</f>
        <v/>
      </c>
      <c r="H2069" s="693" t="n"/>
      <c r="I2069" s="693" t="n"/>
      <c r="J2069" s="693" t="n"/>
      <c r="P2069" s="280" t="n"/>
    </row>
    <row r="2070" ht="17.25" customHeight="1" s="305">
      <c r="A2070" s="8" t="inlineStr">
        <is>
          <t>D 262</t>
        </is>
      </c>
      <c r="B2070" s="5" t="n">
        <v>52</v>
      </c>
      <c r="C2070" s="72" t="inlineStr">
        <is>
          <t>X</t>
        </is>
      </c>
      <c r="D2070" s="5" t="n">
        <v>74</v>
      </c>
      <c r="E2070" s="73">
        <f>B2070*D2070/10000</f>
        <v/>
      </c>
      <c r="F2070" s="74">
        <f>B2070/30.48</f>
        <v/>
      </c>
      <c r="G2070" s="74">
        <f>D2070/30.48</f>
        <v/>
      </c>
      <c r="H2070" s="693" t="n"/>
      <c r="I2070" s="693" t="n"/>
      <c r="J2070" s="693" t="n"/>
      <c r="P2070" s="280" t="n"/>
    </row>
    <row r="2071" ht="17.25" customHeight="1" s="305">
      <c r="A2071" s="8" t="inlineStr">
        <is>
          <t>D 201</t>
        </is>
      </c>
      <c r="B2071" s="5" t="n">
        <v>52</v>
      </c>
      <c r="C2071" s="72" t="inlineStr">
        <is>
          <t>X</t>
        </is>
      </c>
      <c r="D2071" s="5" t="n">
        <v>102</v>
      </c>
      <c r="E2071" s="73">
        <f>B2071*D2071/10000</f>
        <v/>
      </c>
      <c r="F2071" s="74">
        <f>B2071/30.48</f>
        <v/>
      </c>
      <c r="G2071" s="74">
        <f>D2071/30.48</f>
        <v/>
      </c>
      <c r="H2071" s="693" t="n"/>
      <c r="I2071" s="693" t="n"/>
      <c r="J2071" s="693" t="n"/>
      <c r="P2071" s="280" t="n"/>
    </row>
    <row r="2072" ht="17.25" customHeight="1" s="305">
      <c r="A2072" s="8" t="inlineStr">
        <is>
          <t>D 153</t>
        </is>
      </c>
      <c r="B2072" s="5" t="n">
        <v>44</v>
      </c>
      <c r="C2072" s="72" t="inlineStr">
        <is>
          <t>X</t>
        </is>
      </c>
      <c r="D2072" s="5" t="n">
        <v>84</v>
      </c>
      <c r="E2072" s="73">
        <f>B2072*D2072/10000</f>
        <v/>
      </c>
      <c r="F2072" s="74">
        <f>B2072/30.48</f>
        <v/>
      </c>
      <c r="G2072" s="74">
        <f>D2072/30.48</f>
        <v/>
      </c>
      <c r="H2072" s="693" t="n"/>
      <c r="I2072" s="693" t="n"/>
      <c r="J2072" s="693" t="n"/>
      <c r="P2072" s="280" t="n"/>
    </row>
    <row r="2073" ht="17.25" customHeight="1" s="305">
      <c r="A2073" s="8" t="inlineStr">
        <is>
          <t>D 155</t>
        </is>
      </c>
      <c r="B2073" s="5" t="n">
        <v>47</v>
      </c>
      <c r="C2073" s="72" t="inlineStr">
        <is>
          <t>X</t>
        </is>
      </c>
      <c r="D2073" s="5" t="n">
        <v>103</v>
      </c>
      <c r="E2073" s="73">
        <f>B2073*D2073/10000</f>
        <v/>
      </c>
      <c r="F2073" s="74">
        <f>B2073/30.48</f>
        <v/>
      </c>
      <c r="G2073" s="74">
        <f>D2073/30.48</f>
        <v/>
      </c>
      <c r="H2073" s="693" t="n"/>
      <c r="I2073" s="693" t="n"/>
      <c r="J2073" s="693" t="n"/>
      <c r="P2073" s="280" t="n"/>
    </row>
    <row r="2074" ht="17.25" customHeight="1" s="305">
      <c r="A2074" s="8" t="inlineStr">
        <is>
          <t>D 279</t>
        </is>
      </c>
      <c r="B2074" s="5" t="n">
        <v>48</v>
      </c>
      <c r="C2074" s="72" t="inlineStr">
        <is>
          <t>X</t>
        </is>
      </c>
      <c r="D2074" s="5" t="n">
        <v>80</v>
      </c>
      <c r="E2074" s="73">
        <f>B2074*D2074/10000</f>
        <v/>
      </c>
      <c r="F2074" s="74">
        <f>B2074/30.48</f>
        <v/>
      </c>
      <c r="G2074" s="74">
        <f>D2074/30.48</f>
        <v/>
      </c>
      <c r="H2074" s="693" t="n"/>
      <c r="I2074" s="693" t="n"/>
      <c r="J2074" s="693" t="n"/>
      <c r="P2074" s="280" t="n"/>
    </row>
    <row r="2075" ht="17.25" customHeight="1" s="305">
      <c r="A2075" s="8" t="inlineStr">
        <is>
          <t>D 148</t>
        </is>
      </c>
      <c r="B2075" s="5" t="n">
        <v>44</v>
      </c>
      <c r="C2075" s="72" t="inlineStr">
        <is>
          <t>X</t>
        </is>
      </c>
      <c r="D2075" s="5" t="n">
        <v>104</v>
      </c>
      <c r="E2075" s="73">
        <f>B2075*D2075/10000</f>
        <v/>
      </c>
      <c r="F2075" s="74">
        <f>B2075/30.48</f>
        <v/>
      </c>
      <c r="G2075" s="74">
        <f>D2075/30.48</f>
        <v/>
      </c>
      <c r="H2075" s="693" t="n"/>
      <c r="I2075" s="693" t="n"/>
      <c r="J2075" s="693" t="n"/>
      <c r="P2075" s="280" t="n"/>
    </row>
    <row r="2076" ht="17.25" customHeight="1" s="305">
      <c r="A2076" s="8" t="inlineStr">
        <is>
          <t>D 252</t>
        </is>
      </c>
      <c r="B2076" s="5" t="n">
        <v>50</v>
      </c>
      <c r="C2076" s="72" t="inlineStr">
        <is>
          <t>X</t>
        </is>
      </c>
      <c r="D2076" s="5" t="n">
        <v>102</v>
      </c>
      <c r="E2076" s="73">
        <f>B2076*D2076/10000</f>
        <v/>
      </c>
      <c r="F2076" s="74">
        <f>B2076/30.48</f>
        <v/>
      </c>
      <c r="G2076" s="74">
        <f>D2076/30.48</f>
        <v/>
      </c>
      <c r="H2076" s="693" t="n"/>
      <c r="I2076" s="693" t="n"/>
      <c r="J2076" s="693" t="n"/>
      <c r="P2076" s="280" t="n"/>
    </row>
    <row r="2077" ht="17.25" customHeight="1" s="305">
      <c r="A2077" s="8" t="inlineStr">
        <is>
          <t>D 274</t>
        </is>
      </c>
      <c r="B2077" s="5" t="n">
        <v>54</v>
      </c>
      <c r="C2077" s="72" t="inlineStr">
        <is>
          <t>X</t>
        </is>
      </c>
      <c r="D2077" s="5" t="n">
        <v>100</v>
      </c>
      <c r="E2077" s="73">
        <f>B2077*D2077/10000</f>
        <v/>
      </c>
      <c r="F2077" s="74">
        <f>B2077/30.48</f>
        <v/>
      </c>
      <c r="G2077" s="74">
        <f>D2077/30.48</f>
        <v/>
      </c>
      <c r="H2077" s="693" t="n"/>
      <c r="I2077" s="693" t="n"/>
      <c r="J2077" s="693" t="n"/>
      <c r="P2077" s="280" t="n"/>
    </row>
    <row r="2078" ht="17.25" customHeight="1" s="305">
      <c r="A2078" s="8" t="inlineStr">
        <is>
          <t>D 89</t>
        </is>
      </c>
      <c r="B2078" s="5" t="n">
        <v>48</v>
      </c>
      <c r="C2078" s="72" t="inlineStr">
        <is>
          <t>X</t>
        </is>
      </c>
      <c r="D2078" s="5" t="n">
        <v>100</v>
      </c>
      <c r="E2078" s="73">
        <f>B2078*D2078/10000</f>
        <v/>
      </c>
      <c r="F2078" s="74">
        <f>B2078/30.48</f>
        <v/>
      </c>
      <c r="G2078" s="74">
        <f>D2078/30.48</f>
        <v/>
      </c>
      <c r="H2078" s="693" t="n"/>
      <c r="I2078" s="693" t="n"/>
      <c r="J2078" s="693" t="n"/>
      <c r="P2078" s="280" t="n"/>
    </row>
    <row r="2079" ht="17.25" customHeight="1" s="305">
      <c r="A2079" s="8" t="inlineStr">
        <is>
          <t>D 98</t>
        </is>
      </c>
      <c r="B2079" s="5" t="n">
        <v>43</v>
      </c>
      <c r="C2079" s="72" t="inlineStr">
        <is>
          <t>X</t>
        </is>
      </c>
      <c r="D2079" s="5" t="n">
        <v>79</v>
      </c>
      <c r="E2079" s="73">
        <f>B2079*D2079/10000</f>
        <v/>
      </c>
      <c r="F2079" s="74">
        <f>B2079/30.48</f>
        <v/>
      </c>
      <c r="G2079" s="74">
        <f>D2079/30.48</f>
        <v/>
      </c>
      <c r="H2079" s="693" t="n"/>
      <c r="I2079" s="693" t="n"/>
      <c r="J2079" s="693" t="n"/>
      <c r="P2079" s="280" t="n"/>
    </row>
    <row r="2080" ht="17.25" customHeight="1" s="305">
      <c r="A2080" s="8" t="inlineStr">
        <is>
          <t>D 190</t>
        </is>
      </c>
      <c r="B2080" s="5" t="n">
        <v>52</v>
      </c>
      <c r="C2080" s="72" t="inlineStr">
        <is>
          <t>X</t>
        </is>
      </c>
      <c r="D2080" s="5" t="n">
        <v>78</v>
      </c>
      <c r="E2080" s="73">
        <f>B2080*D2080/10000</f>
        <v/>
      </c>
      <c r="F2080" s="74">
        <f>B2080/30.48</f>
        <v/>
      </c>
      <c r="G2080" s="74">
        <f>D2080/30.48</f>
        <v/>
      </c>
      <c r="H2080" s="693" t="n"/>
      <c r="I2080" s="693" t="n"/>
      <c r="J2080" s="693" t="n"/>
      <c r="P2080" s="280" t="n"/>
    </row>
    <row r="2081" ht="17.25" customHeight="1" s="305">
      <c r="A2081" s="8" t="inlineStr">
        <is>
          <t>D 179</t>
        </is>
      </c>
      <c r="B2081" s="5" t="n">
        <v>49</v>
      </c>
      <c r="C2081" s="72" t="inlineStr">
        <is>
          <t>X</t>
        </is>
      </c>
      <c r="D2081" s="5" t="n">
        <v>83</v>
      </c>
      <c r="E2081" s="73">
        <f>B2081*D2081/10000</f>
        <v/>
      </c>
      <c r="F2081" s="74">
        <f>B2081/30.48</f>
        <v/>
      </c>
      <c r="G2081" s="74">
        <f>D2081/30.48</f>
        <v/>
      </c>
      <c r="H2081" s="693" t="n"/>
      <c r="I2081" s="693" t="n"/>
      <c r="J2081" s="693" t="n"/>
      <c r="P2081" s="280" t="n"/>
    </row>
    <row r="2082" ht="17.25" customHeight="1" s="305">
      <c r="A2082" s="8" t="inlineStr">
        <is>
          <t>D 174</t>
        </is>
      </c>
      <c r="B2082" s="5" t="n">
        <v>51</v>
      </c>
      <c r="C2082" s="72" t="inlineStr">
        <is>
          <t>X</t>
        </is>
      </c>
      <c r="D2082" s="5" t="n">
        <v>92</v>
      </c>
      <c r="E2082" s="73">
        <f>B2082*D2082/10000</f>
        <v/>
      </c>
      <c r="F2082" s="74">
        <f>B2082/30.48</f>
        <v/>
      </c>
      <c r="G2082" s="74">
        <f>D2082/30.48</f>
        <v/>
      </c>
      <c r="H2082" s="693" t="n"/>
      <c r="I2082" s="693" t="n"/>
      <c r="J2082" s="693" t="n"/>
      <c r="P2082" s="280" t="n"/>
    </row>
    <row r="2083" ht="17.25" customHeight="1" s="305">
      <c r="A2083" s="8" t="inlineStr">
        <is>
          <t>D 151</t>
        </is>
      </c>
      <c r="B2083" s="5" t="n">
        <v>53</v>
      </c>
      <c r="C2083" s="72" t="inlineStr">
        <is>
          <t>X</t>
        </is>
      </c>
      <c r="D2083" s="5" t="n">
        <v>95</v>
      </c>
      <c r="E2083" s="73">
        <f>B2083*D2083/10000</f>
        <v/>
      </c>
      <c r="F2083" s="74">
        <f>B2083/30.48</f>
        <v/>
      </c>
      <c r="G2083" s="74">
        <f>D2083/30.48</f>
        <v/>
      </c>
      <c r="H2083" s="693" t="n"/>
      <c r="I2083" s="693" t="n"/>
      <c r="J2083" s="693" t="n"/>
      <c r="P2083" s="280" t="n"/>
    </row>
    <row r="2084" ht="17.25" customHeight="1" s="305">
      <c r="A2084" s="8" t="n">
        <v>2551</v>
      </c>
      <c r="B2084" s="5" t="n">
        <v>97</v>
      </c>
      <c r="C2084" s="72" t="inlineStr">
        <is>
          <t>X</t>
        </is>
      </c>
      <c r="D2084" s="5" t="n">
        <v>190</v>
      </c>
      <c r="E2084" s="73">
        <f>B2084*D2084/10000</f>
        <v/>
      </c>
      <c r="F2084" s="74">
        <f>B2084/30.48</f>
        <v/>
      </c>
      <c r="G2084" s="74">
        <f>D2084/30.48</f>
        <v/>
      </c>
      <c r="H2084" s="693" t="n"/>
      <c r="I2084" s="693" t="n"/>
      <c r="J2084" s="693" t="n"/>
      <c r="P2084" s="280" t="n"/>
    </row>
    <row r="2085" ht="17.25" customHeight="1" s="305">
      <c r="A2085" s="8" t="n">
        <v>2585</v>
      </c>
      <c r="B2085" s="5" t="n">
        <v>123</v>
      </c>
      <c r="C2085" s="72" t="inlineStr">
        <is>
          <t>X</t>
        </is>
      </c>
      <c r="D2085" s="5" t="n">
        <v>346</v>
      </c>
      <c r="E2085" s="73">
        <f>B2085*D2085/10000</f>
        <v/>
      </c>
      <c r="F2085" s="74">
        <f>B2085/30.48</f>
        <v/>
      </c>
      <c r="G2085" s="74">
        <f>D2085/30.48</f>
        <v/>
      </c>
      <c r="H2085" s="693" t="n"/>
      <c r="I2085" s="693" t="n"/>
      <c r="J2085" s="693" t="n"/>
      <c r="P2085" s="280" t="n"/>
      <c r="S2085" s="1" t="n"/>
    </row>
    <row r="2086" ht="17.25" customHeight="1" s="305">
      <c r="A2086" s="8" t="n">
        <v>2261</v>
      </c>
      <c r="B2086" s="5" t="n">
        <v>94</v>
      </c>
      <c r="C2086" s="72" t="inlineStr">
        <is>
          <t>X</t>
        </is>
      </c>
      <c r="D2086" s="5" t="n">
        <v>195</v>
      </c>
      <c r="E2086" s="73">
        <f>B2086*D2086/10000</f>
        <v/>
      </c>
      <c r="F2086" s="74">
        <f>B2086/30.48</f>
        <v/>
      </c>
      <c r="G2086" s="74">
        <f>D2086/30.48</f>
        <v/>
      </c>
      <c r="H2086" s="694" t="n"/>
      <c r="I2086" s="694" t="n"/>
      <c r="J2086" s="694" t="n"/>
      <c r="P2086" s="280" t="n"/>
    </row>
    <row r="2087" ht="17.25" customHeight="1" s="305">
      <c r="A2087" s="8" t="n">
        <v>2931</v>
      </c>
      <c r="B2087" s="5" t="n">
        <v>85</v>
      </c>
      <c r="C2087" s="72" t="inlineStr">
        <is>
          <t>X</t>
        </is>
      </c>
      <c r="D2087" s="5" t="n">
        <v>356</v>
      </c>
      <c r="E2087" s="73">
        <f>B2087*D2087/10000</f>
        <v/>
      </c>
      <c r="F2087" s="74">
        <f>B2087/30.48</f>
        <v/>
      </c>
      <c r="G2087" s="74">
        <f>D2087/30.48</f>
        <v/>
      </c>
      <c r="H2087" s="272" t="inlineStr">
        <is>
          <t>WTR</t>
        </is>
      </c>
      <c r="I2087" s="534" t="inlineStr">
        <is>
          <t>E Gleason</t>
        </is>
      </c>
      <c r="J2087" s="545" t="n"/>
      <c r="P2087" s="280" t="n"/>
      <c r="S2087" s="1" t="n"/>
    </row>
    <row r="2088" ht="17.25" customHeight="1" s="305">
      <c r="A2088" s="8" t="n">
        <v>2425</v>
      </c>
      <c r="B2088" s="5" t="n">
        <v>91</v>
      </c>
      <c r="C2088" s="72" t="inlineStr">
        <is>
          <t>X</t>
        </is>
      </c>
      <c r="D2088" s="5" t="n">
        <v>252</v>
      </c>
      <c r="E2088" s="73">
        <f>B2088*D2088/10000</f>
        <v/>
      </c>
      <c r="F2088" s="74">
        <f>B2088/30.48</f>
        <v/>
      </c>
      <c r="G2088" s="74">
        <f>D2088/30.48</f>
        <v/>
      </c>
      <c r="H2088" s="69" t="inlineStr">
        <is>
          <t>RK</t>
        </is>
      </c>
      <c r="I2088" s="534" t="inlineStr">
        <is>
          <t>Neil Wolitzer</t>
        </is>
      </c>
      <c r="J2088" s="545" t="n"/>
      <c r="P2088" s="280" t="n"/>
    </row>
    <row r="2089" ht="17.25" customHeight="1" s="305">
      <c r="A2089" s="8" t="inlineStr">
        <is>
          <t>Y 903</t>
        </is>
      </c>
      <c r="B2089" s="5" t="n">
        <v>188</v>
      </c>
      <c r="C2089" s="6" t="inlineStr">
        <is>
          <t>X</t>
        </is>
      </c>
      <c r="D2089" s="5" t="n">
        <v>95</v>
      </c>
      <c r="E2089" s="2">
        <f>B2089*D2089/10000</f>
        <v/>
      </c>
      <c r="F2089" s="3">
        <f>B2089/30.48</f>
        <v/>
      </c>
      <c r="G2089" s="3">
        <f>D2089/30.48</f>
        <v/>
      </c>
      <c r="H2089" s="569" t="inlineStr">
        <is>
          <t>OLD</t>
        </is>
      </c>
      <c r="I2089" s="570" t="inlineStr">
        <is>
          <t>Luna Loon</t>
        </is>
      </c>
      <c r="J2089" s="557" t="n"/>
      <c r="P2089" s="280" t="n"/>
    </row>
    <row r="2090" ht="17.25" customHeight="1" s="305">
      <c r="A2090" s="8" t="n">
        <v>1201</v>
      </c>
      <c r="B2090" s="5" t="n">
        <v>117</v>
      </c>
      <c r="C2090" s="72" t="inlineStr">
        <is>
          <t>X</t>
        </is>
      </c>
      <c r="D2090" s="5" t="n">
        <v>187</v>
      </c>
      <c r="E2090" s="73">
        <f>B2090*D2090/10000</f>
        <v/>
      </c>
      <c r="F2090" s="74">
        <f>B2090/30.48</f>
        <v/>
      </c>
      <c r="G2090" s="74">
        <f>D2090/30.48</f>
        <v/>
      </c>
      <c r="H2090" s="569" t="inlineStr">
        <is>
          <t>OLD</t>
        </is>
      </c>
      <c r="I2090" s="570" t="inlineStr">
        <is>
          <t>Bomi Choe</t>
        </is>
      </c>
      <c r="J2090" s="557" t="n"/>
      <c r="P2090" s="280" t="n"/>
      <c r="S2090" s="1" t="n"/>
    </row>
    <row r="2091" ht="17.25" customHeight="1" s="305">
      <c r="A2091" s="8" t="inlineStr">
        <is>
          <t>D 149</t>
        </is>
      </c>
      <c r="B2091" s="5" t="n">
        <v>53</v>
      </c>
      <c r="C2091" s="72" t="inlineStr">
        <is>
          <t>X</t>
        </is>
      </c>
      <c r="D2091" s="5" t="n">
        <v>109</v>
      </c>
      <c r="E2091" s="73">
        <f>B2091*D2091/10000</f>
        <v/>
      </c>
      <c r="F2091" s="74">
        <f>B2091/30.48</f>
        <v/>
      </c>
      <c r="G2091" s="74">
        <f>D2091/30.48</f>
        <v/>
      </c>
      <c r="H2091" s="569" t="inlineStr">
        <is>
          <t>OLD</t>
        </is>
      </c>
      <c r="I2091" s="570" t="inlineStr">
        <is>
          <t>SaVannah Nolan</t>
        </is>
      </c>
      <c r="J2091" s="557" t="n"/>
      <c r="P2091" s="280" t="n"/>
    </row>
    <row r="2092" ht="17.25" customHeight="1" s="305">
      <c r="A2092" s="8" t="n">
        <v>2596</v>
      </c>
      <c r="B2092" s="5" t="n">
        <v>72</v>
      </c>
      <c r="C2092" s="72" t="inlineStr">
        <is>
          <t>X</t>
        </is>
      </c>
      <c r="D2092" s="5" t="n">
        <v>175</v>
      </c>
      <c r="E2092" s="73">
        <f>B2092*D2092/10000</f>
        <v/>
      </c>
      <c r="F2092" s="74">
        <f>B2092/30.48</f>
        <v/>
      </c>
      <c r="G2092" s="74">
        <f>D2092/30.48</f>
        <v/>
      </c>
      <c r="H2092" s="69" t="inlineStr">
        <is>
          <t>MCHD-TR</t>
        </is>
      </c>
      <c r="I2092" s="557" t="n"/>
      <c r="J2092" s="557" t="n"/>
      <c r="P2092" s="280" t="n"/>
      <c r="S2092" s="1" t="n"/>
    </row>
    <row r="2093" ht="17.25" customHeight="1" s="305">
      <c r="A2093" s="8" t="n">
        <v>2581</v>
      </c>
      <c r="B2093" s="5" t="n">
        <v>78</v>
      </c>
      <c r="C2093" s="72" t="inlineStr">
        <is>
          <t>X</t>
        </is>
      </c>
      <c r="D2093" s="5" t="n">
        <v>150</v>
      </c>
      <c r="E2093" s="73">
        <f>B2093*D2093/10000</f>
        <v/>
      </c>
      <c r="F2093" s="74">
        <f>B2093/30.48</f>
        <v/>
      </c>
      <c r="G2093" s="74">
        <f>D2093/30.48</f>
        <v/>
      </c>
      <c r="H2093" s="69" t="inlineStr">
        <is>
          <t>RK</t>
        </is>
      </c>
      <c r="I2093" s="534" t="inlineStr">
        <is>
          <t>martha king</t>
        </is>
      </c>
      <c r="J2093" s="545" t="n"/>
      <c r="P2093" s="280" t="n"/>
      <c r="S2093" s="1" t="n"/>
    </row>
    <row r="2094" ht="18" customHeight="1" s="305">
      <c r="A2094" s="8" t="n">
        <v>2468</v>
      </c>
      <c r="B2094" s="5" t="n">
        <v>81</v>
      </c>
      <c r="C2094" s="72" t="inlineStr">
        <is>
          <t>X</t>
        </is>
      </c>
      <c r="D2094" s="5" t="n">
        <v>266</v>
      </c>
      <c r="E2094" s="73">
        <f>B2094*D2094/10000</f>
        <v/>
      </c>
      <c r="F2094" s="74">
        <f>B2094/30.48</f>
        <v/>
      </c>
      <c r="G2094" s="74">
        <f>D2094/30.48</f>
        <v/>
      </c>
      <c r="H2094" s="592" t="inlineStr">
        <is>
          <t>PAC</t>
        </is>
      </c>
      <c r="I2094" s="570" t="inlineStr">
        <is>
          <t>Mary Tressler</t>
        </is>
      </c>
      <c r="J2094" s="557" t="n"/>
      <c r="P2094" s="280" t="n"/>
    </row>
    <row r="2095" ht="18" customHeight="1" s="305">
      <c r="A2095" s="28" t="inlineStr">
        <is>
          <t>D 493</t>
        </is>
      </c>
      <c r="B2095" s="29" t="n">
        <v>54</v>
      </c>
      <c r="C2095" s="236" t="inlineStr">
        <is>
          <t>X</t>
        </is>
      </c>
      <c r="D2095" s="29" t="n">
        <v>101</v>
      </c>
      <c r="E2095" s="237">
        <f>B2095*D2095/10000</f>
        <v/>
      </c>
      <c r="F2095" s="238">
        <f>B2095/30.48</f>
        <v/>
      </c>
      <c r="G2095" s="238">
        <f>D2095/30.48</f>
        <v/>
      </c>
      <c r="H2095" s="360" t="inlineStr">
        <is>
          <t>LMX</t>
        </is>
      </c>
      <c r="I2095" s="713" t="inlineStr">
        <is>
          <t>Christine Sevilla</t>
        </is>
      </c>
      <c r="J2095" s="714" t="inlineStr">
        <is>
          <t>US-630-815-6768</t>
        </is>
      </c>
      <c r="P2095" s="280" t="n"/>
    </row>
    <row r="2096" ht="18" customHeight="1" s="305">
      <c r="A2096" s="8" t="inlineStr">
        <is>
          <t>D 209</t>
        </is>
      </c>
      <c r="B2096" s="5" t="n">
        <v>52</v>
      </c>
      <c r="C2096" s="72" t="inlineStr">
        <is>
          <t>X</t>
        </is>
      </c>
      <c r="D2096" s="5" t="n">
        <v>91</v>
      </c>
      <c r="E2096" s="73">
        <f>B2096*D2096/10000</f>
        <v/>
      </c>
      <c r="F2096" s="74">
        <f>B2096/30.48</f>
        <v/>
      </c>
      <c r="G2096" s="74">
        <f>D2096/30.48</f>
        <v/>
      </c>
      <c r="H2096" s="693" t="n"/>
      <c r="I2096" s="693" t="n"/>
      <c r="J2096" s="693" t="n"/>
      <c r="P2096" s="280" t="n"/>
    </row>
    <row r="2097" ht="18" customHeight="1" s="305">
      <c r="A2097" s="8" t="inlineStr">
        <is>
          <t>D 146</t>
        </is>
      </c>
      <c r="B2097" s="5" t="n">
        <v>50</v>
      </c>
      <c r="C2097" s="72" t="inlineStr">
        <is>
          <t>X</t>
        </is>
      </c>
      <c r="D2097" s="5" t="n">
        <v>97</v>
      </c>
      <c r="E2097" s="73">
        <f>B2097*D2097/10000</f>
        <v/>
      </c>
      <c r="F2097" s="74">
        <f>B2097/30.48</f>
        <v/>
      </c>
      <c r="G2097" s="74">
        <f>D2097/30.48</f>
        <v/>
      </c>
      <c r="H2097" s="693" t="n"/>
      <c r="I2097" s="693" t="n"/>
      <c r="J2097" s="693" t="n"/>
      <c r="P2097" s="280" t="n"/>
    </row>
    <row r="2098" ht="18" customHeight="1" s="305">
      <c r="A2098" s="28" t="inlineStr">
        <is>
          <t>D 492</t>
        </is>
      </c>
      <c r="B2098" s="29" t="n">
        <v>45</v>
      </c>
      <c r="C2098" s="236" t="inlineStr">
        <is>
          <t>X</t>
        </is>
      </c>
      <c r="D2098" s="29" t="n">
        <v>100</v>
      </c>
      <c r="E2098" s="237">
        <f>B2098*D2098/10000</f>
        <v/>
      </c>
      <c r="F2098" s="238">
        <f>B2098/30.48</f>
        <v/>
      </c>
      <c r="G2098" s="238">
        <f>D2098/30.48</f>
        <v/>
      </c>
      <c r="H2098" s="693" t="n"/>
      <c r="I2098" s="693" t="n"/>
      <c r="J2098" s="693" t="n"/>
      <c r="P2098" s="280" t="n"/>
    </row>
    <row r="2099" ht="18" customHeight="1" s="305">
      <c r="A2099" s="8" t="inlineStr">
        <is>
          <t>D 12</t>
        </is>
      </c>
      <c r="B2099" s="5" t="n">
        <v>52</v>
      </c>
      <c r="C2099" s="72" t="inlineStr">
        <is>
          <t>X</t>
        </is>
      </c>
      <c r="D2099" s="5" t="n">
        <v>101</v>
      </c>
      <c r="E2099" s="73">
        <f>B2099*D2099/10000</f>
        <v/>
      </c>
      <c r="F2099" s="74">
        <f>B2099/30.48</f>
        <v/>
      </c>
      <c r="G2099" s="74">
        <f>D2099/30.48</f>
        <v/>
      </c>
      <c r="H2099" s="693" t="n"/>
      <c r="I2099" s="693" t="n"/>
      <c r="J2099" s="693" t="n"/>
      <c r="P2099" s="280" t="n"/>
    </row>
    <row r="2100" ht="18" customHeight="1" s="305">
      <c r="A2100" s="8" t="inlineStr">
        <is>
          <t>D 210</t>
        </is>
      </c>
      <c r="B2100" s="5" t="n">
        <v>56</v>
      </c>
      <c r="C2100" s="72" t="inlineStr">
        <is>
          <t>X</t>
        </is>
      </c>
      <c r="D2100" s="5" t="n">
        <v>104</v>
      </c>
      <c r="E2100" s="73">
        <f>B2100*D2100/10000</f>
        <v/>
      </c>
      <c r="F2100" s="74">
        <f>B2100/30.48</f>
        <v/>
      </c>
      <c r="G2100" s="74">
        <f>D2100/30.48</f>
        <v/>
      </c>
      <c r="H2100" s="693" t="n"/>
      <c r="I2100" s="693" t="n"/>
      <c r="J2100" s="693" t="n"/>
      <c r="P2100" s="280" t="n"/>
    </row>
    <row r="2101" ht="18" customHeight="1" s="305">
      <c r="A2101" s="8" t="inlineStr">
        <is>
          <t>D 196</t>
        </is>
      </c>
      <c r="B2101" s="5" t="n">
        <v>51</v>
      </c>
      <c r="C2101" s="72" t="inlineStr">
        <is>
          <t>X</t>
        </is>
      </c>
      <c r="D2101" s="5" t="n">
        <v>96</v>
      </c>
      <c r="E2101" s="73">
        <f>B2101*D2101/10000</f>
        <v/>
      </c>
      <c r="F2101" s="74">
        <f>B2101/30.48</f>
        <v/>
      </c>
      <c r="G2101" s="74">
        <f>D2101/30.48</f>
        <v/>
      </c>
      <c r="H2101" s="693" t="n"/>
      <c r="I2101" s="693" t="n"/>
      <c r="J2101" s="693" t="n"/>
      <c r="P2101" s="280" t="n"/>
    </row>
    <row r="2102" ht="18" customHeight="1" s="305">
      <c r="A2102" s="8" t="inlineStr">
        <is>
          <t>D 171</t>
        </is>
      </c>
      <c r="B2102" s="5" t="n">
        <v>53</v>
      </c>
      <c r="C2102" s="72" t="inlineStr">
        <is>
          <t>X</t>
        </is>
      </c>
      <c r="D2102" s="5" t="n">
        <v>104</v>
      </c>
      <c r="E2102" s="73">
        <f>B2102*D2102/10000</f>
        <v/>
      </c>
      <c r="F2102" s="74">
        <f>B2102/30.48</f>
        <v/>
      </c>
      <c r="G2102" s="74">
        <f>D2102/30.48</f>
        <v/>
      </c>
      <c r="H2102" s="693" t="n"/>
      <c r="I2102" s="693" t="n"/>
      <c r="J2102" s="693" t="n"/>
      <c r="P2102" s="280" t="n"/>
    </row>
    <row r="2103" ht="18" customHeight="1" s="305">
      <c r="A2103" s="8" t="inlineStr">
        <is>
          <t>D 154</t>
        </is>
      </c>
      <c r="B2103" s="5" t="n">
        <v>53</v>
      </c>
      <c r="C2103" s="72" t="inlineStr">
        <is>
          <t>X</t>
        </is>
      </c>
      <c r="D2103" s="5" t="n">
        <v>102</v>
      </c>
      <c r="E2103" s="73">
        <f>B2103*D2103/10000</f>
        <v/>
      </c>
      <c r="F2103" s="74">
        <f>B2103/30.48</f>
        <v/>
      </c>
      <c r="G2103" s="74">
        <f>D2103/30.48</f>
        <v/>
      </c>
      <c r="H2103" s="693" t="n"/>
      <c r="I2103" s="693" t="n"/>
      <c r="J2103" s="693" t="n"/>
      <c r="P2103" s="280" t="n"/>
    </row>
    <row r="2104" ht="18" customHeight="1" s="305">
      <c r="A2104" s="28" t="inlineStr">
        <is>
          <t>D 645</t>
        </is>
      </c>
      <c r="B2104" s="29" t="n">
        <v>45</v>
      </c>
      <c r="C2104" s="236" t="inlineStr">
        <is>
          <t>X</t>
        </is>
      </c>
      <c r="D2104" s="29" t="n">
        <v>97</v>
      </c>
      <c r="E2104" s="237">
        <f>B2104*D2104/10000</f>
        <v/>
      </c>
      <c r="F2104" s="238">
        <f>B2104/30.48</f>
        <v/>
      </c>
      <c r="G2104" s="238">
        <f>D2104/30.48</f>
        <v/>
      </c>
      <c r="H2104" s="694" t="n"/>
      <c r="I2104" s="694" t="n"/>
      <c r="J2104" s="694" t="n"/>
      <c r="P2104" s="280" t="n"/>
    </row>
    <row r="2105" ht="18" customHeight="1" s="305">
      <c r="A2105" s="8" t="n">
        <v>2105</v>
      </c>
      <c r="B2105" s="5" t="n">
        <v>91</v>
      </c>
      <c r="C2105" s="72" t="inlineStr">
        <is>
          <t>X</t>
        </is>
      </c>
      <c r="D2105" s="5" t="n">
        <v>306</v>
      </c>
      <c r="E2105" s="73">
        <f>B2105*D2105/10000</f>
        <v/>
      </c>
      <c r="F2105" s="74">
        <f>B2105/30.48</f>
        <v/>
      </c>
      <c r="G2105" s="74">
        <f>D2105/30.48</f>
        <v/>
      </c>
      <c r="H2105" s="594" t="inlineStr">
        <is>
          <t>RK</t>
        </is>
      </c>
      <c r="I2105" s="570" t="inlineStr">
        <is>
          <t>Kara Hale</t>
        </is>
      </c>
      <c r="J2105" s="557" t="n"/>
      <c r="P2105" s="280" t="n"/>
    </row>
    <row r="2106" ht="18" customHeight="1" s="305">
      <c r="A2106" s="8" t="n">
        <v>2533</v>
      </c>
      <c r="B2106" s="5" t="n">
        <v>94</v>
      </c>
      <c r="C2106" s="72" t="inlineStr">
        <is>
          <t>X</t>
        </is>
      </c>
      <c r="D2106" s="5" t="n">
        <v>300</v>
      </c>
      <c r="E2106" s="73">
        <f>B2106*D2106/10000</f>
        <v/>
      </c>
      <c r="F2106" s="74">
        <f>B2106/30.48</f>
        <v/>
      </c>
      <c r="G2106" s="74">
        <f>D2106/30.48</f>
        <v/>
      </c>
      <c r="H2106" s="66" t="inlineStr">
        <is>
          <t>RK</t>
        </is>
      </c>
      <c r="I2106" s="294" t="inlineStr">
        <is>
          <t>Melissa Denys</t>
        </is>
      </c>
      <c r="J2106" s="557" t="n"/>
      <c r="P2106" s="280" t="n"/>
      <c r="S2106" s="1" t="n"/>
    </row>
    <row r="2107" ht="18" customHeight="1" s="305">
      <c r="A2107" s="8" t="n">
        <v>1579</v>
      </c>
      <c r="B2107" s="5" t="n">
        <v>210</v>
      </c>
      <c r="C2107" s="72" t="inlineStr">
        <is>
          <t>X</t>
        </is>
      </c>
      <c r="D2107" s="5" t="n">
        <v>76</v>
      </c>
      <c r="E2107" s="73">
        <f>B2107*D2107/10000</f>
        <v/>
      </c>
      <c r="F2107" s="74">
        <f>B2107/30.48</f>
        <v/>
      </c>
      <c r="G2107" s="74">
        <f>D2107/30.48</f>
        <v/>
      </c>
      <c r="H2107" s="293" t="inlineStr">
        <is>
          <t>BHR</t>
        </is>
      </c>
      <c r="I2107" s="570" t="inlineStr">
        <is>
          <t>Atha Dowling</t>
        </is>
      </c>
      <c r="J2107" s="557" t="n"/>
      <c r="P2107" s="280" t="n"/>
    </row>
    <row r="2108" ht="18" customHeight="1" s="305">
      <c r="A2108" s="8" t="n">
        <v>2460</v>
      </c>
      <c r="B2108" s="5" t="n">
        <v>75</v>
      </c>
      <c r="C2108" s="72" t="inlineStr">
        <is>
          <t>X</t>
        </is>
      </c>
      <c r="D2108" s="5" t="n">
        <v>341</v>
      </c>
      <c r="E2108" s="73">
        <f>B2108*D2108/10000</f>
        <v/>
      </c>
      <c r="F2108" s="74">
        <f>B2108/30.48</f>
        <v/>
      </c>
      <c r="G2108" s="74">
        <f>D2108/30.48</f>
        <v/>
      </c>
      <c r="H2108" s="69" t="inlineStr">
        <is>
          <t>RK</t>
        </is>
      </c>
      <c r="I2108" s="570" t="inlineStr">
        <is>
          <t>Lindsey Frace</t>
        </is>
      </c>
      <c r="J2108" s="557" t="n"/>
      <c r="P2108" s="280" t="n"/>
      <c r="S2108" s="1" t="n"/>
    </row>
    <row r="2109" ht="18" customHeight="1" s="305">
      <c r="A2109" s="8" t="n">
        <v>2566</v>
      </c>
      <c r="B2109" s="5" t="n">
        <v>125</v>
      </c>
      <c r="C2109" s="72" t="inlineStr">
        <is>
          <t>X</t>
        </is>
      </c>
      <c r="D2109" s="5" t="n">
        <v>245</v>
      </c>
      <c r="E2109" s="73">
        <f>B2109*D2109/10000</f>
        <v/>
      </c>
      <c r="F2109" s="74">
        <f>B2109/30.48</f>
        <v/>
      </c>
      <c r="G2109" s="74">
        <f>D2109/30.48</f>
        <v/>
      </c>
      <c r="H2109" s="69" t="inlineStr">
        <is>
          <t>RK</t>
        </is>
      </c>
      <c r="I2109" s="570" t="inlineStr">
        <is>
          <t>Jenna Young</t>
        </is>
      </c>
      <c r="J2109" s="557" t="n"/>
      <c r="P2109" s="280" t="n"/>
      <c r="S2109" s="1" t="n"/>
    </row>
    <row r="2110" ht="18" customHeight="1" s="305">
      <c r="A2110" s="8" t="n">
        <v>2604</v>
      </c>
      <c r="B2110" s="5" t="n">
        <v>78</v>
      </c>
      <c r="C2110" s="72" t="inlineStr">
        <is>
          <t>X</t>
        </is>
      </c>
      <c r="D2110" s="5" t="n">
        <v>244</v>
      </c>
      <c r="E2110" s="73">
        <f>B2110*D2110/10000</f>
        <v/>
      </c>
      <c r="F2110" s="74">
        <f>B2110/30.48</f>
        <v/>
      </c>
      <c r="G2110" s="74">
        <f>D2110/30.48</f>
        <v/>
      </c>
      <c r="H2110" s="69" t="inlineStr">
        <is>
          <t>MCHD-TR</t>
        </is>
      </c>
      <c r="I2110" s="557" t="n"/>
      <c r="J2110" s="557" t="n"/>
      <c r="P2110" s="280" t="n"/>
      <c r="S2110" s="1" t="n"/>
    </row>
    <row r="2111" ht="18" customHeight="1" s="305">
      <c r="A2111" s="8" t="n">
        <v>2015</v>
      </c>
      <c r="B2111" s="5" t="n">
        <v>67</v>
      </c>
      <c r="C2111" s="72" t="inlineStr">
        <is>
          <t>X</t>
        </is>
      </c>
      <c r="D2111" s="5" t="n">
        <v>197</v>
      </c>
      <c r="E2111" s="73">
        <f>B2111*D2111/10000</f>
        <v/>
      </c>
      <c r="F2111" s="74">
        <f>B2111/30.48</f>
        <v/>
      </c>
      <c r="G2111" s="74">
        <f>D2111/30.48</f>
        <v/>
      </c>
      <c r="H2111" s="69" t="inlineStr">
        <is>
          <t>MCHD-TR</t>
        </is>
      </c>
      <c r="I2111" s="557" t="n"/>
      <c r="J2111" s="557" t="n"/>
      <c r="P2111" s="280" t="n"/>
      <c r="S2111" s="1" t="n"/>
    </row>
    <row r="2112" ht="18" customHeight="1" s="305">
      <c r="A2112" s="8" t="inlineStr">
        <is>
          <t>H 219</t>
        </is>
      </c>
      <c r="B2112" s="5" t="n">
        <v>83</v>
      </c>
      <c r="C2112" s="6" t="inlineStr">
        <is>
          <t>X</t>
        </is>
      </c>
      <c r="D2112" s="5" t="n">
        <v>345</v>
      </c>
      <c r="E2112" s="2">
        <f>B2112*D2112/10000</f>
        <v/>
      </c>
      <c r="F2112" s="3">
        <f>B2112/30.48</f>
        <v/>
      </c>
      <c r="G2112" s="3">
        <f>D2112/30.48</f>
        <v/>
      </c>
      <c r="H2112" s="69" t="inlineStr">
        <is>
          <t>MCHD-TR</t>
        </is>
      </c>
      <c r="I2112" s="557" t="n"/>
      <c r="J2112" s="557" t="n"/>
      <c r="P2112" s="280" t="n"/>
    </row>
    <row r="2113" ht="18" customHeight="1" s="305">
      <c r="A2113" s="8" t="n">
        <v>2975</v>
      </c>
      <c r="B2113" s="5" t="n">
        <v>84</v>
      </c>
      <c r="C2113" s="72" t="inlineStr">
        <is>
          <t>X</t>
        </is>
      </c>
      <c r="D2113" s="5" t="n">
        <v>268</v>
      </c>
      <c r="E2113" s="73">
        <f>B2113*D2113/10000</f>
        <v/>
      </c>
      <c r="F2113" s="74">
        <f>B2113/30.48</f>
        <v/>
      </c>
      <c r="G2113" s="74">
        <f>D2113/30.48</f>
        <v/>
      </c>
      <c r="H2113" s="69" t="inlineStr">
        <is>
          <t>MCHD-TR</t>
        </is>
      </c>
      <c r="I2113" s="545" t="n"/>
      <c r="J2113" s="545" t="n"/>
      <c r="P2113" s="280" t="n"/>
      <c r="S2113" s="1" t="n"/>
    </row>
    <row r="2114" ht="18" customHeight="1" s="305">
      <c r="A2114" s="8" t="n">
        <v>2408</v>
      </c>
      <c r="B2114" s="5" t="n">
        <v>136</v>
      </c>
      <c r="C2114" s="72" t="inlineStr">
        <is>
          <t>X</t>
        </is>
      </c>
      <c r="D2114" s="5" t="n">
        <v>171</v>
      </c>
      <c r="E2114" s="73">
        <f>B2114*D2114/10000</f>
        <v/>
      </c>
      <c r="F2114" s="74">
        <f>B2114/30.48</f>
        <v/>
      </c>
      <c r="G2114" s="74">
        <f>D2114/30.48</f>
        <v/>
      </c>
      <c r="H2114" s="69" t="inlineStr">
        <is>
          <t>RK</t>
        </is>
      </c>
      <c r="I2114" s="534" t="inlineStr">
        <is>
          <t xml:space="preserve"> Iman Tamimi</t>
        </is>
      </c>
      <c r="J2114" s="545" t="n"/>
      <c r="P2114" s="280" t="n"/>
    </row>
    <row r="2115" ht="18" customHeight="1" s="305">
      <c r="A2115" s="8" t="inlineStr">
        <is>
          <t>D 286</t>
        </is>
      </c>
      <c r="B2115" s="5" t="n">
        <v>52</v>
      </c>
      <c r="C2115" s="72" t="inlineStr">
        <is>
          <t>X</t>
        </is>
      </c>
      <c r="D2115" s="5" t="n">
        <v>85</v>
      </c>
      <c r="E2115" s="73">
        <f>B2115*D2115/10000</f>
        <v/>
      </c>
      <c r="F2115" s="74">
        <f>B2115/30.48</f>
        <v/>
      </c>
      <c r="G2115" s="74">
        <f>D2115/30.48</f>
        <v/>
      </c>
      <c r="H2115" s="569" t="inlineStr">
        <is>
          <t>OLD</t>
        </is>
      </c>
      <c r="I2115" s="570" t="inlineStr">
        <is>
          <t>TG Taylor Jr</t>
        </is>
      </c>
      <c r="J2115" s="557" t="n"/>
      <c r="P2115" s="280" t="n"/>
    </row>
    <row r="2116" ht="18" customHeight="1" s="305">
      <c r="A2116" s="8" t="n">
        <v>2884</v>
      </c>
      <c r="B2116" s="5" t="n">
        <v>106</v>
      </c>
      <c r="C2116" s="72" t="inlineStr">
        <is>
          <t>X</t>
        </is>
      </c>
      <c r="D2116" s="5" t="n">
        <v>354</v>
      </c>
      <c r="E2116" s="73">
        <f>B2116*D2116/10000</f>
        <v/>
      </c>
      <c r="F2116" s="74">
        <f>B2116/30.48</f>
        <v/>
      </c>
      <c r="G2116" s="74">
        <f>D2116/30.48</f>
        <v/>
      </c>
      <c r="H2116" s="272" t="inlineStr">
        <is>
          <t>WTR</t>
        </is>
      </c>
      <c r="I2116" s="534" t="inlineStr">
        <is>
          <t>Stephen Lake</t>
        </is>
      </c>
      <c r="J2116" s="545" t="n"/>
      <c r="P2116" s="280" t="n"/>
    </row>
    <row r="2117" ht="18" customHeight="1" s="305">
      <c r="A2117" s="28" t="inlineStr">
        <is>
          <t>D 473</t>
        </is>
      </c>
      <c r="B2117" s="29" t="n">
        <v>49</v>
      </c>
      <c r="C2117" s="236" t="inlineStr">
        <is>
          <t>X</t>
        </is>
      </c>
      <c r="D2117" s="29" t="n">
        <v>83</v>
      </c>
      <c r="E2117" s="237">
        <f>B2117*D2117/10000</f>
        <v/>
      </c>
      <c r="F2117" s="238">
        <f>B2117/30.48</f>
        <v/>
      </c>
      <c r="G2117" s="238">
        <f>D2117/30.48</f>
        <v/>
      </c>
      <c r="H2117" s="292" t="inlineStr">
        <is>
          <t>LMX</t>
        </is>
      </c>
      <c r="I2117" s="534" t="inlineStr">
        <is>
          <t>Dani Tschirhart</t>
        </is>
      </c>
      <c r="J2117" s="545" t="n"/>
      <c r="P2117" s="280" t="n"/>
    </row>
    <row r="2118" ht="18" customHeight="1" s="305">
      <c r="A2118" s="8" t="inlineStr">
        <is>
          <t>D 31</t>
        </is>
      </c>
      <c r="B2118" s="5" t="n">
        <v>50</v>
      </c>
      <c r="C2118" s="72" t="inlineStr">
        <is>
          <t>X</t>
        </is>
      </c>
      <c r="D2118" s="5" t="n">
        <v>102</v>
      </c>
      <c r="E2118" s="73">
        <f>B2118*D2118/10000</f>
        <v/>
      </c>
      <c r="F2118" s="74">
        <f>B2118/30.48</f>
        <v/>
      </c>
      <c r="G2118" s="74">
        <f>D2118/30.48</f>
        <v/>
      </c>
      <c r="H2118" s="569" t="inlineStr">
        <is>
          <t>OLD</t>
        </is>
      </c>
      <c r="I2118" s="570" t="inlineStr">
        <is>
          <t>Megan Von Gerichten</t>
        </is>
      </c>
      <c r="J2118" s="557" t="n"/>
      <c r="P2118" s="280" t="n"/>
    </row>
    <row r="2119" ht="18" customHeight="1" s="305">
      <c r="A2119" s="28" t="inlineStr">
        <is>
          <t>D 647</t>
        </is>
      </c>
      <c r="B2119" s="29" t="n">
        <v>36</v>
      </c>
      <c r="C2119" s="236" t="inlineStr">
        <is>
          <t>X</t>
        </is>
      </c>
      <c r="D2119" s="29" t="n">
        <v>92</v>
      </c>
      <c r="E2119" s="237">
        <f>B2119*D2119/10000</f>
        <v/>
      </c>
      <c r="F2119" s="238">
        <f>B2119/30.48</f>
        <v/>
      </c>
      <c r="G2119" s="238">
        <f>D2119/30.48</f>
        <v/>
      </c>
      <c r="H2119" s="360" t="inlineStr">
        <is>
          <t>LMX</t>
        </is>
      </c>
      <c r="I2119" s="534" t="inlineStr">
        <is>
          <t>Lindsey Martin</t>
        </is>
      </c>
      <c r="J2119" s="557" t="n"/>
      <c r="P2119" s="280" t="n"/>
    </row>
    <row r="2120" ht="18" customHeight="1" s="305">
      <c r="A2120" s="8" t="n">
        <v>3344</v>
      </c>
      <c r="B2120" s="5" t="n">
        <v>90</v>
      </c>
      <c r="C2120" s="72" t="inlineStr">
        <is>
          <t>X</t>
        </is>
      </c>
      <c r="D2120" s="5" t="n">
        <v>331</v>
      </c>
      <c r="E2120" s="73">
        <f>B2120*D2120/10000</f>
        <v/>
      </c>
      <c r="F2120" s="74">
        <f>B2120/30.48</f>
        <v/>
      </c>
      <c r="G2120" s="74">
        <f>D2120/30.48</f>
        <v/>
      </c>
      <c r="H2120" s="694" t="n"/>
      <c r="I2120" s="693" t="n"/>
      <c r="J2120" s="545" t="n"/>
      <c r="P2120" s="280" t="n"/>
    </row>
    <row r="2121" ht="18" customHeight="1" s="305">
      <c r="A2121" s="8" t="n">
        <v>2658</v>
      </c>
      <c r="B2121" s="5" t="n">
        <v>87</v>
      </c>
      <c r="C2121" s="72" t="inlineStr">
        <is>
          <t>X</t>
        </is>
      </c>
      <c r="D2121" s="5" t="n">
        <v>371</v>
      </c>
      <c r="E2121" s="73">
        <f>B2121*D2121/10000</f>
        <v/>
      </c>
      <c r="F2121" s="74">
        <f>B2121/30.48</f>
        <v/>
      </c>
      <c r="G2121" s="74">
        <f>D2121/30.48</f>
        <v/>
      </c>
      <c r="H2121" s="292" t="inlineStr">
        <is>
          <t>LMX</t>
        </is>
      </c>
      <c r="I2121" s="570" t="inlineStr">
        <is>
          <t>Brittney Knight</t>
        </is>
      </c>
      <c r="J2121" s="557" t="n"/>
      <c r="P2121" s="280" t="n"/>
    </row>
    <row r="2122" ht="18" customHeight="1" s="305">
      <c r="A2122" s="8" t="n">
        <v>2621</v>
      </c>
      <c r="B2122" s="5" t="n">
        <v>99</v>
      </c>
      <c r="C2122" s="72" t="inlineStr">
        <is>
          <t>X</t>
        </is>
      </c>
      <c r="D2122" s="5" t="n">
        <v>170</v>
      </c>
      <c r="E2122" s="73">
        <f>B2122*D2122/10000</f>
        <v/>
      </c>
      <c r="F2122" s="74">
        <f>B2122/30.48</f>
        <v/>
      </c>
      <c r="G2122" s="74">
        <f>D2122/30.48</f>
        <v/>
      </c>
      <c r="H2122" s="293" t="inlineStr">
        <is>
          <t>BHR</t>
        </is>
      </c>
      <c r="I2122" s="570" t="inlineStr">
        <is>
          <t>Hannah Murphy</t>
        </is>
      </c>
      <c r="J2122" s="557" t="n"/>
      <c r="P2122" s="280" t="n"/>
    </row>
    <row r="2123" ht="18" customHeight="1" s="305">
      <c r="A2123" s="8" t="n">
        <v>3898</v>
      </c>
      <c r="B2123" s="5" t="n">
        <v>89</v>
      </c>
      <c r="C2123" s="72" t="inlineStr">
        <is>
          <t>X</t>
        </is>
      </c>
      <c r="D2123" s="5" t="n">
        <v>127</v>
      </c>
      <c r="E2123" s="73">
        <f>B2123*D2123/10000</f>
        <v/>
      </c>
      <c r="F2123" s="74">
        <f>B2123/30.48</f>
        <v/>
      </c>
      <c r="G2123" s="74">
        <f>D2123/30.48</f>
        <v/>
      </c>
      <c r="H2123" s="292" t="inlineStr">
        <is>
          <t>LMX</t>
        </is>
      </c>
      <c r="I2123" s="570" t="inlineStr">
        <is>
          <t>Amy Hughey</t>
        </is>
      </c>
      <c r="J2123" s="557" t="n"/>
      <c r="P2123" s="280" t="n"/>
      <c r="S2123" s="1" t="n"/>
    </row>
    <row r="2124" ht="18" customHeight="1" s="305">
      <c r="A2124" s="8" t="n">
        <v>2318</v>
      </c>
      <c r="B2124" s="5" t="n">
        <v>142</v>
      </c>
      <c r="C2124" s="72" t="inlineStr">
        <is>
          <t>X</t>
        </is>
      </c>
      <c r="D2124" s="5" t="n">
        <v>180</v>
      </c>
      <c r="E2124" s="73">
        <f>B2124*D2124/10000</f>
        <v/>
      </c>
      <c r="F2124" s="74">
        <f>B2124/30.48</f>
        <v/>
      </c>
      <c r="G2124" s="74">
        <f>D2124/30.48</f>
        <v/>
      </c>
      <c r="H2124" s="272" t="inlineStr">
        <is>
          <t>WTR</t>
        </is>
      </c>
      <c r="I2124" s="534" t="inlineStr">
        <is>
          <t>Emily Brown Satterfield</t>
        </is>
      </c>
      <c r="J2124" s="545" t="n"/>
      <c r="P2124" s="280" t="n"/>
      <c r="S2124" s="1" t="n"/>
    </row>
    <row r="2125" ht="18" customHeight="1" s="305">
      <c r="A2125" s="8" t="n">
        <v>1919</v>
      </c>
      <c r="B2125" s="5" t="n">
        <v>69</v>
      </c>
      <c r="C2125" s="72" t="inlineStr">
        <is>
          <t>X</t>
        </is>
      </c>
      <c r="D2125" s="5" t="n">
        <v>200</v>
      </c>
      <c r="E2125" s="73">
        <f>B2125*D2125/10000</f>
        <v/>
      </c>
      <c r="F2125" s="74">
        <f>B2125/30.48</f>
        <v/>
      </c>
      <c r="G2125" s="74">
        <f>D2125/30.48</f>
        <v/>
      </c>
      <c r="H2125" s="16" t="inlineStr">
        <is>
          <t>VR</t>
        </is>
      </c>
      <c r="I2125" s="570" t="n"/>
      <c r="J2125" s="557" t="n"/>
      <c r="P2125" s="280" t="n"/>
    </row>
    <row r="2126" ht="18" customHeight="1" s="305">
      <c r="A2126" s="8" t="n">
        <v>3180</v>
      </c>
      <c r="B2126" s="5" t="n">
        <v>85</v>
      </c>
      <c r="C2126" s="72" t="inlineStr">
        <is>
          <t>X</t>
        </is>
      </c>
      <c r="D2126" s="5" t="n">
        <v>159</v>
      </c>
      <c r="E2126" s="73">
        <f>B2126*D2126/10000</f>
        <v/>
      </c>
      <c r="F2126" s="74">
        <f>B2126/30.48</f>
        <v/>
      </c>
      <c r="G2126" s="74">
        <f>D2126/30.48</f>
        <v/>
      </c>
      <c r="H2126" s="293" t="inlineStr">
        <is>
          <t>BHR</t>
        </is>
      </c>
      <c r="I2126" s="570" t="n"/>
      <c r="J2126" s="557" t="n"/>
      <c r="P2126" s="280" t="n"/>
      <c r="S2126" s="1" t="n"/>
    </row>
    <row r="2127" ht="18" customHeight="1" s="305">
      <c r="A2127" s="8" t="n">
        <v>2835</v>
      </c>
      <c r="B2127" s="5" t="n">
        <v>102</v>
      </c>
      <c r="C2127" s="72" t="inlineStr">
        <is>
          <t>X</t>
        </is>
      </c>
      <c r="D2127" s="5" t="n">
        <v>311</v>
      </c>
      <c r="E2127" s="73">
        <f>B2127*D2127/10000</f>
        <v/>
      </c>
      <c r="F2127" s="74">
        <f>B2127/30.48</f>
        <v/>
      </c>
      <c r="G2127" s="74">
        <f>D2127/30.48</f>
        <v/>
      </c>
      <c r="H2127" s="711" t="inlineStr">
        <is>
          <t>LMX</t>
        </is>
      </c>
      <c r="I2127" s="570" t="inlineStr">
        <is>
          <t>Margaret Crow</t>
        </is>
      </c>
      <c r="J2127" s="557" t="n"/>
      <c r="P2127" s="280" t="n"/>
      <c r="S2127" s="1" t="n"/>
    </row>
    <row r="2128" ht="18" customHeight="1" s="305">
      <c r="A2128" s="8" t="n">
        <v>2319</v>
      </c>
      <c r="B2128" s="5" t="n">
        <v>93</v>
      </c>
      <c r="C2128" s="72" t="inlineStr">
        <is>
          <t>X</t>
        </is>
      </c>
      <c r="D2128" s="5" t="n">
        <v>173</v>
      </c>
      <c r="E2128" s="73">
        <f>B2128*D2128/10000</f>
        <v/>
      </c>
      <c r="F2128" s="74">
        <f>B2128/30.48</f>
        <v/>
      </c>
      <c r="G2128" s="74">
        <f>D2128/30.48</f>
        <v/>
      </c>
      <c r="H2128" s="693" t="n"/>
      <c r="I2128" s="693" t="n"/>
      <c r="J2128" s="693" t="n"/>
      <c r="P2128" s="280" t="n"/>
      <c r="S2128" s="1" t="n"/>
    </row>
    <row r="2129" ht="18" customHeight="1" s="305">
      <c r="A2129" s="8" t="n">
        <v>3311</v>
      </c>
      <c r="B2129" s="5" t="n">
        <v>169</v>
      </c>
      <c r="C2129" s="72" t="inlineStr">
        <is>
          <t>X</t>
        </is>
      </c>
      <c r="D2129" s="5" t="n">
        <v>271</v>
      </c>
      <c r="E2129" s="73">
        <f>B2129*D2129/10000</f>
        <v/>
      </c>
      <c r="F2129" s="74">
        <f>B2129/30.48</f>
        <v/>
      </c>
      <c r="G2129" s="74">
        <f>D2129/30.48</f>
        <v/>
      </c>
      <c r="H2129" s="693" t="n"/>
      <c r="I2129" s="693" t="n"/>
      <c r="J2129" s="693" t="n"/>
      <c r="P2129" s="280" t="n"/>
      <c r="S2129" s="1" t="n"/>
    </row>
    <row r="2130" ht="18" customHeight="1" s="305">
      <c r="A2130" s="8" t="n">
        <v>2555</v>
      </c>
      <c r="B2130" s="5" t="n">
        <v>194</v>
      </c>
      <c r="C2130" s="72" t="inlineStr">
        <is>
          <t>X</t>
        </is>
      </c>
      <c r="D2130" s="5" t="n">
        <v>326</v>
      </c>
      <c r="E2130" s="73">
        <f>B2130*D2130/10000</f>
        <v/>
      </c>
      <c r="F2130" s="74">
        <f>B2130/30.48</f>
        <v/>
      </c>
      <c r="G2130" s="74">
        <f>D2130/30.48</f>
        <v/>
      </c>
      <c r="H2130" s="693" t="n"/>
      <c r="I2130" s="693" t="n"/>
      <c r="J2130" s="693" t="n"/>
      <c r="P2130" s="280" t="n"/>
      <c r="S2130" s="1" t="n"/>
    </row>
    <row r="2131" ht="18" customHeight="1" s="305">
      <c r="A2131" s="8" t="n">
        <v>2169</v>
      </c>
      <c r="B2131" s="5" t="n">
        <v>160</v>
      </c>
      <c r="C2131" s="72" t="inlineStr">
        <is>
          <t>X</t>
        </is>
      </c>
      <c r="D2131" s="5" t="n">
        <v>256</v>
      </c>
      <c r="E2131" s="73">
        <f>B2131*D2131/10000</f>
        <v/>
      </c>
      <c r="F2131" s="74">
        <f>B2131/30.48</f>
        <v/>
      </c>
      <c r="G2131" s="74">
        <f>D2131/30.48</f>
        <v/>
      </c>
      <c r="H2131" s="693" t="n"/>
      <c r="I2131" s="693" t="n"/>
      <c r="J2131" s="693" t="n"/>
      <c r="P2131" s="280" t="n"/>
      <c r="S2131" s="1" t="n"/>
    </row>
    <row r="2132" ht="18" customHeight="1" s="305">
      <c r="A2132" s="8" t="n">
        <v>3584</v>
      </c>
      <c r="B2132" s="5" t="n">
        <v>123</v>
      </c>
      <c r="C2132" s="72" t="inlineStr">
        <is>
          <t>X</t>
        </is>
      </c>
      <c r="D2132" s="5" t="n">
        <v>252</v>
      </c>
      <c r="E2132" s="73">
        <f>B2132*D2132/10000</f>
        <v/>
      </c>
      <c r="F2132" s="74">
        <f>B2132/30.48</f>
        <v/>
      </c>
      <c r="G2132" s="74">
        <f>D2132/30.48</f>
        <v/>
      </c>
      <c r="H2132" s="693" t="n"/>
      <c r="I2132" s="693" t="n"/>
      <c r="J2132" s="693" t="n"/>
      <c r="P2132" s="280" t="n"/>
      <c r="S2132" s="1" t="n"/>
    </row>
    <row r="2133" ht="18" customHeight="1" s="305">
      <c r="A2133" s="8" t="n">
        <v>2312</v>
      </c>
      <c r="B2133" s="5" t="n">
        <v>92</v>
      </c>
      <c r="C2133" s="72" t="inlineStr">
        <is>
          <t>X</t>
        </is>
      </c>
      <c r="D2133" s="5" t="n">
        <v>342</v>
      </c>
      <c r="E2133" s="73">
        <f>B2133*D2133/10000</f>
        <v/>
      </c>
      <c r="F2133" s="74">
        <f>B2133/30.48</f>
        <v/>
      </c>
      <c r="G2133" s="74">
        <f>D2133/30.48</f>
        <v/>
      </c>
      <c r="H2133" s="694" t="n"/>
      <c r="I2133" s="694" t="n"/>
      <c r="J2133" s="694" t="n"/>
      <c r="P2133" s="280" t="n"/>
      <c r="S2133" s="1" t="n"/>
    </row>
    <row r="2134" ht="18" customHeight="1" s="305">
      <c r="A2134" s="8" t="n">
        <v>2260</v>
      </c>
      <c r="B2134" s="5" t="n">
        <v>74</v>
      </c>
      <c r="C2134" s="72" t="inlineStr">
        <is>
          <t>X</t>
        </is>
      </c>
      <c r="D2134" s="5" t="n">
        <v>270</v>
      </c>
      <c r="E2134" s="73">
        <f>B2134*D2134/10000</f>
        <v/>
      </c>
      <c r="F2134" s="74">
        <f>B2134/30.48</f>
        <v/>
      </c>
      <c r="G2134" s="74">
        <f>D2134/30.48</f>
        <v/>
      </c>
      <c r="H2134" s="272" t="inlineStr">
        <is>
          <t>WTR</t>
        </is>
      </c>
      <c r="I2134" s="570" t="inlineStr">
        <is>
          <t>Etta Spencer</t>
        </is>
      </c>
      <c r="J2134" s="557" t="n"/>
      <c r="P2134" s="280" t="n"/>
      <c r="S2134" s="1" t="n"/>
    </row>
    <row r="2135" ht="18" customHeight="1" s="305">
      <c r="A2135" s="8" t="n">
        <v>2476</v>
      </c>
      <c r="B2135" s="5" t="n">
        <v>79</v>
      </c>
      <c r="C2135" s="72" t="inlineStr">
        <is>
          <t>X</t>
        </is>
      </c>
      <c r="D2135" s="5" t="n">
        <v>311</v>
      </c>
      <c r="E2135" s="73">
        <f>B2135*D2135/10000</f>
        <v/>
      </c>
      <c r="F2135" s="74">
        <f>B2135/30.48</f>
        <v/>
      </c>
      <c r="G2135" s="74">
        <f>D2135/30.48</f>
        <v/>
      </c>
      <c r="H2135" s="69" t="inlineStr">
        <is>
          <t>RK</t>
        </is>
      </c>
      <c r="I2135" s="534" t="inlineStr">
        <is>
          <t>Claire Neder</t>
        </is>
      </c>
      <c r="J2135" s="545" t="n"/>
      <c r="P2135" s="280" t="n"/>
      <c r="S2135" s="1" t="n"/>
    </row>
    <row r="2136" ht="18" customHeight="1" s="305">
      <c r="A2136" s="8" t="n">
        <v>1922</v>
      </c>
      <c r="B2136" s="5" t="n">
        <v>85</v>
      </c>
      <c r="C2136" s="72" t="inlineStr">
        <is>
          <t>X</t>
        </is>
      </c>
      <c r="D2136" s="5" t="n">
        <v>332</v>
      </c>
      <c r="E2136" s="73">
        <f>B2136*D2136/10000</f>
        <v/>
      </c>
      <c r="F2136" s="74">
        <f>B2136/30.48</f>
        <v/>
      </c>
      <c r="G2136" s="74">
        <f>D2136/30.48</f>
        <v/>
      </c>
      <c r="H2136" s="69" t="inlineStr">
        <is>
          <t>MCHD-TR</t>
        </is>
      </c>
      <c r="I2136" s="545" t="n"/>
      <c r="J2136" s="545" t="n"/>
      <c r="P2136" s="280" t="n"/>
      <c r="S2136" s="1" t="n"/>
    </row>
    <row r="2137" ht="18" customHeight="1" s="305">
      <c r="A2137" s="8" t="inlineStr">
        <is>
          <t>D 183</t>
        </is>
      </c>
      <c r="B2137" s="5" t="n">
        <v>54</v>
      </c>
      <c r="C2137" s="72" t="inlineStr">
        <is>
          <t>X</t>
        </is>
      </c>
      <c r="D2137" s="5" t="n">
        <v>99</v>
      </c>
      <c r="E2137" s="73">
        <f>B2137*D2137/10000</f>
        <v/>
      </c>
      <c r="F2137" s="74">
        <f>B2137/30.48</f>
        <v/>
      </c>
      <c r="G2137" s="74">
        <f>D2137/30.48</f>
        <v/>
      </c>
      <c r="H2137" s="16" t="inlineStr">
        <is>
          <t>VR</t>
        </is>
      </c>
      <c r="I2137" s="570" t="inlineStr">
        <is>
          <t>Kim Evans</t>
        </is>
      </c>
      <c r="J2137" s="557" t="n"/>
      <c r="P2137" s="280" t="n"/>
    </row>
    <row r="2138" ht="18" customHeight="1" s="305">
      <c r="A2138" s="8" t="n">
        <v>2121</v>
      </c>
      <c r="B2138" s="5" t="n">
        <v>81</v>
      </c>
      <c r="C2138" s="72" t="inlineStr">
        <is>
          <t>X</t>
        </is>
      </c>
      <c r="D2138" s="5" t="n">
        <v>280</v>
      </c>
      <c r="E2138" s="73">
        <f>B2138*D2138/10000</f>
        <v/>
      </c>
      <c r="F2138" s="74">
        <f>B2138/30.48</f>
        <v/>
      </c>
      <c r="G2138" s="74">
        <f>D2138/30.48</f>
        <v/>
      </c>
      <c r="H2138" s="272" t="inlineStr">
        <is>
          <t>WTR</t>
        </is>
      </c>
      <c r="I2138" s="570" t="inlineStr">
        <is>
          <t>Elizabeth Ryan</t>
        </is>
      </c>
      <c r="J2138" s="557" t="n"/>
      <c r="P2138" s="280" t="n"/>
    </row>
    <row r="2139" ht="18" customHeight="1" s="305">
      <c r="A2139" s="8" t="n">
        <v>1734</v>
      </c>
      <c r="B2139" s="5" t="n">
        <v>276</v>
      </c>
      <c r="C2139" s="72" t="inlineStr">
        <is>
          <t>X</t>
        </is>
      </c>
      <c r="D2139" s="5" t="n">
        <v>367</v>
      </c>
      <c r="E2139" s="73">
        <f>B2139*D2139/10000</f>
        <v/>
      </c>
      <c r="F2139" s="74">
        <f>B2139/30.48</f>
        <v/>
      </c>
      <c r="G2139" s="74">
        <f>D2139/30.48</f>
        <v/>
      </c>
      <c r="H2139" s="592" t="inlineStr">
        <is>
          <t>PAC</t>
        </is>
      </c>
      <c r="I2139" s="570" t="inlineStr">
        <is>
          <t>Summer Williams</t>
        </is>
      </c>
      <c r="J2139" s="557" t="n"/>
      <c r="P2139" s="280" t="n"/>
    </row>
    <row r="2140" ht="18" customHeight="1" s="305">
      <c r="A2140" s="8" t="n">
        <v>1472</v>
      </c>
      <c r="B2140" s="5" t="n">
        <v>95</v>
      </c>
      <c r="C2140" s="72" t="inlineStr">
        <is>
          <t>X</t>
        </is>
      </c>
      <c r="D2140" s="5" t="n">
        <v>336</v>
      </c>
      <c r="E2140" s="73">
        <f>B2140*D2140/10000</f>
        <v/>
      </c>
      <c r="F2140" s="74">
        <f>B2140/30.48</f>
        <v/>
      </c>
      <c r="G2140" s="74">
        <f>D2140/30.48</f>
        <v/>
      </c>
      <c r="H2140" s="69" t="inlineStr">
        <is>
          <t>RK</t>
        </is>
      </c>
      <c r="I2140" s="534" t="inlineStr">
        <is>
          <t>Jordan Podlogar</t>
        </is>
      </c>
      <c r="J2140" s="545" t="n"/>
      <c r="P2140" s="280" t="n"/>
    </row>
    <row r="2141" ht="18" customHeight="1" s="305">
      <c r="A2141" s="8" t="n">
        <v>3345</v>
      </c>
      <c r="B2141" s="5" t="n">
        <v>106</v>
      </c>
      <c r="C2141" s="72" t="inlineStr">
        <is>
          <t>X</t>
        </is>
      </c>
      <c r="D2141" s="5" t="n">
        <v>404</v>
      </c>
      <c r="E2141" s="73">
        <f>B2141*D2141/10000</f>
        <v/>
      </c>
      <c r="F2141" s="74">
        <f>B2141/30.48</f>
        <v/>
      </c>
      <c r="G2141" s="74">
        <f>D2141/30.48</f>
        <v/>
      </c>
      <c r="H2141" s="272" t="inlineStr">
        <is>
          <t>WTR</t>
        </is>
      </c>
      <c r="I2141" s="570" t="inlineStr">
        <is>
          <t>deanna Boykins</t>
        </is>
      </c>
      <c r="J2141" s="557" t="n"/>
      <c r="P2141" s="280" t="n"/>
    </row>
    <row r="2142" ht="18" customHeight="1" s="305">
      <c r="A2142" s="8" t="n">
        <v>2173</v>
      </c>
      <c r="B2142" s="5" t="n">
        <v>90</v>
      </c>
      <c r="C2142" s="72" t="inlineStr">
        <is>
          <t>X</t>
        </is>
      </c>
      <c r="D2142" s="5" t="n">
        <v>384</v>
      </c>
      <c r="E2142" s="73">
        <f>B2142*D2142/10000</f>
        <v/>
      </c>
      <c r="F2142" s="74">
        <f>B2142/30.48</f>
        <v/>
      </c>
      <c r="G2142" s="74">
        <f>D2142/30.48</f>
        <v/>
      </c>
      <c r="H2142" s="272" t="inlineStr">
        <is>
          <t>WTR</t>
        </is>
      </c>
      <c r="I2142" s="534" t="inlineStr">
        <is>
          <t>JUDITH S RUBIN</t>
        </is>
      </c>
      <c r="J2142" s="545" t="n"/>
    </row>
    <row r="2143" ht="18" customHeight="1" s="305">
      <c r="A2143" s="8" t="n">
        <v>2433</v>
      </c>
      <c r="B2143" s="5" t="n">
        <v>90</v>
      </c>
      <c r="C2143" s="72" t="inlineStr">
        <is>
          <t>X</t>
        </is>
      </c>
      <c r="D2143" s="5" t="n">
        <v>368</v>
      </c>
      <c r="E2143" s="73">
        <f>B2143*D2143/10000</f>
        <v/>
      </c>
      <c r="F2143" s="74">
        <f>B2143/30.48</f>
        <v/>
      </c>
      <c r="G2143" s="74">
        <f>D2143/30.48</f>
        <v/>
      </c>
      <c r="H2143" s="69" t="inlineStr">
        <is>
          <t>RK</t>
        </is>
      </c>
      <c r="I2143" s="534" t="inlineStr">
        <is>
          <t>Tabitha Mund</t>
        </is>
      </c>
      <c r="J2143" s="545" t="n"/>
      <c r="S2143" s="1" t="n"/>
    </row>
    <row r="2144" ht="18" customHeight="1" s="305">
      <c r="A2144" s="8" t="n">
        <v>2040</v>
      </c>
      <c r="B2144" s="5" t="n">
        <v>83</v>
      </c>
      <c r="C2144" s="72" t="inlineStr">
        <is>
          <t>X</t>
        </is>
      </c>
      <c r="D2144" s="5" t="n">
        <v>263</v>
      </c>
      <c r="E2144" s="73">
        <f>B2144*D2144/10000</f>
        <v/>
      </c>
      <c r="F2144" s="74">
        <f>B2144/30.48</f>
        <v/>
      </c>
      <c r="G2144" s="74">
        <f>D2144/30.48</f>
        <v/>
      </c>
      <c r="H2144" s="592" t="inlineStr">
        <is>
          <t>PAC</t>
        </is>
      </c>
      <c r="I2144" s="570" t="inlineStr">
        <is>
          <t>Ansley McMillan</t>
        </is>
      </c>
      <c r="J2144" s="557" t="n"/>
    </row>
    <row r="2145" ht="18" customHeight="1" s="305">
      <c r="A2145" s="8" t="inlineStr">
        <is>
          <t>C 663</t>
        </is>
      </c>
      <c r="B2145" s="5" t="n">
        <v>95</v>
      </c>
      <c r="C2145" s="6" t="inlineStr">
        <is>
          <t>X</t>
        </is>
      </c>
      <c r="D2145" s="5" t="n">
        <v>122</v>
      </c>
      <c r="E2145" s="2">
        <f>B2145*D2145/10000</f>
        <v/>
      </c>
      <c r="F2145" s="3">
        <f>B2145/30.48</f>
        <v/>
      </c>
      <c r="G2145" s="3">
        <f>D2145/30.48</f>
        <v/>
      </c>
      <c r="H2145" s="592" t="inlineStr">
        <is>
          <t>PAC</t>
        </is>
      </c>
      <c r="I2145" s="534" t="inlineStr">
        <is>
          <t>Annabella Goff</t>
        </is>
      </c>
      <c r="J2145" s="545" t="n"/>
    </row>
    <row r="2146" ht="18" customHeight="1" s="305">
      <c r="A2146" s="8" t="n">
        <v>3158</v>
      </c>
      <c r="B2146" s="5" t="n">
        <v>98</v>
      </c>
      <c r="C2146" s="72" t="inlineStr">
        <is>
          <t>X</t>
        </is>
      </c>
      <c r="D2146" s="5" t="n">
        <v>182</v>
      </c>
      <c r="E2146" s="73">
        <f>B2146*D2146/10000</f>
        <v/>
      </c>
      <c r="F2146" s="74">
        <f>B2146/30.48</f>
        <v/>
      </c>
      <c r="G2146" s="74">
        <f>D2146/30.48</f>
        <v/>
      </c>
      <c r="H2146" s="272" t="inlineStr">
        <is>
          <t>WTR</t>
        </is>
      </c>
      <c r="I2146" s="534" t="inlineStr">
        <is>
          <t>Bader &amp; Olson #Casperson</t>
        </is>
      </c>
      <c r="J2146" s="545" t="n"/>
    </row>
    <row r="2147" ht="18" customHeight="1" s="305">
      <c r="A2147" s="8" t="n">
        <v>3316</v>
      </c>
      <c r="B2147" s="5" t="n">
        <v>81</v>
      </c>
      <c r="C2147" s="72" t="inlineStr">
        <is>
          <t>X</t>
        </is>
      </c>
      <c r="D2147" s="5" t="n">
        <v>286</v>
      </c>
      <c r="E2147" s="73">
        <f>B2147*D2147/10000</f>
        <v/>
      </c>
      <c r="F2147" s="74">
        <f>B2147/30.48</f>
        <v/>
      </c>
      <c r="G2147" s="74">
        <f>D2147/30.48</f>
        <v/>
      </c>
      <c r="H2147" s="69" t="inlineStr">
        <is>
          <t>MCHD-TR</t>
        </is>
      </c>
      <c r="I2147" s="557" t="n"/>
      <c r="J2147" s="557" t="n"/>
    </row>
    <row r="2148" ht="18" customHeight="1" s="305">
      <c r="A2148" s="8" t="n">
        <v>2178</v>
      </c>
      <c r="B2148" s="5" t="n">
        <v>73</v>
      </c>
      <c r="C2148" s="72" t="inlineStr">
        <is>
          <t>X</t>
        </is>
      </c>
      <c r="D2148" s="5" t="n">
        <v>124</v>
      </c>
      <c r="E2148" s="73">
        <f>B2148*D2148/10000</f>
        <v/>
      </c>
      <c r="F2148" s="74">
        <f>B2148/30.48</f>
        <v/>
      </c>
      <c r="G2148" s="74">
        <f>D2148/30.48</f>
        <v/>
      </c>
      <c r="H2148" s="69" t="inlineStr">
        <is>
          <t>MCHD-TR</t>
        </is>
      </c>
      <c r="I2148" s="557" t="n"/>
      <c r="J2148" s="557" t="n"/>
    </row>
    <row r="2149" ht="18" customHeight="1" s="305">
      <c r="A2149" s="8" t="n">
        <v>2532</v>
      </c>
      <c r="B2149" s="5" t="n">
        <v>128</v>
      </c>
      <c r="C2149" s="72" t="inlineStr">
        <is>
          <t>X</t>
        </is>
      </c>
      <c r="D2149" s="5" t="n">
        <v>172</v>
      </c>
      <c r="E2149" s="73">
        <f>B2149*D2149/10000</f>
        <v/>
      </c>
      <c r="F2149" s="74">
        <f>B2149/30.48</f>
        <v/>
      </c>
      <c r="G2149" s="74">
        <f>D2149/30.48</f>
        <v/>
      </c>
      <c r="H2149" s="69" t="inlineStr">
        <is>
          <t>MCHD-TR</t>
        </is>
      </c>
      <c r="I2149" s="557" t="n"/>
      <c r="J2149" s="557" t="n"/>
      <c r="S2149" s="1" t="n"/>
    </row>
    <row r="2150" ht="18" customHeight="1" s="305">
      <c r="A2150" s="8" t="n">
        <v>2417</v>
      </c>
      <c r="B2150" s="5" t="n">
        <v>88</v>
      </c>
      <c r="C2150" s="72" t="inlineStr">
        <is>
          <t>X</t>
        </is>
      </c>
      <c r="D2150" s="5" t="n">
        <v>313</v>
      </c>
      <c r="E2150" s="73">
        <f>B2150*D2150/10000</f>
        <v/>
      </c>
      <c r="F2150" s="74">
        <f>B2150/30.48</f>
        <v/>
      </c>
      <c r="G2150" s="74">
        <f>D2150/30.48</f>
        <v/>
      </c>
      <c r="H2150" s="69" t="inlineStr">
        <is>
          <t>RK</t>
        </is>
      </c>
      <c r="I2150" s="570" t="inlineStr">
        <is>
          <t>Alexandra Sherrill</t>
        </is>
      </c>
      <c r="J2150" s="557" t="n"/>
      <c r="S2150" s="1" t="n"/>
    </row>
    <row r="2151" ht="18" customHeight="1" s="305">
      <c r="A2151" s="8" t="n">
        <v>1821</v>
      </c>
      <c r="B2151" s="5" t="n">
        <v>148</v>
      </c>
      <c r="C2151" s="72" t="inlineStr">
        <is>
          <t>X</t>
        </is>
      </c>
      <c r="D2151" s="5" t="n">
        <v>231</v>
      </c>
      <c r="E2151" s="73">
        <f>B2151*D2151/10000</f>
        <v/>
      </c>
      <c r="F2151" s="74">
        <f>B2151/30.48</f>
        <v/>
      </c>
      <c r="G2151" s="74">
        <f>D2151/30.48</f>
        <v/>
      </c>
      <c r="H2151" s="592" t="inlineStr">
        <is>
          <t>PAC</t>
        </is>
      </c>
      <c r="I2151" s="570" t="inlineStr">
        <is>
          <t>Claire Sperry</t>
        </is>
      </c>
      <c r="J2151" s="557" t="n"/>
    </row>
    <row r="2152" ht="18" customHeight="1" s="305">
      <c r="A2152" s="8" t="inlineStr">
        <is>
          <t>H 61</t>
        </is>
      </c>
      <c r="B2152" s="5" t="n">
        <v>80</v>
      </c>
      <c r="C2152" s="72" t="inlineStr">
        <is>
          <t>X</t>
        </is>
      </c>
      <c r="D2152" s="5" t="n">
        <v>384</v>
      </c>
      <c r="E2152" s="73">
        <f>B2152*D2152/10000</f>
        <v/>
      </c>
      <c r="F2152" s="74">
        <f>B2152/30.48</f>
        <v/>
      </c>
      <c r="G2152" s="74">
        <f>D2152/30.48</f>
        <v/>
      </c>
      <c r="H2152" s="272" t="inlineStr">
        <is>
          <t>WTR</t>
        </is>
      </c>
      <c r="I2152" s="570" t="inlineStr">
        <is>
          <t>Carolyn Pickens</t>
        </is>
      </c>
      <c r="J2152" s="557" t="n"/>
    </row>
    <row r="2153" ht="18" customHeight="1" s="305">
      <c r="A2153" s="8" t="inlineStr">
        <is>
          <t>H 233</t>
        </is>
      </c>
      <c r="B2153" s="5" t="n">
        <v>102</v>
      </c>
      <c r="C2153" s="72" t="inlineStr">
        <is>
          <t>X</t>
        </is>
      </c>
      <c r="D2153" s="5" t="n">
        <v>304</v>
      </c>
      <c r="E2153" s="73">
        <f>B2153*D2153/10000</f>
        <v/>
      </c>
      <c r="F2153" s="74">
        <f>B2153/30.48</f>
        <v/>
      </c>
      <c r="G2153" s="74">
        <f>D2153/30.48</f>
        <v/>
      </c>
      <c r="H2153" s="272" t="inlineStr">
        <is>
          <t>WTR</t>
        </is>
      </c>
      <c r="I2153" s="570" t="inlineStr">
        <is>
          <t>Celeste Parisi</t>
        </is>
      </c>
      <c r="J2153" s="557" t="n"/>
      <c r="S2153" s="1" t="n"/>
    </row>
    <row r="2154" ht="18" customHeight="1" s="305">
      <c r="A2154" s="8" t="n">
        <v>17</v>
      </c>
      <c r="B2154" s="5" t="n">
        <v>82</v>
      </c>
      <c r="C2154" s="6" t="inlineStr">
        <is>
          <t>X</t>
        </is>
      </c>
      <c r="D2154" s="5" t="n">
        <v>46</v>
      </c>
      <c r="E2154" s="2">
        <f>B2154*D2154/10000</f>
        <v/>
      </c>
      <c r="F2154" s="3">
        <f>B2154/30.48</f>
        <v/>
      </c>
      <c r="G2154" s="3">
        <f>D2154/30.48</f>
        <v/>
      </c>
      <c r="H2154" s="292" t="inlineStr">
        <is>
          <t>LMX</t>
        </is>
      </c>
      <c r="I2154" s="570" t="inlineStr">
        <is>
          <t>LEAH MOCK</t>
        </is>
      </c>
      <c r="J2154" s="557" t="n"/>
    </row>
    <row r="2155" ht="18" customHeight="1" s="305">
      <c r="A2155" s="8" t="n">
        <v>1199</v>
      </c>
      <c r="B2155" s="5" t="n">
        <v>117</v>
      </c>
      <c r="C2155" s="72" t="inlineStr">
        <is>
          <t>X</t>
        </is>
      </c>
      <c r="D2155" s="5" t="n">
        <v>342</v>
      </c>
      <c r="E2155" s="73">
        <f>B2155*D2155/10000</f>
        <v/>
      </c>
      <c r="F2155" s="74">
        <f>B2155/30.48</f>
        <v/>
      </c>
      <c r="G2155" s="74">
        <f>D2155/30.48</f>
        <v/>
      </c>
      <c r="H2155" s="16" t="inlineStr">
        <is>
          <t>VR</t>
        </is>
      </c>
      <c r="I2155" s="570" t="inlineStr">
        <is>
          <t>Samantha Zurek</t>
        </is>
      </c>
      <c r="J2155" s="557" t="n"/>
      <c r="S2155" s="1" t="n"/>
    </row>
    <row r="2156" ht="18" customHeight="1" s="305">
      <c r="A2156" s="8" t="inlineStr">
        <is>
          <t>D 293</t>
        </is>
      </c>
      <c r="B2156" s="5" t="n">
        <v>46</v>
      </c>
      <c r="C2156" s="72" t="inlineStr">
        <is>
          <t>X</t>
        </is>
      </c>
      <c r="D2156" s="5" t="n">
        <v>82</v>
      </c>
      <c r="E2156" s="73">
        <f>B2156*D2156/10000</f>
        <v/>
      </c>
      <c r="F2156" s="74">
        <f>B2156/30.48</f>
        <v/>
      </c>
      <c r="G2156" s="74">
        <f>D2156/30.48</f>
        <v/>
      </c>
      <c r="H2156" s="293" t="inlineStr">
        <is>
          <t>BHR</t>
        </is>
      </c>
      <c r="I2156" s="534" t="inlineStr">
        <is>
          <t>MARY SCHLOSS</t>
        </is>
      </c>
      <c r="J2156" s="545" t="n"/>
    </row>
    <row r="2157" ht="18" customHeight="1" s="305">
      <c r="A2157" s="8" t="inlineStr">
        <is>
          <t>D 189</t>
        </is>
      </c>
      <c r="B2157" s="5" t="n">
        <v>44</v>
      </c>
      <c r="C2157" s="72" t="inlineStr">
        <is>
          <t>X</t>
        </is>
      </c>
      <c r="D2157" s="5" t="n">
        <v>87</v>
      </c>
      <c r="E2157" s="73">
        <f>B2157*D2157/10000</f>
        <v/>
      </c>
      <c r="F2157" s="74">
        <f>B2157/30.48</f>
        <v/>
      </c>
      <c r="G2157" s="74">
        <f>D2157/30.48</f>
        <v/>
      </c>
      <c r="H2157" s="569" t="inlineStr">
        <is>
          <t>OLD</t>
        </is>
      </c>
      <c r="I2157" s="534" t="inlineStr">
        <is>
          <t>elizabeth shea</t>
        </is>
      </c>
      <c r="J2157" s="545" t="n"/>
      <c r="P2157" s="280" t="n"/>
    </row>
    <row r="2158" ht="18" customHeight="1" s="305">
      <c r="A2158" s="8" t="n">
        <v>2398</v>
      </c>
      <c r="B2158" s="5" t="n">
        <v>237</v>
      </c>
      <c r="C2158" s="72" t="inlineStr">
        <is>
          <t>X</t>
        </is>
      </c>
      <c r="D2158" s="5" t="n">
        <v>351</v>
      </c>
      <c r="E2158" s="73">
        <f>B2158*D2158/10000</f>
        <v/>
      </c>
      <c r="F2158" s="74">
        <f>B2158/30.48</f>
        <v/>
      </c>
      <c r="G2158" s="74">
        <f>D2158/30.48</f>
        <v/>
      </c>
      <c r="H2158" s="69" t="inlineStr">
        <is>
          <t>RK</t>
        </is>
      </c>
      <c r="I2158" s="534" t="inlineStr">
        <is>
          <t>Auset Love</t>
        </is>
      </c>
      <c r="J2158" s="545" t="n"/>
      <c r="P2158" s="280" t="n"/>
    </row>
    <row r="2159" ht="18" customHeight="1" s="305">
      <c r="A2159" s="8" t="n">
        <v>3237</v>
      </c>
      <c r="B2159" s="5" t="n">
        <v>84</v>
      </c>
      <c r="C2159" s="72" t="inlineStr">
        <is>
          <t>X</t>
        </is>
      </c>
      <c r="D2159" s="5" t="n">
        <v>294</v>
      </c>
      <c r="E2159" s="73">
        <f>B2159*D2159/10000</f>
        <v/>
      </c>
      <c r="F2159" s="74">
        <f>B2159/30.48</f>
        <v/>
      </c>
      <c r="G2159" s="74">
        <f>D2159/30.48</f>
        <v/>
      </c>
      <c r="H2159" s="272" t="inlineStr">
        <is>
          <t>WTR</t>
        </is>
      </c>
      <c r="I2159" s="570" t="inlineStr">
        <is>
          <t>Stacey Koehn</t>
        </is>
      </c>
      <c r="J2159" s="557" t="n"/>
      <c r="P2159" s="280" t="n"/>
    </row>
    <row r="2160" ht="18" customHeight="1" s="305">
      <c r="A2160" s="8" t="n">
        <v>3441</v>
      </c>
      <c r="B2160" s="5" t="n">
        <v>137</v>
      </c>
      <c r="C2160" s="72" t="inlineStr">
        <is>
          <t>X</t>
        </is>
      </c>
      <c r="D2160" s="5" t="n">
        <v>220</v>
      </c>
      <c r="E2160" s="73">
        <f>B2160*D2160/10000</f>
        <v/>
      </c>
      <c r="F2160" s="74">
        <f>B2160/30.48</f>
        <v/>
      </c>
      <c r="G2160" s="74">
        <f>D2160/30.48</f>
        <v/>
      </c>
      <c r="H2160" s="69" t="inlineStr">
        <is>
          <t>MCHD-TR</t>
        </is>
      </c>
      <c r="I2160" s="557" t="n"/>
      <c r="J2160" s="557" t="n"/>
      <c r="P2160" s="280" t="n"/>
      <c r="S2160" s="1" t="n"/>
    </row>
    <row r="2161" ht="18" customHeight="1" s="305">
      <c r="A2161" s="8" t="n">
        <v>3094</v>
      </c>
      <c r="B2161" s="5" t="n">
        <v>120</v>
      </c>
      <c r="C2161" s="72" t="inlineStr">
        <is>
          <t>X</t>
        </is>
      </c>
      <c r="D2161" s="5" t="n">
        <v>183</v>
      </c>
      <c r="E2161" s="73">
        <f>B2161*D2161/10000</f>
        <v/>
      </c>
      <c r="F2161" s="74">
        <f>B2161/30.48</f>
        <v/>
      </c>
      <c r="G2161" s="74">
        <f>D2161/30.48</f>
        <v/>
      </c>
      <c r="H2161" s="69" t="inlineStr">
        <is>
          <t>MCHD-TR</t>
        </is>
      </c>
      <c r="I2161" s="545" t="n"/>
      <c r="J2161" s="545" t="n"/>
      <c r="P2161" s="280" t="n"/>
    </row>
    <row r="2162" ht="18" customHeight="1" s="305">
      <c r="A2162" s="8" t="n">
        <v>2244</v>
      </c>
      <c r="B2162" s="5" t="n">
        <v>102</v>
      </c>
      <c r="C2162" s="72" t="inlineStr">
        <is>
          <t>X</t>
        </is>
      </c>
      <c r="D2162" s="5" t="n">
        <v>190</v>
      </c>
      <c r="E2162" s="73">
        <f>B2162*D2162/10000</f>
        <v/>
      </c>
      <c r="F2162" s="74">
        <f>B2162/30.48</f>
        <v/>
      </c>
      <c r="G2162" s="74">
        <f>D2162/30.48</f>
        <v/>
      </c>
      <c r="H2162" s="69" t="inlineStr">
        <is>
          <t>RK</t>
        </is>
      </c>
      <c r="I2162" s="570" t="inlineStr">
        <is>
          <t>ELIZABETH REYES</t>
        </is>
      </c>
      <c r="J2162" s="557" t="n"/>
      <c r="P2162" s="280" t="n"/>
    </row>
    <row r="2163" ht="18" customHeight="1" s="305">
      <c r="A2163" s="8" t="n">
        <v>2449</v>
      </c>
      <c r="B2163" s="5" t="n">
        <v>83</v>
      </c>
      <c r="C2163" s="72" t="inlineStr">
        <is>
          <t>X</t>
        </is>
      </c>
      <c r="D2163" s="5" t="n">
        <v>394</v>
      </c>
      <c r="E2163" s="73">
        <f>B2163*D2163/10000</f>
        <v/>
      </c>
      <c r="F2163" s="74">
        <f>B2163/30.48</f>
        <v/>
      </c>
      <c r="G2163" s="74">
        <f>D2163/30.48</f>
        <v/>
      </c>
      <c r="H2163" s="69" t="inlineStr">
        <is>
          <t>RK</t>
        </is>
      </c>
      <c r="I2163" s="534" t="inlineStr">
        <is>
          <t>Jessica Damon-Pugsley</t>
        </is>
      </c>
      <c r="J2163" s="545" t="n"/>
      <c r="P2163" s="280" t="n"/>
      <c r="S2163" s="1" t="n"/>
    </row>
    <row r="2164" ht="18" customHeight="1" s="305">
      <c r="A2164" s="8" t="n">
        <v>1333</v>
      </c>
      <c r="B2164" s="5" t="n">
        <v>97</v>
      </c>
      <c r="C2164" s="72" t="inlineStr">
        <is>
          <t>X</t>
        </is>
      </c>
      <c r="D2164" s="5" t="n">
        <v>354</v>
      </c>
      <c r="E2164" s="73">
        <f>B2164*D2164/10000</f>
        <v/>
      </c>
      <c r="F2164" s="74">
        <f>B2164/30.48</f>
        <v/>
      </c>
      <c r="G2164" s="74">
        <f>D2164/30.48</f>
        <v/>
      </c>
      <c r="H2164" s="293" t="inlineStr">
        <is>
          <t>BHR</t>
        </is>
      </c>
      <c r="I2164" s="570" t="inlineStr">
        <is>
          <t>Kelly Friedman</t>
        </is>
      </c>
      <c r="J2164" s="557" t="inlineStr">
        <is>
          <t>US-443 722 8998</t>
        </is>
      </c>
      <c r="P2164" s="280" t="n"/>
    </row>
    <row r="2165" ht="18" customHeight="1" s="305">
      <c r="A2165" s="8" t="n">
        <v>2151</v>
      </c>
      <c r="B2165" s="5" t="n">
        <v>210</v>
      </c>
      <c r="C2165" s="72" t="inlineStr">
        <is>
          <t>X</t>
        </is>
      </c>
      <c r="D2165" s="5" t="n">
        <v>281</v>
      </c>
      <c r="E2165" s="73">
        <f>B2165*D2165/10000</f>
        <v/>
      </c>
      <c r="F2165" s="74">
        <f>B2165/30.48</f>
        <v/>
      </c>
      <c r="G2165" s="74">
        <f>D2165/30.48</f>
        <v/>
      </c>
      <c r="H2165" s="292" t="inlineStr">
        <is>
          <t>LMX</t>
        </is>
      </c>
      <c r="I2165" s="534" t="inlineStr">
        <is>
          <t>Diane Grant</t>
        </is>
      </c>
      <c r="J2165" s="545" t="n"/>
      <c r="P2165" s="280" t="n"/>
      <c r="S2165" s="1" t="n"/>
    </row>
    <row r="2166" ht="18" customHeight="1" s="305">
      <c r="A2166" s="8" t="inlineStr">
        <is>
          <t>D 229</t>
        </is>
      </c>
      <c r="B2166" s="5" t="n">
        <v>47</v>
      </c>
      <c r="C2166" s="72" t="inlineStr">
        <is>
          <t>X</t>
        </is>
      </c>
      <c r="D2166" s="5" t="n">
        <v>91</v>
      </c>
      <c r="E2166" s="73">
        <f>B2166*D2166/10000</f>
        <v/>
      </c>
      <c r="F2166" s="74">
        <f>B2166/30.48</f>
        <v/>
      </c>
      <c r="G2166" s="74">
        <f>D2166/30.48</f>
        <v/>
      </c>
      <c r="H2166" s="569" t="inlineStr">
        <is>
          <t>OLD</t>
        </is>
      </c>
      <c r="I2166" s="570" t="inlineStr">
        <is>
          <t>Erin Brackbill</t>
        </is>
      </c>
      <c r="J2166" s="557" t="n"/>
      <c r="P2166" s="280" t="n"/>
      <c r="S2166" s="1" t="n"/>
    </row>
    <row r="2167" ht="18" customHeight="1" s="305">
      <c r="A2167" s="8" t="n">
        <v>1783</v>
      </c>
      <c r="B2167" s="5" t="n">
        <v>242</v>
      </c>
      <c r="C2167" s="72" t="inlineStr">
        <is>
          <t>X</t>
        </is>
      </c>
      <c r="D2167" s="5" t="n">
        <v>305</v>
      </c>
      <c r="E2167" s="73">
        <f>B2167*D2167/10000</f>
        <v/>
      </c>
      <c r="F2167" s="74">
        <f>B2167/30.48</f>
        <v/>
      </c>
      <c r="G2167" s="74">
        <f>D2167/30.48</f>
        <v/>
      </c>
      <c r="H2167" s="592" t="inlineStr">
        <is>
          <t>PAC</t>
        </is>
      </c>
      <c r="I2167" s="534" t="inlineStr">
        <is>
          <t>Elizabeth LeFlore</t>
        </is>
      </c>
      <c r="J2167" s="545" t="n"/>
      <c r="P2167" s="280" t="n"/>
      <c r="S2167" s="1" t="n"/>
    </row>
    <row r="2168" ht="18" customHeight="1" s="305">
      <c r="A2168" s="8" t="n">
        <v>2972</v>
      </c>
      <c r="B2168" s="5" t="n">
        <v>81</v>
      </c>
      <c r="C2168" s="72" t="inlineStr">
        <is>
          <t>X</t>
        </is>
      </c>
      <c r="D2168" s="5" t="n">
        <v>195</v>
      </c>
      <c r="E2168" s="73">
        <f>B2168*D2168/10000</f>
        <v/>
      </c>
      <c r="F2168" s="74">
        <f>B2168/30.48</f>
        <v/>
      </c>
      <c r="G2168" s="74">
        <f>D2168/30.48</f>
        <v/>
      </c>
      <c r="H2168" s="272" t="inlineStr">
        <is>
          <t>WTR</t>
        </is>
      </c>
      <c r="I2168" s="570" t="inlineStr">
        <is>
          <t>Tiffany Shewmaker</t>
        </is>
      </c>
      <c r="J2168" s="557" t="n"/>
      <c r="P2168" s="280" t="n"/>
      <c r="S2168" s="1" t="n"/>
    </row>
    <row r="2169" ht="18" customHeight="1" s="305">
      <c r="A2169" s="8" t="inlineStr">
        <is>
          <t>H 54</t>
        </is>
      </c>
      <c r="B2169" s="5" t="n">
        <v>82</v>
      </c>
      <c r="C2169" s="72" t="inlineStr">
        <is>
          <t>X</t>
        </is>
      </c>
      <c r="D2169" s="5" t="n">
        <v>380</v>
      </c>
      <c r="E2169" s="73">
        <f>B2169*D2169/10000</f>
        <v/>
      </c>
      <c r="F2169" s="74">
        <f>B2169/30.48</f>
        <v/>
      </c>
      <c r="G2169" s="74">
        <f>D2169/30.48</f>
        <v/>
      </c>
      <c r="H2169" s="272" t="inlineStr">
        <is>
          <t>WTR</t>
        </is>
      </c>
      <c r="I2169" s="557" t="inlineStr">
        <is>
          <t>Layne Jones</t>
        </is>
      </c>
      <c r="J2169" s="557" t="n"/>
      <c r="P2169" s="280" t="n"/>
      <c r="S2169" s="1" t="n"/>
    </row>
    <row r="2170" ht="18" customHeight="1" s="305">
      <c r="A2170" s="8" t="n">
        <v>3327</v>
      </c>
      <c r="B2170" s="5" t="n">
        <v>75</v>
      </c>
      <c r="C2170" s="72" t="inlineStr">
        <is>
          <t>X</t>
        </is>
      </c>
      <c r="D2170" s="5" t="n">
        <v>302</v>
      </c>
      <c r="E2170" s="73">
        <f>B2170*D2170/10000</f>
        <v/>
      </c>
      <c r="F2170" s="74">
        <f>B2170/30.48</f>
        <v/>
      </c>
      <c r="G2170" s="74">
        <f>D2170/30.48</f>
        <v/>
      </c>
      <c r="H2170" s="290" t="inlineStr">
        <is>
          <t>WTR</t>
        </is>
      </c>
      <c r="I2170" s="616" t="inlineStr">
        <is>
          <t>Angie Frantzen</t>
        </is>
      </c>
      <c r="J2170" s="545" t="n"/>
      <c r="P2170" s="280" t="n"/>
      <c r="S2170" s="1" t="n"/>
    </row>
    <row r="2171" ht="18" customHeight="1" s="305">
      <c r="A2171" s="8" t="n">
        <v>1080</v>
      </c>
      <c r="B2171" s="5" t="n">
        <v>70</v>
      </c>
      <c r="C2171" s="72" t="inlineStr">
        <is>
          <t>X</t>
        </is>
      </c>
      <c r="D2171" s="5" t="n">
        <v>169</v>
      </c>
      <c r="E2171" s="73">
        <f>B2171*D2171/10000</f>
        <v/>
      </c>
      <c r="F2171" s="74">
        <f>B2171/30.48</f>
        <v/>
      </c>
      <c r="G2171" s="74">
        <f>D2171/30.48</f>
        <v/>
      </c>
      <c r="H2171" s="293" t="inlineStr">
        <is>
          <t>BHR</t>
        </is>
      </c>
      <c r="I2171" s="570" t="inlineStr">
        <is>
          <t>Amanda Cook</t>
        </is>
      </c>
      <c r="J2171" s="557" t="n"/>
      <c r="P2171" s="280" t="n"/>
      <c r="S2171" s="1" t="n"/>
    </row>
    <row r="2172" ht="18" customHeight="1" s="305">
      <c r="A2172" s="8" t="n">
        <v>1723</v>
      </c>
      <c r="B2172" s="5" t="n">
        <v>295</v>
      </c>
      <c r="C2172" s="72" t="inlineStr">
        <is>
          <t>X</t>
        </is>
      </c>
      <c r="D2172" s="5" t="n">
        <v>379</v>
      </c>
      <c r="E2172" s="73">
        <f>B2172*D2172/10000</f>
        <v/>
      </c>
      <c r="F2172" s="74">
        <f>B2172/30.48</f>
        <v/>
      </c>
      <c r="G2172" s="74">
        <f>D2172/30.48</f>
        <v/>
      </c>
      <c r="H2172" s="592" t="inlineStr">
        <is>
          <t>PAC</t>
        </is>
      </c>
      <c r="I2172" s="557" t="inlineStr">
        <is>
          <t>Brandon Sides</t>
        </is>
      </c>
      <c r="J2172" s="557" t="n"/>
      <c r="P2172" s="280" t="n"/>
      <c r="S2172" s="1" t="n"/>
    </row>
    <row r="2173" ht="18" customHeight="1" s="305">
      <c r="A2173" s="28" t="inlineStr">
        <is>
          <t>KLM-57</t>
        </is>
      </c>
      <c r="B2173" s="9" t="n">
        <v>77</v>
      </c>
      <c r="C2173" s="236" t="inlineStr">
        <is>
          <t>X</t>
        </is>
      </c>
      <c r="D2173" s="9" t="n">
        <v>327</v>
      </c>
      <c r="E2173" s="237">
        <f>B2173*D2173/10000</f>
        <v/>
      </c>
      <c r="F2173" s="238">
        <f>B2173/30.48</f>
        <v/>
      </c>
      <c r="G2173" s="238">
        <f>D2173/30.48</f>
        <v/>
      </c>
      <c r="H2173" s="272" t="inlineStr">
        <is>
          <t>WTR</t>
        </is>
      </c>
      <c r="I2173" s="296" t="inlineStr">
        <is>
          <t>Melissa Rios-Zweig</t>
        </is>
      </c>
      <c r="J2173" s="295" t="n"/>
      <c r="P2173" s="280" t="n"/>
    </row>
    <row r="2174" ht="18" customHeight="1" s="305">
      <c r="A2174" s="8" t="n">
        <v>2903</v>
      </c>
      <c r="B2174" s="5" t="n">
        <v>221</v>
      </c>
      <c r="C2174" s="72" t="inlineStr">
        <is>
          <t>X</t>
        </is>
      </c>
      <c r="D2174" s="5" t="n">
        <v>278</v>
      </c>
      <c r="E2174" s="73">
        <f>B2174*D2174/10000</f>
        <v/>
      </c>
      <c r="F2174" s="74">
        <f>B2174/30.48</f>
        <v/>
      </c>
      <c r="G2174" s="74">
        <f>D2174/30.48</f>
        <v/>
      </c>
      <c r="H2174" s="69" t="inlineStr">
        <is>
          <t>MCHD-TR</t>
        </is>
      </c>
      <c r="I2174" s="557" t="n"/>
      <c r="J2174" s="557" t="n"/>
      <c r="P2174" s="280" t="n"/>
      <c r="S2174" s="1" t="n"/>
    </row>
    <row r="2175" ht="18" customHeight="1" s="305">
      <c r="A2175" s="8" t="inlineStr">
        <is>
          <t xml:space="preserve">          </t>
        </is>
      </c>
      <c r="B2175" s="5" t="n">
        <v>64</v>
      </c>
      <c r="C2175" s="72" t="inlineStr">
        <is>
          <t>X</t>
        </is>
      </c>
      <c r="D2175" s="5" t="n">
        <v>178</v>
      </c>
      <c r="E2175" s="73">
        <f>B2175*D2175/10000</f>
        <v/>
      </c>
      <c r="F2175" s="74">
        <f>B2175/30.48</f>
        <v/>
      </c>
      <c r="G2175" s="74">
        <f>D2175/30.48</f>
        <v/>
      </c>
      <c r="H2175" s="69" t="inlineStr">
        <is>
          <t>MCHD-TR</t>
        </is>
      </c>
      <c r="I2175" s="545" t="n"/>
      <c r="J2175" s="545" t="n"/>
      <c r="P2175" s="280" t="n"/>
      <c r="S2175" s="1" t="n"/>
    </row>
    <row r="2176" ht="18" customHeight="1" s="305">
      <c r="A2176" s="8" t="n">
        <v>3346</v>
      </c>
      <c r="B2176" s="5" t="n">
        <v>111</v>
      </c>
      <c r="C2176" s="72" t="inlineStr">
        <is>
          <t>X</t>
        </is>
      </c>
      <c r="D2176" s="5" t="n">
        <v>221</v>
      </c>
      <c r="E2176" s="73">
        <f>B2176*D2176/10000</f>
        <v/>
      </c>
      <c r="F2176" s="74">
        <f>B2176/30.48</f>
        <v/>
      </c>
      <c r="G2176" s="74">
        <f>D2176/30.48</f>
        <v/>
      </c>
      <c r="H2176" s="272" t="inlineStr">
        <is>
          <t>WTR</t>
        </is>
      </c>
      <c r="I2176" s="534" t="inlineStr">
        <is>
          <t>MICHELLE KELLOGG</t>
        </is>
      </c>
      <c r="J2176" s="545" t="n"/>
      <c r="P2176" s="280" t="n"/>
    </row>
    <row r="2177" ht="18" customHeight="1" s="305">
      <c r="A2177" s="8" t="n">
        <v>3414</v>
      </c>
      <c r="B2177" s="5" t="n">
        <v>129</v>
      </c>
      <c r="C2177" s="72" t="inlineStr">
        <is>
          <t>X</t>
        </is>
      </c>
      <c r="D2177" s="5" t="n">
        <v>312</v>
      </c>
      <c r="E2177" s="73">
        <f>B2177*D2177/10000</f>
        <v/>
      </c>
      <c r="F2177" s="74">
        <f>B2177/30.48</f>
        <v/>
      </c>
      <c r="G2177" s="74">
        <f>D2177/30.48</f>
        <v/>
      </c>
      <c r="H2177" s="272" t="inlineStr">
        <is>
          <t>WTR</t>
        </is>
      </c>
      <c r="I2177" s="570" t="inlineStr">
        <is>
          <t>Courtney Bowers</t>
        </is>
      </c>
      <c r="J2177" s="557" t="n"/>
      <c r="P2177" s="280" t="n"/>
    </row>
    <row r="2178" ht="18" customHeight="1" s="305">
      <c r="A2178" s="8" t="inlineStr">
        <is>
          <t>C 779</t>
        </is>
      </c>
      <c r="B2178" s="5" t="n">
        <v>110</v>
      </c>
      <c r="C2178" s="6" t="inlineStr">
        <is>
          <t>X</t>
        </is>
      </c>
      <c r="D2178" s="5" t="n">
        <v>190</v>
      </c>
      <c r="E2178" s="2">
        <f>B2178*D2178/10000</f>
        <v/>
      </c>
      <c r="F2178" s="3">
        <f>B2178/30.48</f>
        <v/>
      </c>
      <c r="G2178" s="3">
        <f>D2178/30.48</f>
        <v/>
      </c>
      <c r="H2178" s="592" t="inlineStr">
        <is>
          <t>PAC</t>
        </is>
      </c>
      <c r="I2178" s="570" t="inlineStr">
        <is>
          <t>Kirby Sims</t>
        </is>
      </c>
      <c r="J2178" s="557" t="n"/>
      <c r="P2178" s="280" t="n"/>
    </row>
    <row r="2179" ht="18" customHeight="1" s="305">
      <c r="A2179" s="8" t="n">
        <v>2537</v>
      </c>
      <c r="B2179" s="5" t="n">
        <v>94</v>
      </c>
      <c r="C2179" s="72" t="inlineStr">
        <is>
          <t>X</t>
        </is>
      </c>
      <c r="D2179" s="5" t="n">
        <v>281</v>
      </c>
      <c r="E2179" s="73">
        <f>B2179*D2179/10000</f>
        <v/>
      </c>
      <c r="F2179" s="74">
        <f>B2179/30.48</f>
        <v/>
      </c>
      <c r="G2179" s="74">
        <f>D2179/30.48</f>
        <v/>
      </c>
      <c r="H2179" s="69" t="inlineStr">
        <is>
          <t>RK</t>
        </is>
      </c>
      <c r="I2179" s="534" t="inlineStr">
        <is>
          <t>Carolyn Ann Good</t>
        </is>
      </c>
      <c r="J2179" s="545" t="n"/>
      <c r="P2179" s="280" t="n"/>
      <c r="S2179" s="1" t="n"/>
    </row>
    <row r="2180" ht="18" customHeight="1" s="305">
      <c r="A2180" s="8" t="n">
        <v>2854</v>
      </c>
      <c r="B2180" s="5" t="n">
        <v>81</v>
      </c>
      <c r="C2180" s="72" t="inlineStr">
        <is>
          <t>X</t>
        </is>
      </c>
      <c r="D2180" s="5" t="n">
        <v>294</v>
      </c>
      <c r="E2180" s="73">
        <f>B2180*D2180/10000</f>
        <v/>
      </c>
      <c r="F2180" s="74">
        <f>B2180/30.48</f>
        <v/>
      </c>
      <c r="G2180" s="74">
        <f>D2180/30.48</f>
        <v/>
      </c>
      <c r="H2180" s="272" t="inlineStr">
        <is>
          <t>WTR</t>
        </is>
      </c>
      <c r="I2180" s="534" t="inlineStr">
        <is>
          <t>Max Crowley</t>
        </is>
      </c>
      <c r="J2180" s="545" t="n"/>
      <c r="P2180" s="280" t="n"/>
    </row>
    <row r="2181" ht="18" customHeight="1" s="305">
      <c r="A2181" s="8" t="n">
        <v>2845</v>
      </c>
      <c r="B2181" s="5" t="n">
        <v>104</v>
      </c>
      <c r="C2181" s="72" t="inlineStr">
        <is>
          <t>X</t>
        </is>
      </c>
      <c r="D2181" s="5" t="n">
        <v>389</v>
      </c>
      <c r="E2181" s="73">
        <f>B2181*D2181/10000</f>
        <v/>
      </c>
      <c r="F2181" s="74">
        <f>B2181/30.48</f>
        <v/>
      </c>
      <c r="G2181" s="74">
        <f>D2181/30.48</f>
        <v/>
      </c>
      <c r="H2181" s="272" t="inlineStr">
        <is>
          <t>WTR</t>
        </is>
      </c>
      <c r="I2181" s="570" t="inlineStr">
        <is>
          <t>stephanie l allen</t>
        </is>
      </c>
      <c r="J2181" s="557" t="n"/>
      <c r="P2181" s="280" t="n"/>
    </row>
    <row r="2182" ht="18" customHeight="1" s="305">
      <c r="A2182" s="8" t="inlineStr">
        <is>
          <t>Y 140</t>
        </is>
      </c>
      <c r="B2182" s="5" t="n">
        <v>380</v>
      </c>
      <c r="C2182" s="6" t="inlineStr">
        <is>
          <t>X</t>
        </is>
      </c>
      <c r="D2182" s="5" t="n">
        <v>84</v>
      </c>
      <c r="E2182" s="2">
        <f>B2182*D2182/10000</f>
        <v/>
      </c>
      <c r="F2182" s="3">
        <f>B2182/30.48</f>
        <v/>
      </c>
      <c r="G2182" s="3">
        <f>D2182/30.48</f>
        <v/>
      </c>
      <c r="H2182" s="592" t="inlineStr">
        <is>
          <t>PAC</t>
        </is>
      </c>
      <c r="I2182" s="570" t="inlineStr">
        <is>
          <t>Sheila Stuart</t>
        </is>
      </c>
      <c r="J2182" s="557" t="n"/>
      <c r="P2182" s="280" t="n"/>
    </row>
    <row r="2183" ht="18" customHeight="1" s="305">
      <c r="A2183" s="8" t="inlineStr">
        <is>
          <t>Y 140</t>
        </is>
      </c>
      <c r="B2183" s="5" t="n">
        <v>82</v>
      </c>
      <c r="C2183" s="72" t="inlineStr">
        <is>
          <t>X</t>
        </is>
      </c>
      <c r="D2183" s="5" t="n">
        <v>342</v>
      </c>
      <c r="E2183" s="73">
        <f>B2183*D2183/10000</f>
        <v/>
      </c>
      <c r="F2183" s="74">
        <f>B2183/30.48</f>
        <v/>
      </c>
      <c r="G2183" s="74">
        <f>D2183/30.48</f>
        <v/>
      </c>
      <c r="H2183" s="503" t="inlineStr">
        <is>
          <t>VR</t>
        </is>
      </c>
      <c r="I2183" s="570" t="inlineStr">
        <is>
          <t>Karina Uribe</t>
        </is>
      </c>
      <c r="J2183" s="557" t="n"/>
      <c r="P2183" s="280" t="n"/>
      <c r="S2183" s="1" t="n"/>
    </row>
    <row r="2184" ht="18" customHeight="1" s="305">
      <c r="A2184" s="8" t="inlineStr">
        <is>
          <t>D 212</t>
        </is>
      </c>
      <c r="B2184" s="5" t="n">
        <v>48</v>
      </c>
      <c r="C2184" s="72" t="inlineStr">
        <is>
          <t>X</t>
        </is>
      </c>
      <c r="D2184" s="5" t="n">
        <v>91</v>
      </c>
      <c r="E2184" s="73">
        <f>B2184*D2184/10000</f>
        <v/>
      </c>
      <c r="F2184" s="74">
        <f>B2184/30.48</f>
        <v/>
      </c>
      <c r="G2184" s="74">
        <f>D2184/30.48</f>
        <v/>
      </c>
      <c r="H2184" s="614" t="inlineStr">
        <is>
          <t>BHR</t>
        </is>
      </c>
      <c r="I2184" s="616" t="inlineStr">
        <is>
          <t>Kate Lindeman</t>
        </is>
      </c>
      <c r="J2184" s="545" t="n"/>
    </row>
    <row r="2185" ht="18" customHeight="1" s="305">
      <c r="A2185" s="8" t="n">
        <v>1458</v>
      </c>
      <c r="B2185" s="5" t="n">
        <v>84</v>
      </c>
      <c r="C2185" s="72" t="inlineStr">
        <is>
          <t>X</t>
        </is>
      </c>
      <c r="D2185" s="5" t="n">
        <v>325</v>
      </c>
      <c r="E2185" s="73">
        <f>B2185*D2185/10000</f>
        <v/>
      </c>
      <c r="F2185" s="74">
        <f>B2185/30.48</f>
        <v/>
      </c>
      <c r="G2185" s="74">
        <f>D2185/30.48</f>
        <v/>
      </c>
      <c r="H2185" s="69" t="inlineStr">
        <is>
          <t>RK</t>
        </is>
      </c>
      <c r="I2185" s="570" t="inlineStr">
        <is>
          <t>Cari Mayo</t>
        </is>
      </c>
      <c r="J2185" s="557" t="n"/>
    </row>
    <row r="2186" ht="18" customHeight="1" s="305">
      <c r="A2186" s="8" t="inlineStr">
        <is>
          <t>C 930</t>
        </is>
      </c>
      <c r="B2186" s="5" t="n">
        <v>178</v>
      </c>
      <c r="C2186" s="6" t="inlineStr">
        <is>
          <t>X</t>
        </is>
      </c>
      <c r="D2186" s="5" t="n">
        <v>244</v>
      </c>
      <c r="E2186" s="2">
        <f>B2186*D2186/10000</f>
        <v/>
      </c>
      <c r="F2186" s="3">
        <f>B2186/30.48</f>
        <v/>
      </c>
      <c r="G2186" s="3">
        <f>D2186/30.48</f>
        <v/>
      </c>
      <c r="H2186" s="592" t="inlineStr">
        <is>
          <t>PAC</t>
        </is>
      </c>
      <c r="I2186" s="534" t="inlineStr">
        <is>
          <t>Bettina Zeiger</t>
        </is>
      </c>
      <c r="J2186" s="545" t="n"/>
    </row>
    <row r="2187" ht="18" customHeight="1" s="305">
      <c r="A2187" s="8" t="n">
        <v>2172</v>
      </c>
      <c r="B2187" s="5" t="n">
        <v>88</v>
      </c>
      <c r="C2187" s="72" t="inlineStr">
        <is>
          <t>X</t>
        </is>
      </c>
      <c r="D2187" s="5" t="n">
        <v>352</v>
      </c>
      <c r="E2187" s="73">
        <f>B2187*D2187/10000</f>
        <v/>
      </c>
      <c r="F2187" s="74">
        <f>B2187/30.48</f>
        <v/>
      </c>
      <c r="G2187" s="74">
        <f>D2187/30.48</f>
        <v/>
      </c>
      <c r="H2187" s="272" t="inlineStr">
        <is>
          <t>WTR</t>
        </is>
      </c>
      <c r="I2187" s="570" t="inlineStr">
        <is>
          <t>Maddison Bruton</t>
        </is>
      </c>
      <c r="J2187" s="557" t="n"/>
    </row>
    <row r="2188" ht="18" customHeight="1" s="305">
      <c r="A2188" s="8" t="n">
        <v>1242</v>
      </c>
      <c r="B2188" s="5" t="n">
        <v>80</v>
      </c>
      <c r="C2188" s="72" t="inlineStr">
        <is>
          <t>X</t>
        </is>
      </c>
      <c r="D2188" s="5" t="n">
        <v>303</v>
      </c>
      <c r="E2188" s="73">
        <f>B2188*D2188/10000</f>
        <v/>
      </c>
      <c r="F2188" s="74">
        <f>B2188/30.48</f>
        <v/>
      </c>
      <c r="G2188" s="74">
        <f>D2188/30.48</f>
        <v/>
      </c>
      <c r="H2188" s="69" t="inlineStr">
        <is>
          <t>MCHD-TR</t>
        </is>
      </c>
      <c r="I2188" s="557" t="n"/>
      <c r="J2188" s="557" t="n"/>
    </row>
    <row r="2189" ht="18" customHeight="1" s="305">
      <c r="A2189" s="8" t="n">
        <v>3608</v>
      </c>
      <c r="B2189" s="5" t="n">
        <v>90</v>
      </c>
      <c r="C2189" s="72" t="inlineStr">
        <is>
          <t>X</t>
        </is>
      </c>
      <c r="D2189" s="5" t="n">
        <v>485</v>
      </c>
      <c r="E2189" s="73">
        <f>B2189*D2189/10000</f>
        <v/>
      </c>
      <c r="F2189" s="74">
        <f>B2189/30.48</f>
        <v/>
      </c>
      <c r="G2189" s="74">
        <f>D2189/30.48</f>
        <v/>
      </c>
      <c r="H2189" s="69" t="inlineStr">
        <is>
          <t>MCHD-TR</t>
        </is>
      </c>
      <c r="I2189" s="557" t="n"/>
      <c r="J2189" s="557" t="n"/>
      <c r="S2189" s="1" t="n"/>
    </row>
    <row r="2190" ht="18" customHeight="1" s="305">
      <c r="A2190" s="8" t="inlineStr">
        <is>
          <t>D 351</t>
        </is>
      </c>
      <c r="B2190" s="5" t="n">
        <v>55</v>
      </c>
      <c r="C2190" s="72" t="inlineStr">
        <is>
          <t>X</t>
        </is>
      </c>
      <c r="D2190" s="5" t="n">
        <v>110</v>
      </c>
      <c r="E2190" s="73">
        <f>B2190*D2190/10000</f>
        <v/>
      </c>
      <c r="F2190" s="74">
        <f>B2190/30.48</f>
        <v/>
      </c>
      <c r="G2190" s="74">
        <f>D2190/30.48</f>
        <v/>
      </c>
      <c r="H2190" s="272" t="inlineStr">
        <is>
          <t>WTR</t>
        </is>
      </c>
      <c r="I2190" s="570" t="inlineStr">
        <is>
          <t>Cindy Parolli</t>
        </is>
      </c>
      <c r="J2190" s="557" t="n"/>
    </row>
    <row r="2191" ht="18" customHeight="1" s="305">
      <c r="A2191" s="28" t="inlineStr">
        <is>
          <t>D 646</t>
        </is>
      </c>
      <c r="B2191" s="29" t="n">
        <v>47</v>
      </c>
      <c r="C2191" s="236" t="inlineStr">
        <is>
          <t>X</t>
        </is>
      </c>
      <c r="D2191" s="29" t="n">
        <v>99</v>
      </c>
      <c r="E2191" s="237">
        <f>B2191*D2191/10000</f>
        <v/>
      </c>
      <c r="F2191" s="238">
        <f>B2191/30.48</f>
        <v/>
      </c>
      <c r="G2191" s="238">
        <f>D2191/30.48</f>
        <v/>
      </c>
      <c r="H2191" s="292" t="inlineStr">
        <is>
          <t>LMX</t>
        </is>
      </c>
      <c r="I2191" s="534" t="inlineStr">
        <is>
          <t>KELLY S HARRINGTON</t>
        </is>
      </c>
      <c r="J2191" s="545" t="n"/>
    </row>
    <row r="2192">
      <c r="A2192" s="536" t="inlineStr">
        <is>
          <t>-2025 ŞUBAT-</t>
        </is>
      </c>
      <c r="H2192" s="104" t="inlineStr">
        <is>
          <t>SATAN-SİTE</t>
        </is>
      </c>
      <c r="I2192" s="98" t="inlineStr">
        <is>
          <t>MÜŞTERİ ADI</t>
        </is>
      </c>
      <c r="J2192" s="63" t="inlineStr">
        <is>
          <t>MÜŞTERİ İLETİŞİM &amp; ÜLKE</t>
        </is>
      </c>
      <c r="P2192" s="1" t="n"/>
    </row>
    <row r="2193" ht="18" customHeight="1" s="305">
      <c r="A2193" s="8" t="n">
        <v>2457</v>
      </c>
      <c r="B2193" s="5" t="n">
        <v>84</v>
      </c>
      <c r="C2193" s="72" t="inlineStr">
        <is>
          <t>X</t>
        </is>
      </c>
      <c r="D2193" s="5" t="n">
        <v>381</v>
      </c>
      <c r="E2193" s="73">
        <f>B2193*D2193/10000</f>
        <v/>
      </c>
      <c r="F2193" s="74">
        <f>B2193/30.48</f>
        <v/>
      </c>
      <c r="G2193" s="74">
        <f>D2193/30.48</f>
        <v/>
      </c>
      <c r="H2193" s="272" t="inlineStr">
        <is>
          <t>WTR</t>
        </is>
      </c>
      <c r="I2193" s="570" t="inlineStr">
        <is>
          <t>Lindey Clark</t>
        </is>
      </c>
      <c r="J2193" s="557" t="n"/>
    </row>
    <row r="2194" ht="18" customHeight="1" s="305">
      <c r="A2194" s="8" t="n">
        <v>3744</v>
      </c>
      <c r="B2194" s="5" t="n">
        <v>126</v>
      </c>
      <c r="C2194" s="72" t="inlineStr">
        <is>
          <t>X</t>
        </is>
      </c>
      <c r="D2194" s="5" t="n">
        <v>171</v>
      </c>
      <c r="E2194" s="73">
        <f>B2194*D2194/10000</f>
        <v/>
      </c>
      <c r="F2194" s="74">
        <f>B2194/30.48</f>
        <v/>
      </c>
      <c r="G2194" s="74">
        <f>D2194/30.48</f>
        <v/>
      </c>
      <c r="H2194" s="614" t="inlineStr">
        <is>
          <t>BHR</t>
        </is>
      </c>
      <c r="I2194" s="570" t="inlineStr">
        <is>
          <t>susan Redden</t>
        </is>
      </c>
      <c r="J2194" s="557" t="n"/>
      <c r="S2194" s="1" t="n"/>
    </row>
    <row r="2195" ht="18" customHeight="1" s="305">
      <c r="A2195" s="8" t="n">
        <v>3569</v>
      </c>
      <c r="B2195" s="5" t="n">
        <v>65</v>
      </c>
      <c r="C2195" s="72" t="inlineStr">
        <is>
          <t>X</t>
        </is>
      </c>
      <c r="D2195" s="5" t="n">
        <v>171</v>
      </c>
      <c r="E2195" s="73">
        <f>B2195*D2195/10000</f>
        <v/>
      </c>
      <c r="F2195" s="74">
        <f>B2195/30.48</f>
        <v/>
      </c>
      <c r="G2195" s="74">
        <f>D2195/30.48</f>
        <v/>
      </c>
      <c r="H2195" s="69" t="inlineStr">
        <is>
          <t>MCHD-TR</t>
        </is>
      </c>
      <c r="I2195" s="557" t="n"/>
      <c r="J2195" s="557" t="n"/>
      <c r="S2195" s="1" t="n"/>
    </row>
    <row r="2196" ht="18" customHeight="1" s="305">
      <c r="A2196" s="8" t="n">
        <v>2368</v>
      </c>
      <c r="B2196" s="5" t="n">
        <v>88</v>
      </c>
      <c r="C2196" s="72" t="inlineStr">
        <is>
          <t>X</t>
        </is>
      </c>
      <c r="D2196" s="5" t="n">
        <v>382</v>
      </c>
      <c r="E2196" s="73">
        <f>B2196*D2196/10000</f>
        <v/>
      </c>
      <c r="F2196" s="74">
        <f>B2196/30.48</f>
        <v/>
      </c>
      <c r="G2196" s="74">
        <f>D2196/30.48</f>
        <v/>
      </c>
      <c r="H2196" s="272" t="inlineStr">
        <is>
          <t>WTR</t>
        </is>
      </c>
      <c r="I2196" s="570" t="inlineStr">
        <is>
          <t>Stacey Koehn</t>
        </is>
      </c>
      <c r="J2196" s="557" t="n"/>
    </row>
    <row r="2197" ht="18" customHeight="1" s="305">
      <c r="A2197" s="8" t="n">
        <v>2962</v>
      </c>
      <c r="B2197" s="5" t="n">
        <v>73</v>
      </c>
      <c r="C2197" s="72" t="inlineStr">
        <is>
          <t>X</t>
        </is>
      </c>
      <c r="D2197" s="5" t="n">
        <v>329</v>
      </c>
      <c r="E2197" s="73">
        <f>B2197*D2197/10000</f>
        <v/>
      </c>
      <c r="F2197" s="74">
        <f>B2197/30.48</f>
        <v/>
      </c>
      <c r="G2197" s="74">
        <f>D2197/30.48</f>
        <v/>
      </c>
      <c r="H2197" s="272" t="inlineStr">
        <is>
          <t>WTR</t>
        </is>
      </c>
      <c r="I2197" s="570" t="inlineStr">
        <is>
          <t>Lesa French c/o Stephanie Wood</t>
        </is>
      </c>
      <c r="J2197" s="557" t="n"/>
      <c r="S2197" s="1" t="n"/>
    </row>
    <row r="2198" ht="18" customHeight="1" s="305">
      <c r="A2198" s="8" t="inlineStr">
        <is>
          <t>C 654</t>
        </is>
      </c>
      <c r="B2198" s="5" t="n">
        <v>164</v>
      </c>
      <c r="C2198" s="6" t="inlineStr">
        <is>
          <t>X</t>
        </is>
      </c>
      <c r="D2198" s="5" t="n">
        <v>250</v>
      </c>
      <c r="E2198" s="2">
        <f>B2198*D2198/10000</f>
        <v/>
      </c>
      <c r="F2198" s="3">
        <f>B2198/30.48</f>
        <v/>
      </c>
      <c r="G2198" s="3">
        <f>D2198/30.48</f>
        <v/>
      </c>
      <c r="H2198" s="592" t="inlineStr">
        <is>
          <t>PAC</t>
        </is>
      </c>
      <c r="I2198" s="570" t="n"/>
      <c r="J2198" s="557" t="n"/>
    </row>
    <row r="2199" ht="18" customHeight="1" s="305">
      <c r="A2199" s="8" t="n">
        <v>3502</v>
      </c>
      <c r="B2199" s="5" t="n">
        <v>70</v>
      </c>
      <c r="C2199" s="72" t="inlineStr">
        <is>
          <t>X</t>
        </is>
      </c>
      <c r="D2199" s="5" t="n">
        <v>344</v>
      </c>
      <c r="E2199" s="73">
        <f>B2199*D2199/10000</f>
        <v/>
      </c>
      <c r="F2199" s="74">
        <f>B2199/30.48</f>
        <v/>
      </c>
      <c r="G2199" s="74">
        <f>D2199/30.48</f>
        <v/>
      </c>
      <c r="H2199" s="272" t="inlineStr">
        <is>
          <t>WTR</t>
        </is>
      </c>
      <c r="I2199" s="570" t="inlineStr">
        <is>
          <t>Emma Goldman</t>
        </is>
      </c>
      <c r="J2199" s="557" t="n"/>
      <c r="S2199" s="1" t="n"/>
    </row>
    <row r="2200" ht="18" customHeight="1" s="305">
      <c r="A2200" s="8" t="inlineStr">
        <is>
          <t>D 363</t>
        </is>
      </c>
      <c r="B2200" s="5" t="n">
        <v>51</v>
      </c>
      <c r="C2200" s="72" t="inlineStr">
        <is>
          <t>X</t>
        </is>
      </c>
      <c r="D2200" s="5" t="n">
        <v>96</v>
      </c>
      <c r="E2200" s="73">
        <f>B2200*D2200/10000</f>
        <v/>
      </c>
      <c r="F2200" s="74">
        <f>B2200/30.48</f>
        <v/>
      </c>
      <c r="G2200" s="74">
        <f>D2200/30.48</f>
        <v/>
      </c>
      <c r="H2200" s="272" t="inlineStr">
        <is>
          <t>WTR</t>
        </is>
      </c>
      <c r="I2200" s="534" t="inlineStr">
        <is>
          <t>Alice Northover</t>
        </is>
      </c>
      <c r="J2200" s="545" t="n"/>
    </row>
    <row r="2201" ht="18" customHeight="1" s="305">
      <c r="A2201" s="8" t="n">
        <v>3557</v>
      </c>
      <c r="B2201" s="5" t="n">
        <v>80</v>
      </c>
      <c r="C2201" s="72" t="inlineStr">
        <is>
          <t>X</t>
        </is>
      </c>
      <c r="D2201" s="5" t="n">
        <v>172</v>
      </c>
      <c r="E2201" s="73">
        <f>B2201*D2201/10000</f>
        <v/>
      </c>
      <c r="F2201" s="74">
        <f>B2201/30.48</f>
        <v/>
      </c>
      <c r="G2201" s="74">
        <f>D2201/30.48</f>
        <v/>
      </c>
      <c r="H2201" s="69" t="inlineStr">
        <is>
          <t>MCHD-TR</t>
        </is>
      </c>
      <c r="I2201" s="557" t="n"/>
      <c r="J2201" s="557" t="n"/>
    </row>
    <row r="2202" ht="18" customHeight="1" s="305">
      <c r="A2202" s="8" t="n">
        <v>2243</v>
      </c>
      <c r="B2202" s="5" t="n">
        <v>118</v>
      </c>
      <c r="C2202" s="72" t="inlineStr">
        <is>
          <t>X</t>
        </is>
      </c>
      <c r="D2202" s="5" t="n">
        <v>195</v>
      </c>
      <c r="E2202" s="73">
        <f>B2202*D2202/10000</f>
        <v/>
      </c>
      <c r="F2202" s="74">
        <f>B2202/30.48</f>
        <v/>
      </c>
      <c r="G2202" s="74">
        <f>D2202/30.48</f>
        <v/>
      </c>
      <c r="H2202" s="69" t="inlineStr">
        <is>
          <t>RK</t>
        </is>
      </c>
      <c r="I2202" s="570" t="inlineStr">
        <is>
          <t>Candace Jania</t>
        </is>
      </c>
      <c r="J2202" s="557" t="n"/>
    </row>
    <row r="2203" ht="18" customHeight="1" s="305">
      <c r="A2203" s="8" t="n">
        <v>2702</v>
      </c>
      <c r="B2203" s="5" t="n">
        <v>199</v>
      </c>
      <c r="C2203" s="72" t="inlineStr">
        <is>
          <t>X</t>
        </is>
      </c>
      <c r="D2203" s="5" t="n">
        <v>288</v>
      </c>
      <c r="E2203" s="73">
        <f>B2203*D2203/10000</f>
        <v/>
      </c>
      <c r="F2203" s="74">
        <f>B2203/30.48</f>
        <v/>
      </c>
      <c r="G2203" s="74">
        <f>D2203/30.48</f>
        <v/>
      </c>
      <c r="H2203" s="272" t="inlineStr">
        <is>
          <t>WTR</t>
        </is>
      </c>
      <c r="I2203" s="570" t="inlineStr">
        <is>
          <t>Brian Fasold</t>
        </is>
      </c>
      <c r="J2203" s="557" t="inlineStr">
        <is>
          <t>US-720 345 21 83</t>
        </is>
      </c>
      <c r="S2203" s="1" t="n"/>
    </row>
    <row r="2204" ht="18" customHeight="1" s="305">
      <c r="A2204" s="8" t="inlineStr">
        <is>
          <t>H 30</t>
        </is>
      </c>
      <c r="B2204" s="5" t="n">
        <v>88</v>
      </c>
      <c r="C2204" s="72" t="inlineStr">
        <is>
          <t>X</t>
        </is>
      </c>
      <c r="D2204" s="5" t="n">
        <v>385</v>
      </c>
      <c r="E2204" s="73">
        <f>B2204*D2204/10000</f>
        <v/>
      </c>
      <c r="F2204" s="74">
        <f>B2204/30.48</f>
        <v/>
      </c>
      <c r="G2204" s="74">
        <f>D2204/30.48</f>
        <v/>
      </c>
      <c r="H2204" s="272" t="inlineStr">
        <is>
          <t>WTR</t>
        </is>
      </c>
      <c r="I2204" s="570" t="inlineStr">
        <is>
          <t>Khaki Daniel</t>
        </is>
      </c>
      <c r="J2204" s="557" t="n"/>
    </row>
    <row r="2205" ht="18" customHeight="1" s="305">
      <c r="A2205" s="8" t="inlineStr">
        <is>
          <t>H 285</t>
        </is>
      </c>
      <c r="B2205" s="5" t="n">
        <v>87</v>
      </c>
      <c r="C2205" s="72" t="inlineStr">
        <is>
          <t>X</t>
        </is>
      </c>
      <c r="D2205" s="5" t="n">
        <v>285</v>
      </c>
      <c r="E2205" s="73">
        <f>B2205*D2205/10000</f>
        <v/>
      </c>
      <c r="F2205" s="74">
        <f>B2205/30.48</f>
        <v/>
      </c>
      <c r="G2205" s="74">
        <f>D2205/30.48</f>
        <v/>
      </c>
      <c r="H2205" s="272" t="inlineStr">
        <is>
          <t>WTR</t>
        </is>
      </c>
      <c r="I2205" s="570" t="inlineStr">
        <is>
          <t>Heather Senter</t>
        </is>
      </c>
      <c r="J2205" s="557" t="n"/>
      <c r="S2205" s="1" t="n"/>
    </row>
    <row r="2206" ht="18" customHeight="1" s="305">
      <c r="A2206" s="8" t="n">
        <v>2570</v>
      </c>
      <c r="B2206" s="5" t="n">
        <v>158</v>
      </c>
      <c r="C2206" s="72" t="inlineStr">
        <is>
          <t>X</t>
        </is>
      </c>
      <c r="D2206" s="5" t="n">
        <v>239</v>
      </c>
      <c r="E2206" s="73">
        <f>B2206*D2206/10000</f>
        <v/>
      </c>
      <c r="F2206" s="74">
        <f>B2206/30.48</f>
        <v/>
      </c>
      <c r="G2206" s="74">
        <f>D2206/30.48</f>
        <v/>
      </c>
      <c r="H2206" s="69" t="inlineStr">
        <is>
          <t>RK</t>
        </is>
      </c>
      <c r="I2206" s="534" t="inlineStr">
        <is>
          <t>Julia Owens</t>
        </is>
      </c>
      <c r="J2206" s="545" t="n"/>
      <c r="S2206" s="1" t="n"/>
    </row>
    <row r="2207" ht="18" customHeight="1" s="305">
      <c r="A2207" s="8" t="n">
        <v>3662</v>
      </c>
      <c r="B2207" s="5" t="n">
        <v>115</v>
      </c>
      <c r="C2207" s="72" t="inlineStr">
        <is>
          <t>X</t>
        </is>
      </c>
      <c r="D2207" s="5" t="n">
        <v>178</v>
      </c>
      <c r="E2207" s="73">
        <f>B2207*D2207/10000</f>
        <v/>
      </c>
      <c r="F2207" s="74">
        <f>B2207/30.48</f>
        <v/>
      </c>
      <c r="G2207" s="74">
        <f>D2207/30.48</f>
        <v/>
      </c>
      <c r="H2207" s="69" t="inlineStr">
        <is>
          <t>MCHD-TR</t>
        </is>
      </c>
      <c r="I2207" s="545" t="n"/>
      <c r="J2207" s="545" t="n"/>
    </row>
    <row r="2208" ht="18" customHeight="1" s="305">
      <c r="A2208" s="8" t="n">
        <v>2494</v>
      </c>
      <c r="B2208" s="5" t="n">
        <v>90</v>
      </c>
      <c r="C2208" s="72" t="inlineStr">
        <is>
          <t>X</t>
        </is>
      </c>
      <c r="D2208" s="5" t="n">
        <v>379</v>
      </c>
      <c r="E2208" s="73">
        <f>B2208*D2208/10000</f>
        <v/>
      </c>
      <c r="F2208" s="74">
        <f>B2208/30.48</f>
        <v/>
      </c>
      <c r="G2208" s="74">
        <f>D2208/30.48</f>
        <v/>
      </c>
      <c r="H2208" s="69" t="inlineStr">
        <is>
          <t>RK</t>
        </is>
      </c>
      <c r="I2208" s="534" t="inlineStr">
        <is>
          <t>Kelly Stubberfield</t>
        </is>
      </c>
      <c r="J2208" s="545" t="n"/>
    </row>
    <row r="2209" ht="18" customHeight="1" s="305">
      <c r="A2209" s="8" t="n">
        <v>1631</v>
      </c>
      <c r="B2209" s="5" t="n">
        <v>255</v>
      </c>
      <c r="C2209" s="72" t="inlineStr">
        <is>
          <t>X</t>
        </is>
      </c>
      <c r="D2209" s="5" t="n">
        <v>171</v>
      </c>
      <c r="E2209" s="73">
        <f>B2209*D2209/10000</f>
        <v/>
      </c>
      <c r="F2209" s="74">
        <f>B2209/30.48</f>
        <v/>
      </c>
      <c r="G2209" s="74">
        <f>D2209/30.48</f>
        <v/>
      </c>
      <c r="H2209" s="16" t="inlineStr">
        <is>
          <t>VR</t>
        </is>
      </c>
      <c r="I2209" s="570" t="inlineStr">
        <is>
          <t>Atypical ELLIOT</t>
        </is>
      </c>
      <c r="J2209" s="557" t="n"/>
    </row>
    <row r="2210" ht="18" customHeight="1" s="305">
      <c r="A2210" s="8" t="n">
        <v>2452</v>
      </c>
      <c r="B2210" s="5" t="n">
        <v>89</v>
      </c>
      <c r="C2210" s="72" t="inlineStr">
        <is>
          <t>X</t>
        </is>
      </c>
      <c r="D2210" s="5" t="n">
        <v>437</v>
      </c>
      <c r="E2210" s="73">
        <f>B2210*D2210/10000</f>
        <v/>
      </c>
      <c r="F2210" s="74">
        <f>B2210/30.48</f>
        <v/>
      </c>
      <c r="G2210" s="74">
        <f>D2210/30.48</f>
        <v/>
      </c>
      <c r="H2210" s="272" t="inlineStr">
        <is>
          <t>WTR</t>
        </is>
      </c>
      <c r="I2210" s="570" t="inlineStr">
        <is>
          <t>Katie House</t>
        </is>
      </c>
      <c r="J2210" s="557" t="n"/>
    </row>
    <row r="2211" ht="18" customHeight="1" s="305">
      <c r="A2211" s="8" t="n">
        <v>1941</v>
      </c>
      <c r="B2211" s="5" t="n">
        <v>71</v>
      </c>
      <c r="C2211" s="72" t="inlineStr">
        <is>
          <t>X</t>
        </is>
      </c>
      <c r="D2211" s="5" t="n">
        <v>289</v>
      </c>
      <c r="E2211" s="73">
        <f>B2211*D2211/10000</f>
        <v/>
      </c>
      <c r="F2211" s="74">
        <f>B2211/30.48</f>
        <v/>
      </c>
      <c r="G2211" s="74">
        <f>D2211/30.48</f>
        <v/>
      </c>
      <c r="H2211" s="69" t="inlineStr">
        <is>
          <t>MCHD-TR</t>
        </is>
      </c>
      <c r="I2211" s="545" t="n"/>
      <c r="J2211" s="545" t="n"/>
    </row>
    <row r="2212" ht="18" customHeight="1" s="305">
      <c r="A2212" s="8" t="n">
        <v>2545</v>
      </c>
      <c r="B2212" s="5" t="n">
        <v>144</v>
      </c>
      <c r="C2212" s="72" t="inlineStr">
        <is>
          <t>X</t>
        </is>
      </c>
      <c r="D2212" s="5" t="n">
        <v>212</v>
      </c>
      <c r="E2212" s="73">
        <f>B2212*D2212/10000</f>
        <v/>
      </c>
      <c r="F2212" s="74">
        <f>B2212/30.48</f>
        <v/>
      </c>
      <c r="G2212" s="74">
        <f>D2212/30.48</f>
        <v/>
      </c>
      <c r="H2212" s="69" t="inlineStr">
        <is>
          <t>RK</t>
        </is>
      </c>
      <c r="I2212" s="534" t="inlineStr">
        <is>
          <t>GAIL LETT-JAMES</t>
        </is>
      </c>
      <c r="J2212" s="545" t="n"/>
      <c r="S2212" s="1" t="n"/>
    </row>
    <row r="2213" ht="18" customHeight="1" s="305">
      <c r="A2213" s="8" t="n">
        <v>1682</v>
      </c>
      <c r="B2213" s="5" t="n">
        <v>354</v>
      </c>
      <c r="C2213" s="72" t="inlineStr">
        <is>
          <t>X</t>
        </is>
      </c>
      <c r="D2213" s="5" t="n">
        <v>90</v>
      </c>
      <c r="E2213" s="73">
        <f>B2213*D2213/10000</f>
        <v/>
      </c>
      <c r="F2213" s="74">
        <f>B2213/30.48</f>
        <v/>
      </c>
      <c r="G2213" s="74">
        <f>D2213/30.48</f>
        <v/>
      </c>
      <c r="H2213" s="569" t="inlineStr">
        <is>
          <t>OLD</t>
        </is>
      </c>
      <c r="I2213" s="570" t="inlineStr">
        <is>
          <t>Tyler Correll</t>
        </is>
      </c>
      <c r="J2213" s="557" t="n"/>
    </row>
    <row r="2214" ht="18" customHeight="1" s="305">
      <c r="A2214" s="8" t="n">
        <v>2071</v>
      </c>
      <c r="B2214" s="5" t="n">
        <v>75</v>
      </c>
      <c r="C2214" s="72" t="inlineStr">
        <is>
          <t>X</t>
        </is>
      </c>
      <c r="D2214" s="5" t="n">
        <v>306</v>
      </c>
      <c r="E2214" s="73">
        <f>B2214*D2214/10000</f>
        <v/>
      </c>
      <c r="F2214" s="74">
        <f>B2214/30.48</f>
        <v/>
      </c>
      <c r="G2214" s="74">
        <f>D2214/30.48</f>
        <v/>
      </c>
      <c r="H2214" s="592" t="inlineStr">
        <is>
          <t>PAC</t>
        </is>
      </c>
      <c r="I2214" s="570" t="inlineStr">
        <is>
          <t>allison Governale</t>
        </is>
      </c>
      <c r="J2214" s="557" t="n"/>
      <c r="S2214" s="1" t="n"/>
    </row>
    <row r="2215" ht="18" customHeight="1" s="305">
      <c r="A2215" s="28" t="inlineStr">
        <is>
          <t>D 482</t>
        </is>
      </c>
      <c r="B2215" s="29" t="n">
        <v>45</v>
      </c>
      <c r="C2215" s="236" t="inlineStr">
        <is>
          <t>X</t>
        </is>
      </c>
      <c r="D2215" s="29" t="n">
        <v>106</v>
      </c>
      <c r="E2215" s="237">
        <f>B2215*D2215/10000</f>
        <v/>
      </c>
      <c r="F2215" s="238">
        <f>B2215/30.48</f>
        <v/>
      </c>
      <c r="G2215" s="238">
        <f>D2215/30.48</f>
        <v/>
      </c>
      <c r="H2215" s="292" t="inlineStr">
        <is>
          <t>LMX</t>
        </is>
      </c>
      <c r="I2215" s="534" t="inlineStr">
        <is>
          <t>Cheryl Henry</t>
        </is>
      </c>
      <c r="J2215" s="545" t="n"/>
    </row>
    <row r="2216" ht="18" customHeight="1" s="305">
      <c r="A2216" s="8" t="n">
        <v>3</v>
      </c>
      <c r="B2216" s="5" t="n">
        <v>79</v>
      </c>
      <c r="C2216" s="6" t="inlineStr">
        <is>
          <t>X</t>
        </is>
      </c>
      <c r="D2216" s="5" t="n">
        <v>48</v>
      </c>
      <c r="E2216" s="2">
        <f>B2216*D2216/10000</f>
        <v/>
      </c>
      <c r="F2216" s="3">
        <f>B2216/30.48</f>
        <v/>
      </c>
      <c r="G2216" s="3">
        <f>D2216/30.48</f>
        <v/>
      </c>
      <c r="H2216" s="569" t="inlineStr">
        <is>
          <t>OLD</t>
        </is>
      </c>
      <c r="I2216" s="534" t="inlineStr">
        <is>
          <t>Pamela White</t>
        </is>
      </c>
      <c r="J2216" s="545" t="n"/>
    </row>
    <row r="2217" ht="18" customHeight="1" s="305">
      <c r="A2217" s="8" t="n">
        <v>1531</v>
      </c>
      <c r="B2217" s="5" t="n">
        <v>286</v>
      </c>
      <c r="C2217" s="72" t="inlineStr">
        <is>
          <t>X</t>
        </is>
      </c>
      <c r="D2217" s="5" t="n">
        <v>70</v>
      </c>
      <c r="E2217" s="73">
        <f>B2217*D2217/10000</f>
        <v/>
      </c>
      <c r="F2217" s="74">
        <f>B2217/30.48</f>
        <v/>
      </c>
      <c r="G2217" s="74">
        <f>D2217/30.48</f>
        <v/>
      </c>
      <c r="H2217" s="69" t="inlineStr">
        <is>
          <t>RK</t>
        </is>
      </c>
      <c r="I2217" s="570" t="inlineStr">
        <is>
          <t>Mindy Mack</t>
        </is>
      </c>
      <c r="J2217" s="557" t="n"/>
    </row>
    <row r="2218" ht="18" customHeight="1" s="305">
      <c r="A2218" s="28" t="inlineStr">
        <is>
          <t>D 496</t>
        </is>
      </c>
      <c r="B2218" s="29" t="n">
        <v>47</v>
      </c>
      <c r="C2218" s="236" t="inlineStr">
        <is>
          <t>X</t>
        </is>
      </c>
      <c r="D2218" s="29" t="n">
        <v>95</v>
      </c>
      <c r="E2218" s="237">
        <f>B2218*D2218/10000</f>
        <v/>
      </c>
      <c r="F2218" s="238">
        <f>B2218/30.48</f>
        <v/>
      </c>
      <c r="G2218" s="238">
        <f>D2218/30.48</f>
        <v/>
      </c>
      <c r="H2218" s="292" t="inlineStr">
        <is>
          <t>LMX</t>
        </is>
      </c>
      <c r="I2218" s="570" t="inlineStr">
        <is>
          <t>Caitlyn Wakefield</t>
        </is>
      </c>
      <c r="J2218" s="557" t="n"/>
    </row>
    <row r="2219" ht="18" customHeight="1" s="305">
      <c r="A2219" s="8" t="n">
        <v>2491</v>
      </c>
      <c r="B2219" s="5" t="n">
        <v>80</v>
      </c>
      <c r="C2219" s="72" t="inlineStr">
        <is>
          <t>X</t>
        </is>
      </c>
      <c r="D2219" s="5" t="n">
        <v>254</v>
      </c>
      <c r="E2219" s="73">
        <f>B2219*D2219/10000</f>
        <v/>
      </c>
      <c r="F2219" s="74">
        <f>B2219/30.48</f>
        <v/>
      </c>
      <c r="G2219" s="74">
        <f>D2219/30.48</f>
        <v/>
      </c>
      <c r="H2219" s="69" t="inlineStr">
        <is>
          <t>RK</t>
        </is>
      </c>
      <c r="I2219" s="570" t="inlineStr">
        <is>
          <t>Claudia Finnamore</t>
        </is>
      </c>
      <c r="J2219" s="557" t="n"/>
      <c r="S2219" s="1" t="n"/>
    </row>
    <row r="2220" ht="18" customHeight="1" s="305">
      <c r="A2220" s="8" t="n">
        <v>1928</v>
      </c>
      <c r="B2220" s="5" t="n">
        <v>86</v>
      </c>
      <c r="C2220" s="72" t="inlineStr">
        <is>
          <t>X</t>
        </is>
      </c>
      <c r="D2220" s="5" t="n">
        <v>337</v>
      </c>
      <c r="E2220" s="73">
        <f>B2220*D2220/10000</f>
        <v/>
      </c>
      <c r="F2220" s="74">
        <f>B2220/30.48</f>
        <v/>
      </c>
      <c r="G2220" s="74">
        <f>D2220/30.48</f>
        <v/>
      </c>
      <c r="H2220" s="69" t="inlineStr">
        <is>
          <t>MCHD-TR</t>
        </is>
      </c>
      <c r="I2220" s="557" t="n"/>
      <c r="J2220" s="557" t="n"/>
      <c r="S2220" s="1" t="n"/>
    </row>
    <row r="2221" ht="18" customHeight="1" s="305">
      <c r="A2221" s="8" t="n">
        <v>3625</v>
      </c>
      <c r="B2221" s="5" t="n">
        <v>98</v>
      </c>
      <c r="C2221" s="72" t="inlineStr">
        <is>
          <t>X</t>
        </is>
      </c>
      <c r="D2221" s="5" t="n">
        <v>192</v>
      </c>
      <c r="E2221" s="73">
        <f>B2221*D2221/10000</f>
        <v/>
      </c>
      <c r="F2221" s="74">
        <f>B2221/30.48</f>
        <v/>
      </c>
      <c r="G2221" s="74">
        <f>D2221/30.48</f>
        <v/>
      </c>
      <c r="H2221" s="292" t="inlineStr">
        <is>
          <t>LMX</t>
        </is>
      </c>
      <c r="I2221" s="570" t="inlineStr">
        <is>
          <t>Kristy Wilson</t>
        </is>
      </c>
      <c r="J2221" s="557" t="n"/>
      <c r="S2221" s="1" t="n"/>
    </row>
    <row r="2222" ht="18" customHeight="1" s="305">
      <c r="A2222" s="8" t="inlineStr">
        <is>
          <t>H 289</t>
        </is>
      </c>
      <c r="B2222" s="5" t="n">
        <v>98</v>
      </c>
      <c r="C2222" s="72" t="inlineStr">
        <is>
          <t>X</t>
        </is>
      </c>
      <c r="D2222" s="5" t="n">
        <v>314</v>
      </c>
      <c r="E2222" s="73">
        <f>B2222*D2222/10000</f>
        <v/>
      </c>
      <c r="F2222" s="74">
        <f>B2222/30.48</f>
        <v/>
      </c>
      <c r="G2222" s="74">
        <f>D2222/30.48</f>
        <v/>
      </c>
      <c r="H2222" s="272" t="inlineStr">
        <is>
          <t>WTR</t>
        </is>
      </c>
      <c r="I2222" s="570" t="inlineStr">
        <is>
          <t>penelope douglas</t>
        </is>
      </c>
      <c r="J2222" s="557" t="n"/>
      <c r="S2222" s="1" t="n"/>
    </row>
    <row r="2223" ht="18" customHeight="1" s="305">
      <c r="A2223" s="8" t="n">
        <v>2124</v>
      </c>
      <c r="B2223" s="5" t="n">
        <v>114</v>
      </c>
      <c r="C2223" s="72" t="inlineStr">
        <is>
          <t>X</t>
        </is>
      </c>
      <c r="D2223" s="5" t="n">
        <v>200</v>
      </c>
      <c r="E2223" s="73">
        <f>B2223*D2223/10000</f>
        <v/>
      </c>
      <c r="F2223" s="74">
        <f>B2223/30.48</f>
        <v/>
      </c>
      <c r="G2223" s="74">
        <f>D2223/30.48</f>
        <v/>
      </c>
      <c r="H2223" s="272" t="inlineStr">
        <is>
          <t>WTR</t>
        </is>
      </c>
      <c r="I2223" s="570" t="inlineStr">
        <is>
          <t>Christen Vogel</t>
        </is>
      </c>
      <c r="J2223" s="557" t="n"/>
      <c r="S2223" s="1" t="n"/>
    </row>
    <row r="2224" ht="18" customHeight="1" s="305">
      <c r="A2224" s="8" t="inlineStr">
        <is>
          <t>Y 650</t>
        </is>
      </c>
      <c r="B2224" s="5" t="n">
        <v>484</v>
      </c>
      <c r="C2224" s="6" t="inlineStr">
        <is>
          <t>X</t>
        </is>
      </c>
      <c r="D2224" s="5" t="n">
        <v>396</v>
      </c>
      <c r="E2224" s="2">
        <f>B2224*D2224/10000</f>
        <v/>
      </c>
      <c r="F2224" s="3">
        <f>B2224/30.48</f>
        <v/>
      </c>
      <c r="G2224" s="3">
        <f>D2224/30.48</f>
        <v/>
      </c>
      <c r="H2224" s="272" t="inlineStr">
        <is>
          <t>WTR</t>
        </is>
      </c>
      <c r="I2224" s="570" t="inlineStr">
        <is>
          <t>Jamie Pratt</t>
        </is>
      </c>
      <c r="J2224" s="557" t="n"/>
    </row>
    <row r="2225" ht="18" customHeight="1" s="305">
      <c r="A2225" s="8" t="n">
        <v>1329</v>
      </c>
      <c r="B2225" s="5" t="n">
        <v>69</v>
      </c>
      <c r="C2225" s="72" t="inlineStr">
        <is>
          <t>X</t>
        </is>
      </c>
      <c r="D2225" s="5" t="n">
        <v>131</v>
      </c>
      <c r="E2225" s="73">
        <f>B2225*D2225/10000</f>
        <v/>
      </c>
      <c r="F2225" s="74">
        <f>B2225/30.48</f>
        <v/>
      </c>
      <c r="G2225" s="74">
        <f>D2225/30.48</f>
        <v/>
      </c>
      <c r="H2225" s="569" t="inlineStr">
        <is>
          <t>OLD</t>
        </is>
      </c>
      <c r="I2225" s="534" t="inlineStr">
        <is>
          <t>Jennifer Gray</t>
        </is>
      </c>
      <c r="J2225" s="545" t="n"/>
      <c r="S2225" s="1" t="n"/>
    </row>
    <row r="2226" ht="18" customHeight="1" s="305">
      <c r="A2226" s="8" t="n">
        <v>2610</v>
      </c>
      <c r="B2226" s="5" t="n">
        <v>72</v>
      </c>
      <c r="C2226" s="72" t="inlineStr">
        <is>
          <t>X</t>
        </is>
      </c>
      <c r="D2226" s="5" t="n">
        <v>154</v>
      </c>
      <c r="E2226" s="73">
        <f>B2226*D2226/10000</f>
        <v/>
      </c>
      <c r="F2226" s="74">
        <f>B2226/30.48</f>
        <v/>
      </c>
      <c r="G2226" s="74">
        <f>D2226/30.48</f>
        <v/>
      </c>
      <c r="H2226" s="69" t="inlineStr">
        <is>
          <t>RK</t>
        </is>
      </c>
      <c r="I2226" s="570" t="inlineStr">
        <is>
          <t>Leila Mesghali</t>
        </is>
      </c>
      <c r="J2226" s="557" t="n"/>
      <c r="S2226" s="1" t="n"/>
    </row>
    <row r="2227" ht="18" customHeight="1" s="305">
      <c r="A2227" s="8" t="n">
        <v>3672</v>
      </c>
      <c r="B2227" s="5" t="n">
        <v>71</v>
      </c>
      <c r="C2227" s="72" t="inlineStr">
        <is>
          <t>X</t>
        </is>
      </c>
      <c r="D2227" s="5" t="n">
        <v>268</v>
      </c>
      <c r="E2227" s="73">
        <f>B2227*D2227/10000</f>
        <v/>
      </c>
      <c r="F2227" s="74">
        <f>B2227/30.48</f>
        <v/>
      </c>
      <c r="G2227" s="74">
        <f>D2227/30.48</f>
        <v/>
      </c>
      <c r="H2227" s="292" t="inlineStr">
        <is>
          <t>LMX</t>
        </is>
      </c>
      <c r="I2227" s="570" t="inlineStr">
        <is>
          <t>JS Dwellings C/O Meredith</t>
        </is>
      </c>
      <c r="J2227" s="557" t="n"/>
      <c r="S2227" s="1" t="n"/>
    </row>
    <row r="2228" ht="18" customHeight="1" s="305">
      <c r="A2228" s="28" t="inlineStr">
        <is>
          <t>D 624</t>
        </is>
      </c>
      <c r="B2228" s="29" t="n">
        <v>50</v>
      </c>
      <c r="C2228" s="236" t="inlineStr">
        <is>
          <t>X</t>
        </is>
      </c>
      <c r="D2228" s="29" t="n">
        <v>90</v>
      </c>
      <c r="E2228" s="237">
        <f>B2228*D2228/10000</f>
        <v/>
      </c>
      <c r="F2228" s="238">
        <f>B2228/30.48</f>
        <v/>
      </c>
      <c r="G2228" s="238">
        <f>D2228/30.48</f>
        <v/>
      </c>
      <c r="H2228" s="292" t="inlineStr">
        <is>
          <t>LMX</t>
        </is>
      </c>
      <c r="I2228" s="570" t="inlineStr">
        <is>
          <t>Madeline Lubin</t>
        </is>
      </c>
      <c r="J2228" s="557" t="n"/>
      <c r="S2228" s="1" t="n"/>
    </row>
    <row r="2229" ht="18" customHeight="1" s="305">
      <c r="A2229" s="8" t="inlineStr">
        <is>
          <t>Y 254</t>
        </is>
      </c>
      <c r="B2229" s="5" t="n">
        <v>318</v>
      </c>
      <c r="C2229" s="6" t="inlineStr">
        <is>
          <t>X</t>
        </is>
      </c>
      <c r="D2229" s="5" t="n">
        <v>203</v>
      </c>
      <c r="E2229" s="2">
        <f>B2229*D2229/10000</f>
        <v/>
      </c>
      <c r="F2229" s="3">
        <f>B2229/30.48</f>
        <v/>
      </c>
      <c r="G2229" s="3">
        <f>D2229/30.48</f>
        <v/>
      </c>
      <c r="H2229" s="69" t="inlineStr">
        <is>
          <t>MCHD-TR</t>
        </is>
      </c>
      <c r="I2229" s="545" t="n"/>
      <c r="J2229" s="545" t="n"/>
      <c r="S2229" s="1" t="n"/>
    </row>
    <row r="2230" ht="18" customHeight="1" s="305">
      <c r="A2230" s="8" t="n">
        <v>2466</v>
      </c>
      <c r="B2230" s="5" t="n">
        <v>90</v>
      </c>
      <c r="C2230" s="72" t="inlineStr">
        <is>
          <t>X</t>
        </is>
      </c>
      <c r="D2230" s="5" t="n">
        <v>375</v>
      </c>
      <c r="E2230" s="73">
        <f>B2230*D2230/10000</f>
        <v/>
      </c>
      <c r="F2230" s="74">
        <f>B2230/30.48</f>
        <v/>
      </c>
      <c r="G2230" s="74">
        <f>D2230/30.48</f>
        <v/>
      </c>
      <c r="H2230" s="272" t="inlineStr">
        <is>
          <t>WTR</t>
        </is>
      </c>
      <c r="I2230" s="570" t="inlineStr">
        <is>
          <t>Bailey Coleman</t>
        </is>
      </c>
      <c r="J2230" s="557" t="n"/>
      <c r="S2230" s="1" t="n"/>
    </row>
    <row r="2231" ht="18" customHeight="1" s="305">
      <c r="A2231" s="8" t="inlineStr">
        <is>
          <t>H 245</t>
        </is>
      </c>
      <c r="B2231" s="5" t="n">
        <v>76</v>
      </c>
      <c r="C2231" s="72" t="inlineStr">
        <is>
          <t>X</t>
        </is>
      </c>
      <c r="D2231" s="5" t="n">
        <v>296</v>
      </c>
      <c r="E2231" s="73">
        <f>B2231*D2231/10000</f>
        <v/>
      </c>
      <c r="F2231" s="74">
        <f>B2231/30.48</f>
        <v/>
      </c>
      <c r="G2231" s="74">
        <f>D2231/30.48</f>
        <v/>
      </c>
      <c r="H2231" s="69" t="inlineStr">
        <is>
          <t>RK</t>
        </is>
      </c>
      <c r="I2231" s="534" t="inlineStr">
        <is>
          <t>Rebecca Ramsay</t>
        </is>
      </c>
      <c r="J2231" s="545" t="n"/>
      <c r="S2231" s="1" t="n"/>
    </row>
    <row r="2232" ht="18" customHeight="1" s="305">
      <c r="A2232" s="8" t="n">
        <v>2527</v>
      </c>
      <c r="B2232" s="5" t="n">
        <v>123</v>
      </c>
      <c r="C2232" s="72" t="inlineStr">
        <is>
          <t>X</t>
        </is>
      </c>
      <c r="D2232" s="5" t="n">
        <v>203</v>
      </c>
      <c r="E2232" s="73">
        <f>B2232*D2232/10000</f>
        <v/>
      </c>
      <c r="F2232" s="74">
        <f>B2232/30.48</f>
        <v/>
      </c>
      <c r="G2232" s="74">
        <f>D2232/30.48</f>
        <v/>
      </c>
      <c r="H2232" s="69" t="inlineStr">
        <is>
          <t>RK</t>
        </is>
      </c>
      <c r="I2232" s="570" t="inlineStr">
        <is>
          <t>Judith A Levine</t>
        </is>
      </c>
      <c r="J2232" s="557" t="n"/>
      <c r="S2232" s="1" t="n"/>
    </row>
    <row r="2233" ht="18" customHeight="1" s="305">
      <c r="A2233" s="28" t="inlineStr">
        <is>
          <t>D 476</t>
        </is>
      </c>
      <c r="B2233" s="29" t="n">
        <v>45</v>
      </c>
      <c r="C2233" s="236" t="inlineStr">
        <is>
          <t>X</t>
        </is>
      </c>
      <c r="D2233" s="29" t="n">
        <v>96</v>
      </c>
      <c r="E2233" s="237">
        <f>B2233*D2233/10000</f>
        <v/>
      </c>
      <c r="F2233" s="238">
        <f>B2233/30.48</f>
        <v/>
      </c>
      <c r="G2233" s="238">
        <f>D2233/30.48</f>
        <v/>
      </c>
      <c r="H2233" s="314" t="inlineStr">
        <is>
          <t>WLB</t>
        </is>
      </c>
      <c r="I2233" s="570" t="inlineStr">
        <is>
          <t>Bradley Harrison</t>
        </is>
      </c>
      <c r="J2233" s="557" t="n"/>
      <c r="S2233" s="1" t="n"/>
    </row>
    <row r="2234" ht="18" customHeight="1" s="305">
      <c r="A2234" s="8" t="inlineStr">
        <is>
          <t>D 180</t>
        </is>
      </c>
      <c r="B2234" s="5" t="n">
        <v>49</v>
      </c>
      <c r="C2234" s="72" t="inlineStr">
        <is>
          <t>X</t>
        </is>
      </c>
      <c r="D2234" s="5" t="n">
        <v>92</v>
      </c>
      <c r="E2234" s="73">
        <f>B2234*D2234/10000</f>
        <v/>
      </c>
      <c r="F2234" s="74">
        <f>B2234/30.48</f>
        <v/>
      </c>
      <c r="G2234" s="74">
        <f>D2234/30.48</f>
        <v/>
      </c>
      <c r="H2234" s="360" t="inlineStr">
        <is>
          <t>VR</t>
        </is>
      </c>
      <c r="I2234" s="570" t="inlineStr">
        <is>
          <t>Havlin Crittendon</t>
        </is>
      </c>
      <c r="J2234" s="557" t="n"/>
      <c r="S2234" s="1" t="n"/>
    </row>
    <row r="2235" ht="18" customHeight="1" s="305">
      <c r="A2235" s="8" t="inlineStr">
        <is>
          <t>A 27</t>
        </is>
      </c>
      <c r="B2235" s="5" t="n">
        <v>49</v>
      </c>
      <c r="C2235" s="6" t="inlineStr">
        <is>
          <t>X</t>
        </is>
      </c>
      <c r="D2235" s="5" t="n">
        <v>121</v>
      </c>
      <c r="E2235" s="2">
        <f>B2235*D2235/10000</f>
        <v/>
      </c>
      <c r="F2235" s="3">
        <f>B2235/30.48</f>
        <v/>
      </c>
      <c r="G2235" s="3">
        <f>D2235/30.48</f>
        <v/>
      </c>
      <c r="H2235" s="694" t="n"/>
      <c r="I2235" s="694" t="n"/>
      <c r="J2235" s="557" t="n"/>
      <c r="S2235" s="1" t="n"/>
    </row>
    <row r="2236" ht="18" customHeight="1" s="305">
      <c r="A2236" s="8" t="n">
        <v>2174</v>
      </c>
      <c r="B2236" s="5" t="n">
        <v>90</v>
      </c>
      <c r="C2236" s="72" t="inlineStr">
        <is>
          <t>X</t>
        </is>
      </c>
      <c r="D2236" s="5" t="n">
        <v>410</v>
      </c>
      <c r="E2236" s="73">
        <f>B2236*D2236/10000</f>
        <v/>
      </c>
      <c r="F2236" s="74">
        <f>B2236/30.48</f>
        <v/>
      </c>
      <c r="G2236" s="74">
        <f>D2236/30.48</f>
        <v/>
      </c>
      <c r="H2236" s="290" t="inlineStr">
        <is>
          <t>WTR</t>
        </is>
      </c>
      <c r="I2236" s="570" t="inlineStr">
        <is>
          <t>Mary Knight</t>
        </is>
      </c>
      <c r="J2236" s="557" t="n"/>
      <c r="S2236" s="1" t="n"/>
    </row>
    <row r="2237" ht="18" customHeight="1" s="305">
      <c r="A2237" s="8" t="n">
        <v>2945</v>
      </c>
      <c r="B2237" s="5" t="n">
        <v>90</v>
      </c>
      <c r="C2237" s="72" t="inlineStr">
        <is>
          <t>X</t>
        </is>
      </c>
      <c r="D2237" s="5" t="n">
        <v>324</v>
      </c>
      <c r="E2237" s="73">
        <f>B2237*D2237/10000</f>
        <v/>
      </c>
      <c r="F2237" s="74">
        <f>B2237/30.48</f>
        <v/>
      </c>
      <c r="G2237" s="74">
        <f>D2237/30.48</f>
        <v/>
      </c>
      <c r="H2237" s="694" t="n"/>
      <c r="I2237" s="694" t="n"/>
      <c r="J2237" s="557" t="n"/>
      <c r="S2237" s="1" t="n"/>
    </row>
    <row r="2238" ht="18" customHeight="1" s="305">
      <c r="A2238" s="8" t="inlineStr">
        <is>
          <t>C 632</t>
        </is>
      </c>
      <c r="B2238" s="5" t="n">
        <v>139</v>
      </c>
      <c r="C2238" s="6" t="inlineStr">
        <is>
          <t>X</t>
        </is>
      </c>
      <c r="D2238" s="5" t="n">
        <v>208</v>
      </c>
      <c r="E2238" s="2">
        <f>B2238*D2238/10000</f>
        <v/>
      </c>
      <c r="F2238" s="3">
        <f>B2238/30.48</f>
        <v/>
      </c>
      <c r="G2238" s="3">
        <f>D2238/30.48</f>
        <v/>
      </c>
      <c r="H2238" s="69" t="inlineStr">
        <is>
          <t>MCHD-TR</t>
        </is>
      </c>
      <c r="I2238" s="557" t="n"/>
      <c r="J2238" s="557" t="n"/>
      <c r="S2238" s="1" t="n"/>
    </row>
    <row r="2239" ht="18" customHeight="1" s="305">
      <c r="A2239" s="8" t="n">
        <v>2332</v>
      </c>
      <c r="B2239" s="5" t="n">
        <v>68</v>
      </c>
      <c r="C2239" s="72" t="inlineStr">
        <is>
          <t>X</t>
        </is>
      </c>
      <c r="D2239" s="5" t="n">
        <v>126</v>
      </c>
      <c r="E2239" s="73">
        <f>B2239*D2239/10000</f>
        <v/>
      </c>
      <c r="F2239" s="74">
        <f>B2239/30.48</f>
        <v/>
      </c>
      <c r="G2239" s="74">
        <f>D2239/30.48</f>
        <v/>
      </c>
      <c r="H2239" s="69" t="inlineStr">
        <is>
          <t>MCHD-TR</t>
        </is>
      </c>
      <c r="I2239" s="557" t="n"/>
      <c r="J2239" s="557" t="n"/>
      <c r="S2239" s="1" t="n"/>
    </row>
    <row r="2240" ht="18" customHeight="1" s="305">
      <c r="A2240" s="8" t="n">
        <v>3542</v>
      </c>
      <c r="B2240" s="5" t="n">
        <v>118</v>
      </c>
      <c r="C2240" s="72" t="inlineStr">
        <is>
          <t>X</t>
        </is>
      </c>
      <c r="D2240" s="5" t="n">
        <v>370</v>
      </c>
      <c r="E2240" s="73">
        <f>B2240*D2240/10000</f>
        <v/>
      </c>
      <c r="F2240" s="74">
        <f>B2240/30.48</f>
        <v/>
      </c>
      <c r="G2240" s="74">
        <f>D2240/30.48</f>
        <v/>
      </c>
      <c r="H2240" s="69" t="inlineStr">
        <is>
          <t>MCHD-TR</t>
        </is>
      </c>
      <c r="I2240" s="545" t="n"/>
      <c r="J2240" s="545" t="n"/>
      <c r="S2240" s="1" t="n"/>
    </row>
    <row r="2241" ht="18" customHeight="1" s="305">
      <c r="A2241" s="8" t="n">
        <v>2401</v>
      </c>
      <c r="B2241" s="5" t="n">
        <v>232</v>
      </c>
      <c r="C2241" s="72" t="inlineStr">
        <is>
          <t>X</t>
        </is>
      </c>
      <c r="D2241" s="5" t="n">
        <v>331</v>
      </c>
      <c r="E2241" s="73">
        <f>B2241*D2241/10000</f>
        <v/>
      </c>
      <c r="F2241" s="74">
        <f>B2241/30.48</f>
        <v/>
      </c>
      <c r="G2241" s="74">
        <f>D2241/30.48</f>
        <v/>
      </c>
      <c r="H2241" s="69" t="inlineStr">
        <is>
          <t>RK</t>
        </is>
      </c>
      <c r="I2241" s="534" t="inlineStr">
        <is>
          <t>Margaret Kelly</t>
        </is>
      </c>
      <c r="J2241" s="545" t="n"/>
      <c r="S2241" s="1" t="n"/>
    </row>
    <row r="2242" ht="18" customHeight="1" s="305">
      <c r="A2242" s="8" t="inlineStr">
        <is>
          <t>D 188</t>
        </is>
      </c>
      <c r="B2242" s="5" t="n">
        <v>54</v>
      </c>
      <c r="C2242" s="72" t="inlineStr">
        <is>
          <t>X</t>
        </is>
      </c>
      <c r="D2242" s="5" t="n">
        <v>96</v>
      </c>
      <c r="E2242" s="73">
        <f>B2242*D2242/10000</f>
        <v/>
      </c>
      <c r="F2242" s="74">
        <f>B2242/30.48</f>
        <v/>
      </c>
      <c r="G2242" s="74">
        <f>D2242/30.48</f>
        <v/>
      </c>
      <c r="H2242" s="16" t="inlineStr">
        <is>
          <t>VR</t>
        </is>
      </c>
      <c r="I2242" s="534" t="inlineStr">
        <is>
          <t>Suzanne W Walters</t>
        </is>
      </c>
      <c r="J2242" s="545" t="n"/>
      <c r="P2242" s="280" t="n"/>
    </row>
    <row r="2243" ht="18" customHeight="1" s="305">
      <c r="A2243" s="8" t="n">
        <v>3439</v>
      </c>
      <c r="B2243" s="5" t="n">
        <v>85</v>
      </c>
      <c r="C2243" s="72" t="inlineStr">
        <is>
          <t>X</t>
        </is>
      </c>
      <c r="D2243" s="5" t="n">
        <v>299</v>
      </c>
      <c r="E2243" s="73">
        <f>B2243*D2243/10000</f>
        <v/>
      </c>
      <c r="F2243" s="74">
        <f>B2243/30.48</f>
        <v/>
      </c>
      <c r="G2243" s="74">
        <f>D2243/30.48</f>
        <v/>
      </c>
      <c r="H2243" s="69" t="inlineStr">
        <is>
          <t>MCHD-TR</t>
        </is>
      </c>
      <c r="I2243" s="557" t="n"/>
      <c r="J2243" s="557" t="n"/>
      <c r="P2243" s="280" t="n"/>
    </row>
    <row r="2244" ht="18" customHeight="1" s="305">
      <c r="A2244" s="8" t="n">
        <v>2801</v>
      </c>
      <c r="B2244" s="5" t="n">
        <v>101</v>
      </c>
      <c r="C2244" s="72" t="inlineStr">
        <is>
          <t>X</t>
        </is>
      </c>
      <c r="D2244" s="5" t="n">
        <v>309</v>
      </c>
      <c r="E2244" s="73">
        <f>B2244*D2244/10000</f>
        <v/>
      </c>
      <c r="F2244" s="74">
        <f>B2244/30.48</f>
        <v/>
      </c>
      <c r="G2244" s="74">
        <f>D2244/30.48</f>
        <v/>
      </c>
      <c r="H2244" s="69" t="inlineStr">
        <is>
          <t>MCHD-TR</t>
        </is>
      </c>
      <c r="I2244" s="557" t="n"/>
      <c r="J2244" s="557" t="n"/>
      <c r="P2244" s="280" t="n"/>
    </row>
    <row r="2245" ht="18" customHeight="1" s="305">
      <c r="A2245" s="8" t="n">
        <v>2861</v>
      </c>
      <c r="B2245" s="5" t="n">
        <v>163</v>
      </c>
      <c r="C2245" s="72" t="inlineStr">
        <is>
          <t>X</t>
        </is>
      </c>
      <c r="D2245" s="5" t="n">
        <v>302</v>
      </c>
      <c r="E2245" s="73">
        <f>B2245*D2245/10000</f>
        <v/>
      </c>
      <c r="F2245" s="74">
        <f>B2245/30.48</f>
        <v/>
      </c>
      <c r="G2245" s="74">
        <f>D2245/30.48</f>
        <v/>
      </c>
      <c r="H2245" s="69" t="inlineStr">
        <is>
          <t>MCHD-TR</t>
        </is>
      </c>
      <c r="I2245" s="545" t="n"/>
      <c r="J2245" s="545" t="n"/>
      <c r="P2245" s="280" t="n"/>
      <c r="S2245" s="1" t="n"/>
    </row>
    <row r="2246" ht="18" customHeight="1" s="305">
      <c r="A2246" s="8" t="n">
        <v>2118</v>
      </c>
      <c r="B2246" s="5" t="n">
        <v>120</v>
      </c>
      <c r="C2246" s="72" t="inlineStr">
        <is>
          <t>X</t>
        </is>
      </c>
      <c r="D2246" s="5" t="n">
        <v>196</v>
      </c>
      <c r="E2246" s="73">
        <f>B2246*D2246/10000</f>
        <v/>
      </c>
      <c r="F2246" s="74">
        <f>B2246/30.48</f>
        <v/>
      </c>
      <c r="G2246" s="74">
        <f>D2246/30.48</f>
        <v/>
      </c>
      <c r="H2246" s="69" t="inlineStr">
        <is>
          <t>RK</t>
        </is>
      </c>
      <c r="I2246" s="534" t="inlineStr">
        <is>
          <t>Candace Jania</t>
        </is>
      </c>
      <c r="J2246" s="545" t="n"/>
      <c r="P2246" s="280" t="n"/>
    </row>
    <row r="2247" ht="18" customHeight="1" s="305">
      <c r="A2247" s="8" t="n">
        <v>3371</v>
      </c>
      <c r="B2247" s="5" t="n">
        <v>113</v>
      </c>
      <c r="C2247" s="72" t="inlineStr">
        <is>
          <t>X</t>
        </is>
      </c>
      <c r="D2247" s="5" t="n">
        <v>423</v>
      </c>
      <c r="E2247" s="73">
        <f>B2247*D2247/10000</f>
        <v/>
      </c>
      <c r="F2247" s="74">
        <f>B2247/30.48</f>
        <v/>
      </c>
      <c r="G2247" s="74">
        <f>D2247/30.48</f>
        <v/>
      </c>
      <c r="H2247" s="360" t="inlineStr">
        <is>
          <t>WTR</t>
        </is>
      </c>
      <c r="I2247" s="570" t="inlineStr">
        <is>
          <t>Laurie Merchant</t>
        </is>
      </c>
      <c r="J2247" s="557" t="n"/>
      <c r="P2247" s="280" t="n"/>
    </row>
    <row r="2248" ht="18" customHeight="1" s="305">
      <c r="A2248" s="8" t="n">
        <v>2192</v>
      </c>
      <c r="B2248" s="5" t="n">
        <v>83</v>
      </c>
      <c r="C2248" s="72" t="inlineStr">
        <is>
          <t>X</t>
        </is>
      </c>
      <c r="D2248" s="5" t="n">
        <v>350</v>
      </c>
      <c r="E2248" s="73">
        <f>B2248*D2248/10000</f>
        <v/>
      </c>
      <c r="F2248" s="74">
        <f>B2248/30.48</f>
        <v/>
      </c>
      <c r="G2248" s="74">
        <f>D2248/30.48</f>
        <v/>
      </c>
      <c r="H2248" s="694" t="n"/>
      <c r="I2248" s="694" t="n"/>
      <c r="J2248" s="557" t="n"/>
      <c r="P2248" s="280" t="n"/>
    </row>
    <row r="2249" ht="18" customHeight="1" s="305">
      <c r="A2249" s="8" t="n">
        <v>3243</v>
      </c>
      <c r="B2249" s="5" t="n">
        <v>84</v>
      </c>
      <c r="C2249" s="72" t="inlineStr">
        <is>
          <t>X</t>
        </is>
      </c>
      <c r="D2249" s="5" t="n">
        <v>280</v>
      </c>
      <c r="E2249" s="73">
        <f>B2249*D2249/10000</f>
        <v/>
      </c>
      <c r="F2249" s="74">
        <f>B2249/30.48</f>
        <v/>
      </c>
      <c r="G2249" s="74">
        <f>D2249/30.48</f>
        <v/>
      </c>
      <c r="H2249" s="272" t="inlineStr">
        <is>
          <t>WTR</t>
        </is>
      </c>
      <c r="I2249" s="317" t="inlineStr">
        <is>
          <t>Angie Huntington</t>
        </is>
      </c>
      <c r="J2249" s="557" t="n"/>
      <c r="P2249" s="280" t="n"/>
      <c r="S2249" s="1" t="n"/>
    </row>
    <row r="2250" ht="18" customHeight="1" s="305">
      <c r="A2250" s="8" t="n">
        <v>2431</v>
      </c>
      <c r="B2250" s="5" t="n">
        <v>140</v>
      </c>
      <c r="C2250" s="72" t="inlineStr">
        <is>
          <t>X</t>
        </is>
      </c>
      <c r="D2250" s="5" t="n">
        <v>288</v>
      </c>
      <c r="E2250" s="73">
        <f>B2250*D2250/10000</f>
        <v/>
      </c>
      <c r="F2250" s="74">
        <f>B2250/30.48</f>
        <v/>
      </c>
      <c r="G2250" s="74">
        <f>D2250/30.48</f>
        <v/>
      </c>
      <c r="H2250" s="290" t="inlineStr">
        <is>
          <t>WTR</t>
        </is>
      </c>
      <c r="I2250" s="570" t="inlineStr">
        <is>
          <t>Catharine Lentz</t>
        </is>
      </c>
      <c r="J2250" s="545" t="n"/>
      <c r="P2250" s="280" t="n"/>
      <c r="S2250" s="1" t="n"/>
    </row>
    <row r="2251" ht="18" customHeight="1" s="305">
      <c r="A2251" s="8" t="n">
        <v>2432</v>
      </c>
      <c r="B2251" s="5" t="n">
        <v>177</v>
      </c>
      <c r="C2251" s="72" t="inlineStr">
        <is>
          <t>X</t>
        </is>
      </c>
      <c r="D2251" s="5" t="n">
        <v>273</v>
      </c>
      <c r="E2251" s="73">
        <f>B2251*D2251/10000</f>
        <v/>
      </c>
      <c r="F2251" s="74">
        <f>B2251/30.48</f>
        <v/>
      </c>
      <c r="G2251" s="74">
        <f>D2251/30.48</f>
        <v/>
      </c>
      <c r="H2251" s="694" t="n"/>
      <c r="I2251" s="694" t="n"/>
      <c r="J2251" s="557" t="n"/>
      <c r="P2251" s="280" t="n"/>
      <c r="S2251" s="1" t="n"/>
    </row>
    <row r="2252" ht="18" customHeight="1" s="305">
      <c r="A2252" s="8" t="n">
        <v>2631</v>
      </c>
      <c r="B2252" s="5" t="n">
        <v>90</v>
      </c>
      <c r="C2252" s="72" t="inlineStr">
        <is>
          <t>X</t>
        </is>
      </c>
      <c r="D2252" s="5" t="n">
        <v>326</v>
      </c>
      <c r="E2252" s="73">
        <f>B2252*D2252/10000</f>
        <v/>
      </c>
      <c r="F2252" s="74">
        <f>B2252/30.48</f>
        <v/>
      </c>
      <c r="G2252" s="74">
        <f>D2252/30.48</f>
        <v/>
      </c>
      <c r="H2252" s="272" t="inlineStr">
        <is>
          <t>WTR</t>
        </is>
      </c>
      <c r="I2252" s="551" t="inlineStr">
        <is>
          <t>Jordan Thompson</t>
        </is>
      </c>
      <c r="J2252" s="552" t="n"/>
      <c r="P2252" s="280" t="n"/>
      <c r="S2252" s="1" t="n"/>
    </row>
    <row r="2253" ht="18" customHeight="1" s="305">
      <c r="A2253" s="8" t="n">
        <v>3861</v>
      </c>
      <c r="B2253" s="5" t="n">
        <v>106</v>
      </c>
      <c r="C2253" s="72" t="inlineStr">
        <is>
          <t>X</t>
        </is>
      </c>
      <c r="D2253" s="5" t="n">
        <v>188</v>
      </c>
      <c r="E2253" s="73">
        <f>B2253*D2253/10000</f>
        <v/>
      </c>
      <c r="F2253" s="74">
        <f>B2253/30.48</f>
        <v/>
      </c>
      <c r="G2253" s="74">
        <f>D2253/30.48</f>
        <v/>
      </c>
      <c r="H2253" s="292" t="inlineStr">
        <is>
          <t>LMX</t>
        </is>
      </c>
      <c r="I2253" s="570" t="inlineStr">
        <is>
          <t>Alex Behfar</t>
        </is>
      </c>
      <c r="J2253" s="557" t="n"/>
      <c r="P2253" s="280" t="n"/>
      <c r="S2253" s="1" t="n"/>
    </row>
    <row r="2254" ht="18" customHeight="1" s="305">
      <c r="A2254" s="8" t="inlineStr">
        <is>
          <t>D 427</t>
        </is>
      </c>
      <c r="B2254" s="5" t="n">
        <v>46</v>
      </c>
      <c r="C2254" s="72" t="inlineStr">
        <is>
          <t>X</t>
        </is>
      </c>
      <c r="D2254" s="5" t="n">
        <v>99</v>
      </c>
      <c r="E2254" s="73">
        <f>B2254*D2254/10000</f>
        <v/>
      </c>
      <c r="F2254" s="74">
        <f>B2254/30.48</f>
        <v/>
      </c>
      <c r="G2254" s="74">
        <f>D2254/30.48</f>
        <v/>
      </c>
      <c r="H2254" s="272" t="inlineStr">
        <is>
          <t>WTR</t>
        </is>
      </c>
      <c r="I2254" s="570" t="inlineStr">
        <is>
          <t>Kelly Wiepking</t>
        </is>
      </c>
      <c r="J2254" s="557" t="n"/>
      <c r="P2254" s="280" t="n"/>
    </row>
    <row r="2255" ht="18" customHeight="1" s="305">
      <c r="A2255" s="28" t="inlineStr">
        <is>
          <t>D 612</t>
        </is>
      </c>
      <c r="B2255" s="29" t="n">
        <v>45</v>
      </c>
      <c r="C2255" s="236" t="inlineStr">
        <is>
          <t>X</t>
        </is>
      </c>
      <c r="D2255" s="29" t="n">
        <v>99</v>
      </c>
      <c r="E2255" s="237">
        <f>B2255*D2255/10000</f>
        <v/>
      </c>
      <c r="F2255" s="238">
        <f>B2255/30.48</f>
        <v/>
      </c>
      <c r="G2255" s="238">
        <f>D2255/30.48</f>
        <v/>
      </c>
      <c r="H2255" s="292" t="inlineStr">
        <is>
          <t>LMX</t>
        </is>
      </c>
      <c r="I2255" s="570" t="inlineStr">
        <is>
          <t>Lauren Bates</t>
        </is>
      </c>
      <c r="J2255" s="557" t="n"/>
      <c r="P2255" s="280" t="n"/>
    </row>
    <row r="2256" ht="18" customHeight="1" s="305">
      <c r="A2256" s="28" t="inlineStr">
        <is>
          <t>D 477</t>
        </is>
      </c>
      <c r="B2256" s="29" t="n">
        <v>55</v>
      </c>
      <c r="C2256" s="236" t="inlineStr">
        <is>
          <t>X</t>
        </is>
      </c>
      <c r="D2256" s="29" t="n">
        <v>105</v>
      </c>
      <c r="E2256" s="237">
        <f>B2256*D2256/10000</f>
        <v/>
      </c>
      <c r="F2256" s="238">
        <f>B2256/30.48</f>
        <v/>
      </c>
      <c r="G2256" s="238">
        <f>D2256/30.48</f>
        <v/>
      </c>
      <c r="H2256" s="292" t="inlineStr">
        <is>
          <t>LMX</t>
        </is>
      </c>
      <c r="I2256" s="570" t="inlineStr">
        <is>
          <t>Jenny Davis</t>
        </is>
      </c>
      <c r="J2256" s="557" t="n"/>
      <c r="P2256" s="280" t="n"/>
    </row>
    <row r="2257" ht="18" customHeight="1" s="305">
      <c r="A2257" s="8" t="inlineStr">
        <is>
          <t>D 63</t>
        </is>
      </c>
      <c r="B2257" s="5" t="n">
        <v>46</v>
      </c>
      <c r="C2257" s="72" t="inlineStr">
        <is>
          <t>X</t>
        </is>
      </c>
      <c r="D2257" s="5" t="n">
        <v>95</v>
      </c>
      <c r="E2257" s="73">
        <f>B2257*D2257/10000</f>
        <v/>
      </c>
      <c r="F2257" s="74">
        <f>B2257/30.48</f>
        <v/>
      </c>
      <c r="G2257" s="74">
        <f>D2257/30.48</f>
        <v/>
      </c>
      <c r="H2257" s="314" t="inlineStr">
        <is>
          <t>WLB</t>
        </is>
      </c>
      <c r="I2257" s="570" t="inlineStr">
        <is>
          <t>Kelly Wiepking</t>
        </is>
      </c>
      <c r="J2257" s="557" t="n"/>
      <c r="P2257" s="280" t="n"/>
    </row>
    <row r="2258" ht="18" customHeight="1" s="305">
      <c r="A2258" s="8" t="inlineStr">
        <is>
          <t>D 13</t>
        </is>
      </c>
      <c r="B2258" s="5" t="n">
        <v>55</v>
      </c>
      <c r="C2258" s="72" t="inlineStr">
        <is>
          <t>X</t>
        </is>
      </c>
      <c r="D2258" s="5" t="n">
        <v>95</v>
      </c>
      <c r="E2258" s="73">
        <f>B2258*D2258/10000</f>
        <v/>
      </c>
      <c r="F2258" s="74">
        <f>B2258/30.48</f>
        <v/>
      </c>
      <c r="G2258" s="74">
        <f>D2258/30.48</f>
        <v/>
      </c>
      <c r="H2258" s="314" t="inlineStr">
        <is>
          <t>WLB</t>
        </is>
      </c>
      <c r="I2258" s="570" t="inlineStr">
        <is>
          <t>Sundae Thomas</t>
        </is>
      </c>
      <c r="J2258" s="557" t="n"/>
      <c r="P2258" s="280" t="n"/>
    </row>
    <row r="2259" ht="18" customHeight="1" s="305">
      <c r="A2259" s="8" t="n">
        <v>3788</v>
      </c>
      <c r="B2259" s="5" t="n">
        <v>68</v>
      </c>
      <c r="C2259" s="72" t="inlineStr">
        <is>
          <t>X</t>
        </is>
      </c>
      <c r="D2259" s="5" t="n">
        <v>116</v>
      </c>
      <c r="E2259" s="73">
        <f>B2259*D2259/10000</f>
        <v/>
      </c>
      <c r="F2259" s="74">
        <f>B2259/30.48</f>
        <v/>
      </c>
      <c r="G2259" s="74">
        <f>D2259/30.48</f>
        <v/>
      </c>
      <c r="H2259" s="614" t="inlineStr">
        <is>
          <t>BHR</t>
        </is>
      </c>
      <c r="I2259" s="570" t="inlineStr">
        <is>
          <t>Natalia Kuziw</t>
        </is>
      </c>
      <c r="J2259" s="557" t="n"/>
      <c r="P2259" s="280" t="n"/>
      <c r="S2259" s="1" t="n"/>
    </row>
    <row r="2260" ht="18" customHeight="1" s="305">
      <c r="A2260" s="8" t="n">
        <v>3935</v>
      </c>
      <c r="B2260" s="5" t="n">
        <v>269</v>
      </c>
      <c r="C2260" s="72" t="inlineStr">
        <is>
          <t>X</t>
        </is>
      </c>
      <c r="D2260" s="5" t="n">
        <v>378</v>
      </c>
      <c r="E2260" s="73">
        <f>B2260*D2260/10000</f>
        <v/>
      </c>
      <c r="F2260" s="74">
        <f>B2260/30.48</f>
        <v/>
      </c>
      <c r="G2260" s="74">
        <f>D2260/30.48</f>
        <v/>
      </c>
      <c r="H2260" s="614" t="inlineStr">
        <is>
          <t>BHR</t>
        </is>
      </c>
      <c r="I2260" s="570" t="inlineStr">
        <is>
          <t>Svitlana Giacomazza</t>
        </is>
      </c>
      <c r="J2260" s="557" t="n"/>
      <c r="P2260" s="280" t="n"/>
      <c r="S2260" s="1" t="n"/>
    </row>
    <row r="2261" ht="18" customHeight="1" s="305">
      <c r="A2261" s="8" t="inlineStr">
        <is>
          <t>h 143</t>
        </is>
      </c>
      <c r="B2261" s="5" t="n">
        <v>90</v>
      </c>
      <c r="C2261" s="72" t="inlineStr">
        <is>
          <t>X</t>
        </is>
      </c>
      <c r="D2261" s="5" t="n">
        <v>130</v>
      </c>
      <c r="E2261" s="73">
        <f>B2261*D2261/10000</f>
        <v/>
      </c>
      <c r="F2261" s="74">
        <f>B2261/30.48</f>
        <v/>
      </c>
      <c r="G2261" s="74">
        <f>D2261/30.48</f>
        <v/>
      </c>
      <c r="H2261" s="69" t="inlineStr">
        <is>
          <t>RK</t>
        </is>
      </c>
      <c r="I2261" s="570" t="inlineStr">
        <is>
          <t>NISCHA PHAIR</t>
        </is>
      </c>
      <c r="J2261" s="557" t="n"/>
      <c r="P2261" s="280" t="n"/>
      <c r="S2261" s="1" t="n"/>
    </row>
    <row r="2262" ht="18" customHeight="1" s="305">
      <c r="A2262" s="8" t="n">
        <v>2586</v>
      </c>
      <c r="B2262" s="5" t="n">
        <v>111</v>
      </c>
      <c r="C2262" s="72" t="inlineStr">
        <is>
          <t>X</t>
        </is>
      </c>
      <c r="D2262" s="5" t="n">
        <v>199</v>
      </c>
      <c r="E2262" s="73">
        <f>B2262*D2262/10000</f>
        <v/>
      </c>
      <c r="F2262" s="74">
        <f>B2262/30.48</f>
        <v/>
      </c>
      <c r="G2262" s="74">
        <f>D2262/30.48</f>
        <v/>
      </c>
      <c r="H2262" s="69" t="inlineStr">
        <is>
          <t>RK</t>
        </is>
      </c>
      <c r="I2262" s="570" t="inlineStr">
        <is>
          <t>Rebekah Zeimetz</t>
        </is>
      </c>
      <c r="J2262" s="557" t="n"/>
      <c r="P2262" s="280" t="n"/>
      <c r="S2262" s="1" t="n"/>
    </row>
    <row r="2263" ht="18" customHeight="1" s="305">
      <c r="A2263" s="8" t="n">
        <v>2490</v>
      </c>
      <c r="B2263" s="5" t="n">
        <v>70</v>
      </c>
      <c r="C2263" s="72" t="inlineStr">
        <is>
          <t>X</t>
        </is>
      </c>
      <c r="D2263" s="5" t="n">
        <v>139</v>
      </c>
      <c r="E2263" s="73">
        <f>B2263*D2263/10000</f>
        <v/>
      </c>
      <c r="F2263" s="74">
        <f>B2263/30.48</f>
        <v/>
      </c>
      <c r="G2263" s="74">
        <f>D2263/30.48</f>
        <v/>
      </c>
      <c r="H2263" s="69" t="inlineStr">
        <is>
          <t>RK</t>
        </is>
      </c>
      <c r="I2263" s="570" t="inlineStr">
        <is>
          <t>Tomberg Jaye Lindsay</t>
        </is>
      </c>
      <c r="J2263" s="557" t="n"/>
      <c r="P2263" s="280" t="n"/>
      <c r="S2263" s="1" t="n"/>
    </row>
    <row r="2264" ht="18" customHeight="1" s="305">
      <c r="A2264" s="8" t="n">
        <v>787</v>
      </c>
      <c r="B2264" s="5" t="n">
        <v>74</v>
      </c>
      <c r="C2264" s="72" t="inlineStr">
        <is>
          <t>X</t>
        </is>
      </c>
      <c r="D2264" s="5" t="n">
        <v>268</v>
      </c>
      <c r="E2264" s="73">
        <f>B2264*D2264/10000</f>
        <v/>
      </c>
      <c r="F2264" s="74">
        <f>B2264/30.48</f>
        <v/>
      </c>
      <c r="G2264" s="74">
        <f>D2264/30.48</f>
        <v/>
      </c>
      <c r="H2264" s="69" t="inlineStr">
        <is>
          <t>RK</t>
        </is>
      </c>
      <c r="I2264" s="570" t="inlineStr">
        <is>
          <t>Claire Weigel</t>
        </is>
      </c>
      <c r="J2264" s="557" t="n"/>
      <c r="P2264" s="280" t="n"/>
    </row>
    <row r="2265" ht="18" customHeight="1" s="305">
      <c r="A2265" s="8" t="n">
        <v>3643</v>
      </c>
      <c r="B2265" s="5" t="n">
        <v>88</v>
      </c>
      <c r="C2265" s="72" t="inlineStr">
        <is>
          <t>X</t>
        </is>
      </c>
      <c r="D2265" s="5" t="n">
        <v>219</v>
      </c>
      <c r="E2265" s="73">
        <f>B2265*D2265/10000</f>
        <v/>
      </c>
      <c r="F2265" s="74">
        <f>B2265/30.48</f>
        <v/>
      </c>
      <c r="G2265" s="74">
        <f>D2265/30.48</f>
        <v/>
      </c>
      <c r="H2265" s="69" t="inlineStr">
        <is>
          <t>MCHD-TR</t>
        </is>
      </c>
      <c r="I2265" s="557" t="n"/>
      <c r="J2265" s="557" t="n"/>
      <c r="P2265" s="280" t="n"/>
      <c r="S2265" s="1" t="n"/>
    </row>
    <row r="2266" ht="18" customHeight="1" s="305">
      <c r="A2266" s="8" t="n">
        <v>2637</v>
      </c>
      <c r="B2266" s="5" t="n">
        <v>98</v>
      </c>
      <c r="C2266" s="72" t="inlineStr">
        <is>
          <t>X</t>
        </is>
      </c>
      <c r="D2266" s="5" t="n">
        <v>183</v>
      </c>
      <c r="E2266" s="73">
        <f>B2266*D2266/10000</f>
        <v/>
      </c>
      <c r="F2266" s="74">
        <f>B2266/30.48</f>
        <v/>
      </c>
      <c r="G2266" s="74">
        <f>D2266/30.48</f>
        <v/>
      </c>
      <c r="H2266" s="69" t="inlineStr">
        <is>
          <t>MCHD-TR</t>
        </is>
      </c>
      <c r="I2266" s="557" t="n"/>
      <c r="J2266" s="557" t="n"/>
      <c r="P2266" s="280" t="n"/>
      <c r="S2266" s="1" t="n"/>
    </row>
    <row r="2267" ht="18" customHeight="1" s="305">
      <c r="A2267" s="8" t="inlineStr">
        <is>
          <t>A 26</t>
        </is>
      </c>
      <c r="B2267" s="5" t="n">
        <v>53</v>
      </c>
      <c r="C2267" s="6" t="inlineStr">
        <is>
          <t>X</t>
        </is>
      </c>
      <c r="D2267" s="5" t="n">
        <v>164</v>
      </c>
      <c r="E2267" s="2">
        <f>B2267*D2267/10000</f>
        <v/>
      </c>
      <c r="F2267" s="3">
        <f>B2267/30.48</f>
        <v/>
      </c>
      <c r="G2267" s="3">
        <f>D2267/30.48</f>
        <v/>
      </c>
      <c r="H2267" s="594" t="inlineStr">
        <is>
          <t>MCHD-TR</t>
        </is>
      </c>
      <c r="I2267" s="557" t="n"/>
      <c r="J2267" s="545" t="n"/>
      <c r="P2267" s="280" t="n"/>
    </row>
    <row r="2268" ht="18" customHeight="1" s="305">
      <c r="A2268" s="8" t="n">
        <v>2316</v>
      </c>
      <c r="B2268" s="5" t="n">
        <v>74</v>
      </c>
      <c r="C2268" s="72" t="inlineStr">
        <is>
          <t>X</t>
        </is>
      </c>
      <c r="D2268" s="5" t="n">
        <v>238</v>
      </c>
      <c r="E2268" s="73">
        <f>B2268*D2268/10000</f>
        <v/>
      </c>
      <c r="F2268" s="74">
        <f>B2268/30.48</f>
        <v/>
      </c>
      <c r="G2268" s="74">
        <f>D2268/30.48</f>
        <v/>
      </c>
      <c r="H2268" s="290" t="inlineStr">
        <is>
          <t>WTR</t>
        </is>
      </c>
      <c r="I2268" s="315" t="inlineStr">
        <is>
          <t>Sarah Pfennig</t>
        </is>
      </c>
      <c r="J2268" s="557" t="n"/>
      <c r="P2268" s="280" t="n"/>
      <c r="S2268" s="1" t="n"/>
    </row>
    <row r="2269" ht="18" customHeight="1" s="305">
      <c r="A2269" s="8" t="n">
        <v>3667</v>
      </c>
      <c r="B2269" s="5" t="n">
        <v>113</v>
      </c>
      <c r="C2269" s="72" t="inlineStr">
        <is>
          <t>X</t>
        </is>
      </c>
      <c r="D2269" s="5" t="n">
        <v>190</v>
      </c>
      <c r="E2269" s="73">
        <f>B2269*D2269/10000</f>
        <v/>
      </c>
      <c r="F2269" s="74">
        <f>B2269/30.48</f>
        <v/>
      </c>
      <c r="G2269" s="74">
        <f>D2269/30.48</f>
        <v/>
      </c>
      <c r="H2269" s="614" t="inlineStr">
        <is>
          <t>BHR</t>
        </is>
      </c>
      <c r="I2269" s="570" t="inlineStr">
        <is>
          <t>Jennifer Edwards</t>
        </is>
      </c>
      <c r="J2269" s="552" t="n"/>
      <c r="P2269" s="280" t="n"/>
    </row>
    <row r="2270" ht="18" customHeight="1" s="305">
      <c r="A2270" s="8" t="n">
        <v>2938</v>
      </c>
      <c r="B2270" s="5" t="n">
        <v>90</v>
      </c>
      <c r="C2270" s="72" t="inlineStr">
        <is>
          <t>X</t>
        </is>
      </c>
      <c r="D2270" s="5" t="n">
        <v>355</v>
      </c>
      <c r="E2270" s="73">
        <f>B2270*D2270/10000</f>
        <v/>
      </c>
      <c r="F2270" s="74">
        <f>B2270/30.48</f>
        <v/>
      </c>
      <c r="G2270" s="74">
        <f>D2270/30.48</f>
        <v/>
      </c>
      <c r="H2270" s="290" t="inlineStr">
        <is>
          <t>WTR</t>
        </is>
      </c>
      <c r="I2270" s="570" t="inlineStr">
        <is>
          <t>Laura Schara</t>
        </is>
      </c>
      <c r="J2270" s="557" t="n"/>
      <c r="P2270" s="280" t="n"/>
    </row>
    <row r="2271" ht="18" customHeight="1" s="305">
      <c r="A2271" s="8" t="n">
        <v>2731</v>
      </c>
      <c r="B2271" s="5" t="n">
        <v>250</v>
      </c>
      <c r="C2271" s="72" t="inlineStr">
        <is>
          <t>X</t>
        </is>
      </c>
      <c r="D2271" s="5" t="n">
        <v>317</v>
      </c>
      <c r="E2271" s="73">
        <f>B2271*D2271/10000</f>
        <v/>
      </c>
      <c r="F2271" s="74">
        <f>B2271/30.48</f>
        <v/>
      </c>
      <c r="G2271" s="74">
        <f>D2271/30.48</f>
        <v/>
      </c>
      <c r="H2271" s="290" t="inlineStr">
        <is>
          <t>WTR</t>
        </is>
      </c>
      <c r="I2271" s="534" t="inlineStr">
        <is>
          <t>Kim Milbrath</t>
        </is>
      </c>
      <c r="J2271" s="545" t="n"/>
      <c r="P2271" s="280" t="n"/>
    </row>
    <row r="2272" ht="18" customHeight="1" s="305">
      <c r="A2272" s="8" t="inlineStr">
        <is>
          <t>D 156</t>
        </is>
      </c>
      <c r="B2272" s="5" t="n">
        <v>46</v>
      </c>
      <c r="C2272" s="72" t="inlineStr">
        <is>
          <t>X</t>
        </is>
      </c>
      <c r="D2272" s="5" t="n">
        <v>75</v>
      </c>
      <c r="E2272" s="73">
        <f>B2272*D2272/10000</f>
        <v/>
      </c>
      <c r="F2272" s="74">
        <f>B2272/30.48</f>
        <v/>
      </c>
      <c r="G2272" s="74">
        <f>D2272/30.48</f>
        <v/>
      </c>
      <c r="H2272" s="614" t="inlineStr">
        <is>
          <t>BHR</t>
        </is>
      </c>
      <c r="I2272" s="534" t="inlineStr">
        <is>
          <t>Bridget McCullough</t>
        </is>
      </c>
      <c r="J2272" s="545" t="n"/>
      <c r="P2272" s="280" t="n"/>
    </row>
    <row r="2273" ht="18" customHeight="1" s="305">
      <c r="A2273" s="8" t="inlineStr">
        <is>
          <t>Y 837</t>
        </is>
      </c>
      <c r="B2273" s="5" t="n">
        <v>372</v>
      </c>
      <c r="C2273" s="6" t="inlineStr">
        <is>
          <t>X</t>
        </is>
      </c>
      <c r="D2273" s="5" t="n">
        <v>143</v>
      </c>
      <c r="E2273" s="2">
        <f>B2273*D2273/10000</f>
        <v/>
      </c>
      <c r="F2273" s="3">
        <f>B2273/30.48</f>
        <v/>
      </c>
      <c r="G2273" s="3">
        <f>D2273/30.48</f>
        <v/>
      </c>
      <c r="H2273" s="592" t="inlineStr">
        <is>
          <t>PAC</t>
        </is>
      </c>
      <c r="I2273" s="534" t="inlineStr">
        <is>
          <t>Emma Beckstrom XRAWNZ</t>
        </is>
      </c>
      <c r="J2273" s="545" t="n"/>
      <c r="P2273" s="280" t="n"/>
    </row>
    <row r="2274" ht="18" customHeight="1" s="305">
      <c r="A2274" s="8" t="n">
        <v>3235</v>
      </c>
      <c r="B2274" s="5" t="n">
        <v>121</v>
      </c>
      <c r="C2274" s="72" t="inlineStr">
        <is>
          <t>X</t>
        </is>
      </c>
      <c r="D2274" s="5" t="n">
        <v>203</v>
      </c>
      <c r="E2274" s="73">
        <f>B2274*D2274/10000</f>
        <v/>
      </c>
      <c r="F2274" s="74">
        <f>B2274/30.48</f>
        <v/>
      </c>
      <c r="G2274" s="74">
        <f>D2274/30.48</f>
        <v/>
      </c>
      <c r="H2274" s="290" t="inlineStr">
        <is>
          <t>WTR</t>
        </is>
      </c>
      <c r="I2274" s="570" t="inlineStr">
        <is>
          <t>Amanda Knox</t>
        </is>
      </c>
      <c r="J2274" s="557" t="n"/>
      <c r="P2274" s="280" t="n"/>
    </row>
    <row r="2275" ht="18" customHeight="1" s="305">
      <c r="A2275" s="8" t="n">
        <v>2345</v>
      </c>
      <c r="B2275" s="5" t="n">
        <v>180</v>
      </c>
      <c r="C2275" s="72" t="inlineStr">
        <is>
          <t>X</t>
        </is>
      </c>
      <c r="D2275" s="5" t="n">
        <v>271</v>
      </c>
      <c r="E2275" s="73">
        <f>B2275*D2275/10000</f>
        <v/>
      </c>
      <c r="F2275" s="74">
        <f>B2275/30.48</f>
        <v/>
      </c>
      <c r="G2275" s="74">
        <f>D2275/30.48</f>
        <v/>
      </c>
      <c r="H2275" s="290" t="inlineStr">
        <is>
          <t>WTR</t>
        </is>
      </c>
      <c r="I2275" s="534" t="inlineStr">
        <is>
          <t>Laura Boettcher</t>
        </is>
      </c>
      <c r="J2275" s="545" t="n"/>
      <c r="P2275" s="280" t="n"/>
    </row>
    <row r="2276" ht="18" customHeight="1" s="305">
      <c r="A2276" s="8" t="n">
        <v>2198</v>
      </c>
      <c r="B2276" s="5" t="n">
        <v>74</v>
      </c>
      <c r="C2276" s="72" t="inlineStr">
        <is>
          <t>X</t>
        </is>
      </c>
      <c r="D2276" s="5" t="n">
        <v>127</v>
      </c>
      <c r="E2276" s="73">
        <f>B2276*D2276/10000</f>
        <v/>
      </c>
      <c r="F2276" s="74">
        <f>B2276/30.48</f>
        <v/>
      </c>
      <c r="G2276" s="74">
        <f>D2276/30.48</f>
        <v/>
      </c>
      <c r="H2276" s="290" t="inlineStr">
        <is>
          <t>WTR</t>
        </is>
      </c>
      <c r="I2276" s="570" t="inlineStr">
        <is>
          <t>Erin Fisher</t>
        </is>
      </c>
      <c r="J2276" s="557" t="n"/>
      <c r="P2276" s="280" t="n"/>
    </row>
    <row r="2277" ht="18" customHeight="1" s="305">
      <c r="A2277" s="8" t="n">
        <v>2686</v>
      </c>
      <c r="B2277" s="5" t="n">
        <v>109</v>
      </c>
      <c r="C2277" s="72" t="inlineStr">
        <is>
          <t>X</t>
        </is>
      </c>
      <c r="D2277" s="5" t="n">
        <v>327</v>
      </c>
      <c r="E2277" s="73">
        <f>B2277*D2277/10000</f>
        <v/>
      </c>
      <c r="F2277" s="74">
        <f>B2277/30.48</f>
        <v/>
      </c>
      <c r="G2277" s="74">
        <f>D2277/30.48</f>
        <v/>
      </c>
      <c r="H2277" s="290" t="inlineStr">
        <is>
          <t>WTR</t>
        </is>
      </c>
      <c r="I2277" s="570" t="inlineStr">
        <is>
          <t>Alex Miller</t>
        </is>
      </c>
      <c r="J2277" s="557" t="n"/>
      <c r="P2277" s="280" t="n"/>
      <c r="S2277" s="1" t="n"/>
    </row>
    <row r="2278" ht="18" customHeight="1" s="305">
      <c r="A2278" s="8" t="inlineStr">
        <is>
          <t>C 662</t>
        </is>
      </c>
      <c r="B2278" s="5" t="n">
        <v>63</v>
      </c>
      <c r="C2278" s="6" t="inlineStr">
        <is>
          <t>X</t>
        </is>
      </c>
      <c r="D2278" s="5" t="n">
        <v>120</v>
      </c>
      <c r="E2278" s="2">
        <f>B2278*D2278/10000</f>
        <v/>
      </c>
      <c r="F2278" s="3">
        <f>B2278/30.48</f>
        <v/>
      </c>
      <c r="G2278" s="3">
        <f>D2278/30.48</f>
        <v/>
      </c>
      <c r="H2278" s="594" t="inlineStr">
        <is>
          <t>MCHD-TR</t>
        </is>
      </c>
      <c r="I2278" s="557" t="n"/>
      <c r="J2278" s="557" t="n"/>
      <c r="P2278" s="280" t="n"/>
    </row>
    <row r="2279" ht="18" customHeight="1" s="305">
      <c r="A2279" s="8" t="n">
        <v>2180</v>
      </c>
      <c r="B2279" s="5" t="n">
        <v>67</v>
      </c>
      <c r="C2279" s="72" t="inlineStr">
        <is>
          <t>X</t>
        </is>
      </c>
      <c r="D2279" s="5" t="n">
        <v>170</v>
      </c>
      <c r="E2279" s="73">
        <f>B2279*D2279/10000</f>
        <v/>
      </c>
      <c r="F2279" s="74">
        <f>B2279/30.48</f>
        <v/>
      </c>
      <c r="G2279" s="74">
        <f>D2279/30.48</f>
        <v/>
      </c>
      <c r="H2279" s="594" t="inlineStr">
        <is>
          <t>MCHD-TR</t>
        </is>
      </c>
      <c r="I2279" s="557" t="n"/>
      <c r="J2279" s="557" t="n"/>
      <c r="P2279" s="280" t="n"/>
      <c r="S2279" s="1" t="n"/>
    </row>
    <row r="2280" ht="18" customHeight="1" s="305">
      <c r="A2280" s="8" t="n">
        <v>2561</v>
      </c>
      <c r="B2280" s="5" t="n">
        <v>138</v>
      </c>
      <c r="C2280" s="72" t="inlineStr">
        <is>
          <t>X</t>
        </is>
      </c>
      <c r="D2280" s="5" t="n">
        <v>220</v>
      </c>
      <c r="E2280" s="73">
        <f>B2280*D2280/10000</f>
        <v/>
      </c>
      <c r="F2280" s="74">
        <f>B2280/30.48</f>
        <v/>
      </c>
      <c r="G2280" s="74">
        <f>D2280/30.48</f>
        <v/>
      </c>
      <c r="H2280" s="594" t="inlineStr">
        <is>
          <t>MCHD-TR</t>
        </is>
      </c>
      <c r="I2280" s="545" t="n"/>
      <c r="J2280" s="545" t="n"/>
      <c r="P2280" s="280" t="n"/>
      <c r="S2280" s="1" t="n"/>
    </row>
    <row r="2281" ht="18" customHeight="1" s="305">
      <c r="A2281" s="8" t="n">
        <v>2256</v>
      </c>
      <c r="B2281" s="5" t="n">
        <v>99</v>
      </c>
      <c r="C2281" s="72" t="inlineStr">
        <is>
          <t>X</t>
        </is>
      </c>
      <c r="D2281" s="5" t="n">
        <v>145</v>
      </c>
      <c r="E2281" s="73">
        <f>B2281*D2281/10000</f>
        <v/>
      </c>
      <c r="F2281" s="74">
        <f>B2281/30.48</f>
        <v/>
      </c>
      <c r="G2281" s="74">
        <f>D2281/30.48</f>
        <v/>
      </c>
      <c r="H2281" s="69" t="inlineStr">
        <is>
          <t>RK</t>
        </is>
      </c>
      <c r="I2281" s="534" t="inlineStr">
        <is>
          <t>Lauren DeNardo</t>
        </is>
      </c>
      <c r="J2281" s="545" t="n"/>
      <c r="P2281" s="280" t="n"/>
    </row>
    <row r="2282" ht="18" customHeight="1" s="305">
      <c r="A2282" s="8" t="n">
        <v>3663</v>
      </c>
      <c r="B2282" s="5" t="n">
        <v>80</v>
      </c>
      <c r="C2282" s="72" t="inlineStr">
        <is>
          <t>X</t>
        </is>
      </c>
      <c r="D2282" s="5" t="n">
        <v>207</v>
      </c>
      <c r="E2282" s="73">
        <f>B2282*D2282/10000</f>
        <v/>
      </c>
      <c r="F2282" s="74">
        <f>B2282/30.48</f>
        <v/>
      </c>
      <c r="G2282" s="74">
        <f>D2282/30.48</f>
        <v/>
      </c>
      <c r="H2282" s="292" t="inlineStr">
        <is>
          <t>LMX</t>
        </is>
      </c>
      <c r="I2282" s="570" t="inlineStr">
        <is>
          <t>Amanda Campbell</t>
        </is>
      </c>
      <c r="J2282" s="557" t="n"/>
      <c r="P2282" s="280" t="n"/>
    </row>
    <row r="2283" ht="18" customHeight="1" s="305">
      <c r="A2283" s="8" t="n">
        <v>1658</v>
      </c>
      <c r="B2283" s="5" t="n">
        <v>302</v>
      </c>
      <c r="C2283" s="72" t="inlineStr">
        <is>
          <t>X</t>
        </is>
      </c>
      <c r="D2283" s="5" t="n">
        <v>204</v>
      </c>
      <c r="E2283" s="73">
        <f>B2283*D2283/10000</f>
        <v/>
      </c>
      <c r="F2283" s="74">
        <f>B2283/30.48</f>
        <v/>
      </c>
      <c r="G2283" s="74">
        <f>D2283/30.48</f>
        <v/>
      </c>
      <c r="H2283" s="569" t="inlineStr">
        <is>
          <t>OLD</t>
        </is>
      </c>
      <c r="I2283" s="570" t="inlineStr">
        <is>
          <t>Carissa Winter</t>
        </is>
      </c>
      <c r="J2283" s="557" t="n"/>
      <c r="P2283" s="280" t="n"/>
    </row>
    <row r="2284" ht="18" customHeight="1" s="305">
      <c r="A2284" s="8" t="inlineStr">
        <is>
          <t>D 142</t>
        </is>
      </c>
      <c r="B2284" s="5" t="n">
        <v>49</v>
      </c>
      <c r="C2284" s="72" t="inlineStr">
        <is>
          <t>X</t>
        </is>
      </c>
      <c r="D2284" s="5" t="n">
        <v>97</v>
      </c>
      <c r="E2284" s="73">
        <f>B2284*D2284/10000</f>
        <v/>
      </c>
      <c r="F2284" s="74">
        <f>B2284/30.48</f>
        <v/>
      </c>
      <c r="G2284" s="74">
        <f>D2284/30.48</f>
        <v/>
      </c>
      <c r="H2284" s="614" t="inlineStr">
        <is>
          <t>BHR</t>
        </is>
      </c>
      <c r="I2284" s="570" t="inlineStr">
        <is>
          <t>Deborah Buck</t>
        </is>
      </c>
      <c r="J2284" s="557" t="n"/>
      <c r="P2284" s="280" t="n"/>
    </row>
    <row r="2285" ht="18" customHeight="1" s="305">
      <c r="A2285" s="8" t="n">
        <v>2451</v>
      </c>
      <c r="B2285" s="5" t="n">
        <v>81</v>
      </c>
      <c r="C2285" s="72" t="inlineStr">
        <is>
          <t>X</t>
        </is>
      </c>
      <c r="D2285" s="5" t="n">
        <v>333</v>
      </c>
      <c r="E2285" s="73">
        <f>B2285*D2285/10000</f>
        <v/>
      </c>
      <c r="F2285" s="74">
        <f>B2285/30.48</f>
        <v/>
      </c>
      <c r="G2285" s="74">
        <f>D2285/30.48</f>
        <v/>
      </c>
      <c r="H2285" s="360" t="inlineStr">
        <is>
          <t>WTR</t>
        </is>
      </c>
      <c r="I2285" s="570" t="inlineStr">
        <is>
          <t>Jan Hodson</t>
        </is>
      </c>
      <c r="J2285" s="557" t="n"/>
      <c r="P2285" s="280" t="n"/>
      <c r="S2285" s="1" t="n"/>
    </row>
    <row r="2286" ht="18" customHeight="1" s="305">
      <c r="A2286" s="8" t="n">
        <v>2193</v>
      </c>
      <c r="B2286" s="5" t="n">
        <v>85</v>
      </c>
      <c r="C2286" s="72" t="inlineStr">
        <is>
          <t>X</t>
        </is>
      </c>
      <c r="D2286" s="5" t="n">
        <v>343</v>
      </c>
      <c r="E2286" s="73">
        <f>B2286*D2286/10000</f>
        <v/>
      </c>
      <c r="F2286" s="74">
        <f>B2286/30.48</f>
        <v/>
      </c>
      <c r="G2286" s="74">
        <f>D2286/30.48</f>
        <v/>
      </c>
      <c r="H2286" s="694" t="n"/>
      <c r="I2286" s="694" t="n"/>
      <c r="J2286" s="557" t="n"/>
      <c r="P2286" s="280" t="n"/>
      <c r="S2286" s="1" t="n"/>
    </row>
    <row r="2287" ht="18" customHeight="1" s="305">
      <c r="A2287" s="28" t="inlineStr">
        <is>
          <t>D 536</t>
        </is>
      </c>
      <c r="B2287" s="29" t="n">
        <v>51</v>
      </c>
      <c r="C2287" s="236" t="inlineStr">
        <is>
          <t>X</t>
        </is>
      </c>
      <c r="D2287" s="29" t="n">
        <v>95</v>
      </c>
      <c r="E2287" s="237">
        <f>B2287*D2287/10000</f>
        <v/>
      </c>
      <c r="F2287" s="238">
        <f>B2287/30.48</f>
        <v/>
      </c>
      <c r="G2287" s="238">
        <f>D2287/30.48</f>
        <v/>
      </c>
      <c r="H2287" s="569" t="inlineStr">
        <is>
          <t>OLD</t>
        </is>
      </c>
      <c r="I2287" s="570" t="inlineStr">
        <is>
          <t>Naiomi Jamal</t>
        </is>
      </c>
      <c r="J2287" s="545" t="n"/>
      <c r="P2287" s="280" t="n"/>
    </row>
    <row r="2288" ht="18" customHeight="1" s="305">
      <c r="A2288" s="8" t="inlineStr">
        <is>
          <t>D 385</t>
        </is>
      </c>
      <c r="B2288" s="5" t="n">
        <v>40</v>
      </c>
      <c r="C2288" s="72" t="inlineStr">
        <is>
          <t>X</t>
        </is>
      </c>
      <c r="D2288" s="5" t="n">
        <v>74</v>
      </c>
      <c r="E2288" s="73">
        <f>B2288*D2288/10000</f>
        <v/>
      </c>
      <c r="F2288" s="74">
        <f>B2288/30.48</f>
        <v/>
      </c>
      <c r="G2288" s="74">
        <f>D2288/30.48</f>
        <v/>
      </c>
      <c r="H2288" s="290" t="inlineStr">
        <is>
          <t>WTR</t>
        </is>
      </c>
      <c r="I2288" s="694" t="n"/>
      <c r="J2288" s="557" t="n"/>
      <c r="P2288" s="280" t="n"/>
    </row>
    <row r="2289" ht="18" customHeight="1" s="305">
      <c r="A2289" s="8" t="n">
        <v>2128</v>
      </c>
      <c r="B2289" s="5" t="n">
        <v>98</v>
      </c>
      <c r="C2289" s="72" t="inlineStr">
        <is>
          <t>X</t>
        </is>
      </c>
      <c r="D2289" s="5" t="n">
        <v>100</v>
      </c>
      <c r="E2289" s="73">
        <f>B2289*D2289/10000</f>
        <v/>
      </c>
      <c r="F2289" s="74">
        <f>B2289/30.48</f>
        <v/>
      </c>
      <c r="G2289" s="74">
        <f>D2289/30.48</f>
        <v/>
      </c>
      <c r="H2289" s="594" t="inlineStr">
        <is>
          <t>MCHD-TR</t>
        </is>
      </c>
      <c r="I2289" s="552" t="n"/>
      <c r="J2289" s="552" t="n"/>
      <c r="P2289" s="280" t="n"/>
      <c r="S2289" s="1" t="n"/>
    </row>
    <row r="2290" ht="18" customHeight="1" s="305">
      <c r="A2290" s="8" t="n">
        <v>2237</v>
      </c>
      <c r="B2290" s="5" t="n">
        <v>192</v>
      </c>
      <c r="C2290" s="72" t="inlineStr">
        <is>
          <t>X</t>
        </is>
      </c>
      <c r="D2290" s="5" t="n">
        <v>280</v>
      </c>
      <c r="E2290" s="73">
        <f>B2290*D2290/10000</f>
        <v/>
      </c>
      <c r="F2290" s="74">
        <f>B2290/30.48</f>
        <v/>
      </c>
      <c r="G2290" s="74">
        <f>D2290/30.48</f>
        <v/>
      </c>
      <c r="H2290" s="594" t="inlineStr">
        <is>
          <t>MCHD-TR</t>
        </is>
      </c>
      <c r="I2290" s="557" t="n"/>
      <c r="J2290" s="557" t="n"/>
      <c r="P2290" s="280" t="n"/>
      <c r="S2290" s="1" t="n"/>
    </row>
    <row r="2291" ht="18" customHeight="1" s="305">
      <c r="A2291" s="8" t="n">
        <v>2006</v>
      </c>
      <c r="B2291" s="5" t="n">
        <v>92</v>
      </c>
      <c r="C2291" s="72" t="inlineStr">
        <is>
          <t>X</t>
        </is>
      </c>
      <c r="D2291" s="5" t="n">
        <v>466</v>
      </c>
      <c r="E2291" s="73">
        <f>B2291*D2291/10000</f>
        <v/>
      </c>
      <c r="F2291" s="74">
        <f>B2291/30.48</f>
        <v/>
      </c>
      <c r="G2291" s="74">
        <f>D2291/30.48</f>
        <v/>
      </c>
      <c r="H2291" s="594" t="inlineStr">
        <is>
          <t>MCHD-TR</t>
        </is>
      </c>
      <c r="I2291" s="545" t="n"/>
      <c r="J2291" s="545" t="n"/>
      <c r="P2291" s="280" t="n"/>
      <c r="S2291" s="1" t="n"/>
    </row>
    <row r="2292" ht="18" customHeight="1" s="305">
      <c r="A2292" s="8" t="n">
        <v>3720</v>
      </c>
      <c r="B2292" s="5" t="n">
        <v>79</v>
      </c>
      <c r="C2292" s="72" t="inlineStr">
        <is>
          <t>X</t>
        </is>
      </c>
      <c r="D2292" s="5" t="n">
        <v>171</v>
      </c>
      <c r="E2292" s="73">
        <f>B2292*D2292/10000</f>
        <v/>
      </c>
      <c r="F2292" s="74">
        <f>B2292/30.48</f>
        <v/>
      </c>
      <c r="G2292" s="74">
        <f>D2292/30.48</f>
        <v/>
      </c>
      <c r="H2292" s="292" t="inlineStr">
        <is>
          <t>LMX</t>
        </is>
      </c>
      <c r="I2292" s="534" t="inlineStr">
        <is>
          <t>Kate Wood</t>
        </is>
      </c>
      <c r="J2292" s="545" t="n"/>
    </row>
    <row r="2293" ht="18" customHeight="1" s="305">
      <c r="A2293" s="8" t="n">
        <v>3011</v>
      </c>
      <c r="B2293" s="5" t="n">
        <v>80</v>
      </c>
      <c r="C2293" s="72" t="inlineStr">
        <is>
          <t>X</t>
        </is>
      </c>
      <c r="D2293" s="5" t="n">
        <v>267</v>
      </c>
      <c r="E2293" s="73">
        <f>B2293*D2293/10000</f>
        <v/>
      </c>
      <c r="F2293" s="74">
        <f>B2293/30.48</f>
        <v/>
      </c>
      <c r="G2293" s="74">
        <f>D2293/30.48</f>
        <v/>
      </c>
      <c r="H2293" s="290" t="inlineStr">
        <is>
          <t>WTR</t>
        </is>
      </c>
      <c r="I2293" s="534" t="inlineStr">
        <is>
          <t>Claire Olingy</t>
        </is>
      </c>
      <c r="J2293" s="545" t="n"/>
      <c r="P2293" s="280" t="n"/>
    </row>
    <row r="2294" ht="18" customHeight="1" s="305">
      <c r="A2294" s="8" t="n">
        <v>2385</v>
      </c>
      <c r="B2294" s="5" t="n">
        <v>84</v>
      </c>
      <c r="C2294" s="72" t="inlineStr">
        <is>
          <t>X</t>
        </is>
      </c>
      <c r="D2294" s="5" t="n">
        <v>212</v>
      </c>
      <c r="E2294" s="73">
        <f>B2294*D2294/10000</f>
        <v/>
      </c>
      <c r="F2294" s="74">
        <f>B2294/30.48</f>
        <v/>
      </c>
      <c r="G2294" s="74">
        <f>D2294/30.48</f>
        <v/>
      </c>
      <c r="H2294" s="290" t="inlineStr">
        <is>
          <t>WTR</t>
        </is>
      </c>
      <c r="I2294" s="570" t="inlineStr">
        <is>
          <t>Hayley Ford</t>
        </is>
      </c>
      <c r="J2294" s="557" t="n"/>
      <c r="P2294" s="280" t="n"/>
    </row>
    <row r="2295" ht="18" customHeight="1" s="305">
      <c r="A2295" s="8" t="n">
        <v>3977</v>
      </c>
      <c r="B2295" s="5" t="n">
        <v>80</v>
      </c>
      <c r="C2295" s="72" t="inlineStr">
        <is>
          <t>X</t>
        </is>
      </c>
      <c r="D2295" s="5" t="n">
        <v>170</v>
      </c>
      <c r="E2295" s="73">
        <f>B2295*D2295/10000</f>
        <v/>
      </c>
      <c r="F2295" s="74">
        <f>B2295/30.48</f>
        <v/>
      </c>
      <c r="G2295" s="74">
        <f>D2295/30.48</f>
        <v/>
      </c>
      <c r="H2295" s="594" t="inlineStr">
        <is>
          <t>MCHD-TR</t>
        </is>
      </c>
      <c r="I2295" s="557" t="n"/>
      <c r="J2295" s="557" t="n"/>
      <c r="P2295" s="280" t="n"/>
      <c r="S2295" s="1" t="n"/>
    </row>
    <row r="2296" ht="18" customHeight="1" s="305">
      <c r="A2296" s="8" t="n">
        <v>2980</v>
      </c>
      <c r="B2296" s="5" t="n">
        <v>86</v>
      </c>
      <c r="C2296" s="72" t="inlineStr">
        <is>
          <t>X</t>
        </is>
      </c>
      <c r="D2296" s="5" t="n">
        <v>466</v>
      </c>
      <c r="E2296" s="73">
        <f>B2296*D2296/10000</f>
        <v/>
      </c>
      <c r="F2296" s="74">
        <f>B2296/30.48</f>
        <v/>
      </c>
      <c r="G2296" s="74">
        <f>D2296/30.48</f>
        <v/>
      </c>
      <c r="H2296" s="594" t="inlineStr">
        <is>
          <t>MCHD-TR</t>
        </is>
      </c>
      <c r="I2296" s="557" t="n"/>
      <c r="J2296" s="557" t="n"/>
      <c r="P2296" s="280" t="n"/>
      <c r="S2296" s="1" t="n"/>
    </row>
    <row r="2297" ht="18" customHeight="1" s="305">
      <c r="A2297" s="8" t="n">
        <v>1986</v>
      </c>
      <c r="B2297" s="5" t="n">
        <v>74</v>
      </c>
      <c r="C2297" s="72" t="inlineStr">
        <is>
          <t>X</t>
        </is>
      </c>
      <c r="D2297" s="5" t="n">
        <v>321</v>
      </c>
      <c r="E2297" s="73">
        <f>B2297*D2297/10000</f>
        <v/>
      </c>
      <c r="F2297" s="74">
        <f>B2297/30.48</f>
        <v/>
      </c>
      <c r="G2297" s="74">
        <f>D2297/30.48</f>
        <v/>
      </c>
      <c r="H2297" s="594" t="inlineStr">
        <is>
          <t>MCHD-TR</t>
        </is>
      </c>
      <c r="I2297" s="545" t="n"/>
      <c r="J2297" s="545" t="n"/>
      <c r="P2297" s="280" t="n"/>
    </row>
    <row r="2298" ht="18" customHeight="1" s="305">
      <c r="A2298" s="8" t="n">
        <v>2634</v>
      </c>
      <c r="B2298" s="5" t="n">
        <v>71</v>
      </c>
      <c r="C2298" s="72" t="inlineStr">
        <is>
          <t>X</t>
        </is>
      </c>
      <c r="D2298" s="5" t="n">
        <v>127</v>
      </c>
      <c r="E2298" s="73">
        <f>B2298*D2298/10000</f>
        <v/>
      </c>
      <c r="F2298" s="74">
        <f>B2298/30.48</f>
        <v/>
      </c>
      <c r="G2298" s="74">
        <f>D2298/30.48</f>
        <v/>
      </c>
      <c r="H2298" s="314" t="inlineStr">
        <is>
          <t>WLB</t>
        </is>
      </c>
      <c r="I2298" s="534" t="inlineStr">
        <is>
          <t>Kimberly Cabunoc</t>
        </is>
      </c>
      <c r="J2298" s="545" t="n"/>
      <c r="P2298" s="280" t="n"/>
    </row>
    <row r="2299" ht="18" customHeight="1" s="305">
      <c r="A2299" s="8" t="n">
        <v>3116</v>
      </c>
      <c r="B2299" s="5" t="n">
        <v>79</v>
      </c>
      <c r="C2299" s="72" t="inlineStr">
        <is>
          <t>X</t>
        </is>
      </c>
      <c r="D2299" s="5" t="n">
        <v>146</v>
      </c>
      <c r="E2299" s="73">
        <f>B2299*D2299/10000</f>
        <v/>
      </c>
      <c r="F2299" s="74">
        <f>B2299/30.48</f>
        <v/>
      </c>
      <c r="G2299" s="74">
        <f>D2299/30.48</f>
        <v/>
      </c>
      <c r="H2299" s="314" t="inlineStr">
        <is>
          <t>WLB</t>
        </is>
      </c>
      <c r="I2299" s="80" t="inlineStr">
        <is>
          <t>Cynthia Smith</t>
        </is>
      </c>
      <c r="J2299" s="557" t="n"/>
      <c r="P2299" s="280" t="n"/>
    </row>
    <row r="2300" ht="18" customHeight="1" s="305">
      <c r="A2300" s="8" t="n">
        <v>1954</v>
      </c>
      <c r="B2300" s="5" t="n">
        <v>79</v>
      </c>
      <c r="C2300" s="72" t="inlineStr">
        <is>
          <t>X</t>
        </is>
      </c>
      <c r="D2300" s="5" t="n">
        <v>363</v>
      </c>
      <c r="E2300" s="73">
        <f>B2300*D2300/10000</f>
        <v/>
      </c>
      <c r="F2300" s="74">
        <f>B2300/30.48</f>
        <v/>
      </c>
      <c r="G2300" s="74">
        <f>D2300/30.48</f>
        <v/>
      </c>
      <c r="H2300" s="569" t="inlineStr">
        <is>
          <t>OLD</t>
        </is>
      </c>
      <c r="I2300" s="534" t="inlineStr">
        <is>
          <t>Emily Shiver</t>
        </is>
      </c>
      <c r="J2300" s="545" t="n"/>
      <c r="P2300" s="280" t="n"/>
    </row>
    <row r="2301">
      <c r="A2301" s="536" t="inlineStr">
        <is>
          <t>-2025 MART-</t>
        </is>
      </c>
      <c r="H2301" s="104" t="inlineStr">
        <is>
          <t>SATAN-SİTE</t>
        </is>
      </c>
      <c r="I2301" s="98" t="inlineStr">
        <is>
          <t>MÜŞTERİ ADI</t>
        </is>
      </c>
      <c r="J2301" s="63" t="inlineStr">
        <is>
          <t>MÜŞTERİ İLETİŞİM &amp; ÜLKE</t>
        </is>
      </c>
      <c r="P2301" s="1" t="n"/>
    </row>
    <row r="2302" ht="18" customHeight="1" s="305">
      <c r="A2302" s="8" t="n">
        <v>3064</v>
      </c>
      <c r="B2302" s="5" t="n">
        <v>67</v>
      </c>
      <c r="C2302" s="72" t="inlineStr">
        <is>
          <t>X</t>
        </is>
      </c>
      <c r="D2302" s="5" t="n">
        <v>112</v>
      </c>
      <c r="E2302" s="73">
        <f>B2302*D2302/10000</f>
        <v/>
      </c>
      <c r="F2302" s="74">
        <f>B2302/30.48</f>
        <v/>
      </c>
      <c r="G2302" s="74">
        <f>D2302/30.48</f>
        <v/>
      </c>
      <c r="H2302" s="316" t="inlineStr">
        <is>
          <t>BHR</t>
        </is>
      </c>
      <c r="I2302" s="570" t="inlineStr">
        <is>
          <t>donna brightman</t>
        </is>
      </c>
      <c r="J2302" s="557" t="n"/>
      <c r="P2302" s="280" t="n"/>
    </row>
    <row r="2303" ht="18" customHeight="1" s="305">
      <c r="A2303" s="8" t="n">
        <v>2620</v>
      </c>
      <c r="B2303" s="5" t="n">
        <v>81</v>
      </c>
      <c r="C2303" s="72" t="inlineStr">
        <is>
          <t>X</t>
        </is>
      </c>
      <c r="D2303" s="5" t="n">
        <v>386</v>
      </c>
      <c r="E2303" s="73">
        <f>B2303*D2303/10000</f>
        <v/>
      </c>
      <c r="F2303" s="74">
        <f>B2303/30.48</f>
        <v/>
      </c>
      <c r="G2303" s="74">
        <f>D2303/30.48</f>
        <v/>
      </c>
      <c r="H2303" s="290" t="inlineStr">
        <is>
          <t>WTR</t>
        </is>
      </c>
      <c r="I2303" s="570" t="inlineStr">
        <is>
          <t>Taraya Philpott</t>
        </is>
      </c>
      <c r="J2303" s="557" t="n"/>
      <c r="P2303" s="280" t="n"/>
    </row>
    <row r="2304" ht="18" customHeight="1" s="305">
      <c r="A2304" s="8" t="inlineStr">
        <is>
          <t>D 434</t>
        </is>
      </c>
      <c r="B2304" s="5" t="n">
        <v>57</v>
      </c>
      <c r="C2304" s="72" t="inlineStr">
        <is>
          <t>X</t>
        </is>
      </c>
      <c r="D2304" s="5" t="n">
        <v>93</v>
      </c>
      <c r="E2304" s="73">
        <f>B2304*D2304/10000</f>
        <v/>
      </c>
      <c r="F2304" s="74">
        <f>B2304/30.48</f>
        <v/>
      </c>
      <c r="G2304" s="74">
        <f>D2304/30.48</f>
        <v/>
      </c>
      <c r="H2304" s="290" t="inlineStr">
        <is>
          <t>WTR</t>
        </is>
      </c>
      <c r="I2304" s="534" t="inlineStr">
        <is>
          <t>Leslie Johnson</t>
        </is>
      </c>
      <c r="J2304" s="545" t="n"/>
      <c r="P2304" s="280" t="n"/>
    </row>
    <row r="2305" ht="18" customHeight="1" s="305">
      <c r="A2305" s="8" t="n">
        <v>3007</v>
      </c>
      <c r="B2305" s="5" t="n">
        <v>80</v>
      </c>
      <c r="C2305" s="72" t="inlineStr">
        <is>
          <t>X</t>
        </is>
      </c>
      <c r="D2305" s="5" t="n">
        <v>280</v>
      </c>
      <c r="E2305" s="73">
        <f>B2305*D2305/10000</f>
        <v/>
      </c>
      <c r="F2305" s="74">
        <f>B2305/30.48</f>
        <v/>
      </c>
      <c r="G2305" s="74">
        <f>D2305/30.48</f>
        <v/>
      </c>
      <c r="H2305" s="290" t="inlineStr">
        <is>
          <t>WTR</t>
        </is>
      </c>
      <c r="I2305" s="570" t="inlineStr">
        <is>
          <t>Christa McCoy</t>
        </is>
      </c>
      <c r="J2305" s="557" t="n"/>
      <c r="P2305" s="280" t="n"/>
    </row>
    <row r="2306" ht="18" customHeight="1" s="305">
      <c r="A2306" s="8" t="n">
        <v>2323</v>
      </c>
      <c r="B2306" s="5" t="n">
        <v>111</v>
      </c>
      <c r="C2306" s="72" t="inlineStr">
        <is>
          <t>X</t>
        </is>
      </c>
      <c r="D2306" s="5" t="n">
        <v>194</v>
      </c>
      <c r="E2306" s="73">
        <f>B2306*D2306/10000</f>
        <v/>
      </c>
      <c r="F2306" s="74">
        <f>B2306/30.48</f>
        <v/>
      </c>
      <c r="G2306" s="74">
        <f>D2306/30.48</f>
        <v/>
      </c>
      <c r="H2306" s="69" t="inlineStr">
        <is>
          <t>RK</t>
        </is>
      </c>
      <c r="I2306" s="570" t="inlineStr">
        <is>
          <t>Francis Hunt</t>
        </is>
      </c>
      <c r="J2306" s="557" t="n"/>
      <c r="P2306" s="280" t="n"/>
      <c r="S2306" s="1" t="n"/>
    </row>
    <row r="2307" ht="18" customHeight="1" s="305">
      <c r="A2307" s="8" t="inlineStr">
        <is>
          <t>D 108</t>
        </is>
      </c>
      <c r="B2307" s="5" t="n">
        <v>46</v>
      </c>
      <c r="C2307" s="72" t="inlineStr">
        <is>
          <t>X</t>
        </is>
      </c>
      <c r="D2307" s="5" t="n">
        <v>84</v>
      </c>
      <c r="E2307" s="73">
        <f>B2307*D2307/10000</f>
        <v/>
      </c>
      <c r="F2307" s="74">
        <f>B2307/30.48</f>
        <v/>
      </c>
      <c r="G2307" s="74">
        <f>D2307/30.48</f>
        <v/>
      </c>
      <c r="H2307" s="314" t="inlineStr">
        <is>
          <t>WLB</t>
        </is>
      </c>
      <c r="I2307" s="570" t="inlineStr">
        <is>
          <t>Alison Smith</t>
        </is>
      </c>
      <c r="J2307" s="557" t="n"/>
      <c r="P2307" s="280" t="n"/>
    </row>
    <row r="2308" ht="18" customHeight="1" s="305">
      <c r="A2308" s="8" t="n">
        <v>2914</v>
      </c>
      <c r="B2308" s="5" t="n">
        <v>54</v>
      </c>
      <c r="C2308" s="72" t="inlineStr">
        <is>
          <t>X</t>
        </is>
      </c>
      <c r="D2308" s="5" t="n">
        <v>116</v>
      </c>
      <c r="E2308" s="73">
        <f>B2308*D2308/10000</f>
        <v/>
      </c>
      <c r="F2308" s="74">
        <f>B2308/30.48</f>
        <v/>
      </c>
      <c r="G2308" s="74">
        <f>D2308/30.48</f>
        <v/>
      </c>
      <c r="H2308" s="594" t="inlineStr">
        <is>
          <t>MCHD-TR</t>
        </is>
      </c>
      <c r="I2308" s="545" t="n"/>
      <c r="J2308" s="545" t="n"/>
      <c r="P2308" s="280" t="n"/>
      <c r="S2308" s="1" t="n"/>
    </row>
    <row r="2309" ht="18" customHeight="1" s="305">
      <c r="A2309" s="8" t="inlineStr">
        <is>
          <t>D 378</t>
        </is>
      </c>
      <c r="B2309" s="5" t="n">
        <v>48</v>
      </c>
      <c r="C2309" s="72" t="inlineStr">
        <is>
          <t>X</t>
        </is>
      </c>
      <c r="D2309" s="5" t="n">
        <v>92</v>
      </c>
      <c r="E2309" s="73">
        <f>B2309*D2309/10000</f>
        <v/>
      </c>
      <c r="F2309" s="74">
        <f>B2309/30.48</f>
        <v/>
      </c>
      <c r="G2309" s="74">
        <f>D2309/30.48</f>
        <v/>
      </c>
      <c r="H2309" s="290" t="inlineStr">
        <is>
          <t>WTR</t>
        </is>
      </c>
      <c r="I2309" s="570" t="inlineStr">
        <is>
          <t>pam terry</t>
        </is>
      </c>
      <c r="J2309" s="557" t="n"/>
      <c r="P2309" s="280" t="n"/>
    </row>
    <row r="2310" ht="18" customHeight="1" s="305">
      <c r="A2310" s="8" t="n">
        <v>1586</v>
      </c>
      <c r="B2310" s="5" t="n">
        <v>250</v>
      </c>
      <c r="C2310" s="72" t="inlineStr">
        <is>
          <t>X</t>
        </is>
      </c>
      <c r="D2310" s="5" t="n">
        <v>158</v>
      </c>
      <c r="E2310" s="73">
        <f>B2310*D2310/10000</f>
        <v/>
      </c>
      <c r="F2310" s="74">
        <f>B2310/30.48</f>
        <v/>
      </c>
      <c r="G2310" s="74">
        <f>D2310/30.48</f>
        <v/>
      </c>
      <c r="H2310" s="592" t="inlineStr">
        <is>
          <t>PAC</t>
        </is>
      </c>
      <c r="I2310" s="570" t="inlineStr">
        <is>
          <t>EXTRA STORAGE JLV LEE</t>
        </is>
      </c>
      <c r="J2310" s="557" t="n"/>
      <c r="P2310" s="280" t="n"/>
    </row>
    <row r="2311" ht="18" customHeight="1" s="305">
      <c r="A2311" s="8" t="n">
        <v>1469</v>
      </c>
      <c r="B2311" s="5" t="n">
        <v>250</v>
      </c>
      <c r="C2311" s="72" t="inlineStr">
        <is>
          <t>X</t>
        </is>
      </c>
      <c r="D2311" s="5" t="n">
        <v>360</v>
      </c>
      <c r="E2311" s="73">
        <f>B2311*D2311/10000</f>
        <v/>
      </c>
      <c r="F2311" s="74">
        <f>B2311/30.48</f>
        <v/>
      </c>
      <c r="G2311" s="74">
        <f>D2311/30.48</f>
        <v/>
      </c>
      <c r="H2311" s="592" t="inlineStr">
        <is>
          <t>PAC</t>
        </is>
      </c>
      <c r="I2311" s="570" t="inlineStr">
        <is>
          <t>Vesta Home Attn: Ryan Worthington</t>
        </is>
      </c>
      <c r="J2311" s="557" t="n"/>
      <c r="P2311" s="280" t="n"/>
      <c r="S2311" s="1" t="n"/>
    </row>
    <row r="2312" ht="18" customHeight="1" s="305">
      <c r="A2312" s="8" t="n">
        <v>2888</v>
      </c>
      <c r="B2312" s="5" t="n">
        <v>91</v>
      </c>
      <c r="C2312" s="72" t="inlineStr">
        <is>
          <t>X</t>
        </is>
      </c>
      <c r="D2312" s="5" t="n">
        <v>157</v>
      </c>
      <c r="E2312" s="73">
        <f>B2312*D2312/10000</f>
        <v/>
      </c>
      <c r="F2312" s="74">
        <f>B2312/30.48</f>
        <v/>
      </c>
      <c r="G2312" s="74">
        <f>D2312/30.48</f>
        <v/>
      </c>
      <c r="H2312" s="314" t="inlineStr">
        <is>
          <t>WLB</t>
        </is>
      </c>
      <c r="I2312" s="570" t="inlineStr">
        <is>
          <t>Sarah Jackson</t>
        </is>
      </c>
      <c r="J2312" s="557" t="n"/>
      <c r="P2312" s="280" t="n"/>
      <c r="S2312" s="1" t="n"/>
    </row>
    <row r="2313" ht="18" customHeight="1" s="305">
      <c r="A2313" s="8" t="n">
        <v>2292</v>
      </c>
      <c r="B2313" s="5" t="n">
        <v>115</v>
      </c>
      <c r="C2313" s="72" t="inlineStr">
        <is>
          <t>X</t>
        </is>
      </c>
      <c r="D2313" s="5" t="n">
        <v>335</v>
      </c>
      <c r="E2313" s="73">
        <f>B2313*D2313/10000</f>
        <v/>
      </c>
      <c r="F2313" s="74">
        <f>B2313/30.48</f>
        <v/>
      </c>
      <c r="G2313" s="74">
        <f>D2313/30.48</f>
        <v/>
      </c>
      <c r="H2313" s="69" t="inlineStr">
        <is>
          <t>RK</t>
        </is>
      </c>
      <c r="I2313" s="570" t="inlineStr">
        <is>
          <t>Corina Teed</t>
        </is>
      </c>
      <c r="J2313" s="557" t="n"/>
      <c r="P2313" s="280" t="n"/>
      <c r="S2313" s="1" t="n"/>
    </row>
    <row r="2314" ht="18" customHeight="1" s="305">
      <c r="A2314" s="8" t="n">
        <v>2410</v>
      </c>
      <c r="B2314" s="5" t="n">
        <v>166</v>
      </c>
      <c r="C2314" s="72" t="inlineStr">
        <is>
          <t>X</t>
        </is>
      </c>
      <c r="D2314" s="5" t="n">
        <v>292</v>
      </c>
      <c r="E2314" s="73">
        <f>B2314*D2314/10000</f>
        <v/>
      </c>
      <c r="F2314" s="74">
        <f>B2314/30.48</f>
        <v/>
      </c>
      <c r="G2314" s="74">
        <f>D2314/30.48</f>
        <v/>
      </c>
      <c r="H2314" s="594" t="inlineStr">
        <is>
          <t>RK</t>
        </is>
      </c>
      <c r="I2314" s="534" t="inlineStr">
        <is>
          <t>Matthew Underwood</t>
        </is>
      </c>
      <c r="J2314" s="545" t="n"/>
      <c r="P2314" s="280" t="n"/>
      <c r="S2314" s="1" t="n"/>
    </row>
    <row r="2315" ht="18" customHeight="1" s="305">
      <c r="A2315" s="8" t="n">
        <v>2007</v>
      </c>
      <c r="B2315" s="5" t="n">
        <v>89</v>
      </c>
      <c r="C2315" s="72" t="inlineStr">
        <is>
          <t>X</t>
        </is>
      </c>
      <c r="D2315" s="5" t="n">
        <v>356</v>
      </c>
      <c r="E2315" s="73">
        <f>B2315*D2315/10000</f>
        <v/>
      </c>
      <c r="F2315" s="74">
        <f>B2315/30.48</f>
        <v/>
      </c>
      <c r="G2315" s="74">
        <f>D2315/30.48</f>
        <v/>
      </c>
      <c r="H2315" s="594" t="inlineStr">
        <is>
          <t>MCHD-TR</t>
        </is>
      </c>
      <c r="I2315" s="545" t="n"/>
      <c r="J2315" s="545" t="n"/>
      <c r="P2315" s="280" t="n"/>
    </row>
    <row r="2316" ht="18" customHeight="1" s="305">
      <c r="A2316" s="28" t="inlineStr">
        <is>
          <t>D 631</t>
        </is>
      </c>
      <c r="B2316" s="29" t="n">
        <v>47</v>
      </c>
      <c r="C2316" s="236" t="inlineStr">
        <is>
          <t>X</t>
        </is>
      </c>
      <c r="D2316" s="29" t="n">
        <v>79</v>
      </c>
      <c r="E2316" s="237">
        <f>B2316*D2316/10000</f>
        <v/>
      </c>
      <c r="F2316" s="238">
        <f>B2316/30.48</f>
        <v/>
      </c>
      <c r="G2316" s="238">
        <f>D2316/30.48</f>
        <v/>
      </c>
      <c r="H2316" s="314" t="inlineStr">
        <is>
          <t>WLB</t>
        </is>
      </c>
      <c r="I2316" s="570" t="inlineStr">
        <is>
          <t>Kate Marker</t>
        </is>
      </c>
      <c r="J2316" s="557" t="n"/>
      <c r="P2316" s="280" t="n"/>
    </row>
    <row r="2317" ht="18" customHeight="1" s="305">
      <c r="A2317" s="8" t="n">
        <v>2464</v>
      </c>
      <c r="B2317" s="5" t="n">
        <v>91</v>
      </c>
      <c r="C2317" s="72" t="inlineStr">
        <is>
          <t>X</t>
        </is>
      </c>
      <c r="D2317" s="5" t="n">
        <v>357</v>
      </c>
      <c r="E2317" s="73">
        <f>B2317*D2317/10000</f>
        <v/>
      </c>
      <c r="F2317" s="74">
        <f>B2317/30.48</f>
        <v/>
      </c>
      <c r="G2317" s="74">
        <f>D2317/30.48</f>
        <v/>
      </c>
      <c r="H2317" s="715" t="inlineStr">
        <is>
          <t>WTR</t>
        </is>
      </c>
      <c r="I2317" s="693" t="n"/>
      <c r="J2317" s="557" t="n"/>
      <c r="P2317" s="280" t="n"/>
    </row>
    <row r="2318" ht="18" customHeight="1" s="305">
      <c r="A2318" s="8" t="n">
        <v>2493</v>
      </c>
      <c r="B2318" s="5" t="n">
        <v>89</v>
      </c>
      <c r="C2318" s="72" t="inlineStr">
        <is>
          <t>X</t>
        </is>
      </c>
      <c r="D2318" s="5" t="n">
        <v>355</v>
      </c>
      <c r="E2318" s="73">
        <f>B2318*D2318/10000</f>
        <v/>
      </c>
      <c r="F2318" s="74">
        <f>B2318/30.48</f>
        <v/>
      </c>
      <c r="G2318" s="74">
        <f>D2318/30.48</f>
        <v/>
      </c>
      <c r="H2318" s="693" t="n"/>
      <c r="I2318" s="693" t="n"/>
      <c r="J2318" s="557" t="n"/>
      <c r="P2318" s="280" t="n"/>
      <c r="S2318" s="1" t="n"/>
    </row>
    <row r="2319" ht="18" customHeight="1" s="305">
      <c r="A2319" s="8" t="n">
        <v>2856</v>
      </c>
      <c r="B2319" s="5" t="n">
        <v>85</v>
      </c>
      <c r="C2319" s="72" t="inlineStr">
        <is>
          <t>X</t>
        </is>
      </c>
      <c r="D2319" s="5" t="n">
        <v>471</v>
      </c>
      <c r="E2319" s="73">
        <f>B2319*D2319/10000</f>
        <v/>
      </c>
      <c r="F2319" s="74">
        <f>B2319/30.48</f>
        <v/>
      </c>
      <c r="G2319" s="74">
        <f>D2319/30.48</f>
        <v/>
      </c>
      <c r="H2319" s="693" t="n"/>
      <c r="I2319" s="693" t="n"/>
      <c r="J2319" s="557" t="n"/>
      <c r="P2319" s="280" t="n"/>
      <c r="S2319" s="1" t="n"/>
    </row>
    <row r="2320" ht="18" customHeight="1" s="305">
      <c r="A2320" s="8" t="n">
        <v>2495</v>
      </c>
      <c r="B2320" s="5" t="n">
        <v>89</v>
      </c>
      <c r="C2320" s="72" t="inlineStr">
        <is>
          <t>X</t>
        </is>
      </c>
      <c r="D2320" s="5" t="n">
        <v>401</v>
      </c>
      <c r="E2320" s="73">
        <f>B2320*D2320/10000</f>
        <v/>
      </c>
      <c r="F2320" s="74">
        <f>B2320/30.48</f>
        <v/>
      </c>
      <c r="G2320" s="74">
        <f>D2320/30.48</f>
        <v/>
      </c>
      <c r="H2320" s="693" t="n"/>
      <c r="I2320" s="693" t="n"/>
      <c r="J2320" s="557" t="n"/>
      <c r="P2320" s="280" t="n"/>
      <c r="S2320" s="1" t="n"/>
    </row>
    <row r="2321" ht="18" customHeight="1" s="305">
      <c r="A2321" s="8" t="n">
        <v>3240</v>
      </c>
      <c r="B2321" s="5" t="n">
        <v>77</v>
      </c>
      <c r="C2321" s="72" t="inlineStr">
        <is>
          <t>X</t>
        </is>
      </c>
      <c r="D2321" s="5" t="n">
        <v>270</v>
      </c>
      <c r="E2321" s="73">
        <f>B2321*D2321/10000</f>
        <v/>
      </c>
      <c r="F2321" s="74">
        <f>B2321/30.48</f>
        <v/>
      </c>
      <c r="G2321" s="74">
        <f>D2321/30.48</f>
        <v/>
      </c>
      <c r="H2321" s="693" t="n"/>
      <c r="I2321" s="693" t="n"/>
      <c r="J2321" s="557" t="n"/>
      <c r="P2321" s="280" t="n"/>
      <c r="S2321" s="1" t="n"/>
    </row>
    <row r="2322" ht="18" customHeight="1" s="305">
      <c r="A2322" s="8" t="n">
        <v>2413</v>
      </c>
      <c r="B2322" s="5" t="n">
        <v>92</v>
      </c>
      <c r="C2322" s="72" t="inlineStr">
        <is>
          <t>X</t>
        </is>
      </c>
      <c r="D2322" s="5" t="n">
        <v>370</v>
      </c>
      <c r="E2322" s="73">
        <f>B2322*D2322/10000</f>
        <v/>
      </c>
      <c r="F2322" s="74">
        <f>B2322/30.48</f>
        <v/>
      </c>
      <c r="G2322" s="74">
        <f>D2322/30.48</f>
        <v/>
      </c>
      <c r="H2322" s="694" t="n"/>
      <c r="I2322" s="694" t="n"/>
      <c r="J2322" s="557" t="n"/>
      <c r="P2322" s="280" t="n"/>
    </row>
    <row r="2323" ht="18" customHeight="1" s="305">
      <c r="A2323" s="8" t="n">
        <v>1573</v>
      </c>
      <c r="B2323" s="5" t="n">
        <v>216</v>
      </c>
      <c r="C2323" s="72" t="inlineStr">
        <is>
          <t>X</t>
        </is>
      </c>
      <c r="D2323" s="5" t="n">
        <v>116</v>
      </c>
      <c r="E2323" s="73">
        <f>B2323*D2323/10000</f>
        <v/>
      </c>
      <c r="F2323" s="74">
        <f>B2323/30.48</f>
        <v/>
      </c>
      <c r="G2323" s="74">
        <f>D2323/30.48</f>
        <v/>
      </c>
      <c r="H2323" s="594" t="inlineStr">
        <is>
          <t>MCHD-TR</t>
        </is>
      </c>
      <c r="I2323" s="557" t="n"/>
      <c r="J2323" s="557" t="n"/>
      <c r="P2323" s="280" t="n"/>
    </row>
    <row r="2324" ht="18" customHeight="1" s="305">
      <c r="A2324" s="8" t="n">
        <v>3821</v>
      </c>
      <c r="B2324" s="5" t="n">
        <v>87</v>
      </c>
      <c r="C2324" s="72" t="inlineStr">
        <is>
          <t>X</t>
        </is>
      </c>
      <c r="D2324" s="5" t="n">
        <v>246</v>
      </c>
      <c r="E2324" s="73">
        <f>B2324*D2324/10000</f>
        <v/>
      </c>
      <c r="F2324" s="74">
        <f>B2324/30.48</f>
        <v/>
      </c>
      <c r="G2324" s="74">
        <f>D2324/30.48</f>
        <v/>
      </c>
      <c r="H2324" s="594" t="inlineStr">
        <is>
          <t>MCHD-TR</t>
        </is>
      </c>
      <c r="I2324" s="557" t="n"/>
      <c r="J2324" s="557" t="n"/>
      <c r="P2324" s="280" t="n"/>
      <c r="S2324" s="1" t="n"/>
    </row>
    <row r="2325" ht="18" customHeight="1" s="305">
      <c r="A2325" s="8" t="n">
        <v>475</v>
      </c>
      <c r="B2325" s="5" t="n">
        <v>257</v>
      </c>
      <c r="C2325" s="6" t="inlineStr">
        <is>
          <t>X</t>
        </is>
      </c>
      <c r="D2325" s="5" t="n">
        <v>81</v>
      </c>
      <c r="E2325" s="2">
        <f>B2325*D2325/10000</f>
        <v/>
      </c>
      <c r="F2325" s="3">
        <f>B2325/30.48</f>
        <v/>
      </c>
      <c r="G2325" s="3">
        <f>D2325/30.48</f>
        <v/>
      </c>
      <c r="H2325" s="594" t="inlineStr">
        <is>
          <t>MCHD-TR</t>
        </is>
      </c>
      <c r="I2325" s="545" t="n"/>
      <c r="J2325" s="545" t="n"/>
      <c r="P2325" s="280" t="n"/>
    </row>
    <row r="2326" ht="18" customHeight="1" s="305">
      <c r="A2326" s="8" t="n">
        <v>2002</v>
      </c>
      <c r="B2326" s="5" t="n">
        <v>80</v>
      </c>
      <c r="C2326" s="72" t="inlineStr">
        <is>
          <t>X</t>
        </is>
      </c>
      <c r="D2326" s="5" t="n">
        <v>271</v>
      </c>
      <c r="E2326" s="73">
        <f>B2326*D2326/10000</f>
        <v/>
      </c>
      <c r="F2326" s="74">
        <f>B2326/30.48</f>
        <v/>
      </c>
      <c r="G2326" s="74">
        <f>D2326/30.48</f>
        <v/>
      </c>
      <c r="H2326" s="716" t="inlineStr">
        <is>
          <t>RK</t>
        </is>
      </c>
      <c r="I2326" s="534" t="inlineStr">
        <is>
          <t>Kimberly Adams</t>
        </is>
      </c>
      <c r="J2326" s="557" t="n"/>
      <c r="P2326" s="280" t="n"/>
      <c r="S2326" s="1" t="n"/>
    </row>
    <row r="2327" ht="18" customHeight="1" s="305">
      <c r="A2327" s="8" t="n">
        <v>1376</v>
      </c>
      <c r="B2327" s="5" t="n">
        <v>110</v>
      </c>
      <c r="C2327" s="72" t="inlineStr">
        <is>
          <t>X</t>
        </is>
      </c>
      <c r="D2327" s="5" t="n">
        <v>210</v>
      </c>
      <c r="E2327" s="73">
        <f>B2327*D2327/10000</f>
        <v/>
      </c>
      <c r="F2327" s="74">
        <f>B2327/30.48</f>
        <v/>
      </c>
      <c r="G2327" s="74">
        <f>D2327/30.48</f>
        <v/>
      </c>
      <c r="H2327" s="693" t="n"/>
      <c r="I2327" s="693" t="n"/>
      <c r="J2327" s="557" t="n"/>
      <c r="P2327" s="280" t="n"/>
      <c r="S2327" s="1" t="n"/>
    </row>
    <row r="2328" ht="18" customHeight="1" s="305">
      <c r="A2328" s="8" t="n">
        <v>2594</v>
      </c>
      <c r="B2328" s="5" t="n">
        <v>84</v>
      </c>
      <c r="C2328" s="72" t="inlineStr">
        <is>
          <t>X</t>
        </is>
      </c>
      <c r="D2328" s="5" t="n">
        <v>306</v>
      </c>
      <c r="E2328" s="73">
        <f>B2328*D2328/10000</f>
        <v/>
      </c>
      <c r="F2328" s="74">
        <f>B2328/30.48</f>
        <v/>
      </c>
      <c r="G2328" s="74">
        <f>D2328/30.48</f>
        <v/>
      </c>
      <c r="H2328" s="693" t="n"/>
      <c r="I2328" s="693" t="n"/>
      <c r="J2328" s="557" t="n"/>
      <c r="P2328" s="280" t="n"/>
      <c r="S2328" s="1" t="n"/>
    </row>
    <row r="2329" ht="18" customHeight="1" s="305">
      <c r="A2329" s="8" t="n">
        <v>1855</v>
      </c>
      <c r="B2329" s="5" t="n">
        <v>82</v>
      </c>
      <c r="C2329" s="72" t="inlineStr">
        <is>
          <t>X</t>
        </is>
      </c>
      <c r="D2329" s="5" t="n">
        <v>299</v>
      </c>
      <c r="E2329" s="73">
        <f>B2329*D2329/10000</f>
        <v/>
      </c>
      <c r="F2329" s="74">
        <f>B2329/30.48</f>
        <v/>
      </c>
      <c r="G2329" s="74">
        <f>D2329/30.48</f>
        <v/>
      </c>
      <c r="H2329" s="693" t="n"/>
      <c r="I2329" s="693" t="n"/>
      <c r="J2329" s="557" t="n"/>
      <c r="P2329" s="280" t="n"/>
      <c r="S2329" s="1" t="n"/>
    </row>
    <row r="2330" ht="18" customHeight="1" s="305">
      <c r="A2330" s="8" t="n">
        <v>1402</v>
      </c>
      <c r="B2330" s="5" t="n">
        <v>90</v>
      </c>
      <c r="C2330" s="72" t="inlineStr">
        <is>
          <t>X</t>
        </is>
      </c>
      <c r="D2330" s="5" t="n">
        <v>325</v>
      </c>
      <c r="E2330" s="73">
        <f>B2330*D2330/10000</f>
        <v/>
      </c>
      <c r="F2330" s="74">
        <f>B2330/30.48</f>
        <v/>
      </c>
      <c r="G2330" s="74">
        <f>D2330/30.48</f>
        <v/>
      </c>
      <c r="H2330" s="693" t="n"/>
      <c r="I2330" s="693" t="n"/>
      <c r="J2330" s="557" t="n"/>
      <c r="P2330" s="280" t="n"/>
      <c r="S2330" s="1" t="n"/>
    </row>
    <row r="2331" ht="18" customHeight="1" s="305">
      <c r="A2331" s="8" t="n">
        <v>2528</v>
      </c>
      <c r="B2331" s="5" t="n">
        <v>89</v>
      </c>
      <c r="C2331" s="72" t="inlineStr">
        <is>
          <t>X</t>
        </is>
      </c>
      <c r="D2331" s="5" t="n">
        <v>273</v>
      </c>
      <c r="E2331" s="73">
        <f>B2331*D2331/10000</f>
        <v/>
      </c>
      <c r="F2331" s="74">
        <f>B2331/30.48</f>
        <v/>
      </c>
      <c r="G2331" s="74">
        <f>D2331/30.48</f>
        <v/>
      </c>
      <c r="H2331" s="693" t="n"/>
      <c r="I2331" s="693" t="n"/>
      <c r="J2331" s="557" t="n"/>
      <c r="P2331" s="280" t="n"/>
      <c r="S2331" s="1" t="n"/>
    </row>
    <row r="2332" ht="18" customHeight="1" s="305">
      <c r="A2332" s="8" t="n">
        <v>1820</v>
      </c>
      <c r="B2332" s="5" t="n">
        <v>94</v>
      </c>
      <c r="C2332" s="72" t="inlineStr">
        <is>
          <t>X</t>
        </is>
      </c>
      <c r="D2332" s="5" t="n">
        <v>247</v>
      </c>
      <c r="E2332" s="73">
        <f>B2332*D2332/10000</f>
        <v/>
      </c>
      <c r="F2332" s="74">
        <f>B2332/30.48</f>
        <v/>
      </c>
      <c r="G2332" s="74">
        <f>D2332/30.48</f>
        <v/>
      </c>
      <c r="H2332" s="694" t="n"/>
      <c r="I2332" s="693" t="n"/>
      <c r="J2332" s="545" t="n"/>
      <c r="P2332" s="280" t="n"/>
      <c r="S2332" s="1" t="n"/>
    </row>
    <row r="2333" ht="18" customHeight="1" s="305">
      <c r="A2333" s="8" t="n">
        <v>1826</v>
      </c>
      <c r="B2333" s="5" t="n">
        <v>208</v>
      </c>
      <c r="C2333" s="72" t="inlineStr">
        <is>
          <t>X</t>
        </is>
      </c>
      <c r="D2333" s="5" t="n">
        <v>320</v>
      </c>
      <c r="E2333" s="73">
        <f>B2333*D2333/10000</f>
        <v/>
      </c>
      <c r="F2333" s="74">
        <f>B2333/30.48</f>
        <v/>
      </c>
      <c r="G2333" s="74">
        <f>D2333/30.48</f>
        <v/>
      </c>
      <c r="H2333" s="614" t="inlineStr">
        <is>
          <t>RK</t>
        </is>
      </c>
      <c r="I2333" s="570" t="inlineStr">
        <is>
          <t>Kimberly Adams</t>
        </is>
      </c>
      <c r="J2333" s="557" t="n"/>
      <c r="P2333" s="280" t="n"/>
    </row>
    <row r="2334" ht="18" customHeight="1" s="305">
      <c r="A2334" s="8" t="n">
        <v>1599</v>
      </c>
      <c r="B2334" s="5" t="n">
        <v>252</v>
      </c>
      <c r="C2334" s="72" t="inlineStr">
        <is>
          <t>X</t>
        </is>
      </c>
      <c r="D2334" s="5" t="n">
        <v>152</v>
      </c>
      <c r="E2334" s="73">
        <f>B2334*D2334/10000</f>
        <v/>
      </c>
      <c r="F2334" s="74">
        <f>B2334/30.48</f>
        <v/>
      </c>
      <c r="G2334" s="74">
        <f>D2334/30.48</f>
        <v/>
      </c>
      <c r="H2334" s="694" t="n"/>
      <c r="I2334" s="694" t="n"/>
      <c r="J2334" s="557" t="n"/>
      <c r="P2334" s="280" t="n"/>
    </row>
    <row r="2335" ht="18" customHeight="1" s="305">
      <c r="A2335" s="8" t="inlineStr">
        <is>
          <t>E-100</t>
        </is>
      </c>
      <c r="B2335" s="5" t="n">
        <v>63</v>
      </c>
      <c r="C2335" s="72" t="inlineStr">
        <is>
          <t>X</t>
        </is>
      </c>
      <c r="D2335" s="5" t="n">
        <v>170</v>
      </c>
      <c r="E2335" s="73">
        <f>B2335*D2335/10000</f>
        <v/>
      </c>
      <c r="F2335" s="74">
        <f>B2335/30.48</f>
        <v/>
      </c>
      <c r="G2335" s="74">
        <f>D2335/30.48</f>
        <v/>
      </c>
      <c r="H2335" s="314" t="inlineStr">
        <is>
          <t>WLB</t>
        </is>
      </c>
      <c r="I2335" s="570" t="inlineStr">
        <is>
          <t>Cheryl Cherise</t>
        </is>
      </c>
      <c r="J2335" s="557" t="n"/>
      <c r="P2335" s="280" t="n"/>
      <c r="S2335" s="1" t="n"/>
    </row>
    <row r="2336" ht="18" customHeight="1" s="305">
      <c r="A2336" s="28" t="inlineStr">
        <is>
          <t>D 518</t>
        </is>
      </c>
      <c r="B2336" s="29" t="n">
        <v>41</v>
      </c>
      <c r="C2336" s="236" t="inlineStr">
        <is>
          <t>X</t>
        </is>
      </c>
      <c r="D2336" s="29" t="n">
        <v>81</v>
      </c>
      <c r="E2336" s="237">
        <f>B2336*D2336/10000</f>
        <v/>
      </c>
      <c r="F2336" s="238">
        <f>B2336/30.48</f>
        <v/>
      </c>
      <c r="G2336" s="238">
        <f>D2336/30.48</f>
        <v/>
      </c>
      <c r="H2336" s="614" t="inlineStr">
        <is>
          <t>WLB</t>
        </is>
      </c>
      <c r="I2336" s="570" t="inlineStr">
        <is>
          <t>Nicole Tehan</t>
        </is>
      </c>
      <c r="J2336" s="557" t="n"/>
      <c r="P2336" s="280" t="n"/>
    </row>
    <row r="2337" ht="18" customHeight="1" s="305">
      <c r="A2337" s="28" t="inlineStr">
        <is>
          <t>D 633</t>
        </is>
      </c>
      <c r="B2337" s="29" t="n">
        <v>40</v>
      </c>
      <c r="C2337" s="236" t="inlineStr">
        <is>
          <t>X</t>
        </is>
      </c>
      <c r="D2337" s="29" t="n">
        <v>84</v>
      </c>
      <c r="E2337" s="237">
        <f>B2337*D2337/10000</f>
        <v/>
      </c>
      <c r="F2337" s="238">
        <f>B2337/30.48</f>
        <v/>
      </c>
      <c r="G2337" s="238">
        <f>D2337/30.48</f>
        <v/>
      </c>
      <c r="H2337" s="693" t="n"/>
      <c r="I2337" s="693" t="n"/>
      <c r="J2337" s="557" t="n"/>
      <c r="P2337" s="280" t="n"/>
    </row>
    <row r="2338" ht="18" customHeight="1" s="305">
      <c r="A2338" s="28" t="inlineStr">
        <is>
          <t>D 541</t>
        </is>
      </c>
      <c r="B2338" s="29" t="n">
        <v>53</v>
      </c>
      <c r="C2338" s="236" t="inlineStr">
        <is>
          <t>X</t>
        </is>
      </c>
      <c r="D2338" s="29" t="n">
        <v>100</v>
      </c>
      <c r="E2338" s="237">
        <f>B2338*D2338/10000</f>
        <v/>
      </c>
      <c r="F2338" s="238">
        <f>B2338/30.48</f>
        <v/>
      </c>
      <c r="G2338" s="238">
        <f>D2338/30.48</f>
        <v/>
      </c>
      <c r="H2338" s="694" t="n"/>
      <c r="I2338" s="694" t="n"/>
      <c r="J2338" s="557" t="n"/>
      <c r="P2338" s="280" t="n"/>
    </row>
    <row r="2339" ht="18" customHeight="1" s="305">
      <c r="A2339" s="8" t="n">
        <v>2329</v>
      </c>
      <c r="B2339" s="5" t="n">
        <v>83</v>
      </c>
      <c r="C2339" s="72" t="inlineStr">
        <is>
          <t>X</t>
        </is>
      </c>
      <c r="D2339" s="5" t="n">
        <v>325</v>
      </c>
      <c r="E2339" s="73">
        <f>B2339*D2339/10000</f>
        <v/>
      </c>
      <c r="F2339" s="74">
        <f>B2339/30.48</f>
        <v/>
      </c>
      <c r="G2339" s="74">
        <f>D2339/30.48</f>
        <v/>
      </c>
      <c r="H2339" s="594" t="inlineStr">
        <is>
          <t>RK</t>
        </is>
      </c>
      <c r="I2339" s="570" t="inlineStr">
        <is>
          <t>Kimberly Adams</t>
        </is>
      </c>
      <c r="J2339" s="557" t="n"/>
      <c r="P2339" s="280" t="n"/>
      <c r="S2339" s="1" t="n"/>
    </row>
    <row r="2340" ht="18" customHeight="1" s="305">
      <c r="A2340" s="8" t="n">
        <v>3117</v>
      </c>
      <c r="B2340" s="5" t="n">
        <v>81</v>
      </c>
      <c r="C2340" s="72" t="inlineStr">
        <is>
          <t>X</t>
        </is>
      </c>
      <c r="D2340" s="5" t="n">
        <v>199</v>
      </c>
      <c r="E2340" s="73">
        <f>B2340*D2340/10000</f>
        <v/>
      </c>
      <c r="F2340" s="74">
        <f>B2340/30.48</f>
        <v/>
      </c>
      <c r="G2340" s="74">
        <f>D2340/30.48</f>
        <v/>
      </c>
      <c r="H2340" s="594" t="inlineStr">
        <is>
          <t>MCHD-TR</t>
        </is>
      </c>
      <c r="I2340" s="545" t="n"/>
      <c r="J2340" s="545" t="n"/>
      <c r="P2340" s="280" t="n"/>
      <c r="S2340" s="1" t="n"/>
    </row>
    <row r="2341" ht="18" customHeight="1" s="305">
      <c r="A2341" s="8" t="n">
        <v>3215</v>
      </c>
      <c r="B2341" s="5" t="n">
        <v>201</v>
      </c>
      <c r="C2341" s="72" t="inlineStr">
        <is>
          <t>X</t>
        </is>
      </c>
      <c r="D2341" s="5" t="n">
        <v>110</v>
      </c>
      <c r="E2341" s="73">
        <f>B2341*D2341/10000</f>
        <v/>
      </c>
      <c r="F2341" s="74">
        <f>B2341/30.48</f>
        <v/>
      </c>
      <c r="G2341" s="74">
        <f>D2341/30.48</f>
        <v/>
      </c>
      <c r="H2341" s="316" t="inlineStr">
        <is>
          <t>BHR</t>
        </is>
      </c>
      <c r="I2341" s="80" t="inlineStr">
        <is>
          <t>Melissa Walsh</t>
        </is>
      </c>
      <c r="J2341" s="102" t="n"/>
      <c r="P2341" s="280" t="n"/>
    </row>
    <row r="2342" ht="18" customHeight="1" s="305">
      <c r="A2342" s="8" t="n">
        <v>3722</v>
      </c>
      <c r="B2342" s="5" t="n">
        <v>101</v>
      </c>
      <c r="C2342" s="72" t="inlineStr">
        <is>
          <t>X</t>
        </is>
      </c>
      <c r="D2342" s="5" t="n">
        <v>169</v>
      </c>
      <c r="E2342" s="73">
        <f>B2342*D2342/10000</f>
        <v/>
      </c>
      <c r="F2342" s="74">
        <f>B2342/30.48</f>
        <v/>
      </c>
      <c r="G2342" s="74">
        <f>D2342/30.48</f>
        <v/>
      </c>
      <c r="H2342" s="314" t="inlineStr">
        <is>
          <t>WLB</t>
        </is>
      </c>
      <c r="I2342" s="505" t="inlineStr">
        <is>
          <t>Lauren DeNardo</t>
        </is>
      </c>
      <c r="J2342" s="287" t="n"/>
      <c r="P2342" s="280" t="n"/>
      <c r="S2342" s="1" t="n"/>
    </row>
    <row r="2343" ht="18" customHeight="1" s="305">
      <c r="A2343" s="8" t="inlineStr">
        <is>
          <t>B 29</t>
        </is>
      </c>
      <c r="B2343" s="5" t="n">
        <v>139</v>
      </c>
      <c r="C2343" s="6" t="inlineStr">
        <is>
          <t>X</t>
        </is>
      </c>
      <c r="D2343" s="5" t="n">
        <v>268</v>
      </c>
      <c r="E2343" s="2">
        <f>B2343*D2343/10000</f>
        <v/>
      </c>
      <c r="F2343" s="3">
        <f>B2343/30.48</f>
        <v/>
      </c>
      <c r="G2343" s="3">
        <f>D2343/30.48</f>
        <v/>
      </c>
      <c r="H2343" s="569" t="inlineStr">
        <is>
          <t>OLD</t>
        </is>
      </c>
      <c r="I2343" s="570" t="inlineStr">
        <is>
          <t>Brian Heather</t>
        </is>
      </c>
      <c r="J2343" s="557" t="n"/>
      <c r="P2343" s="280" t="n"/>
    </row>
    <row r="2344" ht="18" customHeight="1" s="305">
      <c r="A2344" s="8" t="n">
        <v>2919</v>
      </c>
      <c r="B2344" s="5" t="n">
        <v>79</v>
      </c>
      <c r="C2344" s="72" t="inlineStr">
        <is>
          <t>X</t>
        </is>
      </c>
      <c r="D2344" s="5" t="n">
        <v>364</v>
      </c>
      <c r="E2344" s="73">
        <f>B2344*D2344/10000</f>
        <v/>
      </c>
      <c r="F2344" s="74">
        <f>B2344/30.48</f>
        <v/>
      </c>
      <c r="G2344" s="74">
        <f>D2344/30.48</f>
        <v/>
      </c>
      <c r="H2344" s="290" t="inlineStr">
        <is>
          <t>WTR</t>
        </is>
      </c>
      <c r="I2344" s="570" t="inlineStr">
        <is>
          <t>Peggy Salvino</t>
        </is>
      </c>
      <c r="J2344" s="557" t="n"/>
      <c r="P2344" s="280" t="n"/>
      <c r="S2344" s="1" t="n"/>
    </row>
    <row r="2345" ht="18" customHeight="1" s="305">
      <c r="A2345" s="8" t="n">
        <v>3540</v>
      </c>
      <c r="B2345" s="5" t="n">
        <v>253</v>
      </c>
      <c r="C2345" s="72" t="inlineStr">
        <is>
          <t>X</t>
        </is>
      </c>
      <c r="D2345" s="5" t="n">
        <v>312</v>
      </c>
      <c r="E2345" s="73">
        <f>B2345*D2345/10000</f>
        <v/>
      </c>
      <c r="F2345" s="74">
        <f>B2345/30.48</f>
        <v/>
      </c>
      <c r="G2345" s="74">
        <f>D2345/30.48</f>
        <v/>
      </c>
      <c r="H2345" s="290" t="inlineStr">
        <is>
          <t>WTR</t>
        </is>
      </c>
      <c r="I2345" s="534" t="inlineStr">
        <is>
          <t>Edward Hyland</t>
        </is>
      </c>
      <c r="J2345" s="545" t="n"/>
      <c r="P2345" s="280" t="n"/>
      <c r="S2345" s="1" t="n"/>
    </row>
    <row r="2346" ht="18" customHeight="1" s="305">
      <c r="A2346" s="8" t="n">
        <v>3074</v>
      </c>
      <c r="B2346" s="5" t="n">
        <v>132</v>
      </c>
      <c r="C2346" s="72" t="inlineStr">
        <is>
          <t>X</t>
        </is>
      </c>
      <c r="D2346" s="5" t="n">
        <v>209</v>
      </c>
      <c r="E2346" s="73">
        <f>B2346*D2346/10000</f>
        <v/>
      </c>
      <c r="F2346" s="74">
        <f>B2346/30.48</f>
        <v/>
      </c>
      <c r="G2346" s="74">
        <f>D2346/30.48</f>
        <v/>
      </c>
      <c r="H2346" s="290" t="inlineStr">
        <is>
          <t>WTR</t>
        </is>
      </c>
      <c r="I2346" s="570" t="inlineStr">
        <is>
          <t>Margaret Zingale</t>
        </is>
      </c>
      <c r="J2346" s="557" t="n"/>
      <c r="P2346" s="280" t="n"/>
      <c r="S2346" s="1" t="n"/>
    </row>
    <row r="2347" ht="18" customHeight="1" s="305">
      <c r="A2347" s="8" t="n">
        <v>1128</v>
      </c>
      <c r="B2347" s="5" t="n">
        <v>106</v>
      </c>
      <c r="C2347" s="72" t="inlineStr">
        <is>
          <t>X</t>
        </is>
      </c>
      <c r="D2347" s="5" t="n">
        <v>332</v>
      </c>
      <c r="E2347" s="73">
        <f>B2347*D2347/10000</f>
        <v/>
      </c>
      <c r="F2347" s="74">
        <f>B2347/30.48</f>
        <v/>
      </c>
      <c r="G2347" s="74">
        <f>D2347/30.48</f>
        <v/>
      </c>
      <c r="H2347" s="594" t="inlineStr">
        <is>
          <t>MCHD-TR</t>
        </is>
      </c>
      <c r="I2347" s="545" t="n"/>
      <c r="J2347" s="545" t="n"/>
      <c r="P2347" s="280" t="n"/>
      <c r="S2347" s="1" t="n"/>
    </row>
    <row r="2348" ht="18" customHeight="1" s="305">
      <c r="A2348" s="8" t="n">
        <v>3792</v>
      </c>
      <c r="B2348" s="5" t="n">
        <v>117</v>
      </c>
      <c r="C2348" s="72" t="inlineStr">
        <is>
          <t>X</t>
        </is>
      </c>
      <c r="D2348" s="5" t="n">
        <v>420</v>
      </c>
      <c r="E2348" s="73">
        <f>B2348*D2348/10000</f>
        <v/>
      </c>
      <c r="F2348" s="74">
        <f>B2348/30.48</f>
        <v/>
      </c>
      <c r="G2348" s="74">
        <f>D2348/30.48</f>
        <v/>
      </c>
      <c r="H2348" s="292" t="inlineStr">
        <is>
          <t>LMX</t>
        </is>
      </c>
      <c r="I2348" s="570" t="inlineStr">
        <is>
          <t>J Scott Cade</t>
        </is>
      </c>
      <c r="J2348" s="557" t="n"/>
      <c r="P2348" s="280" t="n"/>
      <c r="S2348" s="1" t="n"/>
    </row>
    <row r="2349" ht="18" customHeight="1" s="305">
      <c r="A2349" s="8" t="n">
        <v>2443</v>
      </c>
      <c r="B2349" s="5" t="n">
        <v>75</v>
      </c>
      <c r="C2349" s="72" t="inlineStr">
        <is>
          <t>X</t>
        </is>
      </c>
      <c r="D2349" s="5" t="n">
        <v>355</v>
      </c>
      <c r="E2349" s="73">
        <f>B2349*D2349/10000</f>
        <v/>
      </c>
      <c r="F2349" s="74">
        <f>B2349/30.48</f>
        <v/>
      </c>
      <c r="G2349" s="74">
        <f>D2349/30.48</f>
        <v/>
      </c>
      <c r="H2349" s="594" t="inlineStr">
        <is>
          <t>RK</t>
        </is>
      </c>
      <c r="I2349" s="534" t="inlineStr">
        <is>
          <t>Sarah Shelly</t>
        </is>
      </c>
      <c r="J2349" s="545" t="n"/>
      <c r="P2349" s="280" t="n"/>
      <c r="S2349" s="1" t="n"/>
    </row>
    <row r="2350" ht="18" customHeight="1" s="305">
      <c r="A2350" s="8" t="n">
        <v>2589</v>
      </c>
      <c r="B2350" s="5" t="n">
        <v>111</v>
      </c>
      <c r="C2350" s="72" t="inlineStr">
        <is>
          <t>X</t>
        </is>
      </c>
      <c r="D2350" s="5" t="n">
        <v>327</v>
      </c>
      <c r="E2350" s="73">
        <f>B2350*D2350/10000</f>
        <v/>
      </c>
      <c r="F2350" s="74">
        <f>B2350/30.48</f>
        <v/>
      </c>
      <c r="G2350" s="74">
        <f>D2350/30.48</f>
        <v/>
      </c>
      <c r="H2350" s="290" t="inlineStr">
        <is>
          <t>WTR</t>
        </is>
      </c>
      <c r="I2350" s="570" t="inlineStr">
        <is>
          <t>Starielle Newman</t>
        </is>
      </c>
      <c r="J2350" s="557" t="n"/>
      <c r="P2350" s="280" t="n"/>
      <c r="S2350" s="1" t="n"/>
    </row>
    <row r="2351" ht="18" customHeight="1" s="305">
      <c r="A2351" s="8" t="n">
        <v>3627</v>
      </c>
      <c r="B2351" s="5" t="n">
        <v>218</v>
      </c>
      <c r="C2351" s="72" t="inlineStr">
        <is>
          <t>X</t>
        </is>
      </c>
      <c r="D2351" s="5" t="n">
        <v>306</v>
      </c>
      <c r="E2351" s="73">
        <f>B2351*D2351/10000</f>
        <v/>
      </c>
      <c r="F2351" s="74">
        <f>B2351/30.48</f>
        <v/>
      </c>
      <c r="G2351" s="74">
        <f>D2351/30.48</f>
        <v/>
      </c>
      <c r="H2351" s="290" t="inlineStr">
        <is>
          <t>WTR</t>
        </is>
      </c>
      <c r="I2351" s="570" t="inlineStr">
        <is>
          <t>Christopher Mize</t>
        </is>
      </c>
      <c r="J2351" s="557" t="n"/>
      <c r="P2351" s="280" t="n"/>
      <c r="S2351" s="1" t="n"/>
    </row>
    <row r="2352" ht="18" customHeight="1" s="305">
      <c r="A2352" s="8" t="inlineStr">
        <is>
          <t>Y 356</t>
        </is>
      </c>
      <c r="B2352" s="5" t="n">
        <v>226</v>
      </c>
      <c r="C2352" s="6" t="inlineStr">
        <is>
          <t>X</t>
        </is>
      </c>
      <c r="D2352" s="5" t="n">
        <v>137</v>
      </c>
      <c r="E2352" s="2">
        <f>B2352*D2352/10000</f>
        <v/>
      </c>
      <c r="F2352" s="3">
        <f>B2352/30.48</f>
        <v/>
      </c>
      <c r="G2352" s="3">
        <f>D2352/30.48</f>
        <v/>
      </c>
      <c r="H2352" s="594" t="inlineStr">
        <is>
          <t>MCHD-TR</t>
        </is>
      </c>
      <c r="I2352" s="545" t="n"/>
      <c r="J2352" s="545" t="n"/>
      <c r="P2352" s="280" t="n"/>
    </row>
    <row r="2353" ht="18" customHeight="1" s="305">
      <c r="A2353" s="8" t="n">
        <v>1505</v>
      </c>
      <c r="B2353" s="5" t="n">
        <v>79</v>
      </c>
      <c r="C2353" s="72" t="inlineStr">
        <is>
          <t>X</t>
        </is>
      </c>
      <c r="D2353" s="5" t="n">
        <v>384</v>
      </c>
      <c r="E2353" s="73">
        <f>B2353*D2353/10000</f>
        <v/>
      </c>
      <c r="F2353" s="74">
        <f>B2353/30.48</f>
        <v/>
      </c>
      <c r="G2353" s="74">
        <f>D2353/30.48</f>
        <v/>
      </c>
      <c r="H2353" s="594" t="inlineStr">
        <is>
          <t>RK</t>
        </is>
      </c>
      <c r="I2353" s="570" t="inlineStr">
        <is>
          <t>melissa lyman</t>
        </is>
      </c>
      <c r="J2353" s="557" t="n"/>
      <c r="P2353" s="280" t="n"/>
    </row>
    <row r="2354" ht="18" customHeight="1" s="305">
      <c r="A2354" s="8" t="n">
        <v>2563</v>
      </c>
      <c r="B2354" s="5" t="n">
        <v>121</v>
      </c>
      <c r="C2354" s="72" t="inlineStr">
        <is>
          <t>X</t>
        </is>
      </c>
      <c r="D2354" s="5" t="n">
        <v>345</v>
      </c>
      <c r="E2354" s="73">
        <f>B2354*D2354/10000</f>
        <v/>
      </c>
      <c r="F2354" s="74">
        <f>B2354/30.48</f>
        <v/>
      </c>
      <c r="G2354" s="74">
        <f>D2354/30.48</f>
        <v/>
      </c>
      <c r="H2354" s="594" t="inlineStr">
        <is>
          <t>RK</t>
        </is>
      </c>
      <c r="I2354" s="570" t="inlineStr">
        <is>
          <t>Jeanie Sears</t>
        </is>
      </c>
      <c r="J2354" s="557" t="n"/>
      <c r="P2354" s="280" t="n"/>
      <c r="S2354" s="1" t="n"/>
    </row>
    <row r="2355" ht="18" customHeight="1" s="305">
      <c r="A2355" s="8" t="n">
        <v>3122</v>
      </c>
      <c r="B2355" s="5" t="n">
        <v>84</v>
      </c>
      <c r="C2355" s="72" t="inlineStr">
        <is>
          <t>X</t>
        </is>
      </c>
      <c r="D2355" s="5" t="n">
        <v>228</v>
      </c>
      <c r="E2355" s="73">
        <f>B2355*D2355/10000</f>
        <v/>
      </c>
      <c r="F2355" s="74">
        <f>B2355/30.48</f>
        <v/>
      </c>
      <c r="G2355" s="74">
        <f>D2355/30.48</f>
        <v/>
      </c>
      <c r="H2355" s="290" t="inlineStr">
        <is>
          <t>WTR</t>
        </is>
      </c>
      <c r="I2355" s="570" t="inlineStr">
        <is>
          <t>Erika McPherson Powell</t>
        </is>
      </c>
      <c r="J2355" s="557" t="n"/>
      <c r="P2355" s="280" t="n"/>
      <c r="S2355" s="1" t="n"/>
    </row>
    <row r="2356" ht="18" customHeight="1" s="305">
      <c r="A2356" s="8" t="n">
        <v>3368</v>
      </c>
      <c r="B2356" s="5" t="n">
        <v>104</v>
      </c>
      <c r="C2356" s="72" t="inlineStr">
        <is>
          <t>X</t>
        </is>
      </c>
      <c r="D2356" s="5" t="n">
        <v>266</v>
      </c>
      <c r="E2356" s="73">
        <f>B2356*D2356/10000</f>
        <v/>
      </c>
      <c r="F2356" s="74">
        <f>B2356/30.48</f>
        <v/>
      </c>
      <c r="G2356" s="74">
        <f>D2356/30.48</f>
        <v/>
      </c>
      <c r="H2356" s="290" t="inlineStr">
        <is>
          <t>WTR</t>
        </is>
      </c>
      <c r="I2356" s="570" t="inlineStr">
        <is>
          <t>Sydney Woods</t>
        </is>
      </c>
      <c r="J2356" s="557" t="n"/>
      <c r="P2356" s="280" t="n"/>
      <c r="S2356" s="1" t="n"/>
    </row>
    <row r="2357" ht="18" customHeight="1" s="305">
      <c r="A2357" s="8" t="inlineStr">
        <is>
          <t>D 447</t>
        </is>
      </c>
      <c r="B2357" s="5" t="n">
        <v>45</v>
      </c>
      <c r="C2357" s="72" t="inlineStr">
        <is>
          <t>X</t>
        </is>
      </c>
      <c r="D2357" s="5" t="n">
        <v>88</v>
      </c>
      <c r="E2357" s="73">
        <f>B2357*D2357/10000</f>
        <v/>
      </c>
      <c r="F2357" s="74">
        <f>B2357/30.48</f>
        <v/>
      </c>
      <c r="G2357" s="74">
        <f>D2357/30.48</f>
        <v/>
      </c>
      <c r="H2357" s="290" t="inlineStr">
        <is>
          <t>WTR</t>
        </is>
      </c>
      <c r="I2357" s="570" t="inlineStr">
        <is>
          <t>STUART LEITCH</t>
        </is>
      </c>
      <c r="J2357" s="557" t="n"/>
      <c r="P2357" s="280" t="n"/>
    </row>
    <row r="2358" ht="18" customHeight="1" s="305">
      <c r="A2358" s="8" t="n">
        <v>2265</v>
      </c>
      <c r="B2358" s="5" t="n">
        <v>100</v>
      </c>
      <c r="C2358" s="72" t="inlineStr">
        <is>
          <t>X</t>
        </is>
      </c>
      <c r="D2358" s="5" t="n">
        <v>269</v>
      </c>
      <c r="E2358" s="73">
        <f>B2358*D2358/10000</f>
        <v/>
      </c>
      <c r="F2358" s="74">
        <f>B2358/30.48</f>
        <v/>
      </c>
      <c r="G2358" s="74">
        <f>D2358/30.48</f>
        <v/>
      </c>
      <c r="H2358" s="290" t="inlineStr">
        <is>
          <t>WTR</t>
        </is>
      </c>
      <c r="I2358" s="570" t="inlineStr">
        <is>
          <t>Paula Kathleen Eaton</t>
        </is>
      </c>
      <c r="J2358" s="557" t="n"/>
      <c r="P2358" s="280" t="n"/>
      <c r="S2358" s="1" t="n"/>
    </row>
    <row r="2359" ht="18" customHeight="1" s="305">
      <c r="A2359" s="8" t="inlineStr">
        <is>
          <t>C 382</t>
        </is>
      </c>
      <c r="B2359" s="5" t="n">
        <v>109</v>
      </c>
      <c r="C2359" s="6" t="inlineStr">
        <is>
          <t>X</t>
        </is>
      </c>
      <c r="D2359" s="5" t="n">
        <v>201</v>
      </c>
      <c r="E2359" s="2">
        <f>B2359*D2359/10000</f>
        <v/>
      </c>
      <c r="F2359" s="3">
        <f>B2359/30.48</f>
        <v/>
      </c>
      <c r="G2359" s="3">
        <f>D2359/30.48</f>
        <v/>
      </c>
      <c r="H2359" s="592" t="inlineStr">
        <is>
          <t>PAC</t>
        </is>
      </c>
      <c r="I2359" s="570" t="inlineStr">
        <is>
          <t>Heather Martin</t>
        </is>
      </c>
      <c r="J2359" s="557" t="n"/>
      <c r="P2359" s="280" t="n"/>
    </row>
    <row r="2360" ht="18" customHeight="1" s="305">
      <c r="A2360" s="8" t="inlineStr">
        <is>
          <t>A 71</t>
        </is>
      </c>
      <c r="B2360" s="5" t="n">
        <v>75</v>
      </c>
      <c r="C2360" s="6" t="inlineStr">
        <is>
          <t>X</t>
        </is>
      </c>
      <c r="D2360" s="5" t="n">
        <v>128</v>
      </c>
      <c r="E2360" s="2">
        <f>B2360*D2360/10000</f>
        <v/>
      </c>
      <c r="F2360" s="3">
        <f>B2360/30.48</f>
        <v/>
      </c>
      <c r="G2360" s="3">
        <f>D2360/30.48</f>
        <v/>
      </c>
      <c r="H2360" s="16" t="inlineStr">
        <is>
          <t>VR</t>
        </is>
      </c>
      <c r="I2360" s="570" t="inlineStr">
        <is>
          <t>Janna Traeger</t>
        </is>
      </c>
      <c r="J2360" s="557" t="n"/>
      <c r="P2360" s="280" t="n"/>
      <c r="S2360" s="1" t="n"/>
    </row>
    <row r="2361" ht="18" customHeight="1" s="305">
      <c r="A2361" s="28" t="inlineStr">
        <is>
          <t>D 511</t>
        </is>
      </c>
      <c r="B2361" s="29" t="n">
        <v>63</v>
      </c>
      <c r="C2361" s="236" t="inlineStr">
        <is>
          <t>X</t>
        </is>
      </c>
      <c r="D2361" s="29" t="n">
        <v>113</v>
      </c>
      <c r="E2361" s="237">
        <f>B2361*D2361/10000</f>
        <v/>
      </c>
      <c r="F2361" s="238">
        <f>B2361/30.48</f>
        <v/>
      </c>
      <c r="G2361" s="238">
        <f>D2361/30.48</f>
        <v/>
      </c>
      <c r="H2361" s="314" t="inlineStr">
        <is>
          <t>WLB</t>
        </is>
      </c>
      <c r="I2361" s="570" t="inlineStr">
        <is>
          <t>Emily Haraf</t>
        </is>
      </c>
      <c r="J2361" s="557" t="n"/>
      <c r="P2361" s="280" t="n"/>
    </row>
    <row r="2362" ht="18" customHeight="1" s="305">
      <c r="A2362" s="8" t="n">
        <v>3776</v>
      </c>
      <c r="B2362" s="5" t="n">
        <v>71</v>
      </c>
      <c r="C2362" s="72" t="inlineStr">
        <is>
          <t>X</t>
        </is>
      </c>
      <c r="D2362" s="5" t="n">
        <v>132</v>
      </c>
      <c r="E2362" s="73">
        <f>B2362*D2362/10000</f>
        <v/>
      </c>
      <c r="F2362" s="74">
        <f>B2362/30.48</f>
        <v/>
      </c>
      <c r="G2362" s="74">
        <f>D2362/30.48</f>
        <v/>
      </c>
      <c r="H2362" s="594" t="inlineStr">
        <is>
          <t>MCHD-TR</t>
        </is>
      </c>
      <c r="I2362" s="545" t="n"/>
      <c r="J2362" s="545" t="n"/>
      <c r="P2362" s="280" t="n"/>
      <c r="S2362" s="1" t="n"/>
    </row>
    <row r="2363" ht="18" customHeight="1" s="305">
      <c r="A2363" s="28" t="inlineStr">
        <is>
          <t>D 504</t>
        </is>
      </c>
      <c r="B2363" s="29" t="n">
        <v>45</v>
      </c>
      <c r="C2363" s="236" t="inlineStr">
        <is>
          <t>X</t>
        </is>
      </c>
      <c r="D2363" s="29" t="n">
        <v>102</v>
      </c>
      <c r="E2363" s="237">
        <f>B2363*D2363/10000</f>
        <v/>
      </c>
      <c r="F2363" s="238">
        <f>B2363/30.48</f>
        <v/>
      </c>
      <c r="G2363" s="238">
        <f>D2363/30.48</f>
        <v/>
      </c>
      <c r="H2363" s="314" t="inlineStr">
        <is>
          <t>WLB</t>
        </is>
      </c>
      <c r="I2363" s="570" t="inlineStr">
        <is>
          <t>Laura Greene</t>
        </is>
      </c>
      <c r="J2363" s="557" t="n"/>
      <c r="P2363" s="280" t="n"/>
    </row>
    <row r="2364" ht="18" customHeight="1" s="305">
      <c r="A2364" s="8" t="inlineStr">
        <is>
          <t>H 196</t>
        </is>
      </c>
      <c r="B2364" s="5" t="n">
        <v>90</v>
      </c>
      <c r="C2364" s="6" t="inlineStr">
        <is>
          <t>X</t>
        </is>
      </c>
      <c r="D2364" s="5" t="n">
        <v>367</v>
      </c>
      <c r="E2364" s="2">
        <f>B2364*D2364/10000</f>
        <v/>
      </c>
      <c r="F2364" s="3">
        <f>B2364/30.48</f>
        <v/>
      </c>
      <c r="G2364" s="3">
        <f>D2364/30.48</f>
        <v/>
      </c>
      <c r="H2364" s="292" t="inlineStr">
        <is>
          <t>LMX</t>
        </is>
      </c>
      <c r="I2364" s="694" t="n"/>
      <c r="J2364" s="557" t="n"/>
      <c r="P2364" s="280" t="n"/>
    </row>
    <row r="2365" ht="18" customHeight="1" s="305">
      <c r="A2365" s="8" t="n">
        <v>2307</v>
      </c>
      <c r="B2365" s="5" t="n">
        <v>125</v>
      </c>
      <c r="C2365" s="72" t="inlineStr">
        <is>
          <t>X</t>
        </is>
      </c>
      <c r="D2365" s="5" t="n">
        <v>189</v>
      </c>
      <c r="E2365" s="73">
        <f>B2365*D2365/10000</f>
        <v/>
      </c>
      <c r="F2365" s="74">
        <f>B2365/30.48</f>
        <v/>
      </c>
      <c r="G2365" s="74">
        <f>D2365/30.48</f>
        <v/>
      </c>
      <c r="H2365" s="592" t="inlineStr">
        <is>
          <t>PAC</t>
        </is>
      </c>
      <c r="I2365" s="534" t="inlineStr">
        <is>
          <t>SUNI CLEMENTS</t>
        </is>
      </c>
      <c r="J2365" s="545" t="n"/>
      <c r="P2365" s="280" t="n"/>
    </row>
    <row r="2366" ht="18" customHeight="1" s="305">
      <c r="A2366" s="8" t="n">
        <v>2330</v>
      </c>
      <c r="B2366" s="5" t="n">
        <v>66</v>
      </c>
      <c r="C2366" s="72" t="inlineStr">
        <is>
          <t>X</t>
        </is>
      </c>
      <c r="D2366" s="5" t="n">
        <v>123</v>
      </c>
      <c r="E2366" s="73">
        <f>B2366*D2366/10000</f>
        <v/>
      </c>
      <c r="F2366" s="74">
        <f>B2366/30.48</f>
        <v/>
      </c>
      <c r="G2366" s="74">
        <f>D2366/30.48</f>
        <v/>
      </c>
      <c r="H2366" s="594" t="inlineStr">
        <is>
          <t>MCHD-TR</t>
        </is>
      </c>
      <c r="I2366" s="545" t="n"/>
      <c r="J2366" s="545" t="n"/>
      <c r="P2366" s="280" t="n"/>
    </row>
    <row r="2367" ht="18" customHeight="1" s="305">
      <c r="A2367" s="8" t="n">
        <v>2629</v>
      </c>
      <c r="B2367" s="5" t="n">
        <v>112</v>
      </c>
      <c r="C2367" s="72" t="inlineStr">
        <is>
          <t>X</t>
        </is>
      </c>
      <c r="D2367" s="5" t="n">
        <v>199</v>
      </c>
      <c r="E2367" s="73">
        <f>B2367*D2367/10000</f>
        <v/>
      </c>
      <c r="F2367" s="74">
        <f>B2367/30.48</f>
        <v/>
      </c>
      <c r="G2367" s="74">
        <f>D2367/30.48</f>
        <v/>
      </c>
      <c r="H2367" s="594" t="inlineStr">
        <is>
          <t>RK</t>
        </is>
      </c>
      <c r="I2367" s="570" t="inlineStr">
        <is>
          <t>Erin Kane</t>
        </is>
      </c>
      <c r="J2367" s="557" t="n"/>
      <c r="P2367" s="280" t="n"/>
      <c r="S2367" s="1" t="n"/>
    </row>
    <row r="2368" ht="18" customHeight="1" s="305">
      <c r="A2368" s="8" t="n">
        <v>2254</v>
      </c>
      <c r="B2368" s="5" t="n">
        <v>131</v>
      </c>
      <c r="C2368" s="72" t="inlineStr">
        <is>
          <t>X</t>
        </is>
      </c>
      <c r="D2368" s="5" t="n">
        <v>396</v>
      </c>
      <c r="E2368" s="73">
        <f>B2368*D2368/10000</f>
        <v/>
      </c>
      <c r="F2368" s="74">
        <f>B2368/30.48</f>
        <v/>
      </c>
      <c r="G2368" s="74">
        <f>D2368/30.48</f>
        <v/>
      </c>
      <c r="H2368" s="594" t="inlineStr">
        <is>
          <t>RK</t>
        </is>
      </c>
      <c r="I2368" s="570" t="inlineStr">
        <is>
          <t>Kathryn Lilly Interiors</t>
        </is>
      </c>
      <c r="J2368" s="557" t="n"/>
      <c r="P2368" s="280" t="n"/>
    </row>
    <row r="2369" ht="18" customHeight="1" s="305">
      <c r="A2369" s="8" t="n">
        <v>2447</v>
      </c>
      <c r="B2369" s="5" t="n">
        <v>87</v>
      </c>
      <c r="C2369" s="72" t="inlineStr">
        <is>
          <t>X</t>
        </is>
      </c>
      <c r="D2369" s="5" t="n">
        <v>347</v>
      </c>
      <c r="E2369" s="73">
        <f>B2369*D2369/10000</f>
        <v/>
      </c>
      <c r="F2369" s="74">
        <f>B2369/30.48</f>
        <v/>
      </c>
      <c r="G2369" s="74">
        <f>D2369/30.48</f>
        <v/>
      </c>
      <c r="H2369" s="594" t="inlineStr">
        <is>
          <t>RK</t>
        </is>
      </c>
      <c r="I2369" s="534" t="inlineStr">
        <is>
          <t>sophia A augier</t>
        </is>
      </c>
      <c r="J2369" s="545" t="n"/>
      <c r="P2369" s="280" t="n"/>
      <c r="S2369" s="1" t="n"/>
    </row>
    <row r="2370" ht="18" customHeight="1" s="305">
      <c r="A2370" s="8" t="inlineStr">
        <is>
          <t>D 398</t>
        </is>
      </c>
      <c r="B2370" s="5" t="n">
        <v>61</v>
      </c>
      <c r="C2370" s="72" t="inlineStr">
        <is>
          <t>X</t>
        </is>
      </c>
      <c r="D2370" s="5" t="n">
        <v>92</v>
      </c>
      <c r="E2370" s="73">
        <f>B2370*D2370/10000</f>
        <v/>
      </c>
      <c r="F2370" s="74">
        <f>B2370/30.48</f>
        <v/>
      </c>
      <c r="G2370" s="74">
        <f>D2370/30.48</f>
        <v/>
      </c>
      <c r="H2370" s="290" t="inlineStr">
        <is>
          <t>WTR</t>
        </is>
      </c>
      <c r="I2370" s="570" t="n"/>
      <c r="J2370" s="557" t="n"/>
      <c r="P2370" s="280" t="n"/>
    </row>
    <row r="2371" ht="18" customHeight="1" s="305">
      <c r="A2371" s="8" t="n">
        <v>4012</v>
      </c>
      <c r="B2371" s="5" t="n">
        <v>62</v>
      </c>
      <c r="C2371" s="72" t="inlineStr">
        <is>
          <t>X</t>
        </is>
      </c>
      <c r="D2371" s="5" t="n">
        <v>152</v>
      </c>
      <c r="E2371" s="73">
        <f>B2371*D2371/10000</f>
        <v/>
      </c>
      <c r="F2371" s="74">
        <f>B2371/30.48</f>
        <v/>
      </c>
      <c r="G2371" s="74">
        <f>D2371/30.48</f>
        <v/>
      </c>
      <c r="H2371" s="290" t="inlineStr">
        <is>
          <t>WTR</t>
        </is>
      </c>
      <c r="I2371" s="570" t="inlineStr">
        <is>
          <t>Tahnee Panayi</t>
        </is>
      </c>
      <c r="J2371" s="557" t="n"/>
      <c r="P2371" s="280" t="n"/>
    </row>
    <row r="2372" ht="18" customHeight="1" s="305">
      <c r="A2372" s="8" t="n">
        <v>60</v>
      </c>
      <c r="B2372" s="5" t="n">
        <v>90</v>
      </c>
      <c r="C2372" s="6" t="inlineStr">
        <is>
          <t>X</t>
        </is>
      </c>
      <c r="D2372" s="5" t="n">
        <v>46</v>
      </c>
      <c r="E2372" s="2">
        <f>B2372*D2372/10000</f>
        <v/>
      </c>
      <c r="F2372" s="3">
        <f>B2372/30.48</f>
        <v/>
      </c>
      <c r="G2372" s="3">
        <f>D2372/30.48</f>
        <v/>
      </c>
      <c r="H2372" s="292" t="inlineStr">
        <is>
          <t>LMX</t>
        </is>
      </c>
      <c r="I2372" s="557" t="inlineStr">
        <is>
          <t>LINDSAY HENWOOD</t>
        </is>
      </c>
      <c r="J2372" s="557" t="n"/>
      <c r="P2372" s="280" t="n"/>
    </row>
    <row r="2373" ht="18" customHeight="1" s="305">
      <c r="A2373" s="8" t="n">
        <v>1463</v>
      </c>
      <c r="B2373" s="5" t="n">
        <v>133</v>
      </c>
      <c r="C2373" s="72" t="inlineStr">
        <is>
          <t>X</t>
        </is>
      </c>
      <c r="D2373" s="5" t="n">
        <v>224</v>
      </c>
      <c r="E2373" s="73">
        <f>B2373*D2373/10000</f>
        <v/>
      </c>
      <c r="F2373" s="74">
        <f>B2373/30.48</f>
        <v/>
      </c>
      <c r="G2373" s="74">
        <f>D2373/30.48</f>
        <v/>
      </c>
      <c r="H2373" s="569" t="inlineStr">
        <is>
          <t>OLD</t>
        </is>
      </c>
      <c r="I2373" s="570" t="inlineStr">
        <is>
          <t>Elizabeth Tornell</t>
        </is>
      </c>
      <c r="J2373" s="557" t="n"/>
      <c r="P2373" s="280" t="n"/>
      <c r="S2373" s="1" t="n"/>
    </row>
    <row r="2374" ht="18" customHeight="1" s="305">
      <c r="A2374" s="28" t="inlineStr">
        <is>
          <t>D 538</t>
        </is>
      </c>
      <c r="B2374" s="29" t="n">
        <v>53</v>
      </c>
      <c r="C2374" s="236" t="inlineStr">
        <is>
          <t>X</t>
        </is>
      </c>
      <c r="D2374" s="29" t="n">
        <v>123</v>
      </c>
      <c r="E2374" s="237">
        <f>B2374*D2374/10000</f>
        <v/>
      </c>
      <c r="F2374" s="238">
        <f>B2374/30.48</f>
        <v/>
      </c>
      <c r="G2374" s="238">
        <f>D2374/30.48</f>
        <v/>
      </c>
      <c r="H2374" s="314" t="inlineStr">
        <is>
          <t>FRD-NR</t>
        </is>
      </c>
      <c r="I2374" s="534" t="inlineStr">
        <is>
          <t>Katie hamil</t>
        </is>
      </c>
      <c r="J2374" s="545" t="n"/>
      <c r="P2374" s="280" t="n"/>
    </row>
    <row r="2375" ht="18" customHeight="1" s="305">
      <c r="A2375" s="8" t="n">
        <v>2616</v>
      </c>
      <c r="B2375" s="5" t="n">
        <v>100</v>
      </c>
      <c r="C2375" s="72" t="inlineStr">
        <is>
          <t>X</t>
        </is>
      </c>
      <c r="D2375" s="5" t="n">
        <v>338</v>
      </c>
      <c r="E2375" s="73">
        <f>B2375*D2375/10000</f>
        <v/>
      </c>
      <c r="F2375" s="74">
        <f>B2375/30.48</f>
        <v/>
      </c>
      <c r="G2375" s="74">
        <f>D2375/30.48</f>
        <v/>
      </c>
      <c r="H2375" s="594" t="inlineStr">
        <is>
          <t>RK</t>
        </is>
      </c>
      <c r="I2375" s="570" t="inlineStr">
        <is>
          <t>Mandeep Heer</t>
        </is>
      </c>
      <c r="J2375" s="557" t="n"/>
      <c r="P2375" s="280" t="n"/>
    </row>
    <row r="2376" ht="18" customHeight="1" s="305">
      <c r="A2376" s="8" t="n">
        <v>1443</v>
      </c>
      <c r="B2376" s="5" t="n">
        <v>221</v>
      </c>
      <c r="C2376" s="72" t="inlineStr">
        <is>
          <t>X</t>
        </is>
      </c>
      <c r="D2376" s="5" t="n">
        <v>318</v>
      </c>
      <c r="E2376" s="73">
        <f>B2376*D2376/10000</f>
        <v/>
      </c>
      <c r="F2376" s="74">
        <f>B2376/30.48</f>
        <v/>
      </c>
      <c r="G2376" s="74">
        <f>D2376/30.48</f>
        <v/>
      </c>
      <c r="H2376" s="16" t="inlineStr">
        <is>
          <t>VR</t>
        </is>
      </c>
      <c r="I2376" s="570" t="inlineStr">
        <is>
          <t>Casey Brunner</t>
        </is>
      </c>
      <c r="J2376" s="557" t="n"/>
      <c r="P2376" s="280" t="n"/>
    </row>
    <row r="2377" ht="18" customHeight="1" s="305">
      <c r="A2377" s="8" t="n">
        <v>1090</v>
      </c>
      <c r="B2377" s="5" t="n">
        <v>91</v>
      </c>
      <c r="C2377" s="72" t="inlineStr">
        <is>
          <t>X</t>
        </is>
      </c>
      <c r="D2377" s="5" t="n">
        <v>375</v>
      </c>
      <c r="E2377" s="73">
        <f>B2377*D2377/10000</f>
        <v/>
      </c>
      <c r="F2377" s="74">
        <f>B2377/30.48</f>
        <v/>
      </c>
      <c r="G2377" s="74">
        <f>D2377/30.48</f>
        <v/>
      </c>
      <c r="H2377" s="16" t="inlineStr">
        <is>
          <t>VR</t>
        </is>
      </c>
      <c r="I2377" s="570" t="inlineStr">
        <is>
          <t>Stacey Koehn</t>
        </is>
      </c>
      <c r="J2377" s="557" t="n"/>
      <c r="P2377" s="280" t="n"/>
    </row>
    <row r="2378" ht="18" customHeight="1" s="305">
      <c r="A2378" s="8" t="inlineStr">
        <is>
          <t>D 157</t>
        </is>
      </c>
      <c r="B2378" s="5" t="n">
        <v>45</v>
      </c>
      <c r="C2378" s="72" t="inlineStr">
        <is>
          <t>X</t>
        </is>
      </c>
      <c r="D2378" s="5" t="n">
        <v>80</v>
      </c>
      <c r="E2378" s="73">
        <f>B2378*D2378/10000</f>
        <v/>
      </c>
      <c r="F2378" s="74">
        <f>B2378/30.48</f>
        <v/>
      </c>
      <c r="G2378" s="74">
        <f>D2378/30.48</f>
        <v/>
      </c>
      <c r="H2378" s="16" t="inlineStr">
        <is>
          <t>VR</t>
        </is>
      </c>
      <c r="I2378" s="570" t="inlineStr">
        <is>
          <t>Wesley Shaw</t>
        </is>
      </c>
      <c r="J2378" s="557" t="n"/>
      <c r="P2378" s="280" t="n"/>
    </row>
    <row r="2379" ht="18" customHeight="1" s="305">
      <c r="A2379" s="8" t="inlineStr">
        <is>
          <t>D 384</t>
        </is>
      </c>
      <c r="B2379" s="5" t="n">
        <v>67</v>
      </c>
      <c r="C2379" s="72" t="inlineStr">
        <is>
          <t>X</t>
        </is>
      </c>
      <c r="D2379" s="5" t="n">
        <v>67</v>
      </c>
      <c r="E2379" s="73">
        <f>B2379*D2379/10000</f>
        <v/>
      </c>
      <c r="F2379" s="74">
        <f>B2379/30.48</f>
        <v/>
      </c>
      <c r="G2379" s="74">
        <f>D2379/30.48</f>
        <v/>
      </c>
      <c r="H2379" s="290" t="inlineStr">
        <is>
          <t>WTR</t>
        </is>
      </c>
      <c r="I2379" s="570" t="inlineStr">
        <is>
          <t>Kathleen Baushke</t>
        </is>
      </c>
      <c r="J2379" s="557" t="n"/>
      <c r="P2379" s="280" t="n"/>
    </row>
    <row r="2380" ht="18" customHeight="1" s="305">
      <c r="A2380" s="8" t="n">
        <v>4026</v>
      </c>
      <c r="B2380" s="5" t="n">
        <v>71</v>
      </c>
      <c r="C2380" s="72" t="inlineStr">
        <is>
          <t>X</t>
        </is>
      </c>
      <c r="D2380" s="5" t="n">
        <v>167</v>
      </c>
      <c r="E2380" s="73">
        <f>B2380*D2380/10000</f>
        <v/>
      </c>
      <c r="F2380" s="74">
        <f>B2380/30.48</f>
        <v/>
      </c>
      <c r="G2380" s="74">
        <f>D2380/30.48</f>
        <v/>
      </c>
      <c r="H2380" s="290" t="inlineStr">
        <is>
          <t>WTR</t>
        </is>
      </c>
      <c r="I2380" s="570" t="inlineStr">
        <is>
          <t>Preston Konrad</t>
        </is>
      </c>
      <c r="J2380" s="557" t="n"/>
      <c r="P2380" s="280" t="n"/>
      <c r="S2380" s="1" t="n"/>
    </row>
    <row r="2381" ht="18" customHeight="1" s="305">
      <c r="A2381" s="8" t="n">
        <v>2781</v>
      </c>
      <c r="B2381" s="5" t="n">
        <v>82</v>
      </c>
      <c r="C2381" s="72" t="inlineStr">
        <is>
          <t>X</t>
        </is>
      </c>
      <c r="D2381" s="5" t="n">
        <v>310</v>
      </c>
      <c r="E2381" s="73">
        <f>B2381*D2381/10000</f>
        <v/>
      </c>
      <c r="F2381" s="74">
        <f>B2381/30.48</f>
        <v/>
      </c>
      <c r="G2381" s="74">
        <f>D2381/30.48</f>
        <v/>
      </c>
      <c r="H2381" s="594" t="inlineStr">
        <is>
          <t>RK</t>
        </is>
      </c>
      <c r="I2381" s="570" t="inlineStr">
        <is>
          <t>Graci Interiors</t>
        </is>
      </c>
      <c r="J2381" s="557" t="n"/>
      <c r="P2381" s="280" t="n"/>
      <c r="S2381" s="1" t="n"/>
    </row>
    <row r="2382" ht="18" customHeight="1" s="305">
      <c r="A2382" s="8" t="n">
        <v>2183</v>
      </c>
      <c r="B2382" s="5" t="n">
        <v>92</v>
      </c>
      <c r="C2382" s="72" t="inlineStr">
        <is>
          <t>X</t>
        </is>
      </c>
      <c r="D2382" s="5" t="n">
        <v>195</v>
      </c>
      <c r="E2382" s="73">
        <f>B2382*D2382/10000</f>
        <v/>
      </c>
      <c r="F2382" s="74">
        <f>B2382/30.48</f>
        <v/>
      </c>
      <c r="G2382" s="74">
        <f>D2382/30.48</f>
        <v/>
      </c>
      <c r="H2382" s="594" t="inlineStr">
        <is>
          <t>RK</t>
        </is>
      </c>
      <c r="I2382" s="570" t="inlineStr">
        <is>
          <t>Alex Rettmann</t>
        </is>
      </c>
      <c r="J2382" s="557" t="n"/>
      <c r="P2382" s="280" t="n"/>
      <c r="S2382" s="1" t="n"/>
    </row>
    <row r="2383" ht="18" customHeight="1" s="305">
      <c r="A2383" s="8" t="n">
        <v>3394</v>
      </c>
      <c r="B2383" s="5" t="n">
        <v>80</v>
      </c>
      <c r="C2383" s="72" t="inlineStr">
        <is>
          <t>X</t>
        </is>
      </c>
      <c r="D2383" s="5" t="n">
        <v>160</v>
      </c>
      <c r="E2383" s="73">
        <f>B2383*D2383/10000</f>
        <v/>
      </c>
      <c r="F2383" s="74">
        <f>B2383/30.48</f>
        <v/>
      </c>
      <c r="G2383" s="74">
        <f>D2383/30.48</f>
        <v/>
      </c>
      <c r="H2383" s="314" t="inlineStr">
        <is>
          <t>WLB</t>
        </is>
      </c>
      <c r="I2383" s="570" t="inlineStr">
        <is>
          <t>Melinda Tarbell</t>
        </is>
      </c>
      <c r="J2383" s="557" t="n"/>
      <c r="P2383" s="280" t="n"/>
      <c r="S2383" s="1" t="n"/>
    </row>
    <row r="2384" ht="18" customHeight="1" s="305">
      <c r="A2384" s="8" t="n">
        <v>3757</v>
      </c>
      <c r="B2384" s="5" t="n">
        <v>118</v>
      </c>
      <c r="C2384" s="72" t="inlineStr">
        <is>
          <t>X</t>
        </is>
      </c>
      <c r="D2384" s="5" t="n">
        <v>368</v>
      </c>
      <c r="E2384" s="73">
        <f>B2384*D2384/10000</f>
        <v/>
      </c>
      <c r="F2384" s="74">
        <f>B2384/30.48</f>
        <v/>
      </c>
      <c r="G2384" s="74">
        <f>D2384/30.48</f>
        <v/>
      </c>
      <c r="H2384" s="292" t="inlineStr">
        <is>
          <t>LMX</t>
        </is>
      </c>
      <c r="I2384" s="570" t="inlineStr">
        <is>
          <t>Jared Styles</t>
        </is>
      </c>
      <c r="J2384" s="557" t="n"/>
      <c r="P2384" s="280" t="n"/>
      <c r="S2384" s="1" t="n"/>
    </row>
    <row r="2385" ht="18" customHeight="1" s="305">
      <c r="A2385" s="8" t="inlineStr">
        <is>
          <t>D 16</t>
        </is>
      </c>
      <c r="B2385" s="5" t="n">
        <v>52</v>
      </c>
      <c r="C2385" s="72" t="inlineStr">
        <is>
          <t>X</t>
        </is>
      </c>
      <c r="D2385" s="5" t="n">
        <v>101</v>
      </c>
      <c r="E2385" s="73">
        <f>B2385*D2385/10000</f>
        <v/>
      </c>
      <c r="F2385" s="74">
        <f>B2385/30.48</f>
        <v/>
      </c>
      <c r="G2385" s="74">
        <f>D2385/30.48</f>
        <v/>
      </c>
      <c r="H2385" s="292" t="inlineStr">
        <is>
          <t>LMX</t>
        </is>
      </c>
      <c r="I2385" s="570" t="inlineStr">
        <is>
          <t>Deborah Moore</t>
        </is>
      </c>
      <c r="J2385" s="557" t="n"/>
      <c r="P2385" s="280" t="n"/>
    </row>
    <row r="2386" ht="18" customHeight="1" s="305">
      <c r="A2386" s="8" t="n">
        <v>2359</v>
      </c>
      <c r="B2386" s="5" t="n">
        <v>82</v>
      </c>
      <c r="C2386" s="72" t="inlineStr">
        <is>
          <t>X</t>
        </is>
      </c>
      <c r="D2386" s="5" t="n">
        <v>211</v>
      </c>
      <c r="E2386" s="73">
        <f>B2386*D2386/10000</f>
        <v/>
      </c>
      <c r="F2386" s="74">
        <f>B2386/30.48</f>
        <v/>
      </c>
      <c r="G2386" s="74">
        <f>D2386/30.48</f>
        <v/>
      </c>
      <c r="H2386" s="594" t="inlineStr">
        <is>
          <t>MCHD-TR</t>
        </is>
      </c>
      <c r="I2386" s="557" t="n"/>
      <c r="J2386" s="557" t="n"/>
      <c r="P2386" s="280" t="n"/>
      <c r="S2386" s="1" t="n"/>
    </row>
    <row r="2387" ht="18" customHeight="1" s="305">
      <c r="A2387" s="8" t="n">
        <v>2742</v>
      </c>
      <c r="B2387" s="5" t="n">
        <v>71</v>
      </c>
      <c r="C2387" s="72" t="inlineStr">
        <is>
          <t>X</t>
        </is>
      </c>
      <c r="D2387" s="5" t="n">
        <v>235</v>
      </c>
      <c r="E2387" s="73">
        <f>B2387*D2387/10000</f>
        <v/>
      </c>
      <c r="F2387" s="74">
        <f>B2387/30.48</f>
        <v/>
      </c>
      <c r="G2387" s="74">
        <f>D2387/30.48</f>
        <v/>
      </c>
      <c r="H2387" s="594" t="inlineStr">
        <is>
          <t>MCHD-TR</t>
        </is>
      </c>
      <c r="I2387" s="557" t="n"/>
      <c r="J2387" s="557" t="n"/>
      <c r="P2387" s="280" t="n"/>
      <c r="S2387" s="1" t="n"/>
    </row>
    <row r="2388" ht="18" customHeight="1" s="305">
      <c r="A2388" s="8" t="inlineStr">
        <is>
          <t>A 76</t>
        </is>
      </c>
      <c r="B2388" s="5" t="n">
        <v>127</v>
      </c>
      <c r="C2388" s="6" t="inlineStr">
        <is>
          <t>X</t>
        </is>
      </c>
      <c r="D2388" s="5" t="n">
        <v>199</v>
      </c>
      <c r="E2388" s="2">
        <f>B2388*D2388/10000</f>
        <v/>
      </c>
      <c r="F2388" s="3">
        <f>B2388/30.48</f>
        <v/>
      </c>
      <c r="G2388" s="3">
        <f>D2388/30.48</f>
        <v/>
      </c>
      <c r="H2388" s="594" t="inlineStr">
        <is>
          <t>MCHD-TR</t>
        </is>
      </c>
      <c r="I2388" s="557" t="n"/>
      <c r="J2388" s="557" t="n"/>
      <c r="P2388" s="280" t="n"/>
    </row>
    <row r="2389" ht="18" customHeight="1" s="305">
      <c r="A2389" s="8" t="n">
        <v>1433</v>
      </c>
      <c r="B2389" s="5" t="n">
        <v>126</v>
      </c>
      <c r="C2389" s="72" t="inlineStr">
        <is>
          <t>X</t>
        </is>
      </c>
      <c r="D2389" s="5" t="n">
        <v>212</v>
      </c>
      <c r="E2389" s="73">
        <f>B2389*D2389/10000</f>
        <v/>
      </c>
      <c r="F2389" s="74">
        <f>B2389/30.48</f>
        <v/>
      </c>
      <c r="G2389" s="74">
        <f>D2389/30.48</f>
        <v/>
      </c>
      <c r="H2389" s="594" t="inlineStr">
        <is>
          <t>MCHD-TR</t>
        </is>
      </c>
      <c r="I2389" s="557" t="n"/>
      <c r="J2389" s="557" t="n"/>
      <c r="P2389" s="280" t="n"/>
      <c r="S2389" s="1" t="n"/>
    </row>
    <row r="2390" ht="18" customHeight="1" s="305">
      <c r="A2390" s="8" t="n">
        <v>3678</v>
      </c>
      <c r="B2390" s="5" t="n">
        <v>77</v>
      </c>
      <c r="C2390" s="72" t="inlineStr">
        <is>
          <t>X</t>
        </is>
      </c>
      <c r="D2390" s="5" t="n">
        <v>286</v>
      </c>
      <c r="E2390" s="73">
        <f>B2390*D2390/10000</f>
        <v/>
      </c>
      <c r="F2390" s="74">
        <f>B2390/30.48</f>
        <v/>
      </c>
      <c r="G2390" s="74">
        <f>D2390/30.48</f>
        <v/>
      </c>
      <c r="H2390" s="594" t="inlineStr">
        <is>
          <t>MCHD-TR</t>
        </is>
      </c>
      <c r="I2390" s="557" t="n"/>
      <c r="J2390" s="557" t="n"/>
      <c r="P2390" s="280" t="n"/>
      <c r="S2390" s="1" t="n"/>
    </row>
    <row r="2391" ht="18" customHeight="1" s="305">
      <c r="A2391" s="8" t="n">
        <v>2955</v>
      </c>
      <c r="B2391" s="5" t="n">
        <v>83</v>
      </c>
      <c r="C2391" s="72" t="inlineStr">
        <is>
          <t>X</t>
        </is>
      </c>
      <c r="D2391" s="5" t="n">
        <v>315</v>
      </c>
      <c r="E2391" s="73">
        <f>B2391*D2391/10000</f>
        <v/>
      </c>
      <c r="F2391" s="74">
        <f>B2391/30.48</f>
        <v/>
      </c>
      <c r="G2391" s="74">
        <f>D2391/30.48</f>
        <v/>
      </c>
      <c r="H2391" s="594" t="inlineStr">
        <is>
          <t>MCHD-TR</t>
        </is>
      </c>
      <c r="I2391" s="545" t="n"/>
      <c r="J2391" s="545" t="n"/>
      <c r="P2391" s="280" t="n"/>
      <c r="S2391" s="1" t="n"/>
    </row>
    <row r="2392" ht="18" customHeight="1" s="305">
      <c r="A2392" s="8" t="n">
        <v>4094</v>
      </c>
      <c r="B2392" s="5" t="n">
        <v>75</v>
      </c>
      <c r="C2392" s="72" t="inlineStr">
        <is>
          <t>X</t>
        </is>
      </c>
      <c r="D2392" s="5" t="n">
        <v>162</v>
      </c>
      <c r="E2392" s="73">
        <f>B2392*D2392/10000</f>
        <v/>
      </c>
      <c r="F2392" s="74">
        <f>B2392/30.48</f>
        <v/>
      </c>
      <c r="G2392" s="74">
        <f>D2392/30.48</f>
        <v/>
      </c>
      <c r="H2392" s="316" t="inlineStr">
        <is>
          <t>BHR</t>
        </is>
      </c>
      <c r="I2392" s="570" t="inlineStr">
        <is>
          <t>Rhonda Head</t>
        </is>
      </c>
      <c r="J2392" s="557" t="n"/>
      <c r="P2392" s="280" t="n"/>
    </row>
    <row r="2393" ht="18" customHeight="1" s="305">
      <c r="A2393" s="8" t="n">
        <v>3690</v>
      </c>
      <c r="B2393" s="5" t="n">
        <v>117</v>
      </c>
      <c r="C2393" s="72" t="inlineStr">
        <is>
          <t>X</t>
        </is>
      </c>
      <c r="D2393" s="5" t="n">
        <v>316</v>
      </c>
      <c r="E2393" s="73">
        <f>B2393*D2393/10000</f>
        <v/>
      </c>
      <c r="F2393" s="74">
        <f>B2393/30.48</f>
        <v/>
      </c>
      <c r="G2393" s="74">
        <f>D2393/30.48</f>
        <v/>
      </c>
      <c r="H2393" s="314" t="inlineStr">
        <is>
          <t>FRD-NR</t>
        </is>
      </c>
      <c r="I2393" s="534" t="inlineStr">
        <is>
          <t>Sofi Scalise</t>
        </is>
      </c>
      <c r="J2393" s="545" t="n"/>
      <c r="P2393" s="280" t="n"/>
    </row>
    <row r="2394" ht="18" customHeight="1" s="305">
      <c r="A2394" s="8" t="n">
        <v>335</v>
      </c>
      <c r="B2394" s="5" t="n">
        <v>90</v>
      </c>
      <c r="C2394" s="72" t="inlineStr">
        <is>
          <t>X</t>
        </is>
      </c>
      <c r="D2394" s="5" t="n">
        <v>367</v>
      </c>
      <c r="E2394" s="73">
        <f>B2394*D2394/10000</f>
        <v/>
      </c>
      <c r="F2394" s="74">
        <f>B2394/30.48</f>
        <v/>
      </c>
      <c r="G2394" s="74">
        <f>D2394/30.48</f>
        <v/>
      </c>
      <c r="H2394" s="16" t="inlineStr">
        <is>
          <t>VR</t>
        </is>
      </c>
      <c r="I2394" s="534" t="inlineStr">
        <is>
          <t>Stacey Koehn</t>
        </is>
      </c>
      <c r="J2394" s="545" t="n"/>
      <c r="P2394" s="280" t="n"/>
    </row>
    <row r="2395" ht="18" customHeight="1" s="305">
      <c r="A2395" s="8" t="inlineStr">
        <is>
          <t>D 22</t>
        </is>
      </c>
      <c r="B2395" s="5" t="n">
        <v>49</v>
      </c>
      <c r="C2395" s="72" t="inlineStr">
        <is>
          <t>X</t>
        </is>
      </c>
      <c r="D2395" s="5" t="n">
        <v>97</v>
      </c>
      <c r="E2395" s="73">
        <f>B2395*D2395/10000</f>
        <v/>
      </c>
      <c r="F2395" s="74">
        <f>B2395/30.48</f>
        <v/>
      </c>
      <c r="G2395" s="74">
        <f>D2395/30.48</f>
        <v/>
      </c>
      <c r="H2395" s="292" t="inlineStr">
        <is>
          <t>LMX</t>
        </is>
      </c>
      <c r="I2395" s="534" t="inlineStr">
        <is>
          <t>JEAN PAUL GIORDANO</t>
        </is>
      </c>
      <c r="J2395" s="545" t="n"/>
      <c r="P2395" s="280" t="n"/>
    </row>
    <row r="2396" ht="18" customHeight="1" s="305">
      <c r="A2396" s="8" t="n">
        <v>3283</v>
      </c>
      <c r="B2396" s="5" t="n">
        <v>180</v>
      </c>
      <c r="C2396" s="72" t="inlineStr">
        <is>
          <t>X</t>
        </is>
      </c>
      <c r="D2396" s="5" t="n">
        <v>279</v>
      </c>
      <c r="E2396" s="73">
        <f>B2396*D2396/10000</f>
        <v/>
      </c>
      <c r="F2396" s="74">
        <f>B2396/30.48</f>
        <v/>
      </c>
      <c r="G2396" s="74">
        <f>D2396/30.48</f>
        <v/>
      </c>
      <c r="H2396" s="292" t="inlineStr">
        <is>
          <t>LMX</t>
        </is>
      </c>
      <c r="I2396" s="570" t="inlineStr">
        <is>
          <t>Janice Mitchell</t>
        </is>
      </c>
      <c r="J2396" s="557" t="n"/>
      <c r="P2396" s="280" t="n"/>
    </row>
    <row r="2397" ht="18" customHeight="1" s="305">
      <c r="A2397" s="8" t="n">
        <v>3528</v>
      </c>
      <c r="B2397" s="5" t="n">
        <v>69</v>
      </c>
      <c r="C2397" s="72" t="inlineStr">
        <is>
          <t>X</t>
        </is>
      </c>
      <c r="D2397" s="5" t="n">
        <v>276</v>
      </c>
      <c r="E2397" s="73">
        <f>B2397*D2397/10000</f>
        <v/>
      </c>
      <c r="F2397" s="74">
        <f>B2397/30.48</f>
        <v/>
      </c>
      <c r="G2397" s="74">
        <f>D2397/30.48</f>
        <v/>
      </c>
      <c r="H2397" s="594" t="inlineStr">
        <is>
          <t>MCHD-TR</t>
        </is>
      </c>
      <c r="I2397" s="557" t="n"/>
      <c r="J2397" s="557" t="n"/>
      <c r="P2397" s="280" t="n"/>
      <c r="S2397" s="1" t="n"/>
    </row>
    <row r="2398" ht="18" customHeight="1" s="305">
      <c r="A2398" s="8" t="inlineStr">
        <is>
          <t>H 246</t>
        </is>
      </c>
      <c r="B2398" s="5" t="n">
        <v>97</v>
      </c>
      <c r="C2398" s="72" t="inlineStr">
        <is>
          <t>X</t>
        </is>
      </c>
      <c r="D2398" s="5" t="n">
        <v>279</v>
      </c>
      <c r="E2398" s="73">
        <f>B2398*D2398/10000</f>
        <v/>
      </c>
      <c r="F2398" s="74">
        <f>B2398/30.48</f>
        <v/>
      </c>
      <c r="G2398" s="74">
        <f>D2398/30.48</f>
        <v/>
      </c>
      <c r="H2398" s="290" t="inlineStr">
        <is>
          <t>WTR</t>
        </is>
      </c>
      <c r="I2398" s="570" t="inlineStr">
        <is>
          <t>Karena Kilcoyne</t>
        </is>
      </c>
      <c r="J2398" s="557" t="n"/>
      <c r="P2398" s="280" t="n"/>
    </row>
    <row r="2399" ht="18" customHeight="1" s="305">
      <c r="A2399" s="8" t="n">
        <v>3796</v>
      </c>
      <c r="B2399" s="5" t="n">
        <v>130</v>
      </c>
      <c r="C2399" s="72" t="inlineStr">
        <is>
          <t>X</t>
        </is>
      </c>
      <c r="D2399" s="5" t="n">
        <v>195</v>
      </c>
      <c r="E2399" s="73">
        <f>B2399*D2399/10000</f>
        <v/>
      </c>
      <c r="F2399" s="74">
        <f>B2399/30.48</f>
        <v/>
      </c>
      <c r="G2399" s="74">
        <f>D2399/30.48</f>
        <v/>
      </c>
      <c r="H2399" s="292" t="inlineStr">
        <is>
          <t>LMX</t>
        </is>
      </c>
      <c r="I2399" s="570" t="inlineStr">
        <is>
          <t>Logan Purdy</t>
        </is>
      </c>
      <c r="J2399" s="557" t="n"/>
      <c r="P2399" s="280" t="n"/>
      <c r="S2399" s="1" t="n"/>
    </row>
    <row r="2400" ht="18" customHeight="1" s="305">
      <c r="A2400" s="8" t="inlineStr">
        <is>
          <t>D 383</t>
        </is>
      </c>
      <c r="B2400" s="5" t="n">
        <v>45</v>
      </c>
      <c r="C2400" s="72" t="inlineStr">
        <is>
          <t>X</t>
        </is>
      </c>
      <c r="D2400" s="5" t="n">
        <v>97</v>
      </c>
      <c r="E2400" s="73">
        <f>B2400*D2400/10000</f>
        <v/>
      </c>
      <c r="F2400" s="74">
        <f>B2400/30.48</f>
        <v/>
      </c>
      <c r="G2400" s="74">
        <f>D2400/30.48</f>
        <v/>
      </c>
      <c r="H2400" s="290" t="inlineStr">
        <is>
          <t>WTR</t>
        </is>
      </c>
      <c r="I2400" s="570" t="inlineStr">
        <is>
          <t>Kelly Lautenbach</t>
        </is>
      </c>
      <c r="J2400" s="557" t="n"/>
      <c r="P2400" s="280" t="n"/>
    </row>
    <row r="2401" ht="18" customHeight="1" s="305">
      <c r="A2401" s="8" t="n">
        <v>2538</v>
      </c>
      <c r="B2401" s="5" t="n">
        <v>86</v>
      </c>
      <c r="C2401" s="72" t="inlineStr">
        <is>
          <t>X</t>
        </is>
      </c>
      <c r="D2401" s="5" t="n">
        <v>306</v>
      </c>
      <c r="E2401" s="73">
        <f>B2401*D2401/10000</f>
        <v/>
      </c>
      <c r="F2401" s="74">
        <f>B2401/30.48</f>
        <v/>
      </c>
      <c r="G2401" s="74">
        <f>D2401/30.48</f>
        <v/>
      </c>
      <c r="H2401" s="290" t="inlineStr">
        <is>
          <t>WTR</t>
        </is>
      </c>
      <c r="I2401" s="570" t="inlineStr">
        <is>
          <t>Jeanna Twomey</t>
        </is>
      </c>
      <c r="J2401" s="557" t="n"/>
      <c r="P2401" s="280" t="n"/>
      <c r="S2401" s="1" t="n"/>
    </row>
    <row r="2402" ht="18" customHeight="1" s="305">
      <c r="A2402" s="8" t="n">
        <v>2753</v>
      </c>
      <c r="B2402" s="5" t="n">
        <v>117</v>
      </c>
      <c r="C2402" s="72" t="inlineStr">
        <is>
          <t>X</t>
        </is>
      </c>
      <c r="D2402" s="5" t="n">
        <v>164</v>
      </c>
      <c r="E2402" s="73">
        <f>B2402*D2402/10000</f>
        <v/>
      </c>
      <c r="F2402" s="74">
        <f>B2402/30.48</f>
        <v/>
      </c>
      <c r="G2402" s="74">
        <f>D2402/30.48</f>
        <v/>
      </c>
      <c r="H2402" s="592" t="inlineStr">
        <is>
          <t>PAC</t>
        </is>
      </c>
      <c r="I2402" s="534" t="inlineStr">
        <is>
          <t>Marianne Hanny</t>
        </is>
      </c>
      <c r="J2402" s="545" t="n"/>
      <c r="P2402" s="280" t="n"/>
      <c r="S2402" s="1" t="n"/>
    </row>
    <row r="2403" ht="18" customHeight="1" s="305">
      <c r="A2403" s="8" t="inlineStr">
        <is>
          <t>D 455</t>
        </is>
      </c>
      <c r="B2403" s="5" t="n">
        <v>49</v>
      </c>
      <c r="C2403" s="72" t="inlineStr">
        <is>
          <t>X</t>
        </is>
      </c>
      <c r="D2403" s="5" t="n">
        <v>100</v>
      </c>
      <c r="E2403" s="73">
        <f>B2403*D2403/10000</f>
        <v/>
      </c>
      <c r="F2403" s="74">
        <f>B2403/30.48</f>
        <v/>
      </c>
      <c r="G2403" s="74">
        <f>D2403/30.48</f>
        <v/>
      </c>
      <c r="H2403" s="290" t="inlineStr">
        <is>
          <t>WTR</t>
        </is>
      </c>
      <c r="I2403" s="570" t="inlineStr">
        <is>
          <t>Kristin Mana</t>
        </is>
      </c>
      <c r="J2403" s="557" t="n"/>
      <c r="P2403" s="280" t="n"/>
    </row>
    <row r="2404" ht="18" customHeight="1" s="305">
      <c r="A2404" s="8" t="n">
        <v>4024</v>
      </c>
      <c r="B2404" s="5" t="n">
        <v>64</v>
      </c>
      <c r="C2404" s="72" t="inlineStr">
        <is>
          <t>X</t>
        </is>
      </c>
      <c r="D2404" s="5" t="n">
        <v>161</v>
      </c>
      <c r="E2404" s="73">
        <f>B2404*D2404/10000</f>
        <v/>
      </c>
      <c r="F2404" s="74">
        <f>B2404/30.48</f>
        <v/>
      </c>
      <c r="G2404" s="74">
        <f>D2404/30.48</f>
        <v/>
      </c>
      <c r="H2404" s="290" t="inlineStr">
        <is>
          <t>WTR</t>
        </is>
      </c>
      <c r="I2404" s="570" t="inlineStr">
        <is>
          <t>Heather Castro</t>
        </is>
      </c>
      <c r="J2404" s="557" t="n"/>
      <c r="P2404" s="280" t="n"/>
    </row>
    <row r="2405" ht="18" customHeight="1" s="305">
      <c r="A2405" s="8" t="n">
        <v>3525</v>
      </c>
      <c r="B2405" s="5" t="n">
        <v>79</v>
      </c>
      <c r="C2405" s="72" t="inlineStr">
        <is>
          <t>X</t>
        </is>
      </c>
      <c r="D2405" s="5" t="n">
        <v>154</v>
      </c>
      <c r="E2405" s="73">
        <f>B2405*D2405/10000</f>
        <v/>
      </c>
      <c r="F2405" s="74">
        <f>B2405/30.48</f>
        <v/>
      </c>
      <c r="G2405" s="74">
        <f>D2405/30.48</f>
        <v/>
      </c>
      <c r="H2405" s="594" t="inlineStr">
        <is>
          <t>MCHD-TR</t>
        </is>
      </c>
      <c r="I2405" s="557" t="n"/>
      <c r="J2405" s="557" t="n"/>
      <c r="P2405" s="280" t="n"/>
    </row>
    <row r="2406">
      <c r="A2406" s="536" t="inlineStr">
        <is>
          <t>-2025 NİSAN-</t>
        </is>
      </c>
      <c r="H2406" s="104" t="inlineStr">
        <is>
          <t>SATAN-SİTE</t>
        </is>
      </c>
      <c r="I2406" s="98" t="inlineStr">
        <is>
          <t>MÜŞTERİ ADI</t>
        </is>
      </c>
      <c r="J2406" s="63" t="inlineStr">
        <is>
          <t>MÜŞTERİ İLETİŞİM &amp; ÜLKE</t>
        </is>
      </c>
      <c r="P2406" s="1" t="n"/>
    </row>
    <row r="2407" ht="18" customHeight="1" s="305">
      <c r="A2407" s="28" t="inlineStr">
        <is>
          <t>D 535</t>
        </is>
      </c>
      <c r="B2407" s="29" t="n">
        <v>45</v>
      </c>
      <c r="C2407" s="236" t="inlineStr">
        <is>
          <t>X</t>
        </is>
      </c>
      <c r="D2407" s="29" t="n">
        <v>68</v>
      </c>
      <c r="E2407" s="237">
        <f>B2407*D2407/10000</f>
        <v/>
      </c>
      <c r="F2407" s="238">
        <f>B2407/30.48</f>
        <v/>
      </c>
      <c r="G2407" s="238">
        <f>D2407/30.48</f>
        <v/>
      </c>
      <c r="H2407" s="289" t="inlineStr">
        <is>
          <t>LPR</t>
        </is>
      </c>
      <c r="I2407" s="570" t="inlineStr">
        <is>
          <t>Brooke Harper</t>
        </is>
      </c>
      <c r="J2407" s="557" t="n"/>
      <c r="P2407" s="1" t="n"/>
    </row>
    <row r="2408" ht="18" customHeight="1" s="305">
      <c r="A2408" s="28" t="inlineStr">
        <is>
          <t>D 628</t>
        </is>
      </c>
      <c r="B2408" s="29" t="n">
        <v>53</v>
      </c>
      <c r="C2408" s="236" t="inlineStr">
        <is>
          <t>X</t>
        </is>
      </c>
      <c r="D2408" s="29" t="n">
        <v>74</v>
      </c>
      <c r="E2408" s="237">
        <f>B2408*D2408/10000</f>
        <v/>
      </c>
      <c r="F2408" s="238">
        <f>B2408/30.48</f>
        <v/>
      </c>
      <c r="G2408" s="238">
        <f>D2408/30.48</f>
        <v/>
      </c>
      <c r="H2408" s="289" t="inlineStr">
        <is>
          <t>LPR</t>
        </is>
      </c>
      <c r="I2408" s="570" t="inlineStr">
        <is>
          <t>Amanda Madonna</t>
        </is>
      </c>
      <c r="J2408" s="557" t="n"/>
      <c r="P2408" s="1" t="n"/>
    </row>
    <row r="2409" ht="18" customHeight="1" s="305">
      <c r="A2409" s="8" t="n">
        <v>1543</v>
      </c>
      <c r="B2409" s="5" t="n">
        <v>214</v>
      </c>
      <c r="C2409" s="72" t="inlineStr">
        <is>
          <t>X</t>
        </is>
      </c>
      <c r="D2409" s="5" t="n">
        <v>123</v>
      </c>
      <c r="E2409" s="73">
        <f>B2409*D2409/10000</f>
        <v/>
      </c>
      <c r="F2409" s="74">
        <f>B2409/30.48</f>
        <v/>
      </c>
      <c r="G2409" s="74">
        <f>D2409/30.48</f>
        <v/>
      </c>
      <c r="H2409" s="594" t="inlineStr">
        <is>
          <t>RK</t>
        </is>
      </c>
      <c r="I2409" s="570" t="inlineStr">
        <is>
          <t>Caroline O’Connor</t>
        </is>
      </c>
      <c r="J2409" s="557" t="n"/>
      <c r="P2409" s="1" t="n"/>
    </row>
    <row r="2410" ht="18" customHeight="1" s="305">
      <c r="A2410" s="8" t="n">
        <v>2008</v>
      </c>
      <c r="B2410" s="5" t="n">
        <v>88</v>
      </c>
      <c r="C2410" s="72" t="inlineStr">
        <is>
          <t>X</t>
        </is>
      </c>
      <c r="D2410" s="5" t="n">
        <v>260</v>
      </c>
      <c r="E2410" s="73">
        <f>B2410*D2410/10000</f>
        <v/>
      </c>
      <c r="F2410" s="74">
        <f>B2410/30.48</f>
        <v/>
      </c>
      <c r="G2410" s="74">
        <f>D2410/30.48</f>
        <v/>
      </c>
      <c r="H2410" s="594" t="inlineStr">
        <is>
          <t>RK</t>
        </is>
      </c>
      <c r="I2410" s="570" t="inlineStr">
        <is>
          <t>Tatum Freeman</t>
        </is>
      </c>
      <c r="J2410" s="557" t="n"/>
      <c r="P2410" s="1" t="n"/>
      <c r="S2410" s="1" t="n"/>
    </row>
    <row r="2411" ht="18" customHeight="1" s="305">
      <c r="A2411" s="8" t="n">
        <v>2818</v>
      </c>
      <c r="B2411" s="5" t="n">
        <v>109</v>
      </c>
      <c r="C2411" s="72" t="inlineStr">
        <is>
          <t>X</t>
        </is>
      </c>
      <c r="D2411" s="5" t="n">
        <v>268</v>
      </c>
      <c r="E2411" s="73">
        <f>B2411*D2411/10000</f>
        <v/>
      </c>
      <c r="F2411" s="74">
        <f>B2411/30.48</f>
        <v/>
      </c>
      <c r="G2411" s="74">
        <f>D2411/30.48</f>
        <v/>
      </c>
      <c r="H2411" s="594" t="inlineStr">
        <is>
          <t>RK</t>
        </is>
      </c>
      <c r="I2411" s="570" t="inlineStr">
        <is>
          <t>Dustin Robbins</t>
        </is>
      </c>
      <c r="J2411" s="557" t="n"/>
      <c r="P2411" s="1" t="n"/>
      <c r="S2411" s="1" t="n"/>
    </row>
    <row r="2412" ht="18" customHeight="1" s="305">
      <c r="A2412" s="8" t="n">
        <v>3335</v>
      </c>
      <c r="B2412" s="5" t="n">
        <v>80</v>
      </c>
      <c r="C2412" s="72" t="inlineStr">
        <is>
          <t>X</t>
        </is>
      </c>
      <c r="D2412" s="5" t="n">
        <v>341</v>
      </c>
      <c r="E2412" s="73">
        <f>B2412*D2412/10000</f>
        <v/>
      </c>
      <c r="F2412" s="74">
        <f>B2412/30.48</f>
        <v/>
      </c>
      <c r="G2412" s="74">
        <f>D2412/30.48</f>
        <v/>
      </c>
      <c r="H2412" s="290" t="inlineStr">
        <is>
          <t>WTR</t>
        </is>
      </c>
      <c r="I2412" s="570" t="inlineStr">
        <is>
          <t>Maritza Sanchez</t>
        </is>
      </c>
      <c r="J2412" s="557" t="n"/>
      <c r="P2412" s="1" t="n"/>
      <c r="S2412" s="1" t="n"/>
    </row>
    <row r="2413" ht="18" customHeight="1" s="305">
      <c r="A2413" s="8" t="n">
        <v>2761</v>
      </c>
      <c r="B2413" s="5" t="n">
        <v>74</v>
      </c>
      <c r="C2413" s="72" t="inlineStr">
        <is>
          <t>X</t>
        </is>
      </c>
      <c r="D2413" s="5" t="n">
        <v>192</v>
      </c>
      <c r="E2413" s="73">
        <f>B2413*D2413/10000</f>
        <v/>
      </c>
      <c r="F2413" s="74">
        <f>B2413/30.48</f>
        <v/>
      </c>
      <c r="G2413" s="74">
        <f>D2413/30.48</f>
        <v/>
      </c>
      <c r="H2413" s="290" t="inlineStr">
        <is>
          <t>WTR</t>
        </is>
      </c>
      <c r="I2413" s="570" t="inlineStr">
        <is>
          <t>albert albagli</t>
        </is>
      </c>
      <c r="J2413" s="557" t="n"/>
      <c r="P2413" s="1" t="n"/>
      <c r="S2413" s="1" t="n"/>
    </row>
    <row r="2414" ht="18" customHeight="1" s="305">
      <c r="A2414" s="8" t="n">
        <v>3740</v>
      </c>
      <c r="B2414" s="5" t="n">
        <v>100</v>
      </c>
      <c r="C2414" s="72" t="inlineStr">
        <is>
          <t>X</t>
        </is>
      </c>
      <c r="D2414" s="5" t="n">
        <v>179</v>
      </c>
      <c r="E2414" s="73">
        <f>B2414*D2414/10000</f>
        <v/>
      </c>
      <c r="F2414" s="74">
        <f>B2414/30.48</f>
        <v/>
      </c>
      <c r="G2414" s="74">
        <f>D2414/30.48</f>
        <v/>
      </c>
      <c r="H2414" s="316" t="inlineStr">
        <is>
          <t>BHR</t>
        </is>
      </c>
      <c r="I2414" s="693" t="n"/>
      <c r="J2414" s="557" t="n"/>
      <c r="P2414" s="1" t="n"/>
      <c r="S2414" s="1" t="n"/>
    </row>
    <row r="2415" ht="18" customHeight="1" s="305">
      <c r="A2415" s="8" t="n">
        <v>3783</v>
      </c>
      <c r="B2415" s="5" t="n">
        <v>98</v>
      </c>
      <c r="C2415" s="72" t="inlineStr">
        <is>
          <t>X</t>
        </is>
      </c>
      <c r="D2415" s="5" t="n">
        <v>195</v>
      </c>
      <c r="E2415" s="73">
        <f>B2415*D2415/10000</f>
        <v/>
      </c>
      <c r="F2415" s="74">
        <f>B2415/30.48</f>
        <v/>
      </c>
      <c r="G2415" s="74">
        <f>D2415/30.48</f>
        <v/>
      </c>
      <c r="H2415" s="314" t="inlineStr">
        <is>
          <t>WLB</t>
        </is>
      </c>
      <c r="I2415" s="694" t="n"/>
      <c r="J2415" s="557" t="n"/>
      <c r="P2415" s="1" t="n"/>
      <c r="S2415" s="1" t="n"/>
    </row>
    <row r="2416" ht="18" customHeight="1" s="305">
      <c r="A2416" s="8" t="inlineStr">
        <is>
          <t>D 313</t>
        </is>
      </c>
      <c r="B2416" s="5" t="n">
        <v>45</v>
      </c>
      <c r="C2416" s="72" t="inlineStr">
        <is>
          <t>X</t>
        </is>
      </c>
      <c r="D2416" s="5" t="n">
        <v>86</v>
      </c>
      <c r="E2416" s="73">
        <f>B2416*D2416/10000</f>
        <v/>
      </c>
      <c r="F2416" s="74">
        <f>B2416/30.48</f>
        <v/>
      </c>
      <c r="G2416" s="74">
        <f>D2416/30.48</f>
        <v/>
      </c>
      <c r="H2416" s="290" t="inlineStr">
        <is>
          <t>WTR</t>
        </is>
      </c>
      <c r="I2416" s="570" t="inlineStr">
        <is>
          <t>Michelle Gale</t>
        </is>
      </c>
      <c r="J2416" s="557" t="n"/>
      <c r="P2416" s="1" t="n"/>
    </row>
    <row r="2417" ht="18" customHeight="1" s="305">
      <c r="A2417" s="8" t="inlineStr">
        <is>
          <t>A 207</t>
        </is>
      </c>
      <c r="B2417" s="5" t="n">
        <v>270</v>
      </c>
      <c r="C2417" s="6" t="inlineStr">
        <is>
          <t>X</t>
        </is>
      </c>
      <c r="D2417" s="5" t="n">
        <v>370</v>
      </c>
      <c r="E2417" s="2">
        <f>B2417*D2417/10000</f>
        <v/>
      </c>
      <c r="F2417" s="3">
        <f>B2417/30.48</f>
        <v/>
      </c>
      <c r="G2417" s="3">
        <f>D2417/30.48</f>
        <v/>
      </c>
      <c r="H2417" s="290" t="inlineStr">
        <is>
          <t>WTR</t>
        </is>
      </c>
      <c r="I2417" s="570" t="inlineStr">
        <is>
          <t>Gina Ranstrom</t>
        </is>
      </c>
      <c r="J2417" s="557" t="n"/>
      <c r="P2417" s="1" t="n"/>
    </row>
    <row r="2418" ht="18" customHeight="1" s="305">
      <c r="A2418" s="8" t="n">
        <v>2523</v>
      </c>
      <c r="B2418" s="5" t="n">
        <v>139</v>
      </c>
      <c r="C2418" s="72" t="inlineStr">
        <is>
          <t>X</t>
        </is>
      </c>
      <c r="D2418" s="5" t="n">
        <v>197</v>
      </c>
      <c r="E2418" s="73">
        <f>B2418*D2418/10000</f>
        <v/>
      </c>
      <c r="F2418" s="74">
        <f>B2418/30.48</f>
        <v/>
      </c>
      <c r="G2418" s="74">
        <f>D2418/30.48</f>
        <v/>
      </c>
      <c r="H2418" s="290" t="inlineStr">
        <is>
          <t>WTR</t>
        </is>
      </c>
      <c r="I2418" s="570" t="inlineStr">
        <is>
          <t>Melissa Straub</t>
        </is>
      </c>
      <c r="J2418" s="557" t="n"/>
      <c r="P2418" s="1" t="n"/>
      <c r="S2418" s="1" t="n"/>
    </row>
    <row r="2419" ht="18" customHeight="1" s="305">
      <c r="A2419" s="8" t="n">
        <v>2411</v>
      </c>
      <c r="B2419" s="5" t="n">
        <v>85</v>
      </c>
      <c r="C2419" s="72" t="inlineStr">
        <is>
          <t>X</t>
        </is>
      </c>
      <c r="D2419" s="5" t="n">
        <v>332</v>
      </c>
      <c r="E2419" s="73">
        <f>B2419*D2419/10000</f>
        <v/>
      </c>
      <c r="F2419" s="74">
        <f>B2419/30.48</f>
        <v/>
      </c>
      <c r="G2419" s="74">
        <f>D2419/30.48</f>
        <v/>
      </c>
      <c r="H2419" s="290" t="inlineStr">
        <is>
          <t>WTR</t>
        </is>
      </c>
      <c r="I2419" s="570" t="inlineStr">
        <is>
          <t>Mary Crane</t>
        </is>
      </c>
      <c r="J2419" s="557" t="n"/>
      <c r="P2419" s="1" t="n"/>
      <c r="S2419" s="1" t="n"/>
    </row>
    <row r="2420" ht="18" customHeight="1" s="305">
      <c r="A2420" s="8" t="n">
        <v>2942</v>
      </c>
      <c r="B2420" s="5" t="n">
        <v>90</v>
      </c>
      <c r="C2420" s="72" t="inlineStr">
        <is>
          <t>X</t>
        </is>
      </c>
      <c r="D2420" s="5" t="n">
        <v>376</v>
      </c>
      <c r="E2420" s="73">
        <f>B2420*D2420/10000</f>
        <v/>
      </c>
      <c r="F2420" s="74">
        <f>B2420/30.48</f>
        <v/>
      </c>
      <c r="G2420" s="74">
        <f>D2420/30.48</f>
        <v/>
      </c>
      <c r="H2420" s="290" t="inlineStr">
        <is>
          <t>WTR</t>
        </is>
      </c>
      <c r="I2420" s="570" t="inlineStr">
        <is>
          <t>Laura Schara</t>
        </is>
      </c>
      <c r="J2420" s="557" t="n"/>
      <c r="P2420" s="1" t="n"/>
      <c r="S2420" s="1" t="n"/>
    </row>
    <row r="2421" ht="18" customHeight="1" s="305">
      <c r="A2421" s="28" t="inlineStr">
        <is>
          <t>D 531</t>
        </is>
      </c>
      <c r="B2421" s="29" t="n">
        <v>47</v>
      </c>
      <c r="C2421" s="236" t="inlineStr">
        <is>
          <t>X</t>
        </is>
      </c>
      <c r="D2421" s="29" t="n">
        <v>103</v>
      </c>
      <c r="E2421" s="237">
        <f>B2421*D2421/10000</f>
        <v/>
      </c>
      <c r="F2421" s="238">
        <f>B2421/30.48</f>
        <v/>
      </c>
      <c r="G2421" s="238">
        <f>D2421/30.48</f>
        <v/>
      </c>
      <c r="H2421" s="316" t="inlineStr">
        <is>
          <t>BHR</t>
        </is>
      </c>
      <c r="I2421" s="570" t="inlineStr">
        <is>
          <t>abbott, susan</t>
        </is>
      </c>
      <c r="J2421" s="557" t="n"/>
      <c r="P2421" s="1" t="n"/>
    </row>
    <row r="2422" ht="18" customHeight="1" s="305">
      <c r="A2422" s="28" t="inlineStr">
        <is>
          <t>D 522</t>
        </is>
      </c>
      <c r="B2422" s="29" t="n">
        <v>60</v>
      </c>
      <c r="C2422" s="236" t="inlineStr">
        <is>
          <t>X</t>
        </is>
      </c>
      <c r="D2422" s="29" t="n">
        <v>95</v>
      </c>
      <c r="E2422" s="237">
        <f>B2422*D2422/10000</f>
        <v/>
      </c>
      <c r="F2422" s="238">
        <f>B2422/30.48</f>
        <v/>
      </c>
      <c r="G2422" s="238">
        <f>D2422/30.48</f>
        <v/>
      </c>
      <c r="H2422" s="316" t="inlineStr">
        <is>
          <t>BHR</t>
        </is>
      </c>
      <c r="I2422" s="570" t="inlineStr">
        <is>
          <t>Deborah Mihm</t>
        </is>
      </c>
      <c r="J2422" s="557" t="n"/>
      <c r="P2422" s="1" t="n"/>
    </row>
    <row r="2423" ht="18" customHeight="1" s="305">
      <c r="A2423" s="8" t="n">
        <v>1927</v>
      </c>
      <c r="B2423" s="5" t="n">
        <v>78</v>
      </c>
      <c r="C2423" s="72" t="inlineStr">
        <is>
          <t>X</t>
        </is>
      </c>
      <c r="D2423" s="5" t="n">
        <v>352</v>
      </c>
      <c r="E2423" s="73">
        <f>B2423*D2423/10000</f>
        <v/>
      </c>
      <c r="F2423" s="74">
        <f>B2423/30.48</f>
        <v/>
      </c>
      <c r="G2423" s="74">
        <f>D2423/30.48</f>
        <v/>
      </c>
      <c r="H2423" s="569" t="inlineStr">
        <is>
          <t>OLD</t>
        </is>
      </c>
      <c r="I2423" s="570" t="inlineStr">
        <is>
          <t>Brittany Russell</t>
        </is>
      </c>
      <c r="J2423" s="557" t="n"/>
      <c r="P2423" s="1" t="n"/>
      <c r="S2423" s="1" t="n"/>
    </row>
    <row r="2424" ht="18" customHeight="1" s="305">
      <c r="A2424" s="8" t="n">
        <v>2159</v>
      </c>
      <c r="B2424" s="5" t="n">
        <v>164</v>
      </c>
      <c r="C2424" s="72" t="inlineStr">
        <is>
          <t>X</t>
        </is>
      </c>
      <c r="D2424" s="5" t="n">
        <v>316</v>
      </c>
      <c r="E2424" s="73">
        <f>B2424*D2424/10000</f>
        <v/>
      </c>
      <c r="F2424" s="74">
        <f>B2424/30.48</f>
        <v/>
      </c>
      <c r="G2424" s="74">
        <f>D2424/30.48</f>
        <v/>
      </c>
      <c r="H2424" s="314" t="inlineStr">
        <is>
          <t>WLB</t>
        </is>
      </c>
      <c r="I2424" s="570" t="inlineStr">
        <is>
          <t>louise dillard</t>
        </is>
      </c>
      <c r="J2424" s="557" t="n"/>
      <c r="P2424" s="1" t="n"/>
      <c r="S2424" s="1" t="n"/>
    </row>
    <row r="2425" ht="18" customHeight="1" s="305">
      <c r="A2425" s="8" t="n">
        <v>1537</v>
      </c>
      <c r="B2425" s="5" t="n">
        <v>330</v>
      </c>
      <c r="C2425" s="72" t="inlineStr">
        <is>
          <t>X</t>
        </is>
      </c>
      <c r="D2425" s="5" t="n">
        <v>149</v>
      </c>
      <c r="E2425" s="73">
        <f>B2425*D2425/10000</f>
        <v/>
      </c>
      <c r="F2425" s="74">
        <f>B2425/30.48</f>
        <v/>
      </c>
      <c r="G2425" s="74">
        <f>D2425/30.48</f>
        <v/>
      </c>
      <c r="H2425" s="16" t="inlineStr">
        <is>
          <t>VR</t>
        </is>
      </c>
      <c r="I2425" s="570" t="inlineStr">
        <is>
          <t>Kerri Forsberg</t>
        </is>
      </c>
      <c r="J2425" s="557" t="n"/>
      <c r="P2425" s="1" t="n"/>
      <c r="S2425" s="1" t="n"/>
    </row>
    <row r="2426" ht="18" customHeight="1" s="305">
      <c r="A2426" s="8" t="n">
        <v>2132</v>
      </c>
      <c r="B2426" s="5" t="n">
        <v>207</v>
      </c>
      <c r="C2426" s="72" t="inlineStr">
        <is>
          <t>X</t>
        </is>
      </c>
      <c r="D2426" s="5" t="n">
        <v>302</v>
      </c>
      <c r="E2426" s="73">
        <f>B2426*D2426/10000</f>
        <v/>
      </c>
      <c r="F2426" s="74">
        <f>B2426/30.48</f>
        <v/>
      </c>
      <c r="G2426" s="74">
        <f>D2426/30.48</f>
        <v/>
      </c>
      <c r="H2426" s="292" t="inlineStr">
        <is>
          <t>LMX</t>
        </is>
      </c>
      <c r="I2426" s="570" t="inlineStr">
        <is>
          <t>Lori McCullough</t>
        </is>
      </c>
      <c r="J2426" s="557" t="n"/>
      <c r="P2426" s="1" t="n"/>
      <c r="S2426" s="1" t="n"/>
    </row>
    <row r="2427" ht="18" customHeight="1" s="305">
      <c r="A2427" s="28" t="inlineStr">
        <is>
          <t>D 627</t>
        </is>
      </c>
      <c r="B2427" s="29" t="n">
        <v>46</v>
      </c>
      <c r="C2427" s="236" t="inlineStr">
        <is>
          <t>X</t>
        </is>
      </c>
      <c r="D2427" s="29" t="n">
        <v>84</v>
      </c>
      <c r="E2427" s="237">
        <f>B2427*D2427/10000</f>
        <v/>
      </c>
      <c r="F2427" s="238">
        <f>B2427/30.48</f>
        <v/>
      </c>
      <c r="G2427" s="238">
        <f>D2427/30.48</f>
        <v/>
      </c>
      <c r="H2427" s="292" t="inlineStr">
        <is>
          <t>LMX</t>
        </is>
      </c>
      <c r="I2427" s="570" t="inlineStr">
        <is>
          <t>Lauren Laukaitis</t>
        </is>
      </c>
      <c r="J2427" s="557" t="n"/>
      <c r="P2427" s="1" t="n"/>
    </row>
    <row r="2428" ht="18" customHeight="1" s="305">
      <c r="A2428" s="28" t="inlineStr">
        <is>
          <t>D 643</t>
        </is>
      </c>
      <c r="B2428" s="29" t="n">
        <v>57</v>
      </c>
      <c r="C2428" s="236" t="inlineStr">
        <is>
          <t>X</t>
        </is>
      </c>
      <c r="D2428" s="29" t="n">
        <v>87</v>
      </c>
      <c r="E2428" s="237">
        <f>B2428*D2428/10000</f>
        <v/>
      </c>
      <c r="F2428" s="238">
        <f>B2428/30.48</f>
        <v/>
      </c>
      <c r="G2428" s="238">
        <f>D2428/30.48</f>
        <v/>
      </c>
      <c r="H2428" s="292" t="inlineStr">
        <is>
          <t>LMX</t>
        </is>
      </c>
      <c r="I2428" s="570" t="inlineStr">
        <is>
          <t>Sarah Dakh</t>
        </is>
      </c>
      <c r="J2428" s="557" t="n"/>
      <c r="P2428" s="1" t="n"/>
    </row>
    <row r="2429" ht="18" customHeight="1" s="305">
      <c r="A2429" s="28" t="inlineStr">
        <is>
          <t>D 481</t>
        </is>
      </c>
      <c r="B2429" s="29" t="n">
        <v>46</v>
      </c>
      <c r="C2429" s="236" t="inlineStr">
        <is>
          <t>X</t>
        </is>
      </c>
      <c r="D2429" s="29" t="n">
        <v>82</v>
      </c>
      <c r="E2429" s="237">
        <f>B2429*D2429/10000</f>
        <v/>
      </c>
      <c r="F2429" s="238">
        <f>B2429/30.48</f>
        <v/>
      </c>
      <c r="G2429" s="238">
        <f>D2429/30.48</f>
        <v/>
      </c>
      <c r="H2429" s="292" t="inlineStr">
        <is>
          <t>LMX</t>
        </is>
      </c>
      <c r="I2429" s="534" t="inlineStr">
        <is>
          <t>Rachael Alder</t>
        </is>
      </c>
      <c r="J2429" s="545" t="n"/>
      <c r="P2429" s="1" t="n"/>
    </row>
    <row r="2430" ht="18" customHeight="1" s="305">
      <c r="A2430" s="8" t="inlineStr">
        <is>
          <t>D 450</t>
        </is>
      </c>
      <c r="B2430" s="5" t="n">
        <v>46</v>
      </c>
      <c r="C2430" s="72" t="inlineStr">
        <is>
          <t>X</t>
        </is>
      </c>
      <c r="D2430" s="5" t="n">
        <v>83</v>
      </c>
      <c r="E2430" s="73">
        <f>B2430*D2430/10000</f>
        <v/>
      </c>
      <c r="F2430" s="74">
        <f>B2430/30.48</f>
        <v/>
      </c>
      <c r="G2430" s="74">
        <f>D2430/30.48</f>
        <v/>
      </c>
      <c r="H2430" s="290" t="inlineStr">
        <is>
          <t>WTR</t>
        </is>
      </c>
      <c r="I2430" s="318" t="inlineStr">
        <is>
          <t>Rose E Simon</t>
        </is>
      </c>
      <c r="J2430" s="557" t="n"/>
      <c r="P2430" s="1" t="n"/>
    </row>
    <row r="2431" ht="18" customHeight="1" s="305">
      <c r="A2431" s="8" t="n">
        <v>2325</v>
      </c>
      <c r="B2431" s="5" t="n">
        <v>89</v>
      </c>
      <c r="C2431" s="72" t="inlineStr">
        <is>
          <t>X</t>
        </is>
      </c>
      <c r="D2431" s="5" t="n">
        <v>375</v>
      </c>
      <c r="E2431" s="73">
        <f>B2431*D2431/10000</f>
        <v/>
      </c>
      <c r="F2431" s="74">
        <f>B2431/30.48</f>
        <v/>
      </c>
      <c r="G2431" s="74">
        <f>D2431/30.48</f>
        <v/>
      </c>
      <c r="H2431" s="292" t="inlineStr">
        <is>
          <t>LMX</t>
        </is>
      </c>
      <c r="I2431" s="570" t="inlineStr">
        <is>
          <t>Sarah Harris</t>
        </is>
      </c>
      <c r="J2431" s="557" t="n"/>
      <c r="P2431" s="1" t="n"/>
      <c r="S2431" s="1" t="n"/>
    </row>
    <row r="2432" ht="18" customHeight="1" s="305">
      <c r="A2432" s="8" t="n">
        <v>2396</v>
      </c>
      <c r="B2432" s="5" t="n">
        <v>82</v>
      </c>
      <c r="C2432" s="72" t="inlineStr">
        <is>
          <t>X</t>
        </is>
      </c>
      <c r="D2432" s="5" t="n">
        <v>162</v>
      </c>
      <c r="E2432" s="73">
        <f>B2432*D2432/10000</f>
        <v/>
      </c>
      <c r="F2432" s="74">
        <f>B2432/30.48</f>
        <v/>
      </c>
      <c r="G2432" s="74">
        <f>D2432/30.48</f>
        <v/>
      </c>
      <c r="H2432" s="594" t="inlineStr">
        <is>
          <t>MCHD-TR</t>
        </is>
      </c>
      <c r="I2432" s="557" t="n"/>
      <c r="J2432" s="557" t="n"/>
      <c r="P2432" s="1" t="n"/>
      <c r="S2432" s="1" t="n"/>
    </row>
    <row r="2433" ht="18" customHeight="1" s="305">
      <c r="A2433" s="8" t="inlineStr">
        <is>
          <t>D 462</t>
        </is>
      </c>
      <c r="B2433" s="5" t="n">
        <v>45</v>
      </c>
      <c r="C2433" s="72" t="inlineStr">
        <is>
          <t>X</t>
        </is>
      </c>
      <c r="D2433" s="5" t="n">
        <v>103</v>
      </c>
      <c r="E2433" s="73">
        <f>B2433*D2433/10000</f>
        <v/>
      </c>
      <c r="F2433" s="74">
        <f>B2433/30.48</f>
        <v/>
      </c>
      <c r="G2433" s="74">
        <f>D2433/30.48</f>
        <v/>
      </c>
      <c r="H2433" s="594" t="inlineStr">
        <is>
          <t>MCHD-TR</t>
        </is>
      </c>
      <c r="I2433" s="557" t="n"/>
      <c r="J2433" s="557" t="n"/>
      <c r="P2433" s="1" t="n"/>
    </row>
    <row r="2434" ht="18" customHeight="1" s="305">
      <c r="A2434" s="8" t="inlineStr">
        <is>
          <t xml:space="preserve"> D 129</t>
        </is>
      </c>
      <c r="B2434" s="5" t="n">
        <v>50</v>
      </c>
      <c r="C2434" s="72" t="inlineStr">
        <is>
          <t>X</t>
        </is>
      </c>
      <c r="D2434" s="5" t="n">
        <v>89</v>
      </c>
      <c r="E2434" s="73">
        <f>B2434*D2434/10000</f>
        <v/>
      </c>
      <c r="F2434" s="74">
        <f>B2434/30.48</f>
        <v/>
      </c>
      <c r="G2434" s="74">
        <f>D2434/30.48</f>
        <v/>
      </c>
      <c r="H2434" s="316" t="inlineStr">
        <is>
          <t>BHR</t>
        </is>
      </c>
      <c r="I2434" s="534" t="inlineStr">
        <is>
          <t>Breeden DuBose</t>
        </is>
      </c>
      <c r="J2434" s="545" t="n"/>
      <c r="P2434" s="1" t="n"/>
    </row>
    <row r="2435" ht="18" customHeight="1" s="305">
      <c r="A2435" s="8" t="n">
        <v>3850</v>
      </c>
      <c r="B2435" s="5" t="n">
        <v>104</v>
      </c>
      <c r="C2435" s="72" t="inlineStr">
        <is>
          <t>X</t>
        </is>
      </c>
      <c r="D2435" s="5" t="n">
        <v>299</v>
      </c>
      <c r="E2435" s="73">
        <f>B2435*D2435/10000</f>
        <v/>
      </c>
      <c r="F2435" s="74">
        <f>B2435/30.48</f>
        <v/>
      </c>
      <c r="G2435" s="74">
        <f>D2435/30.48</f>
        <v/>
      </c>
      <c r="H2435" s="569" t="inlineStr">
        <is>
          <t>OLD</t>
        </is>
      </c>
      <c r="I2435" s="534" t="inlineStr">
        <is>
          <t>Karen B Ivie</t>
        </is>
      </c>
      <c r="J2435" s="545" t="n"/>
      <c r="P2435" s="1" t="n"/>
      <c r="S2435" s="1" t="n"/>
    </row>
    <row r="2436" ht="18" customHeight="1" s="305">
      <c r="A2436" s="28" t="inlineStr">
        <is>
          <t>D 620</t>
        </is>
      </c>
      <c r="B2436" s="29" t="n">
        <v>51</v>
      </c>
      <c r="C2436" s="236" t="inlineStr">
        <is>
          <t>X</t>
        </is>
      </c>
      <c r="D2436" s="29" t="n">
        <v>100</v>
      </c>
      <c r="E2436" s="237">
        <f>B2436*D2436/10000</f>
        <v/>
      </c>
      <c r="F2436" s="238">
        <f>B2436/30.48</f>
        <v/>
      </c>
      <c r="G2436" s="238">
        <f>D2436/30.48</f>
        <v/>
      </c>
      <c r="H2436" s="292" t="inlineStr">
        <is>
          <t>LMX</t>
        </is>
      </c>
      <c r="I2436" s="534" t="inlineStr">
        <is>
          <t>Ashley Morgan</t>
        </is>
      </c>
      <c r="J2436" s="545" t="n"/>
    </row>
    <row r="2437" ht="18" customHeight="1" s="305">
      <c r="A2437" s="28" t="inlineStr">
        <is>
          <t>D 614</t>
        </is>
      </c>
      <c r="B2437" s="29" t="n">
        <v>51</v>
      </c>
      <c r="C2437" s="236" t="inlineStr">
        <is>
          <t>X</t>
        </is>
      </c>
      <c r="D2437" s="29" t="n">
        <v>96</v>
      </c>
      <c r="E2437" s="237">
        <f>B2437*D2437/10000</f>
        <v/>
      </c>
      <c r="F2437" s="238">
        <f>B2437/30.48</f>
        <v/>
      </c>
      <c r="G2437" s="238">
        <f>D2437/30.48</f>
        <v/>
      </c>
      <c r="H2437" s="292" t="inlineStr">
        <is>
          <t>LMX</t>
        </is>
      </c>
      <c r="I2437" s="534" t="n"/>
      <c r="J2437" s="545" t="n"/>
    </row>
    <row r="2438" ht="18" customHeight="1" s="305">
      <c r="A2438" s="8" t="inlineStr">
        <is>
          <t>D 307</t>
        </is>
      </c>
      <c r="B2438" s="5" t="n">
        <v>53</v>
      </c>
      <c r="C2438" s="72" t="inlineStr">
        <is>
          <t>X</t>
        </is>
      </c>
      <c r="D2438" s="5" t="n">
        <v>88</v>
      </c>
      <c r="E2438" s="73">
        <f>B2438*D2438/10000</f>
        <v/>
      </c>
      <c r="F2438" s="74">
        <f>B2438/30.48</f>
        <v/>
      </c>
      <c r="G2438" s="74">
        <f>D2438/30.48</f>
        <v/>
      </c>
      <c r="H2438" s="290" t="inlineStr">
        <is>
          <t>WTR</t>
        </is>
      </c>
      <c r="I2438" s="570" t="inlineStr">
        <is>
          <t>Renee Moore</t>
        </is>
      </c>
      <c r="J2438" s="557" t="n"/>
    </row>
    <row r="2439" ht="18" customHeight="1" s="305">
      <c r="A2439" s="8" t="n">
        <v>2933</v>
      </c>
      <c r="B2439" s="5" t="n">
        <v>80</v>
      </c>
      <c r="C2439" s="72" t="inlineStr">
        <is>
          <t>X</t>
        </is>
      </c>
      <c r="D2439" s="5" t="n">
        <v>307</v>
      </c>
      <c r="E2439" s="73">
        <f>B2439*D2439/10000</f>
        <v/>
      </c>
      <c r="F2439" s="74">
        <f>B2439/30.48</f>
        <v/>
      </c>
      <c r="G2439" s="74">
        <f>D2439/30.48</f>
        <v/>
      </c>
      <c r="H2439" s="290" t="inlineStr">
        <is>
          <t>WTR</t>
        </is>
      </c>
      <c r="I2439" s="570" t="inlineStr">
        <is>
          <t>Nicole Tehan</t>
        </is>
      </c>
      <c r="J2439" s="557" t="n"/>
    </row>
    <row r="2440" ht="18" customHeight="1" s="305">
      <c r="A2440" s="8" t="n">
        <v>3205</v>
      </c>
      <c r="B2440" s="5" t="n">
        <v>85</v>
      </c>
      <c r="C2440" s="72" t="inlineStr">
        <is>
          <t>X</t>
        </is>
      </c>
      <c r="D2440" s="5" t="n">
        <v>153</v>
      </c>
      <c r="E2440" s="73">
        <f>B2440*D2440/10000</f>
        <v/>
      </c>
      <c r="F2440" s="74">
        <f>B2440/30.48</f>
        <v/>
      </c>
      <c r="G2440" s="74">
        <f>D2440/30.48</f>
        <v/>
      </c>
      <c r="H2440" s="316" t="inlineStr">
        <is>
          <t>BHR</t>
        </is>
      </c>
      <c r="I2440" s="534" t="inlineStr">
        <is>
          <t>Joelle Buckner</t>
        </is>
      </c>
      <c r="J2440" s="545" t="n"/>
      <c r="S2440" s="1" t="n"/>
    </row>
    <row r="2441" ht="18" customHeight="1" s="305">
      <c r="A2441" s="8" t="n">
        <v>3459</v>
      </c>
      <c r="B2441" s="5" t="n">
        <v>181</v>
      </c>
      <c r="C2441" s="72" t="inlineStr">
        <is>
          <t>X</t>
        </is>
      </c>
      <c r="D2441" s="5" t="n">
        <v>201</v>
      </c>
      <c r="E2441" s="73">
        <f>B2441*D2441/10000</f>
        <v/>
      </c>
      <c r="F2441" s="74">
        <f>B2441/30.48</f>
        <v/>
      </c>
      <c r="G2441" s="74">
        <f>D2441/30.48</f>
        <v/>
      </c>
      <c r="H2441" s="290" t="inlineStr">
        <is>
          <t>WTR</t>
        </is>
      </c>
      <c r="I2441" s="570" t="inlineStr">
        <is>
          <t>Kate Hays</t>
        </is>
      </c>
      <c r="J2441" s="557" t="n"/>
    </row>
    <row r="2442" ht="18" customHeight="1" s="305">
      <c r="A2442" s="8" t="n">
        <v>2743</v>
      </c>
      <c r="B2442" s="5" t="n">
        <v>120</v>
      </c>
      <c r="C2442" s="72" t="inlineStr">
        <is>
          <t>X</t>
        </is>
      </c>
      <c r="D2442" s="5" t="n">
        <v>259</v>
      </c>
      <c r="E2442" s="73">
        <f>B2442*D2442/10000</f>
        <v/>
      </c>
      <c r="F2442" s="74">
        <f>B2442/30.48</f>
        <v/>
      </c>
      <c r="G2442" s="74">
        <f>D2442/30.48</f>
        <v/>
      </c>
      <c r="H2442" s="290" t="inlineStr">
        <is>
          <t>WTR</t>
        </is>
      </c>
      <c r="I2442" s="570" t="inlineStr">
        <is>
          <t>Elizabeth Green</t>
        </is>
      </c>
      <c r="J2442" s="557" t="n"/>
    </row>
    <row r="2443" ht="18" customHeight="1" s="305">
      <c r="A2443" s="8" t="n">
        <v>3355</v>
      </c>
      <c r="B2443" s="5" t="n">
        <v>98</v>
      </c>
      <c r="C2443" s="72" t="inlineStr">
        <is>
          <t>X</t>
        </is>
      </c>
      <c r="D2443" s="5" t="n">
        <v>298</v>
      </c>
      <c r="E2443" s="73">
        <f>B2443*D2443/10000</f>
        <v/>
      </c>
      <c r="F2443" s="74">
        <f>B2443/30.48</f>
        <v/>
      </c>
      <c r="G2443" s="74">
        <f>D2443/30.48</f>
        <v/>
      </c>
      <c r="H2443" s="290" t="inlineStr">
        <is>
          <t>WTR</t>
        </is>
      </c>
      <c r="I2443" s="570" t="inlineStr">
        <is>
          <t>Emma Quinn</t>
        </is>
      </c>
      <c r="J2443" s="557" t="n"/>
      <c r="S2443" s="1" t="n"/>
    </row>
    <row r="2444" ht="18" customHeight="1" s="305">
      <c r="A2444" s="8" t="n">
        <v>2967</v>
      </c>
      <c r="B2444" s="5" t="n">
        <v>77</v>
      </c>
      <c r="C2444" s="72" t="inlineStr">
        <is>
          <t>X</t>
        </is>
      </c>
      <c r="D2444" s="5" t="n">
        <v>266</v>
      </c>
      <c r="E2444" s="73">
        <f>B2444*D2444/10000</f>
        <v/>
      </c>
      <c r="F2444" s="74">
        <f>B2444/30.48</f>
        <v/>
      </c>
      <c r="G2444" s="74">
        <f>D2444/30.48</f>
        <v/>
      </c>
      <c r="H2444" s="290" t="inlineStr">
        <is>
          <t>WTR</t>
        </is>
      </c>
      <c r="I2444" s="570" t="inlineStr">
        <is>
          <t>Hilary Aiken</t>
        </is>
      </c>
      <c r="J2444" s="557" t="n"/>
      <c r="S2444" s="1" t="n"/>
    </row>
    <row r="2445" ht="18" customHeight="1" s="305">
      <c r="A2445" s="8" t="inlineStr">
        <is>
          <t>D 300</t>
        </is>
      </c>
      <c r="B2445" s="5" t="n">
        <v>51</v>
      </c>
      <c r="C2445" s="72" t="inlineStr">
        <is>
          <t>X</t>
        </is>
      </c>
      <c r="D2445" s="5" t="n">
        <v>93</v>
      </c>
      <c r="E2445" s="73">
        <f>B2445*D2445/10000</f>
        <v/>
      </c>
      <c r="F2445" s="74">
        <f>B2445/30.48</f>
        <v/>
      </c>
      <c r="G2445" s="74">
        <f>D2445/30.48</f>
        <v/>
      </c>
      <c r="H2445" s="290" t="inlineStr">
        <is>
          <t>WTR</t>
        </is>
      </c>
      <c r="I2445" s="570" t="inlineStr">
        <is>
          <t>Abby Zven</t>
        </is>
      </c>
      <c r="J2445" s="557" t="n"/>
    </row>
    <row r="2446" ht="18" customHeight="1" s="305">
      <c r="A2446" s="8" t="n">
        <v>2459</v>
      </c>
      <c r="B2446" s="5" t="n">
        <v>70</v>
      </c>
      <c r="C2446" s="72" t="inlineStr">
        <is>
          <t>X</t>
        </is>
      </c>
      <c r="D2446" s="5" t="n">
        <v>112</v>
      </c>
      <c r="E2446" s="73">
        <f>B2446*D2446/10000</f>
        <v/>
      </c>
      <c r="F2446" s="74">
        <f>B2446/30.48</f>
        <v/>
      </c>
      <c r="G2446" s="74">
        <f>D2446/30.48</f>
        <v/>
      </c>
      <c r="H2446" s="314" t="inlineStr">
        <is>
          <t>WLB</t>
        </is>
      </c>
      <c r="I2446" s="570" t="inlineStr">
        <is>
          <t>simone Harrer</t>
        </is>
      </c>
      <c r="J2446" s="557" t="n"/>
    </row>
    <row r="2447" ht="18" customHeight="1" s="305">
      <c r="A2447" s="8" t="n">
        <v>2125</v>
      </c>
      <c r="B2447" s="5" t="n">
        <v>128</v>
      </c>
      <c r="C2447" s="72" t="inlineStr">
        <is>
          <t>X</t>
        </is>
      </c>
      <c r="D2447" s="5" t="n">
        <v>184</v>
      </c>
      <c r="E2447" s="73">
        <f>B2447*D2447/10000</f>
        <v/>
      </c>
      <c r="F2447" s="74">
        <f>B2447/30.48</f>
        <v/>
      </c>
      <c r="G2447" s="74">
        <f>D2447/30.48</f>
        <v/>
      </c>
      <c r="H2447" s="292" t="inlineStr">
        <is>
          <t>LMX</t>
        </is>
      </c>
      <c r="I2447" s="570" t="inlineStr">
        <is>
          <t>Cynthia Stevenson</t>
        </is>
      </c>
      <c r="J2447" s="557" t="n"/>
    </row>
    <row r="2448" ht="18" customHeight="1" s="305">
      <c r="A2448" s="8" t="n">
        <v>2796</v>
      </c>
      <c r="B2448" s="5" t="n">
        <v>100</v>
      </c>
      <c r="C2448" s="72" t="inlineStr">
        <is>
          <t>X</t>
        </is>
      </c>
      <c r="D2448" s="5" t="n">
        <v>396</v>
      </c>
      <c r="E2448" s="73">
        <f>B2448*D2448/10000</f>
        <v/>
      </c>
      <c r="F2448" s="74">
        <f>B2448/30.48</f>
        <v/>
      </c>
      <c r="G2448" s="74">
        <f>D2448/30.48</f>
        <v/>
      </c>
      <c r="H2448" s="594" t="inlineStr">
        <is>
          <t>MCHD-TR</t>
        </is>
      </c>
      <c r="I2448" s="545" t="n"/>
      <c r="J2448" s="545" t="n"/>
      <c r="S2448" s="1" t="n"/>
    </row>
    <row r="2449" ht="18" customHeight="1" s="305">
      <c r="A2449" s="8" t="n">
        <v>1713</v>
      </c>
      <c r="B2449" s="5" t="n">
        <v>291</v>
      </c>
      <c r="C2449" s="72" t="inlineStr">
        <is>
          <t>X</t>
        </is>
      </c>
      <c r="D2449" s="5" t="n">
        <v>385</v>
      </c>
      <c r="E2449" s="73">
        <f>B2449*D2449/10000</f>
        <v/>
      </c>
      <c r="F2449" s="74">
        <f>B2449/30.48</f>
        <v/>
      </c>
      <c r="G2449" s="74">
        <f>D2449/30.48</f>
        <v/>
      </c>
      <c r="H2449" s="592" t="inlineStr">
        <is>
          <t>PAC</t>
        </is>
      </c>
      <c r="I2449" s="570" t="inlineStr">
        <is>
          <t>Marie Curtis</t>
        </is>
      </c>
      <c r="J2449" s="557" t="n"/>
    </row>
    <row r="2450" ht="18" customHeight="1" s="305">
      <c r="A2450" s="8" t="n">
        <v>2281</v>
      </c>
      <c r="B2450" s="5" t="n">
        <v>158</v>
      </c>
      <c r="C2450" s="72" t="inlineStr">
        <is>
          <t>X</t>
        </is>
      </c>
      <c r="D2450" s="5" t="n">
        <v>364</v>
      </c>
      <c r="E2450" s="73">
        <f>B2450*D2450/10000</f>
        <v/>
      </c>
      <c r="F2450" s="74">
        <f>B2450/30.48</f>
        <v/>
      </c>
      <c r="G2450" s="74">
        <f>D2450/30.48</f>
        <v/>
      </c>
      <c r="H2450" s="594" t="inlineStr">
        <is>
          <t>RK</t>
        </is>
      </c>
      <c r="I2450" s="570" t="inlineStr">
        <is>
          <t>Ursula Petrozzi</t>
        </is>
      </c>
      <c r="J2450" s="557" t="n"/>
      <c r="S2450" s="1" t="n"/>
    </row>
    <row r="2451" ht="18" customHeight="1" s="305">
      <c r="A2451" s="8" t="n">
        <v>3790</v>
      </c>
      <c r="B2451" s="5" t="n">
        <v>79</v>
      </c>
      <c r="C2451" s="72" t="inlineStr">
        <is>
          <t>X</t>
        </is>
      </c>
      <c r="D2451" s="5" t="n">
        <v>150</v>
      </c>
      <c r="E2451" s="73">
        <f>B2451*D2451/10000</f>
        <v/>
      </c>
      <c r="F2451" s="74">
        <f>B2451/30.48</f>
        <v/>
      </c>
      <c r="G2451" s="74">
        <f>D2451/30.48</f>
        <v/>
      </c>
      <c r="H2451" s="314" t="inlineStr">
        <is>
          <t>WLB</t>
        </is>
      </c>
      <c r="I2451" s="570" t="inlineStr">
        <is>
          <t>Amanda Ervin</t>
        </is>
      </c>
      <c r="J2451" s="557" t="n"/>
      <c r="S2451" s="1" t="n"/>
    </row>
    <row r="2452" ht="18" customHeight="1" s="305">
      <c r="A2452" s="8" t="n">
        <v>2989</v>
      </c>
      <c r="B2452" s="5" t="n">
        <v>83</v>
      </c>
      <c r="C2452" s="72" t="inlineStr">
        <is>
          <t>X</t>
        </is>
      </c>
      <c r="D2452" s="5" t="n">
        <v>323</v>
      </c>
      <c r="E2452" s="73">
        <f>B2452*D2452/10000</f>
        <v/>
      </c>
      <c r="F2452" s="74">
        <f>B2452/30.48</f>
        <v/>
      </c>
      <c r="G2452" s="74">
        <f>D2452/30.48</f>
        <v/>
      </c>
      <c r="H2452" s="290" t="inlineStr">
        <is>
          <t>WTR</t>
        </is>
      </c>
      <c r="I2452" s="570" t="inlineStr">
        <is>
          <t>Katherine Limperis</t>
        </is>
      </c>
      <c r="J2452" s="557" t="n"/>
      <c r="S2452" s="1" t="n"/>
    </row>
    <row r="2453" ht="18" customHeight="1" s="305">
      <c r="A2453" s="8" t="inlineStr">
        <is>
          <t>E-101</t>
        </is>
      </c>
      <c r="B2453" s="5" t="n">
        <v>61</v>
      </c>
      <c r="C2453" s="72" t="inlineStr">
        <is>
          <t>X</t>
        </is>
      </c>
      <c r="D2453" s="5" t="n">
        <v>159</v>
      </c>
      <c r="E2453" s="73">
        <f>B2453*D2453/10000</f>
        <v/>
      </c>
      <c r="F2453" s="74">
        <f>B2453/30.48</f>
        <v/>
      </c>
      <c r="G2453" s="74">
        <f>D2453/30.48</f>
        <v/>
      </c>
      <c r="H2453" s="592" t="inlineStr">
        <is>
          <t>PAC</t>
        </is>
      </c>
      <c r="I2453" s="570" t="inlineStr">
        <is>
          <t>AMH-HATFIELD</t>
        </is>
      </c>
      <c r="J2453" s="557" t="n"/>
      <c r="S2453" s="1" t="n"/>
    </row>
    <row r="2454" ht="18" customHeight="1" s="305">
      <c r="A2454" s="8" t="n">
        <v>3252</v>
      </c>
      <c r="B2454" s="5" t="n">
        <v>122</v>
      </c>
      <c r="C2454" s="72" t="inlineStr">
        <is>
          <t>X</t>
        </is>
      </c>
      <c r="D2454" s="5" t="n">
        <v>191</v>
      </c>
      <c r="E2454" s="73">
        <f>B2454*D2454/10000</f>
        <v/>
      </c>
      <c r="F2454" s="74">
        <f>B2454/30.48</f>
        <v/>
      </c>
      <c r="G2454" s="74">
        <f>D2454/30.48</f>
        <v/>
      </c>
      <c r="H2454" s="594" t="inlineStr">
        <is>
          <t>MCHD-TR</t>
        </is>
      </c>
      <c r="I2454" s="557" t="n"/>
      <c r="J2454" s="557" t="n"/>
      <c r="S2454" s="1" t="n"/>
    </row>
    <row r="2455" ht="18" customHeight="1" s="305">
      <c r="A2455" s="8" t="n">
        <v>3806</v>
      </c>
      <c r="B2455" s="5" t="n">
        <v>139</v>
      </c>
      <c r="C2455" s="72" t="inlineStr">
        <is>
          <t>X</t>
        </is>
      </c>
      <c r="D2455" s="5" t="n">
        <v>281</v>
      </c>
      <c r="E2455" s="73">
        <f>B2455*D2455/10000</f>
        <v/>
      </c>
      <c r="F2455" s="74">
        <f>B2455/30.48</f>
        <v/>
      </c>
      <c r="G2455" s="74">
        <f>D2455/30.48</f>
        <v/>
      </c>
      <c r="H2455" s="594" t="inlineStr">
        <is>
          <t>MCHD-TR</t>
        </is>
      </c>
      <c r="I2455" s="545" t="n"/>
      <c r="J2455" s="545" t="n"/>
      <c r="S2455" s="1" t="n"/>
    </row>
    <row r="2456" ht="18" customHeight="1" s="305">
      <c r="A2456" s="8" t="n">
        <v>2250</v>
      </c>
      <c r="B2456" s="5" t="n">
        <v>83</v>
      </c>
      <c r="C2456" s="72" t="inlineStr">
        <is>
          <t>X</t>
        </is>
      </c>
      <c r="D2456" s="5" t="n">
        <v>143</v>
      </c>
      <c r="E2456" s="73">
        <f>B2456*D2456/10000</f>
        <v/>
      </c>
      <c r="F2456" s="74">
        <f>B2456/30.48</f>
        <v/>
      </c>
      <c r="G2456" s="74">
        <f>D2456/30.48</f>
        <v/>
      </c>
      <c r="H2456" s="594" t="inlineStr">
        <is>
          <t>RK</t>
        </is>
      </c>
      <c r="I2456" s="570" t="inlineStr">
        <is>
          <t>Shalynn Wilson</t>
        </is>
      </c>
      <c r="J2456" s="557" t="n"/>
    </row>
    <row r="2457" ht="18" customHeight="1" s="305">
      <c r="A2457" s="8" t="n">
        <v>0</v>
      </c>
      <c r="B2457" s="5" t="n">
        <v>104</v>
      </c>
      <c r="C2457" s="72" t="inlineStr">
        <is>
          <t>X</t>
        </is>
      </c>
      <c r="D2457" s="5" t="n">
        <v>193</v>
      </c>
      <c r="E2457" s="73">
        <f>B2457*D2457/10000</f>
        <v/>
      </c>
      <c r="F2457" s="74">
        <f>B2457/30.48</f>
        <v/>
      </c>
      <c r="G2457" s="74">
        <f>D2457/30.48</f>
        <v/>
      </c>
      <c r="H2457" s="290" t="inlineStr">
        <is>
          <t>WTR</t>
        </is>
      </c>
      <c r="I2457" s="534" t="inlineStr">
        <is>
          <t>The Watershed Shoppe</t>
        </is>
      </c>
      <c r="J2457" s="545" t="n"/>
      <c r="S2457" s="1" t="n"/>
    </row>
    <row r="2458" ht="18" customHeight="1" s="305">
      <c r="A2458" s="8" t="n">
        <v>3208</v>
      </c>
      <c r="B2458" s="5" t="n">
        <v>87</v>
      </c>
      <c r="C2458" s="72" t="inlineStr">
        <is>
          <t>X</t>
        </is>
      </c>
      <c r="D2458" s="5" t="n">
        <v>281</v>
      </c>
      <c r="E2458" s="73">
        <f>B2458*D2458/10000</f>
        <v/>
      </c>
      <c r="F2458" s="74">
        <f>B2458/30.48</f>
        <v/>
      </c>
      <c r="G2458" s="74">
        <f>D2458/30.48</f>
        <v/>
      </c>
      <c r="H2458" s="594" t="inlineStr">
        <is>
          <t>MCHD-TR</t>
        </is>
      </c>
      <c r="I2458" s="545" t="n"/>
      <c r="J2458" s="545" t="n"/>
      <c r="S2458" s="1" t="n"/>
    </row>
    <row r="2459" ht="18" customHeight="1" s="305">
      <c r="A2459" s="8" t="n">
        <v>2499</v>
      </c>
      <c r="B2459" s="5" t="n">
        <v>86</v>
      </c>
      <c r="C2459" s="72" t="inlineStr">
        <is>
          <t>X</t>
        </is>
      </c>
      <c r="D2459" s="5" t="n">
        <v>308</v>
      </c>
      <c r="E2459" s="73">
        <f>B2459*D2459/10000</f>
        <v/>
      </c>
      <c r="F2459" s="74">
        <f>B2459/30.48</f>
        <v/>
      </c>
      <c r="G2459" s="74">
        <f>D2459/30.48</f>
        <v/>
      </c>
      <c r="H2459" s="594" t="inlineStr">
        <is>
          <t>RK</t>
        </is>
      </c>
      <c r="I2459" s="570" t="inlineStr">
        <is>
          <t>Sarah Dumoff</t>
        </is>
      </c>
      <c r="J2459" s="557" t="n"/>
      <c r="S2459" s="1" t="n"/>
    </row>
    <row r="2460" ht="18" customHeight="1" s="305">
      <c r="A2460" s="28" t="inlineStr">
        <is>
          <t>D 554</t>
        </is>
      </c>
      <c r="B2460" s="29" t="n">
        <v>45</v>
      </c>
      <c r="C2460" s="236" t="inlineStr">
        <is>
          <t>X</t>
        </is>
      </c>
      <c r="D2460" s="29" t="n">
        <v>92</v>
      </c>
      <c r="E2460" s="237">
        <f>B2460*D2460/10000</f>
        <v/>
      </c>
      <c r="F2460" s="238">
        <f>B2460/30.48</f>
        <v/>
      </c>
      <c r="G2460" s="238">
        <f>D2460/30.48</f>
        <v/>
      </c>
      <c r="H2460" s="314" t="inlineStr">
        <is>
          <t>WLB</t>
        </is>
      </c>
      <c r="I2460" s="570" t="inlineStr">
        <is>
          <t>Daniel Stepanauskas</t>
        </is>
      </c>
      <c r="J2460" s="557" t="n"/>
      <c r="S2460" s="1" t="n"/>
    </row>
    <row r="2461" ht="18" customHeight="1" s="305">
      <c r="A2461" s="8" t="n">
        <v>2213</v>
      </c>
      <c r="B2461" s="5" t="n">
        <v>203</v>
      </c>
      <c r="C2461" s="72" t="inlineStr">
        <is>
          <t>X</t>
        </is>
      </c>
      <c r="D2461" s="5" t="n">
        <v>274</v>
      </c>
      <c r="E2461" s="73">
        <f>B2461*D2461/10000</f>
        <v/>
      </c>
      <c r="F2461" s="74">
        <f>B2461/30.48</f>
        <v/>
      </c>
      <c r="G2461" s="74">
        <f>D2461/30.48</f>
        <v/>
      </c>
      <c r="H2461" s="360" t="inlineStr">
        <is>
          <t>LMX</t>
        </is>
      </c>
      <c r="I2461" s="570" t="inlineStr">
        <is>
          <t>Amelia Ramsey</t>
        </is>
      </c>
      <c r="J2461" s="557" t="n"/>
      <c r="S2461" s="1" t="n"/>
    </row>
    <row r="2462" ht="18" customHeight="1" s="305">
      <c r="A2462" s="8" t="n">
        <v>2870</v>
      </c>
      <c r="B2462" s="5" t="n">
        <v>117</v>
      </c>
      <c r="C2462" s="72" t="inlineStr">
        <is>
          <t>X</t>
        </is>
      </c>
      <c r="D2462" s="5" t="n">
        <v>208</v>
      </c>
      <c r="E2462" s="73">
        <f>B2462*D2462/10000</f>
        <v/>
      </c>
      <c r="F2462" s="74">
        <f>B2462/30.48</f>
        <v/>
      </c>
      <c r="G2462" s="74">
        <f>D2462/30.48</f>
        <v/>
      </c>
      <c r="H2462" s="694" t="n"/>
      <c r="I2462" s="694" t="n"/>
      <c r="J2462" s="557" t="n"/>
      <c r="S2462" s="1" t="n"/>
    </row>
    <row r="2463" ht="18" customHeight="1" s="305">
      <c r="A2463" s="8" t="n">
        <v>2678</v>
      </c>
      <c r="B2463" s="5" t="n">
        <v>167</v>
      </c>
      <c r="C2463" s="72" t="inlineStr">
        <is>
          <t>X</t>
        </is>
      </c>
      <c r="D2463" s="5" t="n">
        <v>281</v>
      </c>
      <c r="E2463" s="73">
        <f>B2463*D2463/10000</f>
        <v/>
      </c>
      <c r="F2463" s="74">
        <f>B2463/30.48</f>
        <v/>
      </c>
      <c r="G2463" s="74">
        <f>D2463/30.48</f>
        <v/>
      </c>
      <c r="H2463" s="314" t="inlineStr">
        <is>
          <t>FRD-NR</t>
        </is>
      </c>
      <c r="I2463" s="534" t="inlineStr">
        <is>
          <t>morgan hinds</t>
        </is>
      </c>
      <c r="J2463" s="545" t="n"/>
      <c r="S2463" s="1" t="n"/>
    </row>
    <row r="2464" ht="18" customHeight="1" s="305">
      <c r="A2464" s="28" t="inlineStr">
        <is>
          <t>D 600</t>
        </is>
      </c>
      <c r="B2464" s="29" t="n">
        <v>45</v>
      </c>
      <c r="C2464" s="236" t="inlineStr">
        <is>
          <t>X</t>
        </is>
      </c>
      <c r="D2464" s="29" t="n">
        <v>91</v>
      </c>
      <c r="E2464" s="237">
        <f>B2464*D2464/10000</f>
        <v/>
      </c>
      <c r="F2464" s="238">
        <f>B2464/30.48</f>
        <v/>
      </c>
      <c r="G2464" s="238">
        <f>D2464/30.48</f>
        <v/>
      </c>
      <c r="H2464" s="316" t="inlineStr">
        <is>
          <t>BHR</t>
        </is>
      </c>
      <c r="I2464" s="570" t="inlineStr">
        <is>
          <t>Candace Walters</t>
        </is>
      </c>
      <c r="J2464" s="557" t="n"/>
    </row>
    <row r="2465" ht="18" customHeight="1" s="305">
      <c r="A2465" s="8" t="n">
        <v>3300</v>
      </c>
      <c r="B2465" s="5" t="n">
        <v>248</v>
      </c>
      <c r="C2465" s="72" t="inlineStr">
        <is>
          <t>X</t>
        </is>
      </c>
      <c r="D2465" s="5" t="n">
        <v>310</v>
      </c>
      <c r="E2465" s="73">
        <f>B2465*D2465/10000</f>
        <v/>
      </c>
      <c r="F2465" s="74">
        <f>B2465/30.48</f>
        <v/>
      </c>
      <c r="G2465" s="74">
        <f>D2465/30.48</f>
        <v/>
      </c>
      <c r="H2465" s="290" t="inlineStr">
        <is>
          <t>WTR</t>
        </is>
      </c>
      <c r="I2465" s="570" t="inlineStr">
        <is>
          <t>Linda Joseph</t>
        </is>
      </c>
      <c r="J2465" s="557" t="n"/>
      <c r="S2465" s="1" t="n"/>
    </row>
    <row r="2466" ht="18" customHeight="1" s="305">
      <c r="A2466" s="8" t="inlineStr">
        <is>
          <t>D 289</t>
        </is>
      </c>
      <c r="B2466" s="5" t="n">
        <v>53</v>
      </c>
      <c r="C2466" s="72" t="inlineStr">
        <is>
          <t>X</t>
        </is>
      </c>
      <c r="D2466" s="5" t="n">
        <v>102</v>
      </c>
      <c r="E2466" s="73">
        <f>B2466*D2466/10000</f>
        <v/>
      </c>
      <c r="F2466" s="74">
        <f>B2466/30.48</f>
        <v/>
      </c>
      <c r="G2466" s="74">
        <f>D2466/30.48</f>
        <v/>
      </c>
      <c r="H2466" s="292" t="inlineStr">
        <is>
          <t>LMX</t>
        </is>
      </c>
      <c r="I2466" s="570" t="inlineStr">
        <is>
          <t>Amye Crouch</t>
        </is>
      </c>
      <c r="J2466" s="557" t="n"/>
    </row>
    <row r="2467" ht="18" customHeight="1" s="305">
      <c r="A2467" s="8" t="n">
        <v>2272</v>
      </c>
      <c r="B2467" s="5" t="n">
        <v>179</v>
      </c>
      <c r="C2467" s="72" t="inlineStr">
        <is>
          <t>X</t>
        </is>
      </c>
      <c r="D2467" s="5" t="n">
        <v>269</v>
      </c>
      <c r="E2467" s="73">
        <f>B2467*D2467/10000</f>
        <v/>
      </c>
      <c r="F2467" s="74">
        <f>B2467/30.48</f>
        <v/>
      </c>
      <c r="G2467" s="74">
        <f>D2467/30.48</f>
        <v/>
      </c>
      <c r="H2467" s="292" t="inlineStr">
        <is>
          <t>LMX</t>
        </is>
      </c>
      <c r="I2467" s="570" t="inlineStr">
        <is>
          <t>Emily Andronici c/o Manuela</t>
        </is>
      </c>
      <c r="J2467" s="557" t="n"/>
    </row>
    <row r="2468" ht="18" customHeight="1" s="305">
      <c r="A2468" s="8" t="n">
        <v>2302</v>
      </c>
      <c r="B2468" s="5" t="n">
        <v>145</v>
      </c>
      <c r="C2468" s="72" t="inlineStr">
        <is>
          <t>X</t>
        </is>
      </c>
      <c r="D2468" s="5" t="n">
        <v>222</v>
      </c>
      <c r="E2468" s="73">
        <f>B2468*D2468/10000</f>
        <v/>
      </c>
      <c r="F2468" s="74">
        <f>B2468/30.48</f>
        <v/>
      </c>
      <c r="G2468" s="74">
        <f>D2468/30.48</f>
        <v/>
      </c>
      <c r="H2468" s="292" t="inlineStr">
        <is>
          <t>LMX</t>
        </is>
      </c>
      <c r="I2468" s="534" t="inlineStr">
        <is>
          <t>Liza Kugeler</t>
        </is>
      </c>
      <c r="J2468" s="545" t="n"/>
      <c r="S2468" s="1" t="n"/>
    </row>
    <row r="2469" ht="18" customHeight="1" s="305">
      <c r="A2469" s="8" t="inlineStr">
        <is>
          <t>H 270</t>
        </is>
      </c>
      <c r="B2469" s="5" t="n">
        <v>90</v>
      </c>
      <c r="C2469" s="72" t="inlineStr">
        <is>
          <t>X</t>
        </is>
      </c>
      <c r="D2469" s="5" t="n">
        <v>361</v>
      </c>
      <c r="E2469" s="73">
        <f>B2469*D2469/10000</f>
        <v/>
      </c>
      <c r="F2469" s="74">
        <f>B2469/30.48</f>
        <v/>
      </c>
      <c r="G2469" s="74">
        <f>D2469/30.48</f>
        <v/>
      </c>
      <c r="H2469" s="290" t="inlineStr">
        <is>
          <t>WTR</t>
        </is>
      </c>
      <c r="I2469" s="570" t="inlineStr">
        <is>
          <t>Christine Kimball</t>
        </is>
      </c>
      <c r="J2469" s="557" t="n"/>
    </row>
    <row r="2470" ht="18" customHeight="1" s="305">
      <c r="A2470" s="8" t="n">
        <v>3049</v>
      </c>
      <c r="B2470" s="5" t="n">
        <v>107</v>
      </c>
      <c r="C2470" s="72" t="inlineStr">
        <is>
          <t>X</t>
        </is>
      </c>
      <c r="D2470" s="5" t="n">
        <v>204</v>
      </c>
      <c r="E2470" s="73">
        <f>B2470*D2470/10000</f>
        <v/>
      </c>
      <c r="F2470" s="74">
        <f>B2470/30.48</f>
        <v/>
      </c>
      <c r="G2470" s="74">
        <f>D2470/30.48</f>
        <v/>
      </c>
      <c r="H2470" s="290" t="inlineStr">
        <is>
          <t>WTR</t>
        </is>
      </c>
      <c r="I2470" s="570" t="inlineStr">
        <is>
          <t>Leigh Belacic</t>
        </is>
      </c>
      <c r="J2470" s="557" t="n"/>
      <c r="S2470" s="1" t="n"/>
    </row>
    <row r="2471" ht="18" customHeight="1" s="305">
      <c r="A2471" s="8" t="n">
        <v>3111</v>
      </c>
      <c r="B2471" s="5" t="n">
        <v>119</v>
      </c>
      <c r="C2471" s="72" t="inlineStr">
        <is>
          <t>X</t>
        </is>
      </c>
      <c r="D2471" s="5" t="n">
        <v>193</v>
      </c>
      <c r="E2471" s="73">
        <f>B2471*D2471/10000</f>
        <v/>
      </c>
      <c r="F2471" s="74">
        <f>B2471/30.48</f>
        <v/>
      </c>
      <c r="G2471" s="74">
        <f>D2471/30.48</f>
        <v/>
      </c>
      <c r="H2471" s="290" t="inlineStr">
        <is>
          <t>WTR</t>
        </is>
      </c>
      <c r="I2471" s="570" t="inlineStr">
        <is>
          <t>Justine Hourihane</t>
        </is>
      </c>
      <c r="J2471" s="557" t="n"/>
      <c r="S2471" s="1" t="n"/>
    </row>
    <row r="2472" ht="18" customHeight="1" s="305">
      <c r="A2472" s="8" t="inlineStr">
        <is>
          <t>H 116</t>
        </is>
      </c>
      <c r="B2472" s="5" t="n">
        <v>79</v>
      </c>
      <c r="C2472" s="72" t="inlineStr">
        <is>
          <t>X</t>
        </is>
      </c>
      <c r="D2472" s="5" t="n">
        <v>377</v>
      </c>
      <c r="E2472" s="73">
        <f>B2472*D2472/10000</f>
        <v/>
      </c>
      <c r="F2472" s="74">
        <f>B2472/30.48</f>
        <v/>
      </c>
      <c r="G2472" s="74">
        <f>D2472/30.48</f>
        <v/>
      </c>
      <c r="H2472" s="592" t="inlineStr">
        <is>
          <t>PAC</t>
        </is>
      </c>
      <c r="I2472" s="570" t="inlineStr">
        <is>
          <t>MOLLY ZIMMERLIN</t>
        </is>
      </c>
      <c r="J2472" s="557" t="n"/>
    </row>
    <row r="2473" ht="18" customHeight="1" s="305">
      <c r="A2473" s="8" t="n">
        <v>3760</v>
      </c>
      <c r="B2473" s="5" t="n">
        <v>91</v>
      </c>
      <c r="C2473" s="72" t="inlineStr">
        <is>
          <t>X</t>
        </is>
      </c>
      <c r="D2473" s="5" t="n">
        <v>270</v>
      </c>
      <c r="E2473" s="73">
        <f>B2473*D2473/10000</f>
        <v/>
      </c>
      <c r="F2473" s="74">
        <f>B2473/30.48</f>
        <v/>
      </c>
      <c r="G2473" s="74">
        <f>D2473/30.48</f>
        <v/>
      </c>
      <c r="H2473" s="292" t="inlineStr">
        <is>
          <t>LMX</t>
        </is>
      </c>
      <c r="I2473" s="570" t="inlineStr">
        <is>
          <t>Daniela Kriete</t>
        </is>
      </c>
      <c r="J2473" s="557" t="n"/>
      <c r="S2473" s="1" t="n"/>
    </row>
    <row r="2474" ht="18" customHeight="1" s="305">
      <c r="A2474" s="8" t="n">
        <v>3514</v>
      </c>
      <c r="B2474" s="5" t="n">
        <v>175</v>
      </c>
      <c r="C2474" s="72" t="inlineStr">
        <is>
          <t>X</t>
        </is>
      </c>
      <c r="D2474" s="5" t="n">
        <v>280</v>
      </c>
      <c r="E2474" s="73">
        <f>B2474*D2474/10000</f>
        <v/>
      </c>
      <c r="F2474" s="74">
        <f>B2474/30.48</f>
        <v/>
      </c>
      <c r="G2474" s="74">
        <f>D2474/30.48</f>
        <v/>
      </c>
      <c r="H2474" s="292" t="inlineStr">
        <is>
          <t>LMX</t>
        </is>
      </c>
      <c r="I2474" s="570" t="inlineStr">
        <is>
          <t>Moet Delatorre</t>
        </is>
      </c>
      <c r="J2474" s="557" t="n"/>
      <c r="S2474" s="1" t="n"/>
    </row>
    <row r="2475" ht="18" customHeight="1" s="305">
      <c r="A2475" s="8" t="n">
        <v>2187</v>
      </c>
      <c r="B2475" s="5" t="n">
        <v>73</v>
      </c>
      <c r="C2475" s="72" t="inlineStr">
        <is>
          <t>X</t>
        </is>
      </c>
      <c r="D2475" s="5" t="n">
        <v>293</v>
      </c>
      <c r="E2475" s="73">
        <f>B2475*D2475/10000</f>
        <v/>
      </c>
      <c r="F2475" s="74">
        <f>B2475/30.48</f>
        <v/>
      </c>
      <c r="G2475" s="74">
        <f>D2475/30.48</f>
        <v/>
      </c>
      <c r="H2475" s="594" t="inlineStr">
        <is>
          <t>RK</t>
        </is>
      </c>
      <c r="I2475" s="570" t="inlineStr">
        <is>
          <t>Kara Huang</t>
        </is>
      </c>
      <c r="J2475" s="557" t="n"/>
      <c r="S2475" s="1" t="n"/>
    </row>
    <row r="2476" ht="18" customHeight="1" s="305">
      <c r="A2476" s="8" t="n">
        <v>2328</v>
      </c>
      <c r="B2476" s="5" t="n">
        <v>159</v>
      </c>
      <c r="C2476" s="72" t="inlineStr">
        <is>
          <t>X</t>
        </is>
      </c>
      <c r="D2476" s="5" t="n">
        <v>248</v>
      </c>
      <c r="E2476" s="73">
        <f>B2476*D2476/10000</f>
        <v/>
      </c>
      <c r="F2476" s="74">
        <f>B2476/30.48</f>
        <v/>
      </c>
      <c r="G2476" s="74">
        <f>D2476/30.48</f>
        <v/>
      </c>
      <c r="H2476" s="594" t="inlineStr">
        <is>
          <t>RK</t>
        </is>
      </c>
      <c r="I2476" s="570" t="inlineStr">
        <is>
          <t>Adrianne Ngam</t>
        </is>
      </c>
      <c r="J2476" s="557" t="n"/>
      <c r="S2476" s="1" t="n"/>
    </row>
    <row r="2477" ht="18" customHeight="1" s="305">
      <c r="A2477" s="28" t="inlineStr">
        <is>
          <t>D 494</t>
        </is>
      </c>
      <c r="B2477" s="29" t="n">
        <v>52</v>
      </c>
      <c r="C2477" s="236" t="inlineStr">
        <is>
          <t>X</t>
        </is>
      </c>
      <c r="D2477" s="29" t="n">
        <v>98</v>
      </c>
      <c r="E2477" s="237">
        <f>B2477*D2477/10000</f>
        <v/>
      </c>
      <c r="F2477" s="238">
        <f>B2477/30.48</f>
        <v/>
      </c>
      <c r="G2477" s="238">
        <f>D2477/30.48</f>
        <v/>
      </c>
      <c r="H2477" s="314" t="inlineStr">
        <is>
          <t>FRD-NR</t>
        </is>
      </c>
      <c r="I2477" s="570" t="inlineStr">
        <is>
          <t>keeley mahdi</t>
        </is>
      </c>
      <c r="J2477" s="557" t="n"/>
    </row>
    <row r="2478" ht="18" customHeight="1" s="305">
      <c r="A2478" s="8" t="n">
        <v>3249</v>
      </c>
      <c r="B2478" s="5" t="n">
        <v>82</v>
      </c>
      <c r="C2478" s="72" t="inlineStr">
        <is>
          <t>X</t>
        </is>
      </c>
      <c r="D2478" s="5" t="n">
        <v>281</v>
      </c>
      <c r="E2478" s="73">
        <f>B2478*D2478/10000</f>
        <v/>
      </c>
      <c r="F2478" s="74">
        <f>B2478/30.48</f>
        <v/>
      </c>
      <c r="G2478" s="74">
        <f>D2478/30.48</f>
        <v/>
      </c>
      <c r="H2478" s="594" t="inlineStr">
        <is>
          <t>MCHD-TR</t>
        </is>
      </c>
      <c r="I2478" s="545" t="n"/>
      <c r="J2478" s="545" t="n"/>
      <c r="S2478" s="1" t="n"/>
    </row>
    <row r="2479" ht="18" customHeight="1" s="305">
      <c r="A2479" s="8" t="n">
        <v>3807</v>
      </c>
      <c r="B2479" s="5" t="n">
        <v>86</v>
      </c>
      <c r="C2479" s="72" t="inlineStr">
        <is>
          <t>X</t>
        </is>
      </c>
      <c r="D2479" s="5" t="n">
        <v>162</v>
      </c>
      <c r="E2479" s="73">
        <f>B2479*D2479/10000</f>
        <v/>
      </c>
      <c r="F2479" s="74">
        <f>B2479/30.48</f>
        <v/>
      </c>
      <c r="G2479" s="74">
        <f>D2479/30.48</f>
        <v/>
      </c>
      <c r="H2479" s="289" t="inlineStr">
        <is>
          <t>LPR</t>
        </is>
      </c>
      <c r="I2479" s="570" t="inlineStr">
        <is>
          <t>Jenn Feldman</t>
        </is>
      </c>
      <c r="J2479" s="557" t="n"/>
    </row>
    <row r="2480" ht="18" customHeight="1" s="305">
      <c r="A2480" s="28" t="inlineStr">
        <is>
          <t>D 502</t>
        </is>
      </c>
      <c r="B2480" s="29" t="n">
        <v>48</v>
      </c>
      <c r="C2480" s="236" t="inlineStr">
        <is>
          <t>X</t>
        </is>
      </c>
      <c r="D2480" s="29" t="n">
        <v>102</v>
      </c>
      <c r="E2480" s="237">
        <f>B2480*D2480/10000</f>
        <v/>
      </c>
      <c r="F2480" s="238">
        <f>B2480/30.48</f>
        <v/>
      </c>
      <c r="G2480" s="238">
        <f>D2480/30.48</f>
        <v/>
      </c>
      <c r="H2480" s="292" t="inlineStr">
        <is>
          <t>LMX</t>
        </is>
      </c>
      <c r="I2480" s="534" t="inlineStr">
        <is>
          <t>Lauren Peak</t>
        </is>
      </c>
      <c r="J2480" s="545" t="n"/>
    </row>
    <row r="2481" ht="18" customHeight="1" s="305">
      <c r="A2481" s="8" t="n">
        <v>2560</v>
      </c>
      <c r="B2481" s="5" t="n">
        <v>166</v>
      </c>
      <c r="C2481" s="72" t="inlineStr">
        <is>
          <t>X</t>
        </is>
      </c>
      <c r="D2481" s="5" t="n">
        <v>255</v>
      </c>
      <c r="E2481" s="73">
        <f>B2481*D2481/10000</f>
        <v/>
      </c>
      <c r="F2481" s="74">
        <f>B2481/30.48</f>
        <v/>
      </c>
      <c r="G2481" s="74">
        <f>D2481/30.48</f>
        <v/>
      </c>
      <c r="H2481" s="594" t="inlineStr">
        <is>
          <t>RK</t>
        </is>
      </c>
      <c r="I2481" s="534" t="inlineStr">
        <is>
          <t>Stephanie Cole</t>
        </is>
      </c>
      <c r="J2481" s="545" t="n"/>
    </row>
    <row r="2482" ht="18" customHeight="1" s="305">
      <c r="A2482" s="28" t="inlineStr">
        <is>
          <t>D 488</t>
        </is>
      </c>
      <c r="B2482" s="29" t="n">
        <v>46</v>
      </c>
      <c r="C2482" s="236" t="inlineStr">
        <is>
          <t>X</t>
        </is>
      </c>
      <c r="D2482" s="29" t="n">
        <v>97</v>
      </c>
      <c r="E2482" s="237">
        <f>B2482*D2482/10000</f>
        <v/>
      </c>
      <c r="F2482" s="238">
        <f>B2482/30.48</f>
        <v/>
      </c>
      <c r="G2482" s="238">
        <f>D2482/30.48</f>
        <v/>
      </c>
      <c r="H2482" s="359" t="inlineStr">
        <is>
          <t>BHR</t>
        </is>
      </c>
      <c r="I2482" s="534" t="inlineStr">
        <is>
          <t>Candace Walters</t>
        </is>
      </c>
      <c r="J2482" s="557" t="n"/>
      <c r="P2482" s="280" t="n"/>
    </row>
    <row r="2483" ht="18" customHeight="1" s="305">
      <c r="A2483" s="28" t="inlineStr">
        <is>
          <t>D 529</t>
        </is>
      </c>
      <c r="B2483" s="29" t="n">
        <v>51</v>
      </c>
      <c r="C2483" s="236" t="inlineStr">
        <is>
          <t>X</t>
        </is>
      </c>
      <c r="D2483" s="29" t="n">
        <v>64</v>
      </c>
      <c r="E2483" s="237">
        <f>B2483*D2483/10000</f>
        <v/>
      </c>
      <c r="F2483" s="238">
        <f>B2483/30.48</f>
        <v/>
      </c>
      <c r="G2483" s="238">
        <f>D2483/30.48</f>
        <v/>
      </c>
      <c r="H2483" s="694" t="n"/>
      <c r="I2483" s="693" t="n"/>
      <c r="J2483" s="545" t="n"/>
    </row>
    <row r="2484" ht="18" customHeight="1" s="305">
      <c r="A2484" s="8" t="n">
        <v>3830</v>
      </c>
      <c r="B2484" s="5" t="n">
        <v>80</v>
      </c>
      <c r="C2484" s="72" t="inlineStr">
        <is>
          <t>X</t>
        </is>
      </c>
      <c r="D2484" s="5" t="n">
        <v>368</v>
      </c>
      <c r="E2484" s="73">
        <f>B2484*D2484/10000</f>
        <v/>
      </c>
      <c r="F2484" s="74">
        <f>B2484/30.48</f>
        <v/>
      </c>
      <c r="G2484" s="74">
        <f>D2484/30.48</f>
        <v/>
      </c>
      <c r="H2484" s="292" t="inlineStr">
        <is>
          <t>LMX</t>
        </is>
      </c>
      <c r="I2484" s="534" t="inlineStr">
        <is>
          <t>On the Go Deliveries KEENAN/ 90 Cannon</t>
        </is>
      </c>
      <c r="J2484" s="545" t="n"/>
    </row>
    <row r="2485" ht="18" customHeight="1" s="305">
      <c r="A2485" s="8" t="n">
        <v>2978</v>
      </c>
      <c r="B2485" s="5" t="n">
        <v>78</v>
      </c>
      <c r="C2485" s="72" t="inlineStr">
        <is>
          <t>X</t>
        </is>
      </c>
      <c r="D2485" s="5" t="n">
        <v>384</v>
      </c>
      <c r="E2485" s="73">
        <f>B2485*D2485/10000</f>
        <v/>
      </c>
      <c r="F2485" s="74">
        <f>B2485/30.48</f>
        <v/>
      </c>
      <c r="G2485" s="74">
        <f>D2485/30.48</f>
        <v/>
      </c>
      <c r="H2485" s="594" t="inlineStr">
        <is>
          <t>RK</t>
        </is>
      </c>
      <c r="I2485" s="534" t="inlineStr">
        <is>
          <t>Carrie Pezzuti</t>
        </is>
      </c>
      <c r="J2485" s="545" t="n"/>
    </row>
    <row r="2486" ht="18" customHeight="1" s="305">
      <c r="A2486" s="8" t="inlineStr">
        <is>
          <t>D 310</t>
        </is>
      </c>
      <c r="B2486" s="5" t="n">
        <v>49</v>
      </c>
      <c r="C2486" s="72" t="inlineStr">
        <is>
          <t>X</t>
        </is>
      </c>
      <c r="D2486" s="5" t="n">
        <v>101</v>
      </c>
      <c r="E2486" s="73">
        <f>B2486*D2486/10000</f>
        <v/>
      </c>
      <c r="F2486" s="74">
        <f>B2486/30.48</f>
        <v/>
      </c>
      <c r="G2486" s="74">
        <f>D2486/30.48</f>
        <v/>
      </c>
      <c r="H2486" s="290" t="inlineStr">
        <is>
          <t>WTR</t>
        </is>
      </c>
      <c r="I2486" s="570" t="inlineStr">
        <is>
          <t>Sarah Vogelsang</t>
        </is>
      </c>
      <c r="J2486" s="557" t="n"/>
    </row>
    <row r="2487" ht="18" customHeight="1" s="305">
      <c r="A2487" s="28" t="inlineStr">
        <is>
          <t>D 569</t>
        </is>
      </c>
      <c r="B2487" s="29" t="n">
        <v>43</v>
      </c>
      <c r="C2487" s="236" t="inlineStr">
        <is>
          <t>X</t>
        </is>
      </c>
      <c r="D2487" s="29" t="n">
        <v>88</v>
      </c>
      <c r="E2487" s="237">
        <f>B2487*D2487/10000</f>
        <v/>
      </c>
      <c r="F2487" s="238">
        <f>B2487/30.48</f>
        <v/>
      </c>
      <c r="G2487" s="238">
        <f>D2487/30.48</f>
        <v/>
      </c>
      <c r="H2487" s="314" t="inlineStr">
        <is>
          <t>WLB</t>
        </is>
      </c>
      <c r="I2487" s="570" t="inlineStr">
        <is>
          <t>Sara Wilson</t>
        </is>
      </c>
      <c r="J2487" s="557" t="n"/>
    </row>
    <row r="2488" ht="18" customHeight="1" s="305">
      <c r="A2488" s="8" t="n">
        <v>2284</v>
      </c>
      <c r="B2488" s="5" t="n">
        <v>109</v>
      </c>
      <c r="C2488" s="72" t="inlineStr">
        <is>
          <t>X</t>
        </is>
      </c>
      <c r="D2488" s="5" t="n">
        <v>175</v>
      </c>
      <c r="E2488" s="73">
        <f>B2488*D2488/10000</f>
        <v/>
      </c>
      <c r="F2488" s="74">
        <f>B2488/30.48</f>
        <v/>
      </c>
      <c r="G2488" s="74">
        <f>D2488/30.48</f>
        <v/>
      </c>
      <c r="H2488" s="594" t="inlineStr">
        <is>
          <t>RK</t>
        </is>
      </c>
      <c r="I2488" s="534" t="inlineStr">
        <is>
          <t>Caroline Boone</t>
        </is>
      </c>
      <c r="J2488" s="545" t="n"/>
    </row>
    <row r="2489" ht="18" customHeight="1" s="305">
      <c r="A2489" s="8" t="n">
        <v>2673</v>
      </c>
      <c r="B2489" s="5" t="n">
        <v>159</v>
      </c>
      <c r="C2489" s="72" t="inlineStr">
        <is>
          <t>X</t>
        </is>
      </c>
      <c r="D2489" s="5" t="n">
        <v>201</v>
      </c>
      <c r="E2489" s="73">
        <f>B2489*D2489/10000</f>
        <v/>
      </c>
      <c r="F2489" s="74">
        <f>B2489/30.48</f>
        <v/>
      </c>
      <c r="G2489" s="74">
        <f>D2489/30.48</f>
        <v/>
      </c>
      <c r="H2489" s="290" t="inlineStr">
        <is>
          <t>WTR</t>
        </is>
      </c>
      <c r="I2489" s="534" t="inlineStr">
        <is>
          <t>Kate Craft</t>
        </is>
      </c>
      <c r="J2489" s="545" t="n"/>
    </row>
    <row r="2490" ht="18" customHeight="1" s="305">
      <c r="A2490" s="8" t="inlineStr">
        <is>
          <t>D 120</t>
        </is>
      </c>
      <c r="B2490" s="5" t="n">
        <v>52</v>
      </c>
      <c r="C2490" s="72" t="inlineStr">
        <is>
          <t>X</t>
        </is>
      </c>
      <c r="D2490" s="5" t="n">
        <v>92</v>
      </c>
      <c r="E2490" s="73">
        <f>B2490*D2490/10000</f>
        <v/>
      </c>
      <c r="F2490" s="74">
        <f>B2490/30.48</f>
        <v/>
      </c>
      <c r="G2490" s="74">
        <f>D2490/30.48</f>
        <v/>
      </c>
      <c r="H2490" s="314" t="inlineStr">
        <is>
          <t>WLB</t>
        </is>
      </c>
      <c r="I2490" s="534" t="inlineStr">
        <is>
          <t>Susie Prescot</t>
        </is>
      </c>
      <c r="J2490" s="545" t="n"/>
      <c r="P2490" s="280" t="n"/>
    </row>
    <row r="2491" ht="18" customHeight="1" s="305">
      <c r="A2491" s="8" t="n">
        <v>3567</v>
      </c>
      <c r="B2491" s="5" t="n">
        <v>89</v>
      </c>
      <c r="C2491" s="72" t="inlineStr">
        <is>
          <t>X</t>
        </is>
      </c>
      <c r="D2491" s="5" t="n">
        <v>278</v>
      </c>
      <c r="E2491" s="73">
        <f>B2491*D2491/10000</f>
        <v/>
      </c>
      <c r="F2491" s="74">
        <f>B2491/30.48</f>
        <v/>
      </c>
      <c r="G2491" s="74">
        <f>D2491/30.48</f>
        <v/>
      </c>
      <c r="H2491" s="319" t="inlineStr">
        <is>
          <t>LMX</t>
        </is>
      </c>
      <c r="I2491" s="534" t="inlineStr">
        <is>
          <t>Anna Ehlers</t>
        </is>
      </c>
      <c r="J2491" s="545" t="n"/>
      <c r="P2491" s="280" t="n"/>
    </row>
    <row r="2492" ht="18" customHeight="1" s="305">
      <c r="A2492" s="28" t="inlineStr">
        <is>
          <t>D 582</t>
        </is>
      </c>
      <c r="B2492" s="29" t="n">
        <v>46</v>
      </c>
      <c r="C2492" s="236" t="inlineStr">
        <is>
          <t>X</t>
        </is>
      </c>
      <c r="D2492" s="29" t="n">
        <v>102</v>
      </c>
      <c r="E2492" s="237">
        <f>B2492*D2492/10000</f>
        <v/>
      </c>
      <c r="F2492" s="238">
        <f>B2492/30.48</f>
        <v/>
      </c>
      <c r="G2492" s="238">
        <f>D2492/30.48</f>
        <v/>
      </c>
      <c r="H2492" s="715" t="inlineStr">
        <is>
          <t>LPR</t>
        </is>
      </c>
      <c r="I2492" s="570" t="inlineStr">
        <is>
          <t>Taylor Jackson</t>
        </is>
      </c>
      <c r="J2492" s="557" t="n"/>
      <c r="P2492" s="280" t="n"/>
    </row>
    <row r="2493" ht="18" customHeight="1" s="305">
      <c r="A2493" s="28" t="inlineStr">
        <is>
          <t>D 816</t>
        </is>
      </c>
      <c r="B2493" s="29" t="n">
        <v>52</v>
      </c>
      <c r="C2493" s="236" t="inlineStr">
        <is>
          <t>X</t>
        </is>
      </c>
      <c r="D2493" s="29" t="n">
        <v>79</v>
      </c>
      <c r="E2493" s="237">
        <f>B2493*D2493/10000</f>
        <v/>
      </c>
      <c r="F2493" s="238">
        <f>B2493/30.48</f>
        <v/>
      </c>
      <c r="G2493" s="238">
        <f>D2493/30.48</f>
        <v/>
      </c>
      <c r="H2493" s="694" t="n"/>
      <c r="I2493" s="694" t="n"/>
      <c r="J2493" s="557" t="n"/>
      <c r="P2493" s="280" t="n"/>
    </row>
    <row r="2494" ht="18" customHeight="1" s="305">
      <c r="A2494" s="28" t="inlineStr">
        <is>
          <t>D 811</t>
        </is>
      </c>
      <c r="B2494" s="29" t="n">
        <v>45</v>
      </c>
      <c r="C2494" s="236" t="inlineStr">
        <is>
          <t>X</t>
        </is>
      </c>
      <c r="D2494" s="29" t="n">
        <v>70</v>
      </c>
      <c r="E2494" s="237">
        <f>B2494*D2494/10000</f>
        <v/>
      </c>
      <c r="F2494" s="238">
        <f>B2494/30.48</f>
        <v/>
      </c>
      <c r="G2494" s="238">
        <f>D2494/30.48</f>
        <v/>
      </c>
      <c r="H2494" s="289" t="inlineStr">
        <is>
          <t>LPR</t>
        </is>
      </c>
      <c r="I2494" s="570" t="inlineStr">
        <is>
          <t>David haynes</t>
        </is>
      </c>
      <c r="J2494" s="557" t="n"/>
      <c r="P2494" s="280" t="n"/>
    </row>
    <row r="2495" ht="18" customHeight="1" s="305">
      <c r="A2495" s="28" t="inlineStr">
        <is>
          <t>D 560</t>
        </is>
      </c>
      <c r="B2495" s="29" t="n">
        <v>48</v>
      </c>
      <c r="C2495" s="236" t="inlineStr">
        <is>
          <t>X</t>
        </is>
      </c>
      <c r="D2495" s="29" t="n">
        <v>104</v>
      </c>
      <c r="E2495" s="237">
        <f>B2495*D2495/10000</f>
        <v/>
      </c>
      <c r="F2495" s="238">
        <f>B2495/30.48</f>
        <v/>
      </c>
      <c r="G2495" s="238">
        <f>D2495/30.48</f>
        <v/>
      </c>
      <c r="H2495" s="314" t="inlineStr">
        <is>
          <t>FRD-NR</t>
        </is>
      </c>
      <c r="I2495" s="570" t="inlineStr">
        <is>
          <t>Tyson Ehlinger</t>
        </is>
      </c>
      <c r="J2495" s="557" t="n"/>
      <c r="P2495" s="280" t="n"/>
    </row>
    <row r="2496" ht="18" customHeight="1" s="305">
      <c r="A2496" s="28" t="inlineStr">
        <is>
          <t>D 609</t>
        </is>
      </c>
      <c r="B2496" s="29" t="n">
        <v>49</v>
      </c>
      <c r="C2496" s="236" t="inlineStr">
        <is>
          <t>X</t>
        </is>
      </c>
      <c r="D2496" s="29" t="n">
        <v>109</v>
      </c>
      <c r="E2496" s="237">
        <f>B2496*D2496/10000</f>
        <v/>
      </c>
      <c r="F2496" s="238">
        <f>B2496/30.48</f>
        <v/>
      </c>
      <c r="G2496" s="238">
        <f>D2496/30.48</f>
        <v/>
      </c>
      <c r="H2496" s="314" t="inlineStr">
        <is>
          <t>WLB</t>
        </is>
      </c>
      <c r="I2496" s="570" t="inlineStr">
        <is>
          <t>Dee Stoddard</t>
        </is>
      </c>
      <c r="J2496" s="557" t="n"/>
      <c r="P2496" s="280" t="n"/>
    </row>
    <row r="2497" ht="18" customHeight="1" s="305">
      <c r="A2497" s="8" t="n">
        <v>2094</v>
      </c>
      <c r="B2497" s="5" t="n">
        <v>78</v>
      </c>
      <c r="C2497" s="72" t="inlineStr">
        <is>
          <t>X</t>
        </is>
      </c>
      <c r="D2497" s="5" t="n">
        <v>278</v>
      </c>
      <c r="E2497" s="73">
        <f>B2497*D2497/10000</f>
        <v/>
      </c>
      <c r="F2497" s="74">
        <f>B2497/30.48</f>
        <v/>
      </c>
      <c r="G2497" s="74">
        <f>D2497/30.48</f>
        <v/>
      </c>
      <c r="H2497" s="592" t="inlineStr">
        <is>
          <t>PAC</t>
        </is>
      </c>
      <c r="I2497" s="570" t="inlineStr">
        <is>
          <t>Tabitha Mund</t>
        </is>
      </c>
      <c r="J2497" s="557" t="n"/>
      <c r="P2497" s="280" t="n"/>
    </row>
    <row r="2498" ht="18" customHeight="1" s="305">
      <c r="A2498" s="8" t="inlineStr">
        <is>
          <t>C 337</t>
        </is>
      </c>
      <c r="B2498" s="5" t="n">
        <v>197</v>
      </c>
      <c r="C2498" s="6" t="inlineStr">
        <is>
          <t>X</t>
        </is>
      </c>
      <c r="D2498" s="5" t="n">
        <v>125</v>
      </c>
      <c r="E2498" s="2">
        <f>B2498*D2498/10000</f>
        <v/>
      </c>
      <c r="F2498" s="3">
        <f>B2498/30.48</f>
        <v/>
      </c>
      <c r="G2498" s="3">
        <f>D2498/30.48</f>
        <v/>
      </c>
      <c r="H2498" s="316" t="inlineStr">
        <is>
          <t>BHR</t>
        </is>
      </c>
      <c r="I2498" s="570" t="inlineStr">
        <is>
          <t>rachel ashwell</t>
        </is>
      </c>
      <c r="J2498" s="557" t="n"/>
      <c r="P2498" s="280" t="n"/>
    </row>
    <row r="2499" ht="18" customHeight="1" s="305">
      <c r="A2499" s="8" t="n">
        <v>2152</v>
      </c>
      <c r="B2499" s="5" t="n">
        <v>108</v>
      </c>
      <c r="C2499" s="72" t="inlineStr">
        <is>
          <t>X</t>
        </is>
      </c>
      <c r="D2499" s="5" t="n">
        <v>183</v>
      </c>
      <c r="E2499" s="73">
        <f>B2499*D2499/10000</f>
        <v/>
      </c>
      <c r="F2499" s="74">
        <f>B2499/30.48</f>
        <v/>
      </c>
      <c r="G2499" s="74">
        <f>D2499/30.48</f>
        <v/>
      </c>
      <c r="H2499" s="290" t="inlineStr">
        <is>
          <t>WTR</t>
        </is>
      </c>
      <c r="I2499" s="570" t="inlineStr">
        <is>
          <t>Margaret Hadley</t>
        </is>
      </c>
      <c r="J2499" s="557" t="n"/>
      <c r="P2499" s="280" t="n"/>
      <c r="S2499" s="1" t="n"/>
    </row>
    <row r="2500" ht="18" customHeight="1" s="305">
      <c r="A2500" s="8" t="n">
        <v>3063</v>
      </c>
      <c r="B2500" s="5" t="n">
        <v>102</v>
      </c>
      <c r="C2500" s="72" t="inlineStr">
        <is>
          <t>X</t>
        </is>
      </c>
      <c r="D2500" s="5" t="n">
        <v>189</v>
      </c>
      <c r="E2500" s="73">
        <f>B2500*D2500/10000</f>
        <v/>
      </c>
      <c r="F2500" s="74">
        <f>B2500/30.48</f>
        <v/>
      </c>
      <c r="G2500" s="74">
        <f>D2500/30.48</f>
        <v/>
      </c>
      <c r="H2500" s="594" t="inlineStr">
        <is>
          <t>MCHD-TR</t>
        </is>
      </c>
      <c r="I2500" s="545" t="n"/>
      <c r="J2500" s="545" t="n"/>
      <c r="P2500" s="280" t="n"/>
      <c r="S2500" s="1" t="n"/>
    </row>
    <row r="2501" ht="18" customHeight="1" s="305">
      <c r="A2501" s="8" t="n">
        <v>2280</v>
      </c>
      <c r="B2501" s="5" t="n">
        <v>119</v>
      </c>
      <c r="C2501" s="72" t="inlineStr">
        <is>
          <t>X</t>
        </is>
      </c>
      <c r="D2501" s="5" t="n">
        <v>320</v>
      </c>
      <c r="E2501" s="73">
        <f>B2501*D2501/10000</f>
        <v/>
      </c>
      <c r="F2501" s="74">
        <f>B2501/30.48</f>
        <v/>
      </c>
      <c r="G2501" s="74">
        <f>D2501/30.48</f>
        <v/>
      </c>
      <c r="H2501" s="594" t="inlineStr">
        <is>
          <t>RK</t>
        </is>
      </c>
      <c r="I2501" s="534" t="inlineStr">
        <is>
          <t>Scott Sumner</t>
        </is>
      </c>
      <c r="J2501" s="545" t="n"/>
      <c r="P2501" s="280" t="n"/>
    </row>
    <row r="2502" ht="18" customHeight="1" s="305">
      <c r="A2502" s="8" t="n">
        <v>2485</v>
      </c>
      <c r="B2502" s="5" t="n">
        <v>84</v>
      </c>
      <c r="C2502" s="72" t="inlineStr">
        <is>
          <t>X</t>
        </is>
      </c>
      <c r="D2502" s="5" t="n">
        <v>308</v>
      </c>
      <c r="E2502" s="73">
        <f>B2502*D2502/10000</f>
        <v/>
      </c>
      <c r="F2502" s="74">
        <f>B2502/30.48</f>
        <v/>
      </c>
      <c r="G2502" s="74">
        <f>D2502/30.48</f>
        <v/>
      </c>
      <c r="H2502" s="290" t="inlineStr">
        <is>
          <t>WTR</t>
        </is>
      </c>
      <c r="I2502" s="570" t="inlineStr">
        <is>
          <t>Cameron Sadeghi</t>
        </is>
      </c>
      <c r="J2502" s="557" t="n"/>
      <c r="P2502" s="280" t="n"/>
    </row>
    <row r="2503" ht="18" customHeight="1" s="305">
      <c r="A2503" s="28" t="inlineStr">
        <is>
          <t>D 636</t>
        </is>
      </c>
      <c r="B2503" s="29" t="n">
        <v>71</v>
      </c>
      <c r="C2503" s="236" t="inlineStr">
        <is>
          <t>X</t>
        </is>
      </c>
      <c r="D2503" s="29" t="n">
        <v>76</v>
      </c>
      <c r="E2503" s="237">
        <f>B2503*D2503/10000</f>
        <v/>
      </c>
      <c r="F2503" s="238">
        <f>B2503/30.48</f>
        <v/>
      </c>
      <c r="G2503" s="238">
        <f>D2503/30.48</f>
        <v/>
      </c>
      <c r="H2503" s="316" t="inlineStr">
        <is>
          <t>BHR</t>
        </is>
      </c>
      <c r="I2503" s="534" t="inlineStr">
        <is>
          <t>Wellon Bridgers</t>
        </is>
      </c>
      <c r="J2503" s="545" t="n"/>
      <c r="P2503" s="280" t="n"/>
    </row>
    <row r="2504" ht="18" customHeight="1" s="305">
      <c r="A2504" s="8" t="n">
        <v>3339</v>
      </c>
      <c r="B2504" s="5" t="n">
        <v>101</v>
      </c>
      <c r="C2504" s="72" t="inlineStr">
        <is>
          <t>X</t>
        </is>
      </c>
      <c r="D2504" s="5" t="n">
        <v>171</v>
      </c>
      <c r="E2504" s="73">
        <f>B2504*D2504/10000</f>
        <v/>
      </c>
      <c r="F2504" s="74">
        <f>B2504/30.48</f>
        <v/>
      </c>
      <c r="G2504" s="74">
        <f>D2504/30.48</f>
        <v/>
      </c>
      <c r="H2504" s="594" t="inlineStr">
        <is>
          <t>RK</t>
        </is>
      </c>
      <c r="I2504" s="570" t="inlineStr">
        <is>
          <t>Morgan Hannemann</t>
        </is>
      </c>
      <c r="J2504" s="557" t="n"/>
      <c r="P2504" s="280" t="n"/>
    </row>
    <row r="2505" ht="18" customHeight="1" s="305">
      <c r="A2505" s="8" t="n">
        <v>2402</v>
      </c>
      <c r="B2505" s="5" t="n">
        <v>60</v>
      </c>
      <c r="C2505" s="72" t="inlineStr">
        <is>
          <t>X</t>
        </is>
      </c>
      <c r="D2505" s="5" t="n">
        <v>73</v>
      </c>
      <c r="E2505" s="73">
        <f>B2505*D2505/10000</f>
        <v/>
      </c>
      <c r="F2505" s="74">
        <f>B2505/30.48</f>
        <v/>
      </c>
      <c r="G2505" s="74">
        <f>D2505/30.48</f>
        <v/>
      </c>
      <c r="H2505" s="594" t="inlineStr">
        <is>
          <t>RK</t>
        </is>
      </c>
      <c r="I2505" s="570" t="inlineStr">
        <is>
          <t>Crystal Biad</t>
        </is>
      </c>
      <c r="J2505" s="557" t="n"/>
      <c r="P2505" s="280" t="n"/>
    </row>
    <row r="2506" ht="18" customHeight="1" s="305">
      <c r="A2506" s="8" t="n">
        <v>2988</v>
      </c>
      <c r="B2506" s="5" t="n">
        <v>77</v>
      </c>
      <c r="C2506" s="72" t="inlineStr">
        <is>
          <t>X</t>
        </is>
      </c>
      <c r="D2506" s="5" t="n">
        <v>242</v>
      </c>
      <c r="E2506" s="73">
        <f>B2506*D2506/10000</f>
        <v/>
      </c>
      <c r="F2506" s="74">
        <f>B2506/30.48</f>
        <v/>
      </c>
      <c r="G2506" s="74">
        <f>D2506/30.48</f>
        <v/>
      </c>
      <c r="H2506" s="594" t="inlineStr">
        <is>
          <t>RK</t>
        </is>
      </c>
      <c r="I2506" s="570" t="inlineStr">
        <is>
          <t>William Miller</t>
        </is>
      </c>
      <c r="J2506" s="557" t="n"/>
      <c r="P2506" s="280" t="n"/>
    </row>
    <row r="2507" ht="18" customHeight="1" s="305">
      <c r="A2507" s="8" t="inlineStr">
        <is>
          <t>D 322</t>
        </is>
      </c>
      <c r="B2507" s="5" t="n">
        <v>50</v>
      </c>
      <c r="C2507" s="72" t="inlineStr">
        <is>
          <t>X</t>
        </is>
      </c>
      <c r="D2507" s="5" t="n">
        <v>90</v>
      </c>
      <c r="E2507" s="73">
        <f>B2507*D2507/10000</f>
        <v/>
      </c>
      <c r="F2507" s="74">
        <f>B2507/30.48</f>
        <v/>
      </c>
      <c r="G2507" s="74">
        <f>D2507/30.48</f>
        <v/>
      </c>
      <c r="H2507" s="290" t="inlineStr">
        <is>
          <t>WTR</t>
        </is>
      </c>
      <c r="I2507" s="570" t="inlineStr">
        <is>
          <t>Kylie Gerber</t>
        </is>
      </c>
      <c r="J2507" s="557" t="n"/>
      <c r="P2507" s="280" t="n"/>
    </row>
    <row r="2508" ht="18" customHeight="1" s="305">
      <c r="A2508" s="8" t="n">
        <v>2149</v>
      </c>
      <c r="B2508" s="5" t="n">
        <v>217</v>
      </c>
      <c r="C2508" s="72" t="inlineStr">
        <is>
          <t>X</t>
        </is>
      </c>
      <c r="D2508" s="5" t="n">
        <v>331</v>
      </c>
      <c r="E2508" s="73">
        <f>B2508*D2508/10000</f>
        <v/>
      </c>
      <c r="F2508" s="74">
        <f>B2508/30.48</f>
        <v/>
      </c>
      <c r="G2508" s="74">
        <f>D2508/30.48</f>
        <v/>
      </c>
      <c r="H2508" s="319" t="inlineStr">
        <is>
          <t>LMX</t>
        </is>
      </c>
      <c r="I2508" s="534" t="inlineStr">
        <is>
          <t>Daniela Kriete</t>
        </is>
      </c>
      <c r="J2508" s="545" t="n"/>
      <c r="P2508" s="280" t="n"/>
    </row>
    <row r="2509" ht="18" customHeight="1" s="305">
      <c r="A2509" s="8" t="n">
        <v>2440</v>
      </c>
      <c r="B2509" s="5" t="n">
        <v>70</v>
      </c>
      <c r="C2509" s="72" t="inlineStr">
        <is>
          <t>X</t>
        </is>
      </c>
      <c r="D2509" s="5" t="n">
        <v>310</v>
      </c>
      <c r="E2509" s="73">
        <f>B2509*D2509/10000</f>
        <v/>
      </c>
      <c r="F2509" s="74">
        <f>B2509/30.48</f>
        <v/>
      </c>
      <c r="G2509" s="74">
        <f>D2509/30.48</f>
        <v/>
      </c>
      <c r="H2509" s="290" t="inlineStr">
        <is>
          <t>WTR</t>
        </is>
      </c>
      <c r="I2509" s="534" t="inlineStr">
        <is>
          <t>Kylie Gerber</t>
        </is>
      </c>
      <c r="J2509" s="545" t="n"/>
      <c r="P2509" s="280" t="n"/>
    </row>
    <row r="2510" ht="18" customHeight="1" s="305">
      <c r="A2510" s="8" t="n">
        <v>3729</v>
      </c>
      <c r="B2510" s="5" t="n">
        <v>172</v>
      </c>
      <c r="C2510" s="72" t="inlineStr">
        <is>
          <t>X</t>
        </is>
      </c>
      <c r="D2510" s="5" t="n">
        <v>256</v>
      </c>
      <c r="E2510" s="73">
        <f>B2510*D2510/10000</f>
        <v/>
      </c>
      <c r="F2510" s="74">
        <f>B2510/30.48</f>
        <v/>
      </c>
      <c r="G2510" s="74">
        <f>D2510/30.48</f>
        <v/>
      </c>
      <c r="H2510" s="319" t="inlineStr">
        <is>
          <t>LMX</t>
        </is>
      </c>
      <c r="I2510" s="570" t="inlineStr">
        <is>
          <t>Whitney Brown</t>
        </is>
      </c>
      <c r="J2510" s="557" t="n"/>
      <c r="P2510" s="280" t="n"/>
      <c r="S2510" s="1" t="n"/>
    </row>
    <row r="2511" ht="18" customHeight="1" s="305">
      <c r="A2511" s="8" t="n">
        <v>2727</v>
      </c>
      <c r="B2511" s="5" t="n">
        <v>92</v>
      </c>
      <c r="C2511" s="72" t="inlineStr">
        <is>
          <t>X</t>
        </is>
      </c>
      <c r="D2511" s="5" t="n">
        <v>322</v>
      </c>
      <c r="E2511" s="73">
        <f>B2511*D2511/10000</f>
        <v/>
      </c>
      <c r="F2511" s="74">
        <f>B2511/30.48</f>
        <v/>
      </c>
      <c r="G2511" s="74">
        <f>D2511/30.48</f>
        <v/>
      </c>
      <c r="H2511" s="290" t="inlineStr">
        <is>
          <t>WTR</t>
        </is>
      </c>
      <c r="I2511" s="570" t="inlineStr">
        <is>
          <t>Dana Hall</t>
        </is>
      </c>
      <c r="J2511" s="557" t="n"/>
      <c r="P2511" s="280" t="n"/>
      <c r="S2511" s="1" t="n"/>
    </row>
    <row r="2512" ht="18" customHeight="1" s="305">
      <c r="A2512" s="8" t="n">
        <v>16</v>
      </c>
      <c r="B2512" s="5" t="n">
        <v>85</v>
      </c>
      <c r="C2512" s="6" t="inlineStr">
        <is>
          <t>X</t>
        </is>
      </c>
      <c r="D2512" s="5" t="n">
        <v>47</v>
      </c>
      <c r="E2512" s="2">
        <f>B2512*D2512/10000</f>
        <v/>
      </c>
      <c r="F2512" s="3">
        <f>B2512/30.48</f>
        <v/>
      </c>
      <c r="G2512" s="3">
        <f>D2512/30.48</f>
        <v/>
      </c>
      <c r="H2512" s="316" t="inlineStr">
        <is>
          <t>BHR</t>
        </is>
      </c>
      <c r="I2512" s="534" t="inlineStr">
        <is>
          <t>Sara Ray BENKE</t>
        </is>
      </c>
      <c r="J2512" s="545" t="n"/>
      <c r="P2512" s="280" t="n"/>
    </row>
    <row r="2513" ht="18" customHeight="1" s="305">
      <c r="A2513" s="8" t="n">
        <v>2615</v>
      </c>
      <c r="B2513" s="5" t="n">
        <v>80</v>
      </c>
      <c r="C2513" s="72" t="inlineStr">
        <is>
          <t>X</t>
        </is>
      </c>
      <c r="D2513" s="5" t="n">
        <v>172</v>
      </c>
      <c r="E2513" s="73">
        <f>B2513*D2513/10000</f>
        <v/>
      </c>
      <c r="F2513" s="74">
        <f>B2513/30.48</f>
        <v/>
      </c>
      <c r="G2513" s="74">
        <f>D2513/30.48</f>
        <v/>
      </c>
      <c r="H2513" s="594" t="inlineStr">
        <is>
          <t>RK</t>
        </is>
      </c>
      <c r="I2513" s="570" t="inlineStr">
        <is>
          <t>Roxann Taylor</t>
        </is>
      </c>
      <c r="J2513" s="557" t="n"/>
      <c r="P2513" s="280" t="n"/>
    </row>
    <row r="2514" ht="18" customHeight="1" s="305">
      <c r="A2514" s="8" t="n">
        <v>3241</v>
      </c>
      <c r="B2514" s="5" t="n">
        <v>81</v>
      </c>
      <c r="C2514" s="72" t="inlineStr">
        <is>
          <t>X</t>
        </is>
      </c>
      <c r="D2514" s="5" t="n">
        <v>279</v>
      </c>
      <c r="E2514" s="73">
        <f>B2514*D2514/10000</f>
        <v/>
      </c>
      <c r="F2514" s="74">
        <f>B2514/30.48</f>
        <v/>
      </c>
      <c r="G2514" s="74">
        <f>D2514/30.48</f>
        <v/>
      </c>
      <c r="H2514" s="290" t="inlineStr">
        <is>
          <t>WTR</t>
        </is>
      </c>
      <c r="I2514" s="570" t="inlineStr">
        <is>
          <t>William Donnell</t>
        </is>
      </c>
      <c r="J2514" s="557" t="n"/>
      <c r="P2514" s="280" t="n"/>
      <c r="S2514" s="1" t="n"/>
    </row>
    <row r="2515" ht="18" customHeight="1" s="305">
      <c r="A2515" s="8" t="n">
        <v>3245</v>
      </c>
      <c r="B2515" s="5" t="n">
        <v>77</v>
      </c>
      <c r="C2515" s="72" t="inlineStr">
        <is>
          <t>X</t>
        </is>
      </c>
      <c r="D2515" s="5" t="n">
        <v>241</v>
      </c>
      <c r="E2515" s="73">
        <f>B2515*D2515/10000</f>
        <v/>
      </c>
      <c r="F2515" s="74">
        <f>B2515/30.48</f>
        <v/>
      </c>
      <c r="G2515" s="74">
        <f>D2515/30.48</f>
        <v/>
      </c>
      <c r="H2515" s="594" t="inlineStr">
        <is>
          <t>RK</t>
        </is>
      </c>
      <c r="I2515" s="570" t="inlineStr">
        <is>
          <t>Melissa Spencer</t>
        </is>
      </c>
      <c r="J2515" s="557" t="n"/>
      <c r="P2515" s="280" t="n"/>
      <c r="S2515" s="1" t="n"/>
    </row>
    <row r="2516" ht="18" customHeight="1" s="305">
      <c r="A2516" s="28" t="inlineStr">
        <is>
          <t>D 514</t>
        </is>
      </c>
      <c r="B2516" s="29" t="n">
        <v>49</v>
      </c>
      <c r="C2516" s="236" t="inlineStr">
        <is>
          <t>X</t>
        </is>
      </c>
      <c r="D2516" s="29" t="n">
        <v>108</v>
      </c>
      <c r="E2516" s="237">
        <f>B2516*D2516/10000</f>
        <v/>
      </c>
      <c r="F2516" s="238">
        <f>B2516/30.48</f>
        <v/>
      </c>
      <c r="G2516" s="238">
        <f>D2516/30.48</f>
        <v/>
      </c>
      <c r="H2516" s="314" t="inlineStr">
        <is>
          <t>WLB</t>
        </is>
      </c>
      <c r="I2516" s="570" t="inlineStr">
        <is>
          <t>Mallory Williams</t>
        </is>
      </c>
      <c r="J2516" s="557" t="n"/>
      <c r="P2516" s="280" t="n"/>
    </row>
    <row r="2517" ht="18" customHeight="1" s="305">
      <c r="A2517" s="28" t="inlineStr">
        <is>
          <t>D 572</t>
        </is>
      </c>
      <c r="B2517" s="29" t="n">
        <v>54</v>
      </c>
      <c r="C2517" s="236" t="inlineStr">
        <is>
          <t>X</t>
        </is>
      </c>
      <c r="D2517" s="29" t="n">
        <v>80</v>
      </c>
      <c r="E2517" s="237">
        <f>B2517*D2517/10000</f>
        <v/>
      </c>
      <c r="F2517" s="238">
        <f>B2517/30.48</f>
        <v/>
      </c>
      <c r="G2517" s="238">
        <f>D2517/30.48</f>
        <v/>
      </c>
      <c r="H2517" s="314" t="inlineStr">
        <is>
          <t>FRD-NR</t>
        </is>
      </c>
      <c r="I2517" s="570" t="inlineStr">
        <is>
          <t>Katherine Kim</t>
        </is>
      </c>
      <c r="J2517" s="557" t="n"/>
      <c r="P2517" s="280" t="n"/>
    </row>
    <row r="2518" ht="18" customHeight="1" s="305">
      <c r="A2518" s="8" t="n">
        <v>2661</v>
      </c>
      <c r="B2518" s="5" t="n">
        <v>104</v>
      </c>
      <c r="C2518" s="72" t="inlineStr">
        <is>
          <t>X</t>
        </is>
      </c>
      <c r="D2518" s="5" t="n">
        <v>158</v>
      </c>
      <c r="E2518" s="73">
        <f>B2518*D2518/10000</f>
        <v/>
      </c>
      <c r="F2518" s="74">
        <f>B2518/30.48</f>
        <v/>
      </c>
      <c r="G2518" s="74">
        <f>D2518/30.48</f>
        <v/>
      </c>
      <c r="H2518" s="594" t="inlineStr">
        <is>
          <t>MCHD-TR</t>
        </is>
      </c>
      <c r="I2518" s="557" t="n"/>
      <c r="J2518" s="557" t="n"/>
      <c r="P2518" s="280" t="n"/>
      <c r="S2518" s="1" t="n"/>
    </row>
    <row r="2519" ht="18" customHeight="1" s="305">
      <c r="A2519" s="8" t="n">
        <v>1920</v>
      </c>
      <c r="B2519" s="5" t="n">
        <v>67</v>
      </c>
      <c r="C2519" s="72" t="inlineStr">
        <is>
          <t>X</t>
        </is>
      </c>
      <c r="D2519" s="5" t="n">
        <v>128</v>
      </c>
      <c r="E2519" s="73">
        <f>B2519*D2519/10000</f>
        <v/>
      </c>
      <c r="F2519" s="74">
        <f>B2519/30.48</f>
        <v/>
      </c>
      <c r="G2519" s="74">
        <f>D2519/30.48</f>
        <v/>
      </c>
      <c r="H2519" s="594" t="inlineStr">
        <is>
          <t>MCHD-TR</t>
        </is>
      </c>
      <c r="I2519" s="557" t="n"/>
      <c r="J2519" s="557" t="n"/>
      <c r="P2519" s="280" t="n"/>
    </row>
    <row r="2520" ht="18" customHeight="1" s="305">
      <c r="A2520" s="8" t="n">
        <v>2973</v>
      </c>
      <c r="B2520" s="5" t="n">
        <v>81</v>
      </c>
      <c r="C2520" s="72" t="inlineStr">
        <is>
          <t>X</t>
        </is>
      </c>
      <c r="D2520" s="5" t="n">
        <v>145</v>
      </c>
      <c r="E2520" s="73">
        <f>B2520*D2520/10000</f>
        <v/>
      </c>
      <c r="F2520" s="74">
        <f>B2520/30.48</f>
        <v/>
      </c>
      <c r="G2520" s="74">
        <f>D2520/30.48</f>
        <v/>
      </c>
      <c r="H2520" s="594" t="inlineStr">
        <is>
          <t>MCHD-TR</t>
        </is>
      </c>
      <c r="I2520" s="545" t="n"/>
      <c r="J2520" s="545" t="n"/>
    </row>
    <row r="2521" ht="18" customHeight="1" s="305">
      <c r="A2521" s="8" t="inlineStr">
        <is>
          <t>Y 296</t>
        </is>
      </c>
      <c r="B2521" s="5" t="n">
        <v>196</v>
      </c>
      <c r="C2521" s="6" t="inlineStr">
        <is>
          <t>X</t>
        </is>
      </c>
      <c r="D2521" s="5" t="n">
        <v>89</v>
      </c>
      <c r="E2521" s="2">
        <f>B2521*D2521/10000</f>
        <v/>
      </c>
      <c r="F2521" s="3">
        <f>B2521/30.48</f>
        <v/>
      </c>
      <c r="G2521" s="3">
        <f>D2521/30.48</f>
        <v/>
      </c>
      <c r="H2521" s="594" t="inlineStr">
        <is>
          <t>MCHD-TR</t>
        </is>
      </c>
      <c r="I2521" s="545" t="n"/>
      <c r="J2521" s="545" t="n"/>
    </row>
    <row r="2522" ht="18" customHeight="1" s="305">
      <c r="A2522" s="8" t="n">
        <v>1771</v>
      </c>
      <c r="B2522" s="5" t="n">
        <v>142</v>
      </c>
      <c r="C2522" s="72" t="inlineStr">
        <is>
          <t>X</t>
        </is>
      </c>
      <c r="D2522" s="5" t="n">
        <v>272</v>
      </c>
      <c r="E2522" s="73">
        <f>B2522*D2522/10000</f>
        <v/>
      </c>
      <c r="F2522" s="74">
        <f>B2522/30.48</f>
        <v/>
      </c>
      <c r="G2522" s="74">
        <f>D2522/30.48</f>
        <v/>
      </c>
      <c r="H2522" s="316" t="inlineStr">
        <is>
          <t>BHR</t>
        </is>
      </c>
      <c r="I2522" s="570" t="inlineStr">
        <is>
          <t>Legh Garrett</t>
        </is>
      </c>
      <c r="J2522" s="557" t="n"/>
    </row>
    <row r="2523" ht="18" customHeight="1" s="305">
      <c r="A2523" s="8" t="n">
        <v>3162</v>
      </c>
      <c r="B2523" s="5" t="n">
        <v>139</v>
      </c>
      <c r="C2523" s="72" t="inlineStr">
        <is>
          <t>X</t>
        </is>
      </c>
      <c r="D2523" s="5" t="n">
        <v>224</v>
      </c>
      <c r="E2523" s="73">
        <f>B2523*D2523/10000</f>
        <v/>
      </c>
      <c r="F2523" s="74">
        <f>B2523/30.48</f>
        <v/>
      </c>
      <c r="G2523" s="74">
        <f>D2523/30.48</f>
        <v/>
      </c>
      <c r="H2523" s="290" t="inlineStr">
        <is>
          <t>WTR</t>
        </is>
      </c>
      <c r="I2523" s="570" t="inlineStr">
        <is>
          <t>Krist Forino</t>
        </is>
      </c>
      <c r="J2523" s="557" t="n"/>
    </row>
    <row r="2524" ht="18" customHeight="1" s="305">
      <c r="A2524" s="8" t="n">
        <v>3325</v>
      </c>
      <c r="B2524" s="5" t="n">
        <v>93</v>
      </c>
      <c r="C2524" s="72" t="inlineStr">
        <is>
          <t>X</t>
        </is>
      </c>
      <c r="D2524" s="5" t="n">
        <v>359</v>
      </c>
      <c r="E2524" s="73">
        <f>B2524*D2524/10000</f>
        <v/>
      </c>
      <c r="F2524" s="74">
        <f>B2524/30.48</f>
        <v/>
      </c>
      <c r="G2524" s="74">
        <f>D2524/30.48</f>
        <v/>
      </c>
      <c r="H2524" s="594" t="inlineStr">
        <is>
          <t>RK</t>
        </is>
      </c>
      <c r="I2524" s="570" t="inlineStr">
        <is>
          <t>Annie gottwald</t>
        </is>
      </c>
      <c r="J2524" s="557" t="n"/>
    </row>
    <row r="2525" ht="18" customHeight="1" s="305">
      <c r="A2525" s="8" t="n">
        <v>3805</v>
      </c>
      <c r="B2525" s="5" t="n">
        <v>104</v>
      </c>
      <c r="C2525" s="72" t="inlineStr">
        <is>
          <t>X</t>
        </is>
      </c>
      <c r="D2525" s="5" t="n">
        <v>166</v>
      </c>
      <c r="E2525" s="73">
        <f>B2525*D2525/10000</f>
        <v/>
      </c>
      <c r="F2525" s="74">
        <f>B2525/30.48</f>
        <v/>
      </c>
      <c r="G2525" s="74">
        <f>D2525/30.48</f>
        <v/>
      </c>
      <c r="H2525" s="594" t="inlineStr">
        <is>
          <t>MCHD-TR</t>
        </is>
      </c>
      <c r="I2525" s="545" t="n"/>
      <c r="J2525" s="545" t="n"/>
    </row>
    <row r="2526" ht="18" customHeight="1" s="305">
      <c r="A2526" s="8" t="n">
        <v>2395</v>
      </c>
      <c r="B2526" s="5" t="n">
        <v>82</v>
      </c>
      <c r="C2526" s="72" t="inlineStr">
        <is>
          <t>X</t>
        </is>
      </c>
      <c r="D2526" s="5" t="n">
        <v>120</v>
      </c>
      <c r="E2526" s="73">
        <f>B2526*D2526/10000</f>
        <v/>
      </c>
      <c r="F2526" s="74">
        <f>B2526/30.48</f>
        <v/>
      </c>
      <c r="G2526" s="74">
        <f>D2526/30.48</f>
        <v/>
      </c>
      <c r="H2526" s="290" t="inlineStr">
        <is>
          <t>WTR</t>
        </is>
      </c>
      <c r="I2526" s="570" t="inlineStr">
        <is>
          <t>Mary Boyko</t>
        </is>
      </c>
      <c r="J2526" s="557" t="n"/>
    </row>
    <row r="2527" ht="18" customHeight="1" s="305">
      <c r="A2527" s="28" t="inlineStr">
        <is>
          <t>D 553</t>
        </is>
      </c>
      <c r="B2527" s="29" t="n">
        <v>54</v>
      </c>
      <c r="C2527" s="236" t="inlineStr">
        <is>
          <t>X</t>
        </is>
      </c>
      <c r="D2527" s="29" t="n">
        <v>111</v>
      </c>
      <c r="E2527" s="237">
        <f>B2527*D2527/10000</f>
        <v/>
      </c>
      <c r="F2527" s="238">
        <f>B2527/30.48</f>
        <v/>
      </c>
      <c r="G2527" s="238">
        <f>D2527/30.48</f>
        <v/>
      </c>
      <c r="H2527" s="316" t="inlineStr">
        <is>
          <t>BHR</t>
        </is>
      </c>
      <c r="I2527" s="570" t="inlineStr">
        <is>
          <t>Candace Walters</t>
        </is>
      </c>
      <c r="J2527" s="557" t="n"/>
    </row>
    <row r="2528" ht="18" customHeight="1" s="305">
      <c r="A2528" s="8" t="inlineStr">
        <is>
          <t>D 97</t>
        </is>
      </c>
      <c r="B2528" s="5" t="n">
        <v>49</v>
      </c>
      <c r="C2528" s="72" t="inlineStr">
        <is>
          <t>X</t>
        </is>
      </c>
      <c r="D2528" s="5" t="n">
        <v>95</v>
      </c>
      <c r="E2528" s="73">
        <f>B2528*D2528/10000</f>
        <v/>
      </c>
      <c r="F2528" s="74">
        <f>B2528/30.48</f>
        <v/>
      </c>
      <c r="G2528" s="74">
        <f>D2528/30.48</f>
        <v/>
      </c>
      <c r="H2528" s="314" t="inlineStr">
        <is>
          <t>WLB</t>
        </is>
      </c>
      <c r="I2528" s="570" t="inlineStr">
        <is>
          <t>Erika Mercado</t>
        </is>
      </c>
      <c r="J2528" s="557" t="n"/>
      <c r="P2528" s="1" t="n"/>
    </row>
    <row r="2529" ht="18" customHeight="1" s="305">
      <c r="A2529" s="8" t="n">
        <v>3279</v>
      </c>
      <c r="B2529" s="5" t="n">
        <v>204</v>
      </c>
      <c r="C2529" s="72" t="inlineStr">
        <is>
          <t>X</t>
        </is>
      </c>
      <c r="D2529" s="5" t="n">
        <v>290</v>
      </c>
      <c r="E2529" s="73">
        <f>B2529*D2529/10000</f>
        <v/>
      </c>
      <c r="F2529" s="74">
        <f>B2529/30.48</f>
        <v/>
      </c>
      <c r="G2529" s="74">
        <f>D2529/30.48</f>
        <v/>
      </c>
      <c r="H2529" s="319" t="inlineStr">
        <is>
          <t>LMX</t>
        </is>
      </c>
      <c r="I2529" s="534" t="inlineStr">
        <is>
          <t>Rae Anne M Ho Hung</t>
        </is>
      </c>
      <c r="J2529" s="545" t="n"/>
      <c r="P2529" s="1" t="n"/>
    </row>
    <row r="2530" ht="18" customHeight="1" s="305">
      <c r="A2530" s="8" t="n">
        <v>3530</v>
      </c>
      <c r="B2530" s="5" t="n">
        <v>77</v>
      </c>
      <c r="C2530" s="72" t="inlineStr">
        <is>
          <t>X</t>
        </is>
      </c>
      <c r="D2530" s="5" t="n">
        <v>167</v>
      </c>
      <c r="E2530" s="73">
        <f>B2530*D2530/10000</f>
        <v/>
      </c>
      <c r="F2530" s="74">
        <f>B2530/30.48</f>
        <v/>
      </c>
      <c r="G2530" s="74">
        <f>D2530/30.48</f>
        <v/>
      </c>
      <c r="H2530" s="594" t="inlineStr">
        <is>
          <t>MCHD-TR</t>
        </is>
      </c>
      <c r="I2530" s="557" t="n"/>
      <c r="J2530" s="557" t="n"/>
      <c r="P2530" s="1" t="n"/>
    </row>
    <row r="2531" ht="18" customHeight="1" s="305">
      <c r="A2531" s="28" t="inlineStr">
        <is>
          <t>D 604</t>
        </is>
      </c>
      <c r="B2531" s="29" t="n">
        <v>47</v>
      </c>
      <c r="C2531" s="236" t="inlineStr">
        <is>
          <t>X</t>
        </is>
      </c>
      <c r="D2531" s="29" t="n">
        <v>105</v>
      </c>
      <c r="E2531" s="237">
        <f>B2531*D2531/10000</f>
        <v/>
      </c>
      <c r="F2531" s="238">
        <f>B2531/30.48</f>
        <v/>
      </c>
      <c r="G2531" s="238">
        <f>D2531/30.48</f>
        <v/>
      </c>
      <c r="H2531" s="314" t="inlineStr">
        <is>
          <t>WLB</t>
        </is>
      </c>
      <c r="I2531" s="570" t="inlineStr">
        <is>
          <t>Ashley Joy</t>
        </is>
      </c>
      <c r="J2531" s="557" t="n"/>
      <c r="P2531" s="1" t="n"/>
    </row>
    <row r="2532" ht="18" customHeight="1" s="305">
      <c r="A2532" s="8" t="inlineStr">
        <is>
          <t>D 1</t>
        </is>
      </c>
      <c r="B2532" s="5" t="n">
        <v>50</v>
      </c>
      <c r="C2532" s="72" t="inlineStr">
        <is>
          <t>X</t>
        </is>
      </c>
      <c r="D2532" s="5" t="n">
        <v>94</v>
      </c>
      <c r="E2532" s="73">
        <f>B2532*D2532/10000</f>
        <v/>
      </c>
      <c r="F2532" s="74">
        <f>B2532/30.48</f>
        <v/>
      </c>
      <c r="G2532" s="74">
        <f>D2532/30.48</f>
        <v/>
      </c>
      <c r="H2532" s="316" t="inlineStr">
        <is>
          <t>BHR</t>
        </is>
      </c>
      <c r="I2532" s="570" t="inlineStr">
        <is>
          <t>Kristan Nicholson</t>
        </is>
      </c>
      <c r="J2532" s="557" t="n"/>
      <c r="P2532" s="1" t="n"/>
    </row>
    <row r="2533" ht="18" customHeight="1" s="305">
      <c r="A2533" s="8" t="n">
        <v>2257</v>
      </c>
      <c r="B2533" s="5" t="n">
        <v>127</v>
      </c>
      <c r="C2533" s="72" t="inlineStr">
        <is>
          <t>X</t>
        </is>
      </c>
      <c r="D2533" s="5" t="n">
        <v>198</v>
      </c>
      <c r="E2533" s="73">
        <f>B2533*D2533/10000</f>
        <v/>
      </c>
      <c r="F2533" s="74">
        <f>B2533/30.48</f>
        <v/>
      </c>
      <c r="G2533" s="74">
        <f>D2533/30.48</f>
        <v/>
      </c>
      <c r="H2533" s="290" t="inlineStr">
        <is>
          <t>WTR</t>
        </is>
      </c>
      <c r="I2533" s="570" t="inlineStr">
        <is>
          <t>Anna Katherine Geils</t>
        </is>
      </c>
      <c r="J2533" s="557" t="n"/>
      <c r="P2533" s="1" t="n"/>
    </row>
    <row r="2534" ht="18" customHeight="1" s="305">
      <c r="A2534" s="8" t="n">
        <v>2370</v>
      </c>
      <c r="B2534" s="5" t="n">
        <v>76</v>
      </c>
      <c r="C2534" s="72" t="inlineStr">
        <is>
          <t>X</t>
        </is>
      </c>
      <c r="D2534" s="5" t="n">
        <v>358</v>
      </c>
      <c r="E2534" s="73">
        <f>B2534*D2534/10000</f>
        <v/>
      </c>
      <c r="F2534" s="74">
        <f>B2534/30.48</f>
        <v/>
      </c>
      <c r="G2534" s="74">
        <f>D2534/30.48</f>
        <v/>
      </c>
      <c r="H2534" s="290" t="inlineStr">
        <is>
          <t>WTR</t>
        </is>
      </c>
      <c r="I2534" s="570" t="inlineStr">
        <is>
          <t>DAVID CHAVARRIA</t>
        </is>
      </c>
      <c r="J2534" s="557" t="n"/>
      <c r="P2534" s="1" t="n"/>
      <c r="S2534" s="1" t="n"/>
    </row>
    <row r="2535" ht="18" customHeight="1" s="305">
      <c r="A2535" s="8" t="n">
        <v>3640</v>
      </c>
      <c r="B2535" s="5" t="n">
        <v>110</v>
      </c>
      <c r="C2535" s="72" t="inlineStr">
        <is>
          <t>X</t>
        </is>
      </c>
      <c r="D2535" s="5" t="n">
        <v>199</v>
      </c>
      <c r="E2535" s="73">
        <f>B2535*D2535/10000</f>
        <v/>
      </c>
      <c r="F2535" s="74">
        <f>B2535/30.48</f>
        <v/>
      </c>
      <c r="G2535" s="74">
        <f>D2535/30.48</f>
        <v/>
      </c>
      <c r="H2535" s="290" t="inlineStr">
        <is>
          <t>WTR</t>
        </is>
      </c>
      <c r="I2535" s="570" t="inlineStr">
        <is>
          <t>Pam Casper</t>
        </is>
      </c>
      <c r="J2535" s="557" t="n"/>
      <c r="P2535" s="1" t="n"/>
      <c r="S2535" s="1" t="n"/>
    </row>
    <row r="2536" ht="18" customHeight="1" s="305">
      <c r="A2536" s="8" t="inlineStr">
        <is>
          <t>D 443</t>
        </is>
      </c>
      <c r="B2536" s="5" t="n">
        <v>61</v>
      </c>
      <c r="C2536" s="72" t="inlineStr">
        <is>
          <t>X</t>
        </is>
      </c>
      <c r="D2536" s="5" t="n">
        <v>114</v>
      </c>
      <c r="E2536" s="73">
        <f>B2536*D2536/10000</f>
        <v/>
      </c>
      <c r="F2536" s="74">
        <f>B2536/30.48</f>
        <v/>
      </c>
      <c r="G2536" s="74">
        <f>D2536/30.48</f>
        <v/>
      </c>
      <c r="H2536" s="290" t="inlineStr">
        <is>
          <t>WTR</t>
        </is>
      </c>
      <c r="I2536" s="570" t="inlineStr">
        <is>
          <t>Allison Schmidt</t>
        </is>
      </c>
      <c r="J2536" s="557" t="n"/>
      <c r="P2536" s="1" t="n"/>
    </row>
    <row r="2537" ht="18" customHeight="1" s="305">
      <c r="A2537" s="8" t="n">
        <v>3712</v>
      </c>
      <c r="B2537" s="5" t="n">
        <v>73</v>
      </c>
      <c r="C2537" s="72" t="inlineStr">
        <is>
          <t>X</t>
        </is>
      </c>
      <c r="D2537" s="5" t="n">
        <v>246</v>
      </c>
      <c r="E2537" s="73">
        <f>B2537*D2537/10000</f>
        <v/>
      </c>
      <c r="F2537" s="74">
        <f>B2537/30.48</f>
        <v/>
      </c>
      <c r="G2537" s="74">
        <f>D2537/30.48</f>
        <v/>
      </c>
      <c r="H2537" s="360" t="inlineStr">
        <is>
          <t>LMX</t>
        </is>
      </c>
      <c r="I2537" s="534" t="inlineStr">
        <is>
          <t>Susan Sorrel</t>
        </is>
      </c>
      <c r="J2537" s="557" t="n"/>
      <c r="P2537" s="1" t="n"/>
      <c r="S2537" s="1" t="n"/>
    </row>
    <row r="2538" ht="18" customHeight="1" s="305">
      <c r="A2538" s="8" t="inlineStr">
        <is>
          <t>D 281</t>
        </is>
      </c>
      <c r="B2538" s="5" t="n">
        <v>50</v>
      </c>
      <c r="C2538" s="72" t="inlineStr">
        <is>
          <t>X</t>
        </is>
      </c>
      <c r="D2538" s="5" t="n">
        <v>100</v>
      </c>
      <c r="E2538" s="73">
        <f>B2538*D2538/10000</f>
        <v/>
      </c>
      <c r="F2538" s="74">
        <f>B2538/30.48</f>
        <v/>
      </c>
      <c r="G2538" s="74">
        <f>D2538/30.48</f>
        <v/>
      </c>
      <c r="H2538" s="694" t="n"/>
      <c r="I2538" s="693" t="n"/>
      <c r="J2538" s="545" t="n"/>
      <c r="P2538" s="1" t="n"/>
    </row>
    <row r="2539" ht="18" customHeight="1" s="305">
      <c r="A2539" s="8" t="n">
        <v>3454</v>
      </c>
      <c r="B2539" s="5" t="n">
        <v>75</v>
      </c>
      <c r="C2539" s="72" t="inlineStr">
        <is>
          <t>X</t>
        </is>
      </c>
      <c r="D2539" s="5" t="n">
        <v>206</v>
      </c>
      <c r="E2539" s="73">
        <f>B2539*D2539/10000</f>
        <v/>
      </c>
      <c r="F2539" s="74">
        <f>B2539/30.48</f>
        <v/>
      </c>
      <c r="G2539" s="74">
        <f>D2539/30.48</f>
        <v/>
      </c>
      <c r="H2539" s="319" t="inlineStr">
        <is>
          <t>LMX</t>
        </is>
      </c>
      <c r="I2539" s="534" t="inlineStr">
        <is>
          <t>allison Governale</t>
        </is>
      </c>
      <c r="J2539" s="545" t="n"/>
      <c r="P2539" s="1" t="n"/>
    </row>
    <row r="2540" ht="18" customHeight="1" s="305">
      <c r="A2540" s="8" t="n">
        <v>3483</v>
      </c>
      <c r="B2540" s="5" t="n">
        <v>198</v>
      </c>
      <c r="C2540" s="72" t="inlineStr">
        <is>
          <t>X</t>
        </is>
      </c>
      <c r="D2540" s="5" t="n">
        <v>298</v>
      </c>
      <c r="E2540" s="73">
        <f>B2540*D2540/10000</f>
        <v/>
      </c>
      <c r="F2540" s="74">
        <f>B2540/30.48</f>
        <v/>
      </c>
      <c r="G2540" s="74">
        <f>D2540/30.48</f>
        <v/>
      </c>
      <c r="H2540" s="319" t="inlineStr">
        <is>
          <t>LMX</t>
        </is>
      </c>
      <c r="I2540" s="570" t="inlineStr">
        <is>
          <t>Kaitlin Perri</t>
        </is>
      </c>
      <c r="J2540" s="557" t="n"/>
      <c r="P2540" s="1" t="n"/>
    </row>
    <row r="2541" ht="18" customHeight="1" s="305">
      <c r="A2541" s="8" t="n">
        <v>3755</v>
      </c>
      <c r="B2541" s="5" t="n">
        <v>105</v>
      </c>
      <c r="C2541" s="72" t="inlineStr">
        <is>
          <t>X</t>
        </is>
      </c>
      <c r="D2541" s="5" t="n">
        <v>290</v>
      </c>
      <c r="E2541" s="73">
        <f>B2541*D2541/10000</f>
        <v/>
      </c>
      <c r="F2541" s="74">
        <f>B2541/30.48</f>
        <v/>
      </c>
      <c r="G2541" s="74">
        <f>D2541/30.48</f>
        <v/>
      </c>
      <c r="H2541" s="289" t="inlineStr">
        <is>
          <t>LPR</t>
        </is>
      </c>
      <c r="I2541" s="570" t="inlineStr">
        <is>
          <t>Carrie Delany</t>
        </is>
      </c>
      <c r="J2541" s="557" t="n"/>
      <c r="P2541" s="1" t="n"/>
      <c r="S2541" s="1" t="n"/>
    </row>
    <row r="2542" ht="18" customHeight="1" s="305">
      <c r="A2542" s="8" t="n">
        <v>2191</v>
      </c>
      <c r="B2542" s="5" t="n">
        <v>87</v>
      </c>
      <c r="C2542" s="72" t="inlineStr">
        <is>
          <t>X</t>
        </is>
      </c>
      <c r="D2542" s="5" t="n">
        <v>358</v>
      </c>
      <c r="E2542" s="73">
        <f>B2542*D2542/10000</f>
        <v/>
      </c>
      <c r="F2542" s="74">
        <f>B2542/30.48</f>
        <v/>
      </c>
      <c r="G2542" s="74">
        <f>D2542/30.48</f>
        <v/>
      </c>
      <c r="H2542" s="290" t="inlineStr">
        <is>
          <t>WTR</t>
        </is>
      </c>
      <c r="I2542" s="570" t="inlineStr">
        <is>
          <t>steven cahill</t>
        </is>
      </c>
      <c r="J2542" s="557" t="n"/>
      <c r="P2542" s="1" t="n"/>
    </row>
    <row r="2543" ht="18" customHeight="1" s="305">
      <c r="A2543" s="8" t="n">
        <v>3002</v>
      </c>
      <c r="B2543" s="5" t="n">
        <v>87</v>
      </c>
      <c r="C2543" s="72" t="inlineStr">
        <is>
          <t>X</t>
        </is>
      </c>
      <c r="D2543" s="5" t="n">
        <v>313</v>
      </c>
      <c r="E2543" s="73">
        <f>B2543*D2543/10000</f>
        <v/>
      </c>
      <c r="F2543" s="74">
        <f>B2543/30.48</f>
        <v/>
      </c>
      <c r="G2543" s="74">
        <f>D2543/30.48</f>
        <v/>
      </c>
      <c r="H2543" s="594" t="inlineStr">
        <is>
          <t>RK</t>
        </is>
      </c>
      <c r="I2543" s="534" t="inlineStr">
        <is>
          <t>JoLynn Aponte</t>
        </is>
      </c>
      <c r="J2543" s="545" t="n"/>
      <c r="P2543" s="1" t="n"/>
      <c r="S2543" s="1" t="n"/>
    </row>
    <row r="2544" ht="18" customHeight="1" s="305">
      <c r="A2544" s="8" t="n">
        <v>3756</v>
      </c>
      <c r="B2544" s="5" t="n">
        <v>103</v>
      </c>
      <c r="C2544" s="72" t="inlineStr">
        <is>
          <t>X</t>
        </is>
      </c>
      <c r="D2544" s="5" t="n">
        <v>312</v>
      </c>
      <c r="E2544" s="73">
        <f>B2544*D2544/10000</f>
        <v/>
      </c>
      <c r="F2544" s="74">
        <f>B2544/30.48</f>
        <v/>
      </c>
      <c r="G2544" s="74">
        <f>D2544/30.48</f>
        <v/>
      </c>
      <c r="H2544" s="319" t="inlineStr">
        <is>
          <t>LMX</t>
        </is>
      </c>
      <c r="I2544" s="570" t="inlineStr">
        <is>
          <t>Meghan Lambert</t>
        </is>
      </c>
      <c r="J2544" s="557" t="n"/>
      <c r="P2544" s="1" t="n"/>
    </row>
    <row r="2545" ht="18" customHeight="1" s="305">
      <c r="A2545" s="8" t="n">
        <v>1735</v>
      </c>
      <c r="B2545" s="5" t="n">
        <v>287</v>
      </c>
      <c r="C2545" s="72" t="inlineStr">
        <is>
          <t>X</t>
        </is>
      </c>
      <c r="D2545" s="5" t="n">
        <v>379</v>
      </c>
      <c r="E2545" s="73">
        <f>B2545*D2545/10000</f>
        <v/>
      </c>
      <c r="F2545" s="74">
        <f>B2545/30.48</f>
        <v/>
      </c>
      <c r="G2545" s="74">
        <f>D2545/30.48</f>
        <v/>
      </c>
      <c r="H2545" s="592" t="inlineStr">
        <is>
          <t>PAC</t>
        </is>
      </c>
      <c r="I2545" s="570" t="inlineStr">
        <is>
          <t>Kylie Salerno</t>
        </is>
      </c>
      <c r="J2545" s="557" t="n"/>
      <c r="P2545" s="1" t="n"/>
    </row>
    <row r="2546" ht="18" customHeight="1" s="305">
      <c r="A2546" s="8" t="n">
        <v>2469</v>
      </c>
      <c r="B2546" s="5" t="n">
        <v>84</v>
      </c>
      <c r="C2546" s="72" t="inlineStr">
        <is>
          <t>X</t>
        </is>
      </c>
      <c r="D2546" s="5" t="n">
        <v>313</v>
      </c>
      <c r="E2546" s="73">
        <f>B2546*D2546/10000</f>
        <v/>
      </c>
      <c r="F2546" s="74">
        <f>B2546/30.48</f>
        <v/>
      </c>
      <c r="G2546" s="74">
        <f>D2546/30.48</f>
        <v/>
      </c>
      <c r="H2546" s="290" t="inlineStr">
        <is>
          <t>WTR</t>
        </is>
      </c>
      <c r="I2546" s="570" t="inlineStr">
        <is>
          <t>Colleen Kelly</t>
        </is>
      </c>
      <c r="J2546" s="557" t="n"/>
      <c r="P2546" s="1" t="n"/>
      <c r="S2546" s="1" t="n"/>
    </row>
    <row r="2547" ht="18" customHeight="1" s="305">
      <c r="A2547" s="8" t="n">
        <v>3912</v>
      </c>
      <c r="B2547" s="5" t="n">
        <v>78</v>
      </c>
      <c r="C2547" s="72" t="inlineStr">
        <is>
          <t>X</t>
        </is>
      </c>
      <c r="D2547" s="5" t="n">
        <v>267</v>
      </c>
      <c r="E2547" s="73">
        <f>B2547*D2547/10000</f>
        <v/>
      </c>
      <c r="F2547" s="74">
        <f>B2547/30.48</f>
        <v/>
      </c>
      <c r="G2547" s="74">
        <f>D2547/30.48</f>
        <v/>
      </c>
      <c r="H2547" s="314" t="inlineStr">
        <is>
          <t>WLB</t>
        </is>
      </c>
      <c r="I2547" s="534" t="inlineStr">
        <is>
          <t>Annie Stutts</t>
        </is>
      </c>
      <c r="J2547" s="545" t="n"/>
      <c r="P2547" s="1" t="n"/>
      <c r="S2547" s="1" t="n"/>
    </row>
    <row r="2548" ht="18" customHeight="1" s="305">
      <c r="A2548" s="8" t="n">
        <v>3779</v>
      </c>
      <c r="B2548" s="5" t="n">
        <v>109</v>
      </c>
      <c r="C2548" s="72" t="inlineStr">
        <is>
          <t>X</t>
        </is>
      </c>
      <c r="D2548" s="5" t="n">
        <v>305</v>
      </c>
      <c r="E2548" s="73">
        <f>B2548*D2548/10000</f>
        <v/>
      </c>
      <c r="F2548" s="74">
        <f>B2548/30.48</f>
        <v/>
      </c>
      <c r="G2548" s="74">
        <f>D2548/30.48</f>
        <v/>
      </c>
      <c r="H2548" s="289" t="inlineStr">
        <is>
          <t>LPR</t>
        </is>
      </c>
      <c r="I2548" s="570" t="inlineStr">
        <is>
          <t>Carrie Delany</t>
        </is>
      </c>
      <c r="J2548" s="557" t="n"/>
      <c r="P2548" s="1" t="n"/>
    </row>
    <row r="2549" ht="18" customHeight="1" s="305">
      <c r="A2549" s="8" t="inlineStr">
        <is>
          <t>D 459</t>
        </is>
      </c>
      <c r="B2549" s="5" t="n">
        <v>43</v>
      </c>
      <c r="C2549" s="72" t="inlineStr">
        <is>
          <t>X</t>
        </is>
      </c>
      <c r="D2549" s="5" t="n">
        <v>69</v>
      </c>
      <c r="E2549" s="73">
        <f>B2549*D2549/10000</f>
        <v/>
      </c>
      <c r="F2549" s="74">
        <f>B2549/30.48</f>
        <v/>
      </c>
      <c r="G2549" s="74">
        <f>D2549/30.48</f>
        <v/>
      </c>
      <c r="H2549" s="290" t="inlineStr">
        <is>
          <t>WTR</t>
        </is>
      </c>
      <c r="I2549" s="570" t="inlineStr">
        <is>
          <t>Jennie Ramsey</t>
        </is>
      </c>
      <c r="J2549" s="557" t="n"/>
      <c r="P2549" s="1" t="n"/>
    </row>
    <row r="2550" ht="18" customHeight="1" s="305">
      <c r="A2550" s="8" t="inlineStr">
        <is>
          <t>H 19</t>
        </is>
      </c>
      <c r="B2550" s="5" t="n">
        <v>84</v>
      </c>
      <c r="C2550" s="72" t="inlineStr">
        <is>
          <t>X</t>
        </is>
      </c>
      <c r="D2550" s="5" t="n">
        <v>392</v>
      </c>
      <c r="E2550" s="73">
        <f>B2550*D2550/10000</f>
        <v/>
      </c>
      <c r="F2550" s="74">
        <f>B2550/30.48</f>
        <v/>
      </c>
      <c r="G2550" s="74">
        <f>D2550/30.48</f>
        <v/>
      </c>
      <c r="H2550" s="290" t="inlineStr">
        <is>
          <t>WTR</t>
        </is>
      </c>
      <c r="I2550" s="534" t="inlineStr">
        <is>
          <t>Guy Michael Caputo</t>
        </is>
      </c>
      <c r="J2550" s="545" t="n"/>
      <c r="P2550" s="1" t="n"/>
    </row>
    <row r="2551" ht="18" customHeight="1" s="305">
      <c r="A2551" s="8" t="n">
        <v>2882</v>
      </c>
      <c r="B2551" s="5" t="n">
        <v>132</v>
      </c>
      <c r="C2551" s="72" t="inlineStr">
        <is>
          <t>X</t>
        </is>
      </c>
      <c r="D2551" s="5" t="n">
        <v>230</v>
      </c>
      <c r="E2551" s="73">
        <f>B2551*D2551/10000</f>
        <v/>
      </c>
      <c r="F2551" s="74">
        <f>B2551/30.48</f>
        <v/>
      </c>
      <c r="G2551" s="74">
        <f>D2551/30.48</f>
        <v/>
      </c>
      <c r="H2551" s="594" t="inlineStr">
        <is>
          <t>RK</t>
        </is>
      </c>
      <c r="I2551" s="570" t="inlineStr">
        <is>
          <t>Erin Broholm</t>
        </is>
      </c>
      <c r="J2551" s="557" t="n"/>
      <c r="P2551" s="1" t="n"/>
    </row>
    <row r="2552" ht="18" customHeight="1" s="305">
      <c r="A2552" s="8" t="n">
        <v>3859</v>
      </c>
      <c r="B2552" s="5" t="n">
        <v>117</v>
      </c>
      <c r="C2552" s="72" t="inlineStr">
        <is>
          <t>X</t>
        </is>
      </c>
      <c r="D2552" s="5" t="n">
        <v>205</v>
      </c>
      <c r="E2552" s="73">
        <f>B2552*D2552/10000</f>
        <v/>
      </c>
      <c r="F2552" s="74">
        <f>B2552/30.48</f>
        <v/>
      </c>
      <c r="G2552" s="74">
        <f>D2552/30.48</f>
        <v/>
      </c>
      <c r="H2552" s="290" t="inlineStr">
        <is>
          <t>WTR</t>
        </is>
      </c>
      <c r="I2552" s="534" t="inlineStr">
        <is>
          <t>Megan Beckemeier</t>
        </is>
      </c>
      <c r="J2552" s="545" t="n"/>
      <c r="P2552" s="1" t="n"/>
      <c r="S2552" s="1" t="n"/>
    </row>
    <row r="2553" ht="18" customHeight="1" s="305">
      <c r="A2553" s="8" t="n">
        <v>2611</v>
      </c>
      <c r="B2553" s="5" t="n">
        <v>125</v>
      </c>
      <c r="C2553" s="72" t="inlineStr">
        <is>
          <t>X</t>
        </is>
      </c>
      <c r="D2553" s="5" t="n">
        <v>187</v>
      </c>
      <c r="E2553" s="73">
        <f>B2553*D2553/10000</f>
        <v/>
      </c>
      <c r="F2553" s="74">
        <f>B2553/30.48</f>
        <v/>
      </c>
      <c r="G2553" s="74">
        <f>D2553/30.48</f>
        <v/>
      </c>
      <c r="H2553" s="594" t="inlineStr">
        <is>
          <t>RK</t>
        </is>
      </c>
      <c r="I2553" s="570" t="inlineStr">
        <is>
          <t>Susan Rusterholz</t>
        </is>
      </c>
      <c r="J2553" s="557" t="n"/>
      <c r="P2553" s="1" t="n"/>
      <c r="S2553" s="1" t="n"/>
    </row>
    <row r="2554" ht="18" customHeight="1" s="305">
      <c r="A2554" s="8" t="n">
        <v>2508</v>
      </c>
      <c r="B2554" s="5" t="n">
        <v>82</v>
      </c>
      <c r="C2554" s="72" t="inlineStr">
        <is>
          <t>X</t>
        </is>
      </c>
      <c r="D2554" s="5" t="n">
        <v>360</v>
      </c>
      <c r="E2554" s="73">
        <f>B2554*D2554/10000</f>
        <v/>
      </c>
      <c r="F2554" s="74">
        <f>B2554/30.48</f>
        <v/>
      </c>
      <c r="G2554" s="74">
        <f>D2554/30.48</f>
        <v/>
      </c>
      <c r="H2554" s="290" t="inlineStr">
        <is>
          <t>WTR</t>
        </is>
      </c>
      <c r="I2554" s="570" t="inlineStr">
        <is>
          <t>Ashley A Matthews</t>
        </is>
      </c>
      <c r="J2554" s="557" t="n"/>
      <c r="P2554" s="1" t="n"/>
      <c r="S2554" s="1" t="n"/>
    </row>
    <row r="2555" ht="18" customHeight="1" s="305">
      <c r="A2555" s="8" t="n">
        <v>2571</v>
      </c>
      <c r="B2555" s="5" t="n">
        <v>130</v>
      </c>
      <c r="C2555" s="72" t="inlineStr">
        <is>
          <t>X</t>
        </is>
      </c>
      <c r="D2555" s="5" t="n">
        <v>357</v>
      </c>
      <c r="E2555" s="73">
        <f>B2555*D2555/10000</f>
        <v/>
      </c>
      <c r="F2555" s="74">
        <f>B2555/30.48</f>
        <v/>
      </c>
      <c r="G2555" s="74">
        <f>D2555/30.48</f>
        <v/>
      </c>
      <c r="H2555" s="594" t="inlineStr">
        <is>
          <t>RK</t>
        </is>
      </c>
      <c r="I2555" s="570" t="inlineStr">
        <is>
          <t>Callen Hutchen</t>
        </is>
      </c>
      <c r="J2555" s="557" t="n"/>
      <c r="P2555" s="1" t="n"/>
      <c r="S2555" s="1" t="n"/>
    </row>
    <row r="2556" ht="18" customHeight="1" s="305">
      <c r="A2556" s="8" t="n">
        <v>3751</v>
      </c>
      <c r="B2556" s="5" t="n">
        <v>97</v>
      </c>
      <c r="C2556" s="72" t="inlineStr">
        <is>
          <t>X</t>
        </is>
      </c>
      <c r="D2556" s="5" t="n">
        <v>268</v>
      </c>
      <c r="E2556" s="73">
        <f>B2556*D2556/10000</f>
        <v/>
      </c>
      <c r="F2556" s="74">
        <f>B2556/30.48</f>
        <v/>
      </c>
      <c r="G2556" s="74">
        <f>D2556/30.48</f>
        <v/>
      </c>
      <c r="H2556" s="319" t="inlineStr">
        <is>
          <t>LMX</t>
        </is>
      </c>
      <c r="I2556" s="570" t="inlineStr">
        <is>
          <t>Virginia Baldwin</t>
        </is>
      </c>
      <c r="J2556" s="557" t="n"/>
      <c r="P2556" s="1" t="n"/>
      <c r="S2556" s="1" t="n"/>
    </row>
    <row r="2557" ht="18" customHeight="1" s="305">
      <c r="A2557" s="8" t="n">
        <v>42</v>
      </c>
      <c r="B2557" s="5" t="n">
        <v>84</v>
      </c>
      <c r="C2557" s="6" t="inlineStr">
        <is>
          <t>X</t>
        </is>
      </c>
      <c r="D2557" s="5" t="n">
        <v>47</v>
      </c>
      <c r="E2557" s="2">
        <f>B2557*D2557/10000</f>
        <v/>
      </c>
      <c r="F2557" s="3">
        <f>B2557/30.48</f>
        <v/>
      </c>
      <c r="G2557" s="3">
        <f>D2557/30.48</f>
        <v/>
      </c>
      <c r="H2557" s="319" t="inlineStr">
        <is>
          <t>LMX</t>
        </is>
      </c>
      <c r="I2557" s="570" t="inlineStr">
        <is>
          <t>CHAD SOUTHWORTH</t>
        </is>
      </c>
      <c r="J2557" s="557" t="n"/>
      <c r="P2557" s="1" t="n"/>
      <c r="S2557" s="1" t="n"/>
    </row>
    <row r="2558" ht="18" customHeight="1" s="305">
      <c r="A2558" s="8" t="inlineStr">
        <is>
          <t>C 800</t>
        </is>
      </c>
      <c r="B2558" s="5" t="n">
        <v>87</v>
      </c>
      <c r="C2558" s="6" t="inlineStr">
        <is>
          <t>X</t>
        </is>
      </c>
      <c r="D2558" s="5" t="n">
        <v>201</v>
      </c>
      <c r="E2558" s="2">
        <f>B2558*D2558/10000</f>
        <v/>
      </c>
      <c r="F2558" s="3">
        <f>B2558/30.48</f>
        <v/>
      </c>
      <c r="G2558" s="3">
        <f>D2558/30.48</f>
        <v/>
      </c>
      <c r="H2558" s="594" t="inlineStr">
        <is>
          <t>MCHD-TR</t>
        </is>
      </c>
      <c r="I2558" s="545" t="n"/>
      <c r="J2558" s="545" t="n"/>
      <c r="P2558" s="1" t="n"/>
      <c r="S2558" s="1" t="n"/>
    </row>
    <row r="2559" ht="18" customHeight="1" s="305">
      <c r="A2559" s="8" t="n">
        <v>3656</v>
      </c>
      <c r="B2559" s="5" t="n">
        <v>208</v>
      </c>
      <c r="C2559" s="72" t="inlineStr">
        <is>
          <t>X</t>
        </is>
      </c>
      <c r="D2559" s="5" t="n">
        <v>300</v>
      </c>
      <c r="E2559" s="73">
        <f>B2559*D2559/10000</f>
        <v/>
      </c>
      <c r="F2559" s="74">
        <f>B2559/30.48</f>
        <v/>
      </c>
      <c r="G2559" s="74">
        <f>D2559/30.48</f>
        <v/>
      </c>
      <c r="H2559" s="290" t="inlineStr">
        <is>
          <t>WTR</t>
        </is>
      </c>
      <c r="I2559" s="534" t="inlineStr">
        <is>
          <t>Bucks Transport</t>
        </is>
      </c>
      <c r="J2559" s="545" t="n"/>
      <c r="P2559" s="1" t="n"/>
      <c r="S2559" s="1" t="n"/>
    </row>
    <row r="2560" ht="18" customHeight="1" s="305">
      <c r="A2560" s="8" t="n">
        <v>3242</v>
      </c>
      <c r="B2560" s="5" t="n">
        <v>79</v>
      </c>
      <c r="C2560" s="72" t="inlineStr">
        <is>
          <t>X</t>
        </is>
      </c>
      <c r="D2560" s="5" t="n">
        <v>288</v>
      </c>
      <c r="E2560" s="73">
        <f>B2560*D2560/10000</f>
        <v/>
      </c>
      <c r="F2560" s="74">
        <f>B2560/30.48</f>
        <v/>
      </c>
      <c r="G2560" s="74">
        <f>D2560/30.48</f>
        <v/>
      </c>
      <c r="H2560" s="290" t="inlineStr">
        <is>
          <t>WTR</t>
        </is>
      </c>
      <c r="I2560" s="321" t="inlineStr">
        <is>
          <t>Rita Powers</t>
        </is>
      </c>
      <c r="J2560" s="560" t="inlineStr">
        <is>
          <t>US-404 202 4858</t>
        </is>
      </c>
      <c r="P2560" s="1" t="n"/>
    </row>
    <row r="2561" ht="18" customHeight="1" s="305">
      <c r="A2561" s="8" t="n">
        <v>2526</v>
      </c>
      <c r="B2561" s="5" t="n">
        <v>103</v>
      </c>
      <c r="C2561" s="72" t="inlineStr">
        <is>
          <t>X</t>
        </is>
      </c>
      <c r="D2561" s="5" t="n">
        <v>321</v>
      </c>
      <c r="E2561" s="73">
        <f>B2561*D2561/10000</f>
        <v/>
      </c>
      <c r="F2561" s="74">
        <f>B2561/30.48</f>
        <v/>
      </c>
      <c r="G2561" s="74">
        <f>D2561/30.48</f>
        <v/>
      </c>
      <c r="H2561" s="594" t="inlineStr">
        <is>
          <t>RK</t>
        </is>
      </c>
      <c r="I2561" s="570" t="inlineStr">
        <is>
          <t>Michelle Goehring</t>
        </is>
      </c>
      <c r="J2561" s="557" t="n"/>
      <c r="P2561" s="1" t="n"/>
    </row>
    <row r="2562" ht="18" customHeight="1" s="305">
      <c r="A2562" s="8" t="inlineStr">
        <is>
          <t>C 423</t>
        </is>
      </c>
      <c r="B2562" s="5" t="n">
        <v>73</v>
      </c>
      <c r="C2562" s="6" t="inlineStr">
        <is>
          <t>X</t>
        </is>
      </c>
      <c r="D2562" s="5" t="n">
        <v>253</v>
      </c>
      <c r="E2562" s="2">
        <f>B2562*D2562/10000</f>
        <v/>
      </c>
      <c r="F2562" s="3">
        <f>B2562/30.48</f>
        <v/>
      </c>
      <c r="G2562" s="3">
        <f>D2562/30.48</f>
        <v/>
      </c>
      <c r="H2562" s="569" t="inlineStr">
        <is>
          <t>OLD</t>
        </is>
      </c>
      <c r="I2562" s="534" t="inlineStr">
        <is>
          <t>Grace F Mcbain</t>
        </is>
      </c>
      <c r="J2562" s="545" t="n"/>
      <c r="P2562" s="1" t="n"/>
    </row>
    <row r="2563" ht="18" customHeight="1" s="305">
      <c r="A2563" s="8" t="n">
        <v>1030</v>
      </c>
      <c r="B2563" s="5" t="n">
        <v>121</v>
      </c>
      <c r="C2563" s="72" t="inlineStr">
        <is>
          <t>X</t>
        </is>
      </c>
      <c r="D2563" s="5" t="n">
        <v>170</v>
      </c>
      <c r="E2563" s="73">
        <f>B2563*D2563/10000</f>
        <v/>
      </c>
      <c r="F2563" s="74">
        <f>B2563/30.48</f>
        <v/>
      </c>
      <c r="G2563" s="74">
        <f>D2563/30.48</f>
        <v/>
      </c>
      <c r="H2563" s="594" t="inlineStr">
        <is>
          <t>MCHD-TR</t>
        </is>
      </c>
      <c r="I2563" s="545" t="n"/>
      <c r="J2563" s="545" t="n"/>
      <c r="P2563" s="1" t="n"/>
    </row>
    <row r="2564" ht="18" customHeight="1" s="305">
      <c r="A2564" s="8" t="n">
        <v>3501</v>
      </c>
      <c r="B2564" s="5" t="n">
        <v>70</v>
      </c>
      <c r="C2564" s="72" t="inlineStr">
        <is>
          <t>X</t>
        </is>
      </c>
      <c r="D2564" s="5" t="n">
        <v>317</v>
      </c>
      <c r="E2564" s="73">
        <f>B2564*D2564/10000</f>
        <v/>
      </c>
      <c r="F2564" s="74">
        <f>B2564/30.48</f>
        <v/>
      </c>
      <c r="G2564" s="74">
        <f>D2564/30.48</f>
        <v/>
      </c>
      <c r="H2564" s="290" t="inlineStr">
        <is>
          <t>WTR</t>
        </is>
      </c>
      <c r="I2564" s="570" t="inlineStr">
        <is>
          <t>Elise Christensmith</t>
        </is>
      </c>
      <c r="J2564" s="557" t="n"/>
      <c r="P2564" s="1" t="n"/>
    </row>
    <row r="2565" ht="18" customHeight="1" s="305">
      <c r="A2565" s="8" t="n">
        <v>3478</v>
      </c>
      <c r="B2565" s="5" t="n">
        <v>90</v>
      </c>
      <c r="C2565" s="72" t="inlineStr">
        <is>
          <t>X</t>
        </is>
      </c>
      <c r="D2565" s="5" t="n">
        <v>337</v>
      </c>
      <c r="E2565" s="73">
        <f>B2565*D2565/10000</f>
        <v/>
      </c>
      <c r="F2565" s="74">
        <f>B2565/30.48</f>
        <v/>
      </c>
      <c r="G2565" s="74">
        <f>D2565/30.48</f>
        <v/>
      </c>
      <c r="H2565" s="290" t="inlineStr">
        <is>
          <t>WTR</t>
        </is>
      </c>
      <c r="I2565" s="534" t="inlineStr">
        <is>
          <t>Anna Katherine Geils</t>
        </is>
      </c>
      <c r="J2565" s="545" t="n"/>
      <c r="P2565" s="1" t="n"/>
    </row>
    <row r="2566" ht="18" customHeight="1" s="305">
      <c r="A2566" s="8" t="n">
        <v>1752</v>
      </c>
      <c r="B2566" s="5" t="n">
        <v>262</v>
      </c>
      <c r="C2566" s="72" t="inlineStr">
        <is>
          <t>X</t>
        </is>
      </c>
      <c r="D2566" s="5" t="n">
        <v>381</v>
      </c>
      <c r="E2566" s="73">
        <f>B2566*D2566/10000</f>
        <v/>
      </c>
      <c r="F2566" s="74">
        <f>B2566/30.48</f>
        <v/>
      </c>
      <c r="G2566" s="74">
        <f>D2566/30.48</f>
        <v/>
      </c>
      <c r="H2566" s="592" t="inlineStr">
        <is>
          <t>PAC</t>
        </is>
      </c>
      <c r="I2566" s="534" t="inlineStr">
        <is>
          <t>Loy R Nixon</t>
        </is>
      </c>
      <c r="J2566" s="545" t="n"/>
      <c r="P2566" s="1" t="n"/>
    </row>
    <row r="2567" ht="18" customHeight="1" s="305">
      <c r="A2567" s="8" t="n">
        <v>2236</v>
      </c>
      <c r="B2567" s="5" t="n">
        <v>121</v>
      </c>
      <c r="C2567" s="72" t="inlineStr">
        <is>
          <t>X</t>
        </is>
      </c>
      <c r="D2567" s="5" t="n">
        <v>183</v>
      </c>
      <c r="E2567" s="73">
        <f>B2567*D2567/10000</f>
        <v/>
      </c>
      <c r="F2567" s="74">
        <f>B2567/30.48</f>
        <v/>
      </c>
      <c r="G2567" s="74">
        <f>D2567/30.48</f>
        <v/>
      </c>
      <c r="H2567" s="290" t="inlineStr">
        <is>
          <t>WTR</t>
        </is>
      </c>
      <c r="I2567" s="570" t="inlineStr">
        <is>
          <t>Danielle Postiglione</t>
        </is>
      </c>
      <c r="J2567" s="557" t="n"/>
      <c r="P2567" s="1" t="n"/>
    </row>
    <row r="2568" ht="18" customHeight="1" s="305">
      <c r="A2568" s="8" t="n">
        <v>2936</v>
      </c>
      <c r="B2568" s="5" t="n">
        <v>72</v>
      </c>
      <c r="C2568" s="72" t="inlineStr">
        <is>
          <t>X</t>
        </is>
      </c>
      <c r="D2568" s="5" t="n">
        <v>130</v>
      </c>
      <c r="E2568" s="73">
        <f>B2568*D2568/10000</f>
        <v/>
      </c>
      <c r="F2568" s="74">
        <f>B2568/30.48</f>
        <v/>
      </c>
      <c r="G2568" s="74">
        <f>D2568/30.48</f>
        <v/>
      </c>
      <c r="H2568" s="290" t="inlineStr">
        <is>
          <t>WTR</t>
        </is>
      </c>
      <c r="I2568" s="570" t="inlineStr">
        <is>
          <t>Kim Rogers</t>
        </is>
      </c>
      <c r="J2568" s="557" t="n"/>
      <c r="P2568" s="1" t="n"/>
      <c r="S2568" s="1" t="n"/>
    </row>
    <row r="2569" ht="18" customHeight="1" s="305">
      <c r="A2569" s="8" t="n">
        <v>3413</v>
      </c>
      <c r="B2569" s="5" t="n">
        <v>76</v>
      </c>
      <c r="C2569" s="72" t="inlineStr">
        <is>
          <t>X</t>
        </is>
      </c>
      <c r="D2569" s="5" t="n">
        <v>158</v>
      </c>
      <c r="E2569" s="73">
        <f>B2569*D2569/10000</f>
        <v/>
      </c>
      <c r="F2569" s="74">
        <f>B2569/30.48</f>
        <v/>
      </c>
      <c r="G2569" s="74">
        <f>D2569/30.48</f>
        <v/>
      </c>
      <c r="H2569" s="594" t="inlineStr">
        <is>
          <t>RK</t>
        </is>
      </c>
      <c r="I2569" s="570" t="inlineStr">
        <is>
          <t>Mary Lopes</t>
        </is>
      </c>
      <c r="J2569" s="557" t="n"/>
      <c r="P2569" s="1" t="n"/>
      <c r="S2569" s="1" t="n"/>
    </row>
    <row r="2570" ht="18" customHeight="1" s="305">
      <c r="A2570" s="8" t="n">
        <v>3384</v>
      </c>
      <c r="B2570" s="5" t="n">
        <v>103</v>
      </c>
      <c r="C2570" s="72" t="inlineStr">
        <is>
          <t>X</t>
        </is>
      </c>
      <c r="D2570" s="5" t="n">
        <v>356</v>
      </c>
      <c r="E2570" s="73">
        <f>B2570*D2570/10000</f>
        <v/>
      </c>
      <c r="F2570" s="74">
        <f>B2570/30.48</f>
        <v/>
      </c>
      <c r="G2570" s="74">
        <f>D2570/30.48</f>
        <v/>
      </c>
      <c r="H2570" s="594" t="inlineStr">
        <is>
          <t>RK</t>
        </is>
      </c>
      <c r="I2570" s="534" t="inlineStr">
        <is>
          <t>Jordan Feldtkeller</t>
        </is>
      </c>
      <c r="J2570" s="545" t="n"/>
      <c r="P2570" s="1" t="n"/>
      <c r="S2570" s="1" t="n"/>
    </row>
    <row r="2571" ht="18" customHeight="1" s="305">
      <c r="A2571" s="8" t="n">
        <v>3336</v>
      </c>
      <c r="B2571" s="5" t="n">
        <v>87</v>
      </c>
      <c r="C2571" s="72" t="inlineStr">
        <is>
          <t>X</t>
        </is>
      </c>
      <c r="D2571" s="5" t="n">
        <v>286</v>
      </c>
      <c r="E2571" s="73">
        <f>B2571*D2571/10000</f>
        <v/>
      </c>
      <c r="F2571" s="74">
        <f>B2571/30.48</f>
        <v/>
      </c>
      <c r="G2571" s="74">
        <f>D2571/30.48</f>
        <v/>
      </c>
      <c r="H2571" s="286" t="inlineStr">
        <is>
          <t>ARF</t>
        </is>
      </c>
      <c r="I2571" s="534" t="inlineStr">
        <is>
          <t>Danae Parker</t>
        </is>
      </c>
      <c r="J2571" s="545" t="n"/>
      <c r="P2571" s="1" t="n"/>
      <c r="S2571" s="1" t="n"/>
    </row>
    <row r="2572" ht="18" customHeight="1" s="305">
      <c r="A2572" s="8" t="n">
        <v>1616</v>
      </c>
      <c r="B2572" s="5" t="n">
        <v>372</v>
      </c>
      <c r="C2572" s="72" t="inlineStr">
        <is>
          <t>X</t>
        </is>
      </c>
      <c r="D2572" s="5" t="n">
        <v>90</v>
      </c>
      <c r="E2572" s="73">
        <f>B2572*D2572/10000</f>
        <v/>
      </c>
      <c r="F2572" s="74">
        <f>B2572/30.48</f>
        <v/>
      </c>
      <c r="G2572" s="74">
        <f>D2572/30.48</f>
        <v/>
      </c>
      <c r="H2572" s="594" t="inlineStr">
        <is>
          <t>RK</t>
        </is>
      </c>
      <c r="I2572" s="570" t="inlineStr">
        <is>
          <t>Yvonne McGinty</t>
        </is>
      </c>
      <c r="J2572" s="557" t="n"/>
      <c r="P2572" s="1" t="n"/>
    </row>
    <row r="2573" ht="18" customHeight="1" s="305">
      <c r="A2573" s="8" t="inlineStr">
        <is>
          <t>H 267</t>
        </is>
      </c>
      <c r="B2573" s="5" t="n">
        <v>94</v>
      </c>
      <c r="C2573" s="72" t="inlineStr">
        <is>
          <t>X</t>
        </is>
      </c>
      <c r="D2573" s="5" t="n">
        <v>302</v>
      </c>
      <c r="E2573" s="73">
        <f>B2573*D2573/10000</f>
        <v/>
      </c>
      <c r="F2573" s="74">
        <f>B2573/30.48</f>
        <v/>
      </c>
      <c r="G2573" s="74">
        <f>D2573/30.48</f>
        <v/>
      </c>
      <c r="H2573" s="290" t="inlineStr">
        <is>
          <t>WTR</t>
        </is>
      </c>
      <c r="I2573" s="570" t="inlineStr">
        <is>
          <t>Emily Miller</t>
        </is>
      </c>
      <c r="J2573" s="557" t="n"/>
      <c r="P2573" s="1" t="n"/>
      <c r="S2573" s="1" t="n"/>
    </row>
    <row r="2574" ht="18" customHeight="1" s="305">
      <c r="A2574" s="8" t="n">
        <v>3326</v>
      </c>
      <c r="B2574" s="5" t="n">
        <v>79</v>
      </c>
      <c r="C2574" s="72" t="inlineStr">
        <is>
          <t>X</t>
        </is>
      </c>
      <c r="D2574" s="5" t="n">
        <v>332</v>
      </c>
      <c r="E2574" s="73">
        <f>B2574*D2574/10000</f>
        <v/>
      </c>
      <c r="F2574" s="74">
        <f>B2574/30.48</f>
        <v/>
      </c>
      <c r="G2574" s="74">
        <f>D2574/30.48</f>
        <v/>
      </c>
      <c r="H2574" s="290" t="inlineStr">
        <is>
          <t>WTR</t>
        </is>
      </c>
      <c r="I2574" s="534" t="inlineStr">
        <is>
          <t>maria vera</t>
        </is>
      </c>
      <c r="J2574" s="557" t="n"/>
      <c r="P2574" s="1" t="n"/>
      <c r="S2574" s="1" t="n"/>
    </row>
    <row r="2575" ht="18" customHeight="1" s="305">
      <c r="A2575" s="8" t="n">
        <v>2216</v>
      </c>
      <c r="B2575" s="5" t="n">
        <v>199</v>
      </c>
      <c r="C2575" s="72" t="inlineStr">
        <is>
          <t>X</t>
        </is>
      </c>
      <c r="D2575" s="5" t="n">
        <v>294</v>
      </c>
      <c r="E2575" s="73">
        <f>B2575*D2575/10000</f>
        <v/>
      </c>
      <c r="F2575" s="74">
        <f>B2575/30.48</f>
        <v/>
      </c>
      <c r="G2575" s="74">
        <f>D2575/30.48</f>
        <v/>
      </c>
      <c r="H2575" s="694" t="n"/>
      <c r="I2575" s="693" t="n"/>
      <c r="J2575" s="545" t="n"/>
      <c r="P2575" s="1" t="n"/>
      <c r="S2575" s="1" t="n"/>
    </row>
    <row r="2576" ht="18" customHeight="1" s="305">
      <c r="A2576" s="8" t="n">
        <v>3559</v>
      </c>
      <c r="B2576" s="5" t="n">
        <v>81</v>
      </c>
      <c r="C2576" s="72" t="inlineStr">
        <is>
          <t>X</t>
        </is>
      </c>
      <c r="D2576" s="5" t="n">
        <v>279</v>
      </c>
      <c r="E2576" s="73">
        <f>B2576*D2576/10000</f>
        <v/>
      </c>
      <c r="F2576" s="74">
        <f>B2576/30.48</f>
        <v/>
      </c>
      <c r="G2576" s="74">
        <f>D2576/30.48</f>
        <v/>
      </c>
      <c r="H2576" s="594" t="inlineStr">
        <is>
          <t>MCHD-TR</t>
        </is>
      </c>
      <c r="I2576" s="557" t="n"/>
      <c r="J2576" s="322" t="n"/>
      <c r="P2576" s="1" t="n"/>
    </row>
    <row r="2577" ht="18" customHeight="1" s="305">
      <c r="A2577" s="8" t="n">
        <v>2991</v>
      </c>
      <c r="B2577" s="5" t="n">
        <v>88</v>
      </c>
      <c r="C2577" s="72" t="inlineStr">
        <is>
          <t>X</t>
        </is>
      </c>
      <c r="D2577" s="5" t="n">
        <v>324</v>
      </c>
      <c r="E2577" s="73">
        <f>B2577*D2577/10000</f>
        <v/>
      </c>
      <c r="F2577" s="74">
        <f>B2577/30.48</f>
        <v/>
      </c>
      <c r="G2577" s="74">
        <f>D2577/30.48</f>
        <v/>
      </c>
      <c r="H2577" s="290" t="inlineStr">
        <is>
          <t>WTR</t>
        </is>
      </c>
      <c r="I2577" s="551" t="inlineStr">
        <is>
          <t>Heather Mullaney</t>
        </is>
      </c>
      <c r="J2577" s="557" t="n"/>
      <c r="P2577" s="1" t="n"/>
    </row>
    <row r="2578" ht="18" customHeight="1" s="305">
      <c r="A2578" s="8" t="inlineStr">
        <is>
          <t>D 294</t>
        </is>
      </c>
      <c r="B2578" s="5" t="n">
        <v>52</v>
      </c>
      <c r="C2578" s="72" t="inlineStr">
        <is>
          <t>X</t>
        </is>
      </c>
      <c r="D2578" s="5" t="n">
        <v>93</v>
      </c>
      <c r="E2578" s="73">
        <f>B2578*D2578/10000</f>
        <v/>
      </c>
      <c r="F2578" s="74">
        <f>B2578/30.48</f>
        <v/>
      </c>
      <c r="G2578" s="74">
        <f>D2578/30.48</f>
        <v/>
      </c>
      <c r="H2578" s="290" t="inlineStr">
        <is>
          <t>WTR</t>
        </is>
      </c>
      <c r="I2578" s="534" t="inlineStr">
        <is>
          <t>Alex Holt</t>
        </is>
      </c>
      <c r="J2578" s="545" t="n"/>
      <c r="P2578" s="1" t="n"/>
    </row>
    <row r="2579" ht="18" customHeight="1" s="305">
      <c r="A2579" s="8" t="n">
        <v>4002</v>
      </c>
      <c r="B2579" s="5" t="n">
        <v>78</v>
      </c>
      <c r="C2579" s="72" t="inlineStr">
        <is>
          <t>X</t>
        </is>
      </c>
      <c r="D2579" s="5" t="n">
        <v>330</v>
      </c>
      <c r="E2579" s="73">
        <f>B2579*D2579/10000</f>
        <v/>
      </c>
      <c r="F2579" s="74">
        <f>B2579/30.48</f>
        <v/>
      </c>
      <c r="G2579" s="74">
        <f>D2579/30.48</f>
        <v/>
      </c>
      <c r="H2579" s="290" t="inlineStr">
        <is>
          <t>WTR</t>
        </is>
      </c>
      <c r="I2579" s="570" t="inlineStr">
        <is>
          <t>Katharine Murphy</t>
        </is>
      </c>
      <c r="J2579" s="557" t="n"/>
      <c r="P2579" s="1" t="n"/>
    </row>
    <row r="2580" ht="18" customHeight="1" s="305">
      <c r="A2580" s="8" t="inlineStr">
        <is>
          <t>A 216</t>
        </is>
      </c>
      <c r="B2580" s="5" t="n">
        <v>301</v>
      </c>
      <c r="C2580" s="6" t="inlineStr">
        <is>
          <t>X</t>
        </is>
      </c>
      <c r="D2580" s="5" t="n">
        <v>394</v>
      </c>
      <c r="E2580" s="2">
        <f>B2580*D2580/10000</f>
        <v/>
      </c>
      <c r="F2580" s="3">
        <f>B2580/30.48</f>
        <v/>
      </c>
      <c r="G2580" s="3">
        <f>D2580/30.48</f>
        <v/>
      </c>
      <c r="H2580" s="592" t="inlineStr">
        <is>
          <t>PAC</t>
        </is>
      </c>
      <c r="I2580" s="570" t="inlineStr">
        <is>
          <t>McCorquodale Transfer</t>
        </is>
      </c>
      <c r="J2580" s="557" t="n"/>
      <c r="P2580" s="1" t="n"/>
    </row>
    <row r="2581" ht="18" customHeight="1" s="305">
      <c r="A2581" s="8" t="n">
        <v>2019</v>
      </c>
      <c r="B2581" s="5" t="n">
        <v>86</v>
      </c>
      <c r="C2581" s="72" t="inlineStr">
        <is>
          <t>X</t>
        </is>
      </c>
      <c r="D2581" s="5" t="n">
        <v>369</v>
      </c>
      <c r="E2581" s="73">
        <f>B2581*D2581/10000</f>
        <v/>
      </c>
      <c r="F2581" s="74">
        <f>B2581/30.48</f>
        <v/>
      </c>
      <c r="G2581" s="74">
        <f>D2581/30.48</f>
        <v/>
      </c>
      <c r="H2581" s="592" t="inlineStr">
        <is>
          <t>PAC</t>
        </is>
      </c>
      <c r="I2581" s="570" t="inlineStr">
        <is>
          <t>Sutherlan Greiner</t>
        </is>
      </c>
      <c r="J2581" s="557" t="n"/>
      <c r="P2581" s="1" t="n"/>
      <c r="S2581" s="1" t="n"/>
    </row>
    <row r="2582" ht="18" customHeight="1" s="305">
      <c r="A2582" s="8" t="n">
        <v>2471</v>
      </c>
      <c r="B2582" s="5" t="n">
        <v>81</v>
      </c>
      <c r="C2582" s="72" t="inlineStr">
        <is>
          <t>X</t>
        </is>
      </c>
      <c r="D2582" s="5" t="n">
        <v>380</v>
      </c>
      <c r="E2582" s="73">
        <f>B2582*D2582/10000</f>
        <v/>
      </c>
      <c r="F2582" s="74">
        <f>B2582/30.48</f>
        <v/>
      </c>
      <c r="G2582" s="74">
        <f>D2582/30.48</f>
        <v/>
      </c>
      <c r="H2582" s="594" t="inlineStr">
        <is>
          <t>RK</t>
        </is>
      </c>
      <c r="I2582" s="534" t="inlineStr">
        <is>
          <t>Demi-Leigh tebow</t>
        </is>
      </c>
      <c r="J2582" s="545" t="n"/>
      <c r="P2582" s="1" t="n"/>
      <c r="S2582" s="1" t="n"/>
    </row>
    <row r="2583" ht="18" customHeight="1" s="305">
      <c r="A2583" s="8" t="n">
        <v>2020</v>
      </c>
      <c r="B2583" s="5" t="n">
        <v>91</v>
      </c>
      <c r="C2583" s="72" t="inlineStr">
        <is>
          <t>X</t>
        </is>
      </c>
      <c r="D2583" s="5" t="n">
        <v>317</v>
      </c>
      <c r="E2583" s="73">
        <f>B2583*D2583/10000</f>
        <v/>
      </c>
      <c r="F2583" s="74">
        <f>B2583/30.48</f>
        <v/>
      </c>
      <c r="G2583" s="74">
        <f>D2583/30.48</f>
        <v/>
      </c>
      <c r="H2583" s="569" t="inlineStr">
        <is>
          <t>OLD</t>
        </is>
      </c>
      <c r="I2583" s="570" t="inlineStr">
        <is>
          <t>Gaelle Dudley</t>
        </is>
      </c>
      <c r="J2583" s="557" t="n"/>
      <c r="P2583" s="1" t="n"/>
    </row>
    <row r="2584" ht="18" customHeight="1" s="305">
      <c r="A2584" s="8" t="inlineStr">
        <is>
          <t>D 91</t>
        </is>
      </c>
      <c r="B2584" s="5" t="n">
        <v>61</v>
      </c>
      <c r="C2584" s="72" t="inlineStr">
        <is>
          <t>X</t>
        </is>
      </c>
      <c r="D2584" s="5" t="n">
        <v>79</v>
      </c>
      <c r="E2584" s="73">
        <f>B2584*D2584/10000</f>
        <v/>
      </c>
      <c r="F2584" s="74">
        <f>B2584/30.48</f>
        <v/>
      </c>
      <c r="G2584" s="74">
        <f>D2584/30.48</f>
        <v/>
      </c>
      <c r="H2584" s="569" t="inlineStr">
        <is>
          <t>OLD</t>
        </is>
      </c>
      <c r="I2584" s="534" t="inlineStr">
        <is>
          <t>ELISA DEJONG</t>
        </is>
      </c>
      <c r="J2584" s="545" t="n"/>
      <c r="P2584" s="1" t="n"/>
    </row>
    <row r="2585" ht="18" customHeight="1" s="305">
      <c r="A2585" s="8" t="n">
        <v>3347</v>
      </c>
      <c r="B2585" s="5" t="n">
        <v>85</v>
      </c>
      <c r="C2585" s="72" t="inlineStr">
        <is>
          <t>X</t>
        </is>
      </c>
      <c r="D2585" s="5" t="n">
        <v>282</v>
      </c>
      <c r="E2585" s="73">
        <f>B2585*D2585/10000</f>
        <v/>
      </c>
      <c r="F2585" s="74">
        <f>B2585/30.48</f>
        <v/>
      </c>
      <c r="G2585" s="74">
        <f>D2585/30.48</f>
        <v/>
      </c>
      <c r="H2585" s="290" t="inlineStr">
        <is>
          <t>WTR</t>
        </is>
      </c>
      <c r="I2585" s="570" t="inlineStr">
        <is>
          <t>Lindsey Simovich</t>
        </is>
      </c>
      <c r="J2585" s="557" t="n"/>
      <c r="P2585" s="1" t="n"/>
    </row>
    <row r="2586" ht="18" customHeight="1" s="305">
      <c r="A2586" s="8" t="n">
        <v>2295</v>
      </c>
      <c r="B2586" s="5" t="n">
        <v>109</v>
      </c>
      <c r="C2586" s="72" t="inlineStr">
        <is>
          <t>X</t>
        </is>
      </c>
      <c r="D2586" s="5" t="n">
        <v>388</v>
      </c>
      <c r="E2586" s="73">
        <f>B2586*D2586/10000</f>
        <v/>
      </c>
      <c r="F2586" s="74">
        <f>B2586/30.48</f>
        <v/>
      </c>
      <c r="G2586" s="74">
        <f>D2586/30.48</f>
        <v/>
      </c>
      <c r="H2586" s="290" t="inlineStr">
        <is>
          <t>WTR</t>
        </is>
      </c>
      <c r="I2586" s="570" t="inlineStr">
        <is>
          <t>Caroline Williamson</t>
        </is>
      </c>
      <c r="J2586" s="557" t="n"/>
      <c r="P2586" s="1" t="n"/>
    </row>
    <row r="2587" ht="18" customHeight="1" s="305">
      <c r="A2587" s="8" t="n">
        <v>2785</v>
      </c>
      <c r="B2587" s="5" t="n">
        <v>87</v>
      </c>
      <c r="C2587" s="72" t="inlineStr">
        <is>
          <t>X</t>
        </is>
      </c>
      <c r="D2587" s="5" t="n">
        <v>309</v>
      </c>
      <c r="E2587" s="73">
        <f>B2587*D2587/10000</f>
        <v/>
      </c>
      <c r="F2587" s="74">
        <f>B2587/30.48</f>
        <v/>
      </c>
      <c r="G2587" s="74">
        <f>D2587/30.48</f>
        <v/>
      </c>
      <c r="H2587" s="290" t="inlineStr">
        <is>
          <t>WTR</t>
        </is>
      </c>
      <c r="I2587" s="570" t="inlineStr">
        <is>
          <t>Jenna Langhorne</t>
        </is>
      </c>
      <c r="J2587" s="557" t="n"/>
      <c r="P2587" s="1" t="n"/>
      <c r="S2587" s="1" t="n"/>
    </row>
    <row r="2588" ht="18" customHeight="1" s="305">
      <c r="A2588" s="8" t="inlineStr">
        <is>
          <t>Y 783</t>
        </is>
      </c>
      <c r="B2588" s="5" t="n">
        <v>336</v>
      </c>
      <c r="C2588" s="6" t="inlineStr">
        <is>
          <t>X</t>
        </is>
      </c>
      <c r="D2588" s="5" t="n">
        <v>110</v>
      </c>
      <c r="E2588" s="2">
        <f>B2588*D2588/10000</f>
        <v/>
      </c>
      <c r="F2588" s="3">
        <f>B2588/30.48</f>
        <v/>
      </c>
      <c r="G2588" s="74">
        <f>D2588/30.48</f>
        <v/>
      </c>
      <c r="H2588" s="594" t="inlineStr">
        <is>
          <t>MCHD-TR</t>
        </is>
      </c>
      <c r="I2588" s="557" t="n"/>
      <c r="J2588" s="557" t="n"/>
      <c r="P2588" s="1" t="n"/>
    </row>
    <row r="2589" ht="18" customHeight="1" s="305">
      <c r="A2589" s="8" t="n">
        <v>2687</v>
      </c>
      <c r="B2589" s="5" t="n">
        <v>91</v>
      </c>
      <c r="C2589" s="72" t="inlineStr">
        <is>
          <t>X</t>
        </is>
      </c>
      <c r="D2589" s="5" t="n">
        <v>328</v>
      </c>
      <c r="E2589" s="73">
        <f>B2589*D2589/10000</f>
        <v/>
      </c>
      <c r="F2589" s="74">
        <f>B2589/30.48</f>
        <v/>
      </c>
      <c r="G2589" s="74">
        <f>D2589/30.48</f>
        <v/>
      </c>
      <c r="H2589" s="290" t="inlineStr">
        <is>
          <t>WTR</t>
        </is>
      </c>
      <c r="I2589" s="570" t="inlineStr">
        <is>
          <t>Suzanne Tannenbaum</t>
        </is>
      </c>
      <c r="J2589" s="557" t="n"/>
      <c r="P2589" s="1" t="n"/>
      <c r="S2589" s="1" t="n"/>
    </row>
    <row r="2590" ht="18" customHeight="1" s="305">
      <c r="A2590" s="8" t="n">
        <v>3170</v>
      </c>
      <c r="B2590" s="5" t="n">
        <v>98</v>
      </c>
      <c r="C2590" s="72" t="inlineStr">
        <is>
          <t>X</t>
        </is>
      </c>
      <c r="D2590" s="5" t="n">
        <v>192</v>
      </c>
      <c r="E2590" s="73">
        <f>B2590*D2590/10000</f>
        <v/>
      </c>
      <c r="F2590" s="74">
        <f>B2590/30.48</f>
        <v/>
      </c>
      <c r="G2590" s="74">
        <f>D2590/30.48</f>
        <v/>
      </c>
      <c r="H2590" s="290" t="inlineStr">
        <is>
          <t>WTR</t>
        </is>
      </c>
      <c r="I2590" s="570" t="inlineStr">
        <is>
          <t>Catherine Albert</t>
        </is>
      </c>
      <c r="J2590" s="557" t="n"/>
      <c r="P2590" s="1" t="n"/>
      <c r="S2590" s="1" t="n"/>
    </row>
    <row r="2591" ht="18" customHeight="1" s="305">
      <c r="A2591" s="8" t="n">
        <v>2636</v>
      </c>
      <c r="B2591" s="5" t="n">
        <v>75</v>
      </c>
      <c r="C2591" s="72" t="inlineStr">
        <is>
          <t>X</t>
        </is>
      </c>
      <c r="D2591" s="5" t="n">
        <v>363</v>
      </c>
      <c r="E2591" s="73">
        <f>B2591*D2591/10000</f>
        <v/>
      </c>
      <c r="F2591" s="74">
        <f>B2591/30.48</f>
        <v/>
      </c>
      <c r="G2591" s="74">
        <f>D2591/30.48</f>
        <v/>
      </c>
      <c r="H2591" s="290" t="inlineStr">
        <is>
          <t>WTR</t>
        </is>
      </c>
      <c r="I2591" s="570" t="inlineStr">
        <is>
          <t>Elise Christensmith</t>
        </is>
      </c>
      <c r="J2591" s="557" t="n"/>
      <c r="P2591" s="1" t="n"/>
      <c r="S2591" s="1" t="n"/>
    </row>
    <row r="2592" ht="18" customHeight="1" s="305">
      <c r="A2592" s="8" t="inlineStr">
        <is>
          <t>D 404</t>
        </is>
      </c>
      <c r="B2592" s="5" t="n">
        <v>47</v>
      </c>
      <c r="C2592" s="72" t="inlineStr">
        <is>
          <t>X</t>
        </is>
      </c>
      <c r="D2592" s="5" t="n">
        <v>98</v>
      </c>
      <c r="E2592" s="73">
        <f>B2592*D2592/10000</f>
        <v/>
      </c>
      <c r="F2592" s="74">
        <f>B2592/30.48</f>
        <v/>
      </c>
      <c r="G2592" s="74">
        <f>D2592/30.48</f>
        <v/>
      </c>
      <c r="H2592" s="290" t="inlineStr">
        <is>
          <t>WTR</t>
        </is>
      </c>
      <c r="I2592" s="570" t="inlineStr">
        <is>
          <t>Jennifer Hicks</t>
        </is>
      </c>
      <c r="J2592" s="557" t="n"/>
      <c r="P2592" s="1" t="n"/>
    </row>
    <row r="2593" ht="18" customHeight="1" s="305">
      <c r="A2593" s="8" t="n">
        <v>1049</v>
      </c>
      <c r="B2593" s="5" t="n">
        <v>95</v>
      </c>
      <c r="C2593" s="72" t="inlineStr">
        <is>
          <t>X</t>
        </is>
      </c>
      <c r="D2593" s="5" t="n">
        <v>291</v>
      </c>
      <c r="E2593" s="73">
        <f>B2593*D2593/10000</f>
        <v/>
      </c>
      <c r="F2593" s="74">
        <f>B2593/30.48</f>
        <v/>
      </c>
      <c r="G2593" s="74">
        <f>D2593/30.48</f>
        <v/>
      </c>
      <c r="H2593" s="316" t="inlineStr">
        <is>
          <t>BHR</t>
        </is>
      </c>
      <c r="I2593" s="570" t="inlineStr">
        <is>
          <t>Kristen Martin</t>
        </is>
      </c>
      <c r="J2593" s="557" t="n"/>
      <c r="P2593" s="1" t="n"/>
      <c r="S2593" s="1" t="n"/>
    </row>
    <row r="2594" ht="18" customHeight="1" s="305">
      <c r="A2594" s="8" t="inlineStr">
        <is>
          <t>A 175</t>
        </is>
      </c>
      <c r="B2594" s="5" t="n">
        <v>200</v>
      </c>
      <c r="C2594" s="6" t="inlineStr">
        <is>
          <t>X</t>
        </is>
      </c>
      <c r="D2594" s="5" t="n">
        <v>274</v>
      </c>
      <c r="E2594" s="2">
        <f>B2594*D2594/10000</f>
        <v/>
      </c>
      <c r="F2594" s="3">
        <f>B2594/30.48</f>
        <v/>
      </c>
      <c r="G2594" s="3">
        <f>D2594/30.48</f>
        <v/>
      </c>
      <c r="H2594" s="694" t="n"/>
      <c r="I2594" s="694" t="n"/>
      <c r="J2594" s="557" t="n"/>
      <c r="P2594" s="1" t="n"/>
      <c r="S2594" s="1" t="n"/>
    </row>
    <row r="2595" ht="18" customHeight="1" s="305">
      <c r="A2595" s="8" t="n">
        <v>2672</v>
      </c>
      <c r="B2595" s="5" t="n">
        <v>170</v>
      </c>
      <c r="C2595" s="72" t="inlineStr">
        <is>
          <t>X</t>
        </is>
      </c>
      <c r="D2595" s="5" t="n">
        <v>246</v>
      </c>
      <c r="E2595" s="73">
        <f>B2595*D2595/10000</f>
        <v/>
      </c>
      <c r="F2595" s="74">
        <f>B2595/30.48</f>
        <v/>
      </c>
      <c r="G2595" s="74">
        <f>D2595/30.48</f>
        <v/>
      </c>
      <c r="H2595" s="319" t="inlineStr">
        <is>
          <t>LMX</t>
        </is>
      </c>
      <c r="I2595" s="570" t="inlineStr">
        <is>
          <t>Katy Hansz</t>
        </is>
      </c>
      <c r="J2595" s="557" t="n"/>
      <c r="P2595" s="1" t="n"/>
      <c r="S2595" s="1" t="n"/>
    </row>
    <row r="2596" ht="18" customHeight="1" s="305">
      <c r="A2596" s="8" t="n">
        <v>1716</v>
      </c>
      <c r="B2596" s="5" t="n">
        <v>289</v>
      </c>
      <c r="C2596" s="72" t="inlineStr">
        <is>
          <t>X</t>
        </is>
      </c>
      <c r="D2596" s="5" t="n">
        <v>402</v>
      </c>
      <c r="E2596" s="73">
        <f>B2596*D2596/10000</f>
        <v/>
      </c>
      <c r="F2596" s="74">
        <f>B2596/30.48</f>
        <v/>
      </c>
      <c r="G2596" s="74">
        <f>D2596/30.48</f>
        <v/>
      </c>
      <c r="H2596" s="592" t="inlineStr">
        <is>
          <t>PAC</t>
        </is>
      </c>
      <c r="I2596" s="570" t="inlineStr">
        <is>
          <t>Victoria Krause Schutte</t>
        </is>
      </c>
      <c r="J2596" s="557" t="n"/>
      <c r="P2596" s="1" t="n"/>
      <c r="S2596" s="1" t="n"/>
    </row>
    <row r="2597" ht="18" customHeight="1" s="305">
      <c r="A2597" s="8" t="n">
        <v>2437</v>
      </c>
      <c r="B2597" s="5" t="n">
        <v>174</v>
      </c>
      <c r="C2597" s="72" t="inlineStr">
        <is>
          <t>X</t>
        </is>
      </c>
      <c r="D2597" s="5" t="n">
        <v>294</v>
      </c>
      <c r="E2597" s="73">
        <f>B2597*D2597/10000</f>
        <v/>
      </c>
      <c r="F2597" s="74">
        <f>B2597/30.48</f>
        <v/>
      </c>
      <c r="G2597" s="74">
        <f>D2597/30.48</f>
        <v/>
      </c>
      <c r="H2597" s="594" t="inlineStr">
        <is>
          <t>MCHD-TR</t>
        </is>
      </c>
      <c r="I2597" s="557" t="n"/>
      <c r="J2597" s="545" t="n"/>
      <c r="P2597" s="1" t="n"/>
      <c r="S2597" s="1" t="n"/>
    </row>
    <row r="2598" ht="18" customHeight="1" s="305">
      <c r="A2598" s="8" t="n">
        <v>3867</v>
      </c>
      <c r="B2598" s="5" t="n">
        <v>97</v>
      </c>
      <c r="C2598" s="72" t="inlineStr">
        <is>
          <t>X</t>
        </is>
      </c>
      <c r="D2598" s="5" t="n">
        <v>275</v>
      </c>
      <c r="E2598" s="73">
        <f>B2598*D2598/10000</f>
        <v/>
      </c>
      <c r="F2598" s="74">
        <f>B2598/30.48</f>
        <v/>
      </c>
      <c r="G2598" s="74">
        <f>D2598/30.48</f>
        <v/>
      </c>
      <c r="H2598" s="334" t="inlineStr">
        <is>
          <t>LMX</t>
        </is>
      </c>
      <c r="I2598" s="340" t="inlineStr">
        <is>
          <t>Becky Marr</t>
        </is>
      </c>
      <c r="J2598" s="557" t="n"/>
      <c r="P2598" s="1" t="n"/>
    </row>
    <row r="2599" ht="18" customHeight="1" s="305">
      <c r="A2599" s="8" t="n">
        <v>2996</v>
      </c>
      <c r="B2599" s="5" t="n">
        <v>81</v>
      </c>
      <c r="C2599" s="72" t="inlineStr">
        <is>
          <t>X</t>
        </is>
      </c>
      <c r="D2599" s="5" t="n">
        <v>306</v>
      </c>
      <c r="E2599" s="73">
        <f>B2599*D2599/10000</f>
        <v/>
      </c>
      <c r="F2599" s="74">
        <f>B2599/30.48</f>
        <v/>
      </c>
      <c r="G2599" s="74">
        <f>D2599/30.48</f>
        <v/>
      </c>
      <c r="H2599" s="337" t="inlineStr">
        <is>
          <t>WTR</t>
        </is>
      </c>
      <c r="I2599" s="340" t="inlineStr">
        <is>
          <t>Jan Wilson</t>
        </is>
      </c>
      <c r="J2599" s="557" t="n"/>
      <c r="P2599" s="1" t="n"/>
    </row>
    <row r="2600" ht="18" customHeight="1" s="305">
      <c r="A2600" s="28" t="inlineStr">
        <is>
          <t>D 765</t>
        </is>
      </c>
      <c r="B2600" s="29" t="n">
        <v>49</v>
      </c>
      <c r="C2600" s="236" t="inlineStr">
        <is>
          <t>X</t>
        </is>
      </c>
      <c r="D2600" s="29" t="n">
        <v>92</v>
      </c>
      <c r="E2600" s="237">
        <f>B2600*D2600/10000</f>
        <v/>
      </c>
      <c r="F2600" s="238">
        <f>B2600/30.48</f>
        <v/>
      </c>
      <c r="G2600" s="238">
        <f>D2600/30.48</f>
        <v/>
      </c>
      <c r="H2600" s="336" t="inlineStr">
        <is>
          <t>WKR</t>
        </is>
      </c>
      <c r="I2600" s="315" t="inlineStr">
        <is>
          <t>Lynne Peterson</t>
        </is>
      </c>
      <c r="J2600" s="545" t="n"/>
      <c r="P2600" s="1" t="n"/>
    </row>
    <row r="2601" ht="18" customHeight="1" s="305">
      <c r="A2601" s="8" t="n">
        <v>3200</v>
      </c>
      <c r="B2601" s="5" t="n">
        <v>80</v>
      </c>
      <c r="C2601" s="72" t="inlineStr">
        <is>
          <t>X</t>
        </is>
      </c>
      <c r="D2601" s="5" t="n">
        <v>274</v>
      </c>
      <c r="E2601" s="73">
        <f>B2601*D2601/10000</f>
        <v/>
      </c>
      <c r="F2601" s="74">
        <f>B2601/30.48</f>
        <v/>
      </c>
      <c r="G2601" s="74">
        <f>D2601/30.48</f>
        <v/>
      </c>
      <c r="H2601" s="526" t="inlineStr">
        <is>
          <t>WTR</t>
        </is>
      </c>
      <c r="I2601" s="570" t="inlineStr">
        <is>
          <t>Lauren E Bostwick</t>
        </is>
      </c>
      <c r="J2601" s="557" t="n"/>
      <c r="P2601" s="1" t="n"/>
    </row>
    <row r="2602" ht="18" customHeight="1" s="305">
      <c r="A2602" s="28" t="inlineStr">
        <is>
          <t>D 744</t>
        </is>
      </c>
      <c r="B2602" s="29" t="n">
        <v>49</v>
      </c>
      <c r="C2602" s="236" t="inlineStr">
        <is>
          <t>X</t>
        </is>
      </c>
      <c r="D2602" s="29" t="n">
        <v>102</v>
      </c>
      <c r="E2602" s="237">
        <f>B2602*D2602/10000</f>
        <v/>
      </c>
      <c r="F2602" s="238">
        <f>B2602/30.48</f>
        <v/>
      </c>
      <c r="G2602" s="238">
        <f>D2602/30.48</f>
        <v/>
      </c>
      <c r="H2602" s="333" t="inlineStr">
        <is>
          <t>WKR</t>
        </is>
      </c>
      <c r="I2602" s="534" t="inlineStr">
        <is>
          <t>Summer Williams</t>
        </is>
      </c>
      <c r="J2602" s="545" t="n"/>
      <c r="P2602" s="1" t="n"/>
    </row>
    <row r="2603" ht="18" customHeight="1" s="305">
      <c r="A2603" s="8" t="n">
        <v>1046</v>
      </c>
      <c r="B2603" s="5" t="n">
        <v>178</v>
      </c>
      <c r="C2603" s="72" t="inlineStr">
        <is>
          <t>X</t>
        </is>
      </c>
      <c r="D2603" s="5" t="n">
        <v>267</v>
      </c>
      <c r="E2603" s="73">
        <f>B2603*D2603/10000</f>
        <v/>
      </c>
      <c r="F2603" s="74">
        <f>B2603/30.48</f>
        <v/>
      </c>
      <c r="G2603" s="74">
        <f>D2603/30.48</f>
        <v/>
      </c>
      <c r="H2603" s="334" t="inlineStr">
        <is>
          <t>LMX</t>
        </is>
      </c>
      <c r="I2603" s="534" t="inlineStr">
        <is>
          <t>Elizabeth Count</t>
        </is>
      </c>
      <c r="J2603" s="545" t="n"/>
      <c r="P2603" s="1" t="n"/>
    </row>
    <row r="2604" ht="18" customHeight="1" s="305">
      <c r="A2604" s="28" t="inlineStr">
        <is>
          <t>KLM-47</t>
        </is>
      </c>
      <c r="B2604" s="9" t="n">
        <v>79</v>
      </c>
      <c r="C2604" s="236" t="inlineStr">
        <is>
          <t>X</t>
        </is>
      </c>
      <c r="D2604" s="9" t="n">
        <v>379</v>
      </c>
      <c r="E2604" s="237">
        <f>B2604*D2604/10000</f>
        <v/>
      </c>
      <c r="F2604" s="238">
        <f>B2604/30.48</f>
        <v/>
      </c>
      <c r="G2604" s="238">
        <f>D2604/30.48</f>
        <v/>
      </c>
      <c r="H2604" s="526" t="inlineStr">
        <is>
          <t>WTR</t>
        </is>
      </c>
      <c r="I2604" s="296" t="inlineStr">
        <is>
          <t>NOTABLE ACCENTS, KIM DUEASE</t>
        </is>
      </c>
      <c r="J2604" s="295" t="n"/>
      <c r="P2604" s="1" t="n"/>
    </row>
    <row r="2605" ht="18" customHeight="1" s="305">
      <c r="A2605" s="8" t="inlineStr">
        <is>
          <t>H 64</t>
        </is>
      </c>
      <c r="B2605" s="5" t="n">
        <v>78</v>
      </c>
      <c r="C2605" s="72" t="inlineStr">
        <is>
          <t>X</t>
        </is>
      </c>
      <c r="D2605" s="5" t="n">
        <v>368</v>
      </c>
      <c r="E2605" s="73">
        <f>B2605*D2605/10000</f>
        <v/>
      </c>
      <c r="F2605" s="74">
        <f>B2605/30.48</f>
        <v/>
      </c>
      <c r="G2605" s="74">
        <f>D2605/30.48</f>
        <v/>
      </c>
      <c r="H2605" s="526" t="inlineStr">
        <is>
          <t>WTR</t>
        </is>
      </c>
      <c r="I2605" s="570" t="inlineStr">
        <is>
          <t>Donna Hoffman</t>
        </is>
      </c>
      <c r="J2605" s="557" t="n"/>
      <c r="P2605" s="1" t="n"/>
    </row>
    <row r="2606" ht="18" customHeight="1" s="305">
      <c r="A2606" s="8" t="n">
        <v>3406</v>
      </c>
      <c r="B2606" s="5" t="n">
        <v>70</v>
      </c>
      <c r="C2606" s="72" t="inlineStr">
        <is>
          <t>X</t>
        </is>
      </c>
      <c r="D2606" s="5" t="n">
        <v>289</v>
      </c>
      <c r="E2606" s="73">
        <f>B2606*D2606/10000</f>
        <v/>
      </c>
      <c r="F2606" s="74">
        <f>B2606/30.48</f>
        <v/>
      </c>
      <c r="G2606" s="74">
        <f>D2606/30.48</f>
        <v/>
      </c>
      <c r="H2606" s="526" t="inlineStr">
        <is>
          <t>WTR</t>
        </is>
      </c>
      <c r="I2606" s="570" t="inlineStr">
        <is>
          <t>Bridget Sullivan</t>
        </is>
      </c>
      <c r="J2606" s="557" t="n"/>
      <c r="P2606" s="1" t="n"/>
      <c r="S2606" s="1" t="n"/>
    </row>
    <row r="2607" ht="18" customHeight="1" s="305">
      <c r="A2607" s="8" t="inlineStr">
        <is>
          <t>Y 857</t>
        </is>
      </c>
      <c r="B2607" s="5" t="n">
        <v>312</v>
      </c>
      <c r="C2607" s="6" t="inlineStr">
        <is>
          <t>X</t>
        </is>
      </c>
      <c r="D2607" s="5" t="n">
        <v>83</v>
      </c>
      <c r="E2607" s="2">
        <f>B2607*D2607/10000</f>
        <v/>
      </c>
      <c r="F2607" s="3">
        <f>B2607/30.48</f>
        <v/>
      </c>
      <c r="G2607" s="3">
        <f>D2607/30.48</f>
        <v/>
      </c>
      <c r="H2607" s="594" t="inlineStr">
        <is>
          <t>MCHD-TR</t>
        </is>
      </c>
      <c r="I2607" s="545" t="n"/>
      <c r="J2607" s="545" t="n"/>
      <c r="P2607" s="1" t="n"/>
    </row>
    <row r="2608" ht="18" customHeight="1" s="305">
      <c r="A2608" s="8" t="n">
        <v>3671</v>
      </c>
      <c r="B2608" s="5" t="n">
        <v>196</v>
      </c>
      <c r="C2608" s="72" t="inlineStr">
        <is>
          <t>X</t>
        </is>
      </c>
      <c r="D2608" s="5" t="n">
        <v>376</v>
      </c>
      <c r="E2608" s="73">
        <f>B2608*D2608/10000</f>
        <v/>
      </c>
      <c r="F2608" s="74">
        <f>B2608/30.48</f>
        <v/>
      </c>
      <c r="G2608" s="74">
        <f>D2608/30.48</f>
        <v/>
      </c>
      <c r="H2608" s="290" t="inlineStr">
        <is>
          <t>WTR</t>
        </is>
      </c>
      <c r="I2608" s="616" t="inlineStr">
        <is>
          <t>Sadaf Samay</t>
        </is>
      </c>
      <c r="J2608" s="545" t="n"/>
      <c r="P2608" s="1" t="n"/>
    </row>
    <row r="2609">
      <c r="A2609" s="536" t="inlineStr">
        <is>
          <t>-2025 HAZİRAN-</t>
        </is>
      </c>
      <c r="H2609" s="104" t="inlineStr">
        <is>
          <t>SATAN-SİTE</t>
        </is>
      </c>
      <c r="I2609" s="98" t="inlineStr">
        <is>
          <t>MÜŞTERİ ADI</t>
        </is>
      </c>
      <c r="J2609" s="63" t="inlineStr">
        <is>
          <t>MÜŞTERİ İLETİŞİM &amp; ÜLKE</t>
        </is>
      </c>
      <c r="P2609" s="1" t="n"/>
    </row>
    <row r="2610" ht="18" customHeight="1" s="305">
      <c r="A2610" s="8" t="n">
        <v>3773</v>
      </c>
      <c r="B2610" s="5" t="n">
        <v>98</v>
      </c>
      <c r="C2610" s="72" t="inlineStr">
        <is>
          <t>X</t>
        </is>
      </c>
      <c r="D2610" s="5" t="n">
        <v>283</v>
      </c>
      <c r="E2610" s="73">
        <f>B2610*D2610/10000</f>
        <v/>
      </c>
      <c r="F2610" s="74">
        <f>B2610/30.48</f>
        <v/>
      </c>
      <c r="G2610" s="74">
        <f>D2610/30.48</f>
        <v/>
      </c>
      <c r="H2610" s="334" t="inlineStr">
        <is>
          <t>LMX</t>
        </is>
      </c>
      <c r="I2610" s="570" t="inlineStr">
        <is>
          <t>Walter T Brandt</t>
        </is>
      </c>
      <c r="J2610" s="557" t="n"/>
      <c r="P2610" s="1" t="n"/>
    </row>
    <row r="2611" ht="18" customHeight="1" s="305">
      <c r="A2611" s="8" t="inlineStr">
        <is>
          <t>D 200</t>
        </is>
      </c>
      <c r="B2611" s="5" t="n">
        <v>56</v>
      </c>
      <c r="C2611" s="72" t="inlineStr">
        <is>
          <t>X</t>
        </is>
      </c>
      <c r="D2611" s="5" t="n">
        <v>103</v>
      </c>
      <c r="E2611" s="73">
        <f>B2611*D2611/10000</f>
        <v/>
      </c>
      <c r="F2611" s="74">
        <f>B2611/30.48</f>
        <v/>
      </c>
      <c r="G2611" s="74">
        <f>D2611/30.48</f>
        <v/>
      </c>
      <c r="H2611" s="334" t="inlineStr">
        <is>
          <t>LMX</t>
        </is>
      </c>
      <c r="I2611" s="570" t="inlineStr">
        <is>
          <t>Jacob Schneider</t>
        </is>
      </c>
      <c r="J2611" s="557" t="n"/>
      <c r="P2611" s="1" t="n"/>
    </row>
    <row r="2612" ht="18" customHeight="1" s="305">
      <c r="A2612" s="8" t="n">
        <v>3360</v>
      </c>
      <c r="B2612" s="5" t="n">
        <v>80</v>
      </c>
      <c r="C2612" s="72" t="inlineStr">
        <is>
          <t>X</t>
        </is>
      </c>
      <c r="D2612" s="5" t="n">
        <v>266</v>
      </c>
      <c r="E2612" s="73">
        <f>B2612*D2612/10000</f>
        <v/>
      </c>
      <c r="F2612" s="74">
        <f>B2612/30.48</f>
        <v/>
      </c>
      <c r="G2612" s="74">
        <f>D2612/30.48</f>
        <v/>
      </c>
      <c r="H2612" s="594" t="inlineStr">
        <is>
          <t>RK</t>
        </is>
      </c>
      <c r="I2612" s="570" t="inlineStr">
        <is>
          <t>Lew Dickey</t>
        </is>
      </c>
      <c r="J2612" s="557" t="n"/>
      <c r="P2612" s="1" t="n"/>
    </row>
    <row r="2613" ht="18" customHeight="1" s="305">
      <c r="A2613" s="8" t="n">
        <v>1589</v>
      </c>
      <c r="B2613" s="5" t="n">
        <v>306</v>
      </c>
      <c r="C2613" s="72" t="inlineStr">
        <is>
          <t>X</t>
        </is>
      </c>
      <c r="D2613" s="5" t="n">
        <v>210</v>
      </c>
      <c r="E2613" s="73">
        <f>B2613*D2613/10000</f>
        <v/>
      </c>
      <c r="F2613" s="74">
        <f>B2613/30.48</f>
        <v/>
      </c>
      <c r="G2613" s="74">
        <f>D2613/30.48</f>
        <v/>
      </c>
      <c r="H2613" s="66" t="inlineStr">
        <is>
          <t>RK</t>
        </is>
      </c>
      <c r="I2613" s="341" t="inlineStr">
        <is>
          <t>Utku Akyol</t>
        </is>
      </c>
      <c r="J2613" s="557" t="n"/>
      <c r="P2613" s="1" t="n"/>
    </row>
    <row r="2614" ht="18" customHeight="1" s="305">
      <c r="A2614" s="8" t="inlineStr">
        <is>
          <t>D 375</t>
        </is>
      </c>
      <c r="B2614" s="5" t="n">
        <v>45</v>
      </c>
      <c r="C2614" s="72" t="inlineStr">
        <is>
          <t>X</t>
        </is>
      </c>
      <c r="D2614" s="5" t="n">
        <v>92</v>
      </c>
      <c r="E2614" s="73">
        <f>B2614*D2614/10000</f>
        <v/>
      </c>
      <c r="F2614" s="74">
        <f>B2614/30.48</f>
        <v/>
      </c>
      <c r="G2614" s="74">
        <f>D2614/30.48</f>
        <v/>
      </c>
      <c r="H2614" s="526" t="inlineStr">
        <is>
          <t>WTR</t>
        </is>
      </c>
      <c r="I2614" s="570" t="inlineStr">
        <is>
          <t>Michelle Nupen</t>
        </is>
      </c>
      <c r="J2614" s="557" t="n"/>
      <c r="P2614" s="1" t="n"/>
    </row>
    <row r="2615" ht="18" customHeight="1" s="305">
      <c r="A2615" s="8" t="n">
        <v>3298</v>
      </c>
      <c r="B2615" s="5" t="n">
        <v>78</v>
      </c>
      <c r="C2615" s="72" t="inlineStr">
        <is>
          <t>X</t>
        </is>
      </c>
      <c r="D2615" s="5" t="n">
        <v>257</v>
      </c>
      <c r="E2615" s="73">
        <f>B2615*D2615/10000</f>
        <v/>
      </c>
      <c r="F2615" s="74">
        <f>B2615/30.48</f>
        <v/>
      </c>
      <c r="G2615" s="74">
        <f>D2615/30.48</f>
        <v/>
      </c>
      <c r="H2615" s="526" t="inlineStr">
        <is>
          <t>WTR</t>
        </is>
      </c>
      <c r="I2615" s="570" t="inlineStr">
        <is>
          <t>Brooke Wagner Design S/M Leonetti</t>
        </is>
      </c>
      <c r="J2615" s="557" t="n"/>
      <c r="P2615" s="1" t="n"/>
      <c r="S2615" s="1" t="n"/>
    </row>
    <row r="2616" ht="18" customHeight="1" s="305">
      <c r="A2616" s="8" t="inlineStr">
        <is>
          <t>H 157</t>
        </is>
      </c>
      <c r="B2616" s="5" t="n">
        <v>276</v>
      </c>
      <c r="C2616" s="6" t="inlineStr">
        <is>
          <t>X</t>
        </is>
      </c>
      <c r="D2616" s="5" t="n">
        <v>85</v>
      </c>
      <c r="E2616" s="2">
        <f>B2616*D2616/10000</f>
        <v/>
      </c>
      <c r="F2616" s="3">
        <f>B2616/30.48</f>
        <v/>
      </c>
      <c r="G2616" s="3">
        <f>D2616/30.48</f>
        <v/>
      </c>
      <c r="H2616" s="526" t="inlineStr">
        <is>
          <t>WTR</t>
        </is>
      </c>
      <c r="I2616" s="570" t="inlineStr">
        <is>
          <t>Dayton Jennings</t>
        </is>
      </c>
      <c r="J2616" s="557" t="n"/>
      <c r="P2616" s="1" t="n"/>
    </row>
    <row r="2617" ht="18" customHeight="1" s="305">
      <c r="A2617" s="8" t="n">
        <v>2600</v>
      </c>
      <c r="B2617" s="5" t="n">
        <v>112</v>
      </c>
      <c r="C2617" s="72" t="inlineStr">
        <is>
          <t>X</t>
        </is>
      </c>
      <c r="D2617" s="5" t="n">
        <v>157</v>
      </c>
      <c r="E2617" s="73">
        <f>B2617*D2617/10000</f>
        <v/>
      </c>
      <c r="F2617" s="74">
        <f>B2617/30.48</f>
        <v/>
      </c>
      <c r="G2617" s="74">
        <f>D2617/30.48</f>
        <v/>
      </c>
      <c r="H2617" s="526" t="inlineStr">
        <is>
          <t>WTR</t>
        </is>
      </c>
      <c r="I2617" s="570" t="inlineStr">
        <is>
          <t>Esther van den Boom</t>
        </is>
      </c>
      <c r="J2617" s="557" t="n"/>
      <c r="P2617" s="1" t="n"/>
      <c r="S2617" s="1" t="n"/>
    </row>
    <row r="2618" ht="18" customHeight="1" s="305">
      <c r="A2618" s="8" t="n">
        <v>3641</v>
      </c>
      <c r="B2618" s="5" t="n">
        <v>73</v>
      </c>
      <c r="C2618" s="72" t="inlineStr">
        <is>
          <t>X</t>
        </is>
      </c>
      <c r="D2618" s="5" t="n">
        <v>282</v>
      </c>
      <c r="E2618" s="73">
        <f>B2618*D2618/10000</f>
        <v/>
      </c>
      <c r="F2618" s="74">
        <f>B2618/30.48</f>
        <v/>
      </c>
      <c r="G2618" s="74">
        <f>D2618/30.48</f>
        <v/>
      </c>
      <c r="H2618" s="314" t="inlineStr">
        <is>
          <t>WLB</t>
        </is>
      </c>
      <c r="I2618" s="570" t="inlineStr">
        <is>
          <t>Elizabeth Pauly</t>
        </is>
      </c>
      <c r="J2618" s="557" t="n"/>
      <c r="P2618" s="1" t="n"/>
      <c r="S2618" s="1" t="n"/>
    </row>
    <row r="2619" ht="18" customHeight="1" s="305">
      <c r="A2619" s="28" t="inlineStr">
        <is>
          <t>D 475</t>
        </is>
      </c>
      <c r="B2619" s="29" t="n">
        <v>49</v>
      </c>
      <c r="C2619" s="236" t="inlineStr">
        <is>
          <t>X</t>
        </is>
      </c>
      <c r="D2619" s="29" t="n">
        <v>91</v>
      </c>
      <c r="E2619" s="237">
        <f>B2619*D2619/10000</f>
        <v/>
      </c>
      <c r="F2619" s="238">
        <f>B2619/30.48</f>
        <v/>
      </c>
      <c r="G2619" s="238">
        <f>D2619/30.48</f>
        <v/>
      </c>
      <c r="H2619" s="569" t="inlineStr">
        <is>
          <t>OLD</t>
        </is>
      </c>
      <c r="I2619" s="570" t="inlineStr">
        <is>
          <t>Sara Gillette</t>
        </is>
      </c>
      <c r="J2619" s="557" t="n"/>
      <c r="P2619" s="1" t="n"/>
    </row>
    <row r="2620" ht="18" customHeight="1" s="305">
      <c r="A2620" s="8" t="n">
        <v>2923</v>
      </c>
      <c r="B2620" s="5" t="n">
        <v>88</v>
      </c>
      <c r="C2620" s="72" t="inlineStr">
        <is>
          <t>X</t>
        </is>
      </c>
      <c r="D2620" s="5" t="n">
        <v>304</v>
      </c>
      <c r="E2620" s="73">
        <f>B2620*D2620/10000</f>
        <v/>
      </c>
      <c r="F2620" s="74">
        <f>B2620/30.48</f>
        <v/>
      </c>
      <c r="G2620" s="74">
        <f>D2620/30.48</f>
        <v/>
      </c>
      <c r="H2620" s="314" t="inlineStr">
        <is>
          <t>FRD-NR</t>
        </is>
      </c>
      <c r="I2620" s="570" t="inlineStr">
        <is>
          <t>Jennifer Medoff</t>
        </is>
      </c>
      <c r="J2620" s="557" t="n"/>
      <c r="P2620" s="1" t="n"/>
      <c r="S2620" s="1" t="n"/>
    </row>
    <row r="2621" ht="18" customHeight="1" s="305">
      <c r="A2621" s="8" t="n">
        <v>1440</v>
      </c>
      <c r="B2621" s="5" t="n">
        <v>216</v>
      </c>
      <c r="C2621" s="72" t="inlineStr">
        <is>
          <t>X</t>
        </is>
      </c>
      <c r="D2621" s="5" t="n">
        <v>314</v>
      </c>
      <c r="E2621" s="73">
        <f>B2621*D2621/10000</f>
        <v/>
      </c>
      <c r="F2621" s="74">
        <f>B2621/30.48</f>
        <v/>
      </c>
      <c r="G2621" s="74">
        <f>D2621/30.48</f>
        <v/>
      </c>
      <c r="H2621" s="594" t="inlineStr">
        <is>
          <t>MCHD-TR</t>
        </is>
      </c>
      <c r="I2621" s="545" t="n"/>
      <c r="J2621" s="545" t="n"/>
      <c r="P2621" s="1" t="n"/>
      <c r="S2621" s="1" t="n"/>
    </row>
    <row r="2622" ht="18" customHeight="1" s="305">
      <c r="A2622" s="8" t="inlineStr">
        <is>
          <t>E-12</t>
        </is>
      </c>
      <c r="B2622" s="5" t="n">
        <v>73</v>
      </c>
      <c r="C2622" s="72" t="inlineStr">
        <is>
          <t>X</t>
        </is>
      </c>
      <c r="D2622" s="5" t="n">
        <v>349</v>
      </c>
      <c r="E2622" s="73">
        <f>B2622*D2622/10000</f>
        <v/>
      </c>
      <c r="F2622" s="74">
        <f>B2622/30.48</f>
        <v/>
      </c>
      <c r="G2622" s="74">
        <f>D2622/30.48</f>
        <v/>
      </c>
      <c r="H2622" s="314" t="inlineStr">
        <is>
          <t>FRD-NR</t>
        </is>
      </c>
      <c r="I2622" s="534" t="inlineStr">
        <is>
          <t>rykarda parasol</t>
        </is>
      </c>
      <c r="J2622" s="545" t="n"/>
      <c r="P2622" s="1" t="n"/>
      <c r="S2622" s="1" t="n"/>
    </row>
    <row r="2623" ht="18" customHeight="1" s="305">
      <c r="A2623" s="8" t="n">
        <v>3787</v>
      </c>
      <c r="B2623" s="5" t="n">
        <v>90</v>
      </c>
      <c r="C2623" s="72" t="inlineStr">
        <is>
          <t>X</t>
        </is>
      </c>
      <c r="D2623" s="5" t="n">
        <v>190</v>
      </c>
      <c r="E2623" s="73">
        <f>B2623*D2623/10000</f>
        <v/>
      </c>
      <c r="F2623" s="74">
        <f>B2623/30.48</f>
        <v/>
      </c>
      <c r="G2623" s="74">
        <f>D2623/30.48</f>
        <v/>
      </c>
      <c r="I2623" s="534" t="inlineStr">
        <is>
          <t>Jennifer Mitchell</t>
        </is>
      </c>
      <c r="J2623" s="545" t="n"/>
      <c r="P2623" s="1" t="n"/>
    </row>
    <row r="2624" ht="18" customHeight="1" s="305">
      <c r="A2624" s="8" t="n">
        <v>12</v>
      </c>
      <c r="B2624" s="5" t="n">
        <v>86</v>
      </c>
      <c r="C2624" s="6" t="inlineStr">
        <is>
          <t>X</t>
        </is>
      </c>
      <c r="D2624" s="5" t="n">
        <v>52</v>
      </c>
      <c r="E2624" s="2">
        <f>B2624*D2624/10000</f>
        <v/>
      </c>
      <c r="F2624" s="3">
        <f>B2624/30.48</f>
        <v/>
      </c>
      <c r="G2624" s="3">
        <f>D2624/30.48</f>
        <v/>
      </c>
      <c r="H2624" s="614" t="inlineStr">
        <is>
          <t>LMX</t>
        </is>
      </c>
      <c r="I2624" s="534" t="inlineStr">
        <is>
          <t>Lucy Mortlock</t>
        </is>
      </c>
      <c r="J2624" s="557" t="n"/>
      <c r="P2624" s="1" t="n"/>
    </row>
    <row r="2625" ht="18" customHeight="1" s="305">
      <c r="A2625" s="8" t="inlineStr">
        <is>
          <t>D 83</t>
        </is>
      </c>
      <c r="B2625" s="5" t="n">
        <v>43</v>
      </c>
      <c r="C2625" s="72" t="inlineStr">
        <is>
          <t>X</t>
        </is>
      </c>
      <c r="D2625" s="5" t="n">
        <v>77</v>
      </c>
      <c r="E2625" s="73">
        <f>B2625*D2625/10000</f>
        <v/>
      </c>
      <c r="F2625" s="74">
        <f>B2625/30.48</f>
        <v/>
      </c>
      <c r="G2625" s="74">
        <f>D2625/30.48</f>
        <v/>
      </c>
      <c r="H2625" s="693" t="n"/>
      <c r="I2625" s="693" t="n"/>
      <c r="J2625" s="557" t="n"/>
      <c r="P2625" s="1" t="n"/>
    </row>
    <row r="2626" ht="18" customHeight="1" s="305">
      <c r="A2626" s="8" t="inlineStr">
        <is>
          <t>D 134</t>
        </is>
      </c>
      <c r="B2626" s="5" t="n">
        <v>50</v>
      </c>
      <c r="C2626" s="72" t="inlineStr">
        <is>
          <t>X</t>
        </is>
      </c>
      <c r="D2626" s="5" t="n">
        <v>92</v>
      </c>
      <c r="E2626" s="73">
        <f>B2626*D2626/10000</f>
        <v/>
      </c>
      <c r="F2626" s="74">
        <f>B2626/30.48</f>
        <v/>
      </c>
      <c r="G2626" s="74">
        <f>D2626/30.48</f>
        <v/>
      </c>
      <c r="H2626" s="694" t="n"/>
      <c r="I2626" s="693" t="n"/>
      <c r="J2626" s="545" t="n"/>
      <c r="P2626" s="1" t="n"/>
    </row>
    <row r="2627" ht="18" customHeight="1" s="305">
      <c r="A2627" s="8" t="inlineStr">
        <is>
          <t>D 287</t>
        </is>
      </c>
      <c r="B2627" s="5" t="n">
        <v>52</v>
      </c>
      <c r="C2627" s="72" t="inlineStr">
        <is>
          <t>X</t>
        </is>
      </c>
      <c r="D2627" s="5" t="n">
        <v>100</v>
      </c>
      <c r="E2627" s="73">
        <f>B2627*D2627/10000</f>
        <v/>
      </c>
      <c r="F2627" s="74">
        <f>B2627/30.48</f>
        <v/>
      </c>
      <c r="G2627" s="74">
        <f>D2627/30.48</f>
        <v/>
      </c>
      <c r="H2627" s="334" t="inlineStr">
        <is>
          <t>LMX</t>
        </is>
      </c>
      <c r="I2627" s="534" t="inlineStr">
        <is>
          <t>Loulou Bandar</t>
        </is>
      </c>
      <c r="J2627" s="545" t="n"/>
      <c r="P2627" s="280" t="n"/>
    </row>
    <row r="2628" ht="18" customHeight="1" s="305">
      <c r="A2628" s="8" t="n">
        <v>3684</v>
      </c>
      <c r="B2628" s="5" t="n">
        <v>75</v>
      </c>
      <c r="C2628" s="72" t="inlineStr">
        <is>
          <t>X</t>
        </is>
      </c>
      <c r="D2628" s="5" t="n">
        <v>306</v>
      </c>
      <c r="E2628" s="73">
        <f>B2628*D2628/10000</f>
        <v/>
      </c>
      <c r="F2628" s="74">
        <f>B2628/30.48</f>
        <v/>
      </c>
      <c r="G2628" s="74">
        <f>D2628/30.48</f>
        <v/>
      </c>
      <c r="H2628" s="334" t="inlineStr">
        <is>
          <t>LMX</t>
        </is>
      </c>
      <c r="I2628" s="570" t="inlineStr">
        <is>
          <t>JULIE CASASSA</t>
        </is>
      </c>
      <c r="J2628" s="557" t="n"/>
      <c r="P2628" s="280" t="n"/>
    </row>
    <row r="2629" ht="18" customHeight="1" s="305">
      <c r="A2629" s="8" t="n">
        <v>3329</v>
      </c>
      <c r="B2629" s="5" t="n">
        <v>78</v>
      </c>
      <c r="C2629" s="72" t="inlineStr">
        <is>
          <t>X</t>
        </is>
      </c>
      <c r="D2629" s="5" t="n">
        <v>139</v>
      </c>
      <c r="E2629" s="73">
        <f>B2629*D2629/10000</f>
        <v/>
      </c>
      <c r="F2629" s="74">
        <f>B2629/30.48</f>
        <v/>
      </c>
      <c r="G2629" s="74">
        <f>D2629/30.48</f>
        <v/>
      </c>
      <c r="H2629" s="314" t="inlineStr">
        <is>
          <t>WLB</t>
        </is>
      </c>
      <c r="I2629" s="570" t="inlineStr">
        <is>
          <t>Hallie Jones</t>
        </is>
      </c>
      <c r="J2629" s="557" t="n"/>
      <c r="P2629" s="280" t="n"/>
    </row>
    <row r="2630" ht="18" customHeight="1" s="305">
      <c r="A2630" s="8" t="n">
        <v>95</v>
      </c>
      <c r="B2630" s="5" t="n">
        <v>198</v>
      </c>
      <c r="C2630" s="6" t="inlineStr">
        <is>
          <t>X</t>
        </is>
      </c>
      <c r="D2630" s="5" t="n">
        <v>292</v>
      </c>
      <c r="E2630" s="2">
        <f>B2630*D2630/10000</f>
        <v/>
      </c>
      <c r="F2630" s="3">
        <f>B2630/30.48</f>
        <v/>
      </c>
      <c r="G2630" s="3">
        <f>D2630/30.48</f>
        <v/>
      </c>
      <c r="H2630" s="614" t="inlineStr">
        <is>
          <t>PAC</t>
        </is>
      </c>
      <c r="I2630" s="570" t="inlineStr">
        <is>
          <t>Tricia Davis</t>
        </is>
      </c>
      <c r="J2630" s="557" t="n"/>
      <c r="P2630" s="280" t="n"/>
      <c r="S2630" s="1" t="n"/>
    </row>
    <row r="2631" ht="18" customHeight="1" s="305">
      <c r="A2631" s="8" t="n">
        <v>2788</v>
      </c>
      <c r="B2631" s="5" t="n">
        <v>126</v>
      </c>
      <c r="C2631" s="72" t="inlineStr">
        <is>
          <t>X</t>
        </is>
      </c>
      <c r="D2631" s="5" t="n">
        <v>215</v>
      </c>
      <c r="E2631" s="73">
        <f>B2631*D2631/10000</f>
        <v/>
      </c>
      <c r="F2631" s="74">
        <f>B2631/30.48</f>
        <v/>
      </c>
      <c r="G2631" s="74">
        <f>D2631/30.48</f>
        <v/>
      </c>
      <c r="H2631" s="694" t="n"/>
      <c r="I2631" s="694" t="n"/>
      <c r="J2631" s="557" t="n"/>
      <c r="P2631" s="280" t="n"/>
      <c r="S2631" s="1" t="n"/>
    </row>
    <row r="2632" ht="18" customHeight="1" s="305">
      <c r="A2632" s="8" t="inlineStr">
        <is>
          <t>D 115</t>
        </is>
      </c>
      <c r="B2632" s="5" t="n">
        <v>52</v>
      </c>
      <c r="C2632" s="72" t="inlineStr">
        <is>
          <t>X</t>
        </is>
      </c>
      <c r="D2632" s="5" t="n">
        <v>93</v>
      </c>
      <c r="E2632" s="73">
        <f>B2632*D2632/10000</f>
        <v/>
      </c>
      <c r="F2632" s="74">
        <f>B2632/30.48</f>
        <v/>
      </c>
      <c r="G2632" s="74">
        <f>D2632/30.48</f>
        <v/>
      </c>
      <c r="H2632" s="569" t="inlineStr">
        <is>
          <t>OLD</t>
        </is>
      </c>
      <c r="I2632" s="534" t="inlineStr">
        <is>
          <t>Campbell Gallagher</t>
        </is>
      </c>
      <c r="J2632" s="545" t="n"/>
      <c r="P2632" s="280" t="n"/>
    </row>
    <row r="2633" ht="18" customHeight="1" s="305">
      <c r="A2633" s="8" t="n">
        <v>3352</v>
      </c>
      <c r="B2633" s="5" t="n">
        <v>128</v>
      </c>
      <c r="C2633" s="72" t="inlineStr">
        <is>
          <t>X</t>
        </is>
      </c>
      <c r="D2633" s="5" t="n">
        <v>201</v>
      </c>
      <c r="E2633" s="73">
        <f>B2633*D2633/10000</f>
        <v/>
      </c>
      <c r="F2633" s="74">
        <f>B2633/30.48</f>
        <v/>
      </c>
      <c r="G2633" s="74">
        <f>D2633/30.48</f>
        <v/>
      </c>
      <c r="H2633" s="289" t="inlineStr">
        <is>
          <t>LPR</t>
        </is>
      </c>
      <c r="I2633" s="80" t="inlineStr">
        <is>
          <t>Courtney Zoffness</t>
        </is>
      </c>
      <c r="J2633" s="557" t="n"/>
      <c r="P2633" s="280" t="n"/>
    </row>
    <row r="2634" ht="18" customHeight="1" s="305">
      <c r="A2634" s="8" t="n">
        <v>3388</v>
      </c>
      <c r="B2634" s="5" t="n">
        <v>94</v>
      </c>
      <c r="C2634" s="72" t="inlineStr">
        <is>
          <t>X</t>
        </is>
      </c>
      <c r="D2634" s="5" t="n">
        <v>313</v>
      </c>
      <c r="E2634" s="73">
        <f>B2634*D2634/10000</f>
        <v/>
      </c>
      <c r="F2634" s="74">
        <f>B2634/30.48</f>
        <v/>
      </c>
      <c r="G2634" s="74">
        <f>D2634/30.48</f>
        <v/>
      </c>
      <c r="H2634" s="66" t="inlineStr">
        <is>
          <t>RK</t>
        </is>
      </c>
      <c r="I2634" s="570" t="inlineStr">
        <is>
          <t>Laura Bryant</t>
        </is>
      </c>
      <c r="J2634" s="557" t="n"/>
      <c r="P2634" s="280" t="n"/>
      <c r="S2634" s="1" t="n"/>
    </row>
    <row r="2635" ht="18" customHeight="1" s="305">
      <c r="A2635" s="28" t="inlineStr">
        <is>
          <t>D 1019</t>
        </is>
      </c>
      <c r="B2635" s="29" t="n">
        <v>47</v>
      </c>
      <c r="C2635" s="236" t="inlineStr">
        <is>
          <t>X</t>
        </is>
      </c>
      <c r="D2635" s="29" t="n">
        <v>83</v>
      </c>
      <c r="E2635" s="237">
        <f>B2635*D2635/10000</f>
        <v/>
      </c>
      <c r="F2635" s="238">
        <f>B2635/30.48</f>
        <v/>
      </c>
      <c r="G2635" s="238">
        <f>D2635/30.48</f>
        <v/>
      </c>
      <c r="H2635" s="66" t="inlineStr">
        <is>
          <t>RK</t>
        </is>
      </c>
      <c r="I2635" s="570" t="inlineStr">
        <is>
          <t>Kelly Stitzer</t>
        </is>
      </c>
      <c r="J2635" s="557" t="n"/>
      <c r="P2635" s="280" t="n"/>
    </row>
    <row r="2636" ht="18" customHeight="1" s="305">
      <c r="A2636" s="8" t="n">
        <v>3419</v>
      </c>
      <c r="B2636" s="5" t="n">
        <v>85</v>
      </c>
      <c r="C2636" s="72" t="inlineStr">
        <is>
          <t>X</t>
        </is>
      </c>
      <c r="D2636" s="5" t="n">
        <v>265</v>
      </c>
      <c r="E2636" s="73">
        <f>B2636*D2636/10000</f>
        <v/>
      </c>
      <c r="F2636" s="74">
        <f>B2636/30.48</f>
        <v/>
      </c>
      <c r="G2636" s="74">
        <f>D2636/30.48</f>
        <v/>
      </c>
      <c r="H2636" s="66" t="inlineStr">
        <is>
          <t>RK</t>
        </is>
      </c>
      <c r="I2636" s="534" t="inlineStr">
        <is>
          <t>Brittany Luketic</t>
        </is>
      </c>
      <c r="J2636" s="545" t="n"/>
      <c r="P2636" s="280" t="n"/>
      <c r="S2636" s="1" t="n"/>
    </row>
    <row r="2637" ht="18" customHeight="1" s="305">
      <c r="A2637" s="8" t="n">
        <v>1895</v>
      </c>
      <c r="B2637" s="5" t="n">
        <v>84</v>
      </c>
      <c r="C2637" s="72" t="inlineStr">
        <is>
          <t>X</t>
        </is>
      </c>
      <c r="D2637" s="5" t="n">
        <v>228</v>
      </c>
      <c r="E2637" s="73">
        <f>B2637*D2637/10000</f>
        <v/>
      </c>
      <c r="F2637" s="74">
        <f>B2637/30.48</f>
        <v/>
      </c>
      <c r="G2637" s="74">
        <f>D2637/30.48</f>
        <v/>
      </c>
      <c r="H2637" s="66" t="inlineStr">
        <is>
          <t>RK</t>
        </is>
      </c>
      <c r="I2637" s="570" t="inlineStr">
        <is>
          <t>Susan T Basel</t>
        </is>
      </c>
      <c r="J2637" s="557" t="n"/>
      <c r="P2637" s="280" t="n"/>
    </row>
    <row r="2638" ht="18" customHeight="1" s="305">
      <c r="A2638" s="8" t="n">
        <v>3777</v>
      </c>
      <c r="B2638" s="5" t="n">
        <v>153</v>
      </c>
      <c r="C2638" s="72" t="inlineStr">
        <is>
          <t>X</t>
        </is>
      </c>
      <c r="D2638" s="5" t="n">
        <v>229</v>
      </c>
      <c r="E2638" s="73">
        <f>B2638*D2638/10000</f>
        <v/>
      </c>
      <c r="F2638" s="74">
        <f>B2638/30.48</f>
        <v/>
      </c>
      <c r="G2638" s="74">
        <f>D2638/30.48</f>
        <v/>
      </c>
      <c r="H2638" s="314" t="inlineStr">
        <is>
          <t>WLB</t>
        </is>
      </c>
      <c r="I2638" s="570" t="inlineStr">
        <is>
          <t>Michele Gay</t>
        </is>
      </c>
      <c r="J2638" s="557" t="n"/>
      <c r="P2638" s="280" t="n"/>
      <c r="S2638" s="1" t="n"/>
    </row>
    <row r="2639" ht="18" customHeight="1" s="305">
      <c r="A2639" s="8" t="n">
        <v>2465</v>
      </c>
      <c r="B2639" s="5" t="n">
        <v>88</v>
      </c>
      <c r="C2639" s="72" t="inlineStr">
        <is>
          <t>X</t>
        </is>
      </c>
      <c r="D2639" s="5" t="n">
        <v>445</v>
      </c>
      <c r="E2639" s="73">
        <f>B2639*D2639/10000</f>
        <v/>
      </c>
      <c r="F2639" s="74">
        <f>B2639/30.48</f>
        <v/>
      </c>
      <c r="G2639" s="74">
        <f>D2639/30.48</f>
        <v/>
      </c>
      <c r="H2639" s="592" t="inlineStr">
        <is>
          <t>PAC</t>
        </is>
      </c>
      <c r="I2639" s="570" t="inlineStr">
        <is>
          <t>ERIN FORSLUND</t>
        </is>
      </c>
      <c r="J2639" s="557" t="n"/>
      <c r="P2639" s="280" t="n"/>
      <c r="S2639" s="1" t="n"/>
    </row>
    <row r="2640" ht="18" customHeight="1" s="305">
      <c r="A2640" s="8" t="n">
        <v>1143</v>
      </c>
      <c r="B2640" s="5" t="n">
        <v>90</v>
      </c>
      <c r="C2640" s="72" t="inlineStr">
        <is>
          <t>X</t>
        </is>
      </c>
      <c r="D2640" s="5" t="n">
        <v>423</v>
      </c>
      <c r="E2640" s="73">
        <f>B2640*D2640/10000</f>
        <v/>
      </c>
      <c r="F2640" s="74">
        <f>B2640/30.48</f>
        <v/>
      </c>
      <c r="G2640" s="74">
        <f>D2640/30.48</f>
        <v/>
      </c>
      <c r="H2640" s="592" t="inlineStr">
        <is>
          <t>PAC</t>
        </is>
      </c>
      <c r="I2640" s="534" t="inlineStr">
        <is>
          <t>Miles Abney</t>
        </is>
      </c>
      <c r="J2640" s="545" t="n"/>
      <c r="P2640" s="280" t="n"/>
    </row>
    <row r="2641" ht="18" customHeight="1" s="305">
      <c r="A2641" s="8" t="n">
        <v>3928</v>
      </c>
      <c r="B2641" s="5" t="n">
        <v>261</v>
      </c>
      <c r="C2641" s="72" t="inlineStr">
        <is>
          <t>X</t>
        </is>
      </c>
      <c r="D2641" s="5" t="n">
        <v>351</v>
      </c>
      <c r="E2641" s="73">
        <f>B2641*D2641/10000</f>
        <v/>
      </c>
      <c r="F2641" s="74">
        <f>B2641/30.48</f>
        <v/>
      </c>
      <c r="G2641" s="74">
        <f>D2641/30.48</f>
        <v/>
      </c>
      <c r="H2641" s="290" t="inlineStr">
        <is>
          <t>WTR</t>
        </is>
      </c>
      <c r="I2641" s="341" t="inlineStr">
        <is>
          <t>May Wilson/ PATTERSON - EGI</t>
        </is>
      </c>
      <c r="J2641" s="557" t="n"/>
      <c r="P2641" s="280" t="n"/>
      <c r="S2641" s="1" t="n"/>
    </row>
    <row r="2642" ht="18" customHeight="1" s="305">
      <c r="A2642" s="8" t="n">
        <v>2285</v>
      </c>
      <c r="B2642" s="5" t="n">
        <v>137</v>
      </c>
      <c r="C2642" s="72" t="inlineStr">
        <is>
          <t>X</t>
        </is>
      </c>
      <c r="D2642" s="5" t="n">
        <v>228</v>
      </c>
      <c r="E2642" s="73">
        <f>B2642*D2642/10000</f>
        <v/>
      </c>
      <c r="F2642" s="74">
        <f>B2642/30.48</f>
        <v/>
      </c>
      <c r="G2642" s="74">
        <f>D2642/30.48</f>
        <v/>
      </c>
      <c r="H2642" s="526" t="inlineStr">
        <is>
          <t>WTR</t>
        </is>
      </c>
      <c r="I2642" s="570" t="inlineStr">
        <is>
          <t>Chris Frick</t>
        </is>
      </c>
      <c r="J2642" s="557" t="n"/>
      <c r="P2642" s="280" t="n"/>
      <c r="S2642" s="1" t="n"/>
    </row>
    <row r="2643" ht="18" customHeight="1" s="305">
      <c r="A2643" s="8" t="inlineStr">
        <is>
          <t>H 97</t>
        </is>
      </c>
      <c r="B2643" s="5" t="n">
        <v>84</v>
      </c>
      <c r="C2643" s="72" t="inlineStr">
        <is>
          <t>X</t>
        </is>
      </c>
      <c r="D2643" s="5" t="n">
        <v>346</v>
      </c>
      <c r="E2643" s="73">
        <f>B2643*D2643/10000</f>
        <v/>
      </c>
      <c r="F2643" s="74">
        <f>B2643/30.48</f>
        <v/>
      </c>
      <c r="G2643" s="74">
        <f>D2643/30.48</f>
        <v/>
      </c>
      <c r="H2643" s="526" t="inlineStr">
        <is>
          <t>WTR</t>
        </is>
      </c>
      <c r="I2643" s="534" t="inlineStr">
        <is>
          <t>Whit Geary</t>
        </is>
      </c>
      <c r="J2643" s="545" t="n"/>
      <c r="P2643" s="280" t="n"/>
    </row>
    <row r="2644" ht="18" customHeight="1" s="305">
      <c r="A2644" s="8" t="n">
        <v>3797</v>
      </c>
      <c r="B2644" s="5" t="n">
        <v>90</v>
      </c>
      <c r="C2644" s="72" t="inlineStr">
        <is>
          <t>X</t>
        </is>
      </c>
      <c r="D2644" s="5" t="n">
        <v>439</v>
      </c>
      <c r="E2644" s="73">
        <f>B2644*D2644/10000</f>
        <v/>
      </c>
      <c r="F2644" s="74">
        <f>B2644/30.48</f>
        <v/>
      </c>
      <c r="G2644" s="74">
        <f>D2644/30.48</f>
        <v/>
      </c>
      <c r="H2644" s="334" t="inlineStr">
        <is>
          <t>LMX</t>
        </is>
      </c>
      <c r="I2644" s="570" t="inlineStr">
        <is>
          <t>Shawna Kuykendall</t>
        </is>
      </c>
      <c r="J2644" s="557" t="n"/>
      <c r="P2644" s="280" t="n"/>
      <c r="S2644" s="1" t="n"/>
    </row>
    <row r="2645" ht="18" customHeight="1" s="305">
      <c r="A2645" s="8" t="n">
        <v>3576</v>
      </c>
      <c r="B2645" s="5" t="n">
        <v>95</v>
      </c>
      <c r="C2645" s="72" t="inlineStr">
        <is>
          <t>X</t>
        </is>
      </c>
      <c r="D2645" s="5" t="n">
        <v>184</v>
      </c>
      <c r="E2645" s="73">
        <f>B2645*D2645/10000</f>
        <v/>
      </c>
      <c r="F2645" s="74">
        <f>B2645/30.48</f>
        <v/>
      </c>
      <c r="G2645" s="74">
        <f>D2645/30.48</f>
        <v/>
      </c>
      <c r="H2645" s="334" t="inlineStr">
        <is>
          <t>LMX</t>
        </is>
      </c>
      <c r="I2645" s="570" t="inlineStr">
        <is>
          <t>Sara clapp</t>
        </is>
      </c>
      <c r="J2645" s="557" t="n"/>
      <c r="P2645" s="280" t="n"/>
      <c r="S2645" s="1" t="n"/>
    </row>
    <row r="2646" ht="18" customHeight="1" s="305">
      <c r="A2646" s="8" t="inlineStr">
        <is>
          <t>D 69</t>
        </is>
      </c>
      <c r="B2646" s="5" t="n">
        <v>60</v>
      </c>
      <c r="C2646" s="72" t="inlineStr">
        <is>
          <t>X</t>
        </is>
      </c>
      <c r="D2646" s="5" t="n">
        <v>90</v>
      </c>
      <c r="E2646" s="73">
        <f>B2646*D2646/10000</f>
        <v/>
      </c>
      <c r="F2646" s="74">
        <f>B2646/30.48</f>
        <v/>
      </c>
      <c r="G2646" s="74">
        <f>D2646/30.48</f>
        <v/>
      </c>
      <c r="H2646" s="334" t="inlineStr">
        <is>
          <t>LMX</t>
        </is>
      </c>
      <c r="I2646" s="570" t="inlineStr">
        <is>
          <t>Tiina Maija Hiltunen</t>
        </is>
      </c>
      <c r="J2646" s="557" t="n"/>
      <c r="P2646" s="280" t="n"/>
    </row>
    <row r="2647" ht="18" customHeight="1" s="305">
      <c r="A2647" s="8" t="n">
        <v>3799</v>
      </c>
      <c r="B2647" s="5" t="n">
        <v>99</v>
      </c>
      <c r="C2647" s="72" t="inlineStr">
        <is>
          <t>X</t>
        </is>
      </c>
      <c r="D2647" s="5" t="n">
        <v>174</v>
      </c>
      <c r="E2647" s="73">
        <f>B2647*D2647/10000</f>
        <v/>
      </c>
      <c r="F2647" s="74">
        <f>B2647/30.48</f>
        <v/>
      </c>
      <c r="G2647" s="74">
        <f>D2647/30.48</f>
        <v/>
      </c>
      <c r="H2647" s="334" t="inlineStr">
        <is>
          <t>LMX</t>
        </is>
      </c>
      <c r="I2647" s="534" t="inlineStr">
        <is>
          <t>Hope Dorsett</t>
        </is>
      </c>
      <c r="J2647" s="545" t="n"/>
      <c r="P2647" s="280" t="n"/>
      <c r="S2647" s="1" t="n"/>
    </row>
    <row r="2648" ht="18" customHeight="1" s="305">
      <c r="A2648" s="8" t="inlineStr">
        <is>
          <t>D 162</t>
        </is>
      </c>
      <c r="B2648" s="5" t="n">
        <v>44</v>
      </c>
      <c r="C2648" s="72" t="inlineStr">
        <is>
          <t>X</t>
        </is>
      </c>
      <c r="D2648" s="5" t="n">
        <v>80</v>
      </c>
      <c r="E2648" s="73">
        <f>B2648*D2648/10000</f>
        <v/>
      </c>
      <c r="F2648" s="74">
        <f>B2648/30.48</f>
        <v/>
      </c>
      <c r="G2648" s="74">
        <f>D2648/30.48</f>
        <v/>
      </c>
      <c r="H2648" s="334" t="inlineStr">
        <is>
          <t>LMX</t>
        </is>
      </c>
      <c r="I2648" s="570" t="inlineStr">
        <is>
          <t>Christine Macavoy</t>
        </is>
      </c>
      <c r="J2648" s="557" t="n"/>
      <c r="P2648" s="280" t="n"/>
    </row>
    <row r="2649" ht="18" customHeight="1" s="305">
      <c r="A2649" s="28" t="inlineStr">
        <is>
          <t>D 509</t>
        </is>
      </c>
      <c r="B2649" s="29" t="n">
        <v>49</v>
      </c>
      <c r="C2649" s="236" t="inlineStr">
        <is>
          <t>X</t>
        </is>
      </c>
      <c r="D2649" s="29" t="n">
        <v>82</v>
      </c>
      <c r="E2649" s="237">
        <f>B2649*D2649/10000</f>
        <v/>
      </c>
      <c r="F2649" s="238">
        <f>B2649/30.48</f>
        <v/>
      </c>
      <c r="G2649" s="238">
        <f>D2649/30.48</f>
        <v/>
      </c>
      <c r="H2649" s="334" t="inlineStr">
        <is>
          <t>LMX</t>
        </is>
      </c>
      <c r="I2649" s="570" t="inlineStr">
        <is>
          <t>Danielle Marcone</t>
        </is>
      </c>
      <c r="J2649" s="557" t="n"/>
      <c r="P2649" s="280" t="n"/>
    </row>
    <row r="2650" ht="18" customHeight="1" s="305">
      <c r="A2650" s="28" t="inlineStr">
        <is>
          <t>D 740</t>
        </is>
      </c>
      <c r="B2650" s="29" t="n">
        <v>54</v>
      </c>
      <c r="C2650" s="236" t="inlineStr">
        <is>
          <t>X</t>
        </is>
      </c>
      <c r="D2650" s="29" t="n">
        <v>93</v>
      </c>
      <c r="E2650" s="237">
        <f>B2650*D2650/10000</f>
        <v/>
      </c>
      <c r="F2650" s="238">
        <f>B2650/30.48</f>
        <v/>
      </c>
      <c r="G2650" s="238">
        <f>D2650/30.48</f>
        <v/>
      </c>
      <c r="H2650" s="333" t="inlineStr">
        <is>
          <t>WKR</t>
        </is>
      </c>
      <c r="I2650" s="570" t="inlineStr">
        <is>
          <t>Mary Marsh</t>
        </is>
      </c>
      <c r="J2650" s="557" t="n"/>
      <c r="P2650" s="280" t="n"/>
    </row>
    <row r="2651" ht="18" customHeight="1" s="305">
      <c r="A2651" s="8" t="inlineStr">
        <is>
          <t>E-69</t>
        </is>
      </c>
      <c r="B2651" s="5" t="n">
        <v>64</v>
      </c>
      <c r="C2651" s="72" t="inlineStr">
        <is>
          <t>X</t>
        </is>
      </c>
      <c r="D2651" s="5" t="n">
        <v>157</v>
      </c>
      <c r="E2651" s="73">
        <f>B2651*D2651/10000</f>
        <v/>
      </c>
      <c r="F2651" s="74">
        <f>B2651/30.48</f>
        <v/>
      </c>
      <c r="G2651" s="74">
        <f>D2651/30.48</f>
        <v/>
      </c>
      <c r="H2651" s="314" t="inlineStr">
        <is>
          <t>FRD-NR</t>
        </is>
      </c>
      <c r="I2651" s="570" t="inlineStr">
        <is>
          <t>Meghan hart</t>
        </is>
      </c>
      <c r="J2651" s="557" t="n"/>
      <c r="P2651" s="280" t="n"/>
      <c r="S2651" s="1" t="n"/>
    </row>
    <row r="2652" ht="18" customHeight="1" s="305">
      <c r="A2652" s="8" t="n">
        <v>3526</v>
      </c>
      <c r="B2652" s="5" t="n">
        <v>76</v>
      </c>
      <c r="C2652" s="72" t="inlineStr">
        <is>
          <t>X</t>
        </is>
      </c>
      <c r="D2652" s="5" t="n">
        <v>108</v>
      </c>
      <c r="E2652" s="73">
        <f>B2652*D2652/10000</f>
        <v/>
      </c>
      <c r="F2652" s="74">
        <f>B2652/30.48</f>
        <v/>
      </c>
      <c r="G2652" s="74">
        <f>D2652/30.48</f>
        <v/>
      </c>
      <c r="H2652" s="594" t="inlineStr">
        <is>
          <t>MCHD-TR</t>
        </is>
      </c>
      <c r="I2652" s="557" t="n"/>
      <c r="J2652" s="557" t="n"/>
      <c r="P2652" s="280" t="n"/>
      <c r="S2652" s="1" t="n"/>
    </row>
    <row r="2653" ht="18" customHeight="1" s="305">
      <c r="A2653" s="8" t="n">
        <v>3658</v>
      </c>
      <c r="B2653" s="5" t="n">
        <v>80</v>
      </c>
      <c r="C2653" s="72" t="inlineStr">
        <is>
          <t>X</t>
        </is>
      </c>
      <c r="D2653" s="5" t="n">
        <v>314</v>
      </c>
      <c r="E2653" s="73">
        <f>B2653*D2653/10000</f>
        <v/>
      </c>
      <c r="F2653" s="74">
        <f>B2653/30.48</f>
        <v/>
      </c>
      <c r="G2653" s="74">
        <f>D2653/30.48</f>
        <v/>
      </c>
      <c r="H2653" s="594" t="inlineStr">
        <is>
          <t>MCHD-TR</t>
        </is>
      </c>
      <c r="I2653" s="545" t="n"/>
      <c r="J2653" s="545" t="n"/>
      <c r="P2653" s="280" t="n"/>
      <c r="S2653" s="1" t="n"/>
    </row>
    <row r="2654" ht="18" customHeight="1" s="305">
      <c r="A2654" s="8" t="inlineStr">
        <is>
          <t>E-135</t>
        </is>
      </c>
      <c r="B2654" s="5" t="n">
        <v>68</v>
      </c>
      <c r="C2654" s="72" t="inlineStr">
        <is>
          <t>X</t>
        </is>
      </c>
      <c r="D2654" s="5" t="n">
        <v>155</v>
      </c>
      <c r="E2654" s="73">
        <f>B2654*D2654/10000</f>
        <v/>
      </c>
      <c r="F2654" s="74">
        <f>B2654/30.48</f>
        <v/>
      </c>
      <c r="G2654" s="74">
        <f>D2654/30.48</f>
        <v/>
      </c>
      <c r="H2654" s="339" t="inlineStr">
        <is>
          <t>LPR</t>
        </is>
      </c>
      <c r="I2654" s="570" t="inlineStr">
        <is>
          <t>Joey Hemphill</t>
        </is>
      </c>
      <c r="J2654" s="557" t="n"/>
      <c r="P2654" s="280" t="n"/>
    </row>
    <row r="2655" ht="18" customHeight="1" s="305">
      <c r="A2655" s="28" t="inlineStr">
        <is>
          <t>D 551</t>
        </is>
      </c>
      <c r="B2655" s="29" t="n">
        <v>47</v>
      </c>
      <c r="C2655" s="236" t="inlineStr">
        <is>
          <t>X</t>
        </is>
      </c>
      <c r="D2655" s="29" t="n">
        <v>92</v>
      </c>
      <c r="E2655" s="237">
        <f>B2655*D2655/10000</f>
        <v/>
      </c>
      <c r="F2655" s="238">
        <f>B2655/30.48</f>
        <v/>
      </c>
      <c r="G2655" s="238">
        <f>D2655/30.48</f>
        <v/>
      </c>
      <c r="H2655" s="316" t="inlineStr">
        <is>
          <t>BHR</t>
        </is>
      </c>
      <c r="I2655" s="534" t="inlineStr">
        <is>
          <t>Lyson Levesque</t>
        </is>
      </c>
      <c r="J2655" s="545" t="n"/>
      <c r="P2655" s="280" t="n"/>
    </row>
    <row r="2656" ht="18" customHeight="1" s="305">
      <c r="A2656" s="8" t="inlineStr">
        <is>
          <t>E-34</t>
        </is>
      </c>
      <c r="B2656" s="5" t="n">
        <v>64</v>
      </c>
      <c r="C2656" s="72" t="inlineStr">
        <is>
          <t>X</t>
        </is>
      </c>
      <c r="D2656" s="5" t="n">
        <v>155</v>
      </c>
      <c r="E2656" s="73">
        <f>B2656*D2656/10000</f>
        <v/>
      </c>
      <c r="F2656" s="74">
        <f>B2656/30.48</f>
        <v/>
      </c>
      <c r="G2656" s="74">
        <f>D2656/30.48</f>
        <v/>
      </c>
      <c r="H2656" s="526" t="inlineStr">
        <is>
          <t>WTR</t>
        </is>
      </c>
      <c r="I2656" s="570" t="inlineStr">
        <is>
          <t>BARCLAY BUTERA BWD LEONETTI</t>
        </is>
      </c>
      <c r="J2656" s="557" t="n"/>
      <c r="P2656" s="280" t="n"/>
    </row>
    <row r="2657" ht="18" customHeight="1" s="305">
      <c r="A2657" s="8" t="inlineStr">
        <is>
          <t>D 465</t>
        </is>
      </c>
      <c r="B2657" s="5" t="n">
        <v>45</v>
      </c>
      <c r="C2657" s="72" t="inlineStr">
        <is>
          <t>X</t>
        </is>
      </c>
      <c r="D2657" s="5" t="n">
        <v>104</v>
      </c>
      <c r="E2657" s="73">
        <f>B2657*D2657/10000</f>
        <v/>
      </c>
      <c r="F2657" s="74">
        <f>B2657/30.48</f>
        <v/>
      </c>
      <c r="G2657" s="74">
        <f>D2657/30.48</f>
        <v/>
      </c>
      <c r="H2657" s="526" t="inlineStr">
        <is>
          <t>WTR</t>
        </is>
      </c>
      <c r="I2657" s="534" t="inlineStr">
        <is>
          <t>Elise Miller</t>
        </is>
      </c>
      <c r="J2657" s="545" t="n"/>
      <c r="P2657" s="280" t="n"/>
    </row>
    <row r="2658" ht="18" customHeight="1" s="305">
      <c r="A2658" s="8" t="n">
        <v>3435</v>
      </c>
      <c r="B2658" s="5" t="n">
        <v>87</v>
      </c>
      <c r="C2658" s="72" t="inlineStr">
        <is>
          <t>X</t>
        </is>
      </c>
      <c r="D2658" s="5" t="n">
        <v>325</v>
      </c>
      <c r="E2658" s="73">
        <f>B2658*D2658/10000</f>
        <v/>
      </c>
      <c r="F2658" s="74">
        <f>B2658/30.48</f>
        <v/>
      </c>
      <c r="G2658" s="74">
        <f>D2658/30.48</f>
        <v/>
      </c>
      <c r="H2658" s="526" t="inlineStr">
        <is>
          <t>WTR</t>
        </is>
      </c>
      <c r="I2658" s="534" t="inlineStr">
        <is>
          <t>Alexa Gerken</t>
        </is>
      </c>
      <c r="J2658" s="545" t="n"/>
      <c r="P2658" s="280" t="n"/>
    </row>
    <row r="2659" ht="18" customHeight="1" s="305">
      <c r="A2659" s="8" t="n">
        <v>2663</v>
      </c>
      <c r="B2659" s="5" t="n">
        <v>201</v>
      </c>
      <c r="C2659" s="72" t="inlineStr">
        <is>
          <t>X</t>
        </is>
      </c>
      <c r="D2659" s="5" t="n">
        <v>284</v>
      </c>
      <c r="E2659" s="73">
        <f>B2659*D2659/10000</f>
        <v/>
      </c>
      <c r="F2659" s="74">
        <f>B2659/30.48</f>
        <v/>
      </c>
      <c r="G2659" s="74">
        <f>D2659/30.48</f>
        <v/>
      </c>
      <c r="H2659" s="526" t="inlineStr">
        <is>
          <t>WTR</t>
        </is>
      </c>
      <c r="I2659" s="570" t="inlineStr">
        <is>
          <t>Ambassador LLC Alison Hammatt</t>
        </is>
      </c>
      <c r="J2659" s="557" t="n"/>
      <c r="P2659" s="280" t="n"/>
    </row>
    <row r="2660" ht="18" customHeight="1" s="305">
      <c r="A2660" s="8" t="n">
        <v>2226</v>
      </c>
      <c r="B2660" s="5" t="n">
        <v>151</v>
      </c>
      <c r="C2660" s="72" t="inlineStr">
        <is>
          <t>X</t>
        </is>
      </c>
      <c r="D2660" s="5" t="n">
        <v>206</v>
      </c>
      <c r="E2660" s="73">
        <f>B2660*D2660/10000</f>
        <v/>
      </c>
      <c r="F2660" s="74">
        <f>B2660/30.48</f>
        <v/>
      </c>
      <c r="G2660" s="74">
        <f>D2660/30.48</f>
        <v/>
      </c>
      <c r="H2660" s="334" t="inlineStr">
        <is>
          <t>LMX</t>
        </is>
      </c>
      <c r="I2660" s="570" t="inlineStr">
        <is>
          <t>Grace Dille</t>
        </is>
      </c>
      <c r="J2660" s="557" t="n"/>
      <c r="P2660" s="280" t="n"/>
    </row>
    <row r="2661" ht="18" customHeight="1" s="305">
      <c r="A2661" s="8" t="n">
        <v>2583</v>
      </c>
      <c r="B2661" s="5" t="n">
        <v>206</v>
      </c>
      <c r="C2661" s="72" t="inlineStr">
        <is>
          <t>X</t>
        </is>
      </c>
      <c r="D2661" s="5" t="n">
        <v>247</v>
      </c>
      <c r="E2661" s="73">
        <f>B2661*D2661/10000</f>
        <v/>
      </c>
      <c r="F2661" s="74">
        <f>B2661/30.48</f>
        <v/>
      </c>
      <c r="G2661" s="74">
        <f>D2661/30.48</f>
        <v/>
      </c>
      <c r="H2661" s="334" t="inlineStr">
        <is>
          <t>LMX</t>
        </is>
      </c>
      <c r="I2661" s="570" t="inlineStr">
        <is>
          <t>Alisha Butler</t>
        </is>
      </c>
      <c r="J2661" s="557" t="n"/>
      <c r="P2661" s="280" t="n"/>
    </row>
    <row r="2662" ht="18" customHeight="1" s="305">
      <c r="A2662" s="8" t="n">
        <v>3085</v>
      </c>
      <c r="B2662" s="5" t="n">
        <v>165</v>
      </c>
      <c r="C2662" s="72" t="inlineStr">
        <is>
          <t>X</t>
        </is>
      </c>
      <c r="D2662" s="5" t="n">
        <v>199</v>
      </c>
      <c r="E2662" s="73">
        <f>B2662*D2662/10000</f>
        <v/>
      </c>
      <c r="F2662" s="74">
        <f>B2662/30.48</f>
        <v/>
      </c>
      <c r="G2662" s="74">
        <f>D2662/30.48</f>
        <v/>
      </c>
      <c r="H2662" s="334" t="inlineStr">
        <is>
          <t>LMX</t>
        </is>
      </c>
      <c r="I2662" s="570" t="inlineStr">
        <is>
          <t>Lee Klinzing</t>
        </is>
      </c>
      <c r="J2662" s="557" t="n"/>
      <c r="P2662" s="280" t="n"/>
      <c r="S2662" s="1" t="n"/>
    </row>
    <row r="2663" ht="18" customHeight="1" s="305">
      <c r="A2663" s="8" t="n">
        <v>3284</v>
      </c>
      <c r="B2663" s="5" t="n">
        <v>99</v>
      </c>
      <c r="C2663" s="72" t="inlineStr">
        <is>
          <t>X</t>
        </is>
      </c>
      <c r="D2663" s="5" t="n">
        <v>203</v>
      </c>
      <c r="E2663" s="73">
        <f>B2663*D2663/10000</f>
        <v/>
      </c>
      <c r="F2663" s="74">
        <f>B2663/30.48</f>
        <v/>
      </c>
      <c r="G2663" s="74">
        <f>D2663/30.48</f>
        <v/>
      </c>
      <c r="H2663" s="526" t="inlineStr">
        <is>
          <t>WTR</t>
        </is>
      </c>
      <c r="I2663" s="570" t="inlineStr">
        <is>
          <t>Ali Pumphrey</t>
        </is>
      </c>
      <c r="J2663" s="557" t="n"/>
      <c r="P2663" s="280" t="n"/>
      <c r="S2663" s="1" t="n"/>
    </row>
    <row r="2664" ht="18" customHeight="1" s="305">
      <c r="A2664" s="8" t="inlineStr">
        <is>
          <t>H 24</t>
        </is>
      </c>
      <c r="B2664" s="5" t="n">
        <v>80</v>
      </c>
      <c r="C2664" s="72" t="inlineStr">
        <is>
          <t>X</t>
        </is>
      </c>
      <c r="D2664" s="5" t="n">
        <v>363</v>
      </c>
      <c r="E2664" s="73">
        <f>B2664*D2664/10000</f>
        <v/>
      </c>
      <c r="F2664" s="74">
        <f>B2664/30.48</f>
        <v/>
      </c>
      <c r="G2664" s="74">
        <f>D2664/30.48</f>
        <v/>
      </c>
      <c r="H2664" s="526" t="inlineStr">
        <is>
          <t>WTR</t>
        </is>
      </c>
      <c r="I2664" s="570" t="inlineStr">
        <is>
          <t>Ashley Mama Lama</t>
        </is>
      </c>
      <c r="J2664" s="557" t="n"/>
      <c r="P2664" s="280" t="n"/>
    </row>
    <row r="2665" ht="18" customHeight="1" s="305">
      <c r="A2665" s="28" t="inlineStr">
        <is>
          <t>D 861</t>
        </is>
      </c>
      <c r="B2665" s="29" t="n">
        <v>46</v>
      </c>
      <c r="C2665" s="236" t="inlineStr">
        <is>
          <t>X</t>
        </is>
      </c>
      <c r="D2665" s="29" t="n">
        <v>102</v>
      </c>
      <c r="E2665" s="237">
        <f>B2665*D2665/10000</f>
        <v/>
      </c>
      <c r="F2665" s="238">
        <f>B2665/30.48</f>
        <v/>
      </c>
      <c r="G2665" s="238">
        <f>D2665/30.48</f>
        <v/>
      </c>
      <c r="H2665" s="526" t="inlineStr">
        <is>
          <t>WCR</t>
        </is>
      </c>
      <c r="I2665" s="570" t="inlineStr">
        <is>
          <t>Susan Burrichter</t>
        </is>
      </c>
      <c r="J2665" s="557" t="n"/>
    </row>
    <row r="2666" ht="18" customHeight="1" s="305">
      <c r="A2666" s="8" t="n">
        <v>1670</v>
      </c>
      <c r="B2666" s="5" t="n">
        <v>309</v>
      </c>
      <c r="C2666" s="72" t="inlineStr">
        <is>
          <t>X</t>
        </is>
      </c>
      <c r="D2666" s="5" t="n">
        <v>203</v>
      </c>
      <c r="E2666" s="73">
        <f>B2666*D2666/10000</f>
        <v/>
      </c>
      <c r="F2666" s="74">
        <f>B2666/30.48</f>
        <v/>
      </c>
      <c r="G2666" s="74">
        <f>D2666/30.48</f>
        <v/>
      </c>
      <c r="H2666" s="592" t="inlineStr">
        <is>
          <t>PAC</t>
        </is>
      </c>
      <c r="I2666" s="570" t="inlineStr">
        <is>
          <t>Dylan Bowman</t>
        </is>
      </c>
      <c r="J2666" s="557" t="n"/>
    </row>
    <row r="2667" ht="18" customHeight="1" s="305">
      <c r="A2667" s="28" t="inlineStr">
        <is>
          <t>D 516</t>
        </is>
      </c>
      <c r="B2667" s="29" t="n">
        <v>54</v>
      </c>
      <c r="C2667" s="236" t="inlineStr">
        <is>
          <t>X</t>
        </is>
      </c>
      <c r="D2667" s="29" t="n">
        <v>102</v>
      </c>
      <c r="E2667" s="237">
        <f>B2667*D2667/10000</f>
        <v/>
      </c>
      <c r="F2667" s="238">
        <f>B2667/30.48</f>
        <v/>
      </c>
      <c r="G2667" s="238">
        <f>D2667/30.48</f>
        <v/>
      </c>
      <c r="H2667" s="592" t="inlineStr">
        <is>
          <t>LR</t>
        </is>
      </c>
      <c r="I2667" s="570" t="inlineStr">
        <is>
          <t>Emma Wilson</t>
        </is>
      </c>
      <c r="J2667" s="557" t="n"/>
    </row>
    <row r="2668" ht="18" customHeight="1" s="305">
      <c r="A2668" s="28" t="inlineStr">
        <is>
          <t>D 1007</t>
        </is>
      </c>
      <c r="B2668" s="29" t="n">
        <v>46</v>
      </c>
      <c r="C2668" s="236" t="inlineStr">
        <is>
          <t>X</t>
        </is>
      </c>
      <c r="D2668" s="29" t="n">
        <v>90</v>
      </c>
      <c r="E2668" s="237">
        <f>B2668*D2668/10000</f>
        <v/>
      </c>
      <c r="F2668" s="238">
        <f>B2668/30.48</f>
        <v/>
      </c>
      <c r="G2668" s="238">
        <f>D2668/30.48</f>
        <v/>
      </c>
      <c r="H2668" s="334" t="inlineStr">
        <is>
          <t>RST</t>
        </is>
      </c>
      <c r="I2668" s="570" t="inlineStr">
        <is>
          <t>Sara Lelchuk</t>
        </is>
      </c>
      <c r="J2668" s="557" t="n"/>
    </row>
    <row r="2669" ht="18" customHeight="1" s="305">
      <c r="A2669" s="28" t="inlineStr">
        <is>
          <t>D 835</t>
        </is>
      </c>
      <c r="B2669" s="29" t="n">
        <v>51</v>
      </c>
      <c r="C2669" s="236" t="inlineStr">
        <is>
          <t>X</t>
        </is>
      </c>
      <c r="D2669" s="29" t="n">
        <v>95</v>
      </c>
      <c r="E2669" s="237">
        <f>B2669*D2669/10000</f>
        <v/>
      </c>
      <c r="F2669" s="238">
        <f>B2669/30.48</f>
        <v/>
      </c>
      <c r="G2669" s="238">
        <f>D2669/30.48</f>
        <v/>
      </c>
      <c r="H2669" s="526" t="inlineStr">
        <is>
          <t>WCR</t>
        </is>
      </c>
      <c r="I2669" s="570" t="inlineStr">
        <is>
          <t>Columbine Moving and Storage</t>
        </is>
      </c>
      <c r="J2669" s="557" t="n"/>
    </row>
    <row r="2670" ht="18" customHeight="1" s="305">
      <c r="A2670" s="8" t="inlineStr">
        <is>
          <t>E-25</t>
        </is>
      </c>
      <c r="B2670" s="5" t="n">
        <v>65</v>
      </c>
      <c r="C2670" s="72" t="inlineStr">
        <is>
          <t>X</t>
        </is>
      </c>
      <c r="D2670" s="5" t="n">
        <v>132</v>
      </c>
      <c r="E2670" s="73">
        <f>B2670*D2670/10000</f>
        <v/>
      </c>
      <c r="F2670" s="74">
        <f>B2670/30.48</f>
        <v/>
      </c>
      <c r="G2670" s="74">
        <f>D2670/30.48</f>
        <v/>
      </c>
      <c r="H2670" s="316" t="inlineStr">
        <is>
          <t>BHR</t>
        </is>
      </c>
      <c r="I2670" s="570" t="inlineStr">
        <is>
          <t>Vera Errico</t>
        </is>
      </c>
      <c r="J2670" s="557" t="n"/>
    </row>
    <row r="2671" ht="18" customHeight="1" s="305">
      <c r="A2671" s="8" t="n">
        <v>3141</v>
      </c>
      <c r="B2671" s="5" t="n">
        <v>119</v>
      </c>
      <c r="C2671" s="72" t="inlineStr">
        <is>
          <t>X</t>
        </is>
      </c>
      <c r="D2671" s="5" t="n">
        <v>176</v>
      </c>
      <c r="E2671" s="73">
        <f>B2671*D2671/10000</f>
        <v/>
      </c>
      <c r="F2671" s="74">
        <f>B2671/30.48</f>
        <v/>
      </c>
      <c r="G2671" s="74">
        <f>D2671/30.48</f>
        <v/>
      </c>
      <c r="H2671" s="526" t="inlineStr">
        <is>
          <t>WTR</t>
        </is>
      </c>
      <c r="I2671" s="570" t="inlineStr">
        <is>
          <t>Emily Tenney</t>
        </is>
      </c>
      <c r="J2671" s="557" t="n"/>
    </row>
    <row r="2672" ht="18" customHeight="1" s="305">
      <c r="A2672" s="8" t="n">
        <v>4038</v>
      </c>
      <c r="B2672" s="5" t="n">
        <v>68</v>
      </c>
      <c r="C2672" s="72" t="inlineStr">
        <is>
          <t>X</t>
        </is>
      </c>
      <c r="D2672" s="5" t="n">
        <v>149</v>
      </c>
      <c r="E2672" s="73">
        <f>B2672*D2672/10000</f>
        <v/>
      </c>
      <c r="F2672" s="74">
        <f>B2672/30.48</f>
        <v/>
      </c>
      <c r="G2672" s="74">
        <f>D2672/30.48</f>
        <v/>
      </c>
      <c r="H2672" s="526" t="inlineStr">
        <is>
          <t>WTR</t>
        </is>
      </c>
      <c r="I2672" s="570" t="inlineStr">
        <is>
          <t>Kasey Johnson</t>
        </is>
      </c>
      <c r="J2672" s="557" t="n"/>
    </row>
    <row r="2673" ht="18" customHeight="1" s="305">
      <c r="A2673" s="8" t="n">
        <v>2403</v>
      </c>
      <c r="B2673" s="5" t="n">
        <v>133</v>
      </c>
      <c r="C2673" s="72" t="inlineStr">
        <is>
          <t>X</t>
        </is>
      </c>
      <c r="D2673" s="5" t="n">
        <v>165</v>
      </c>
      <c r="E2673" s="73">
        <f>B2673*D2673/10000</f>
        <v/>
      </c>
      <c r="F2673" s="74">
        <f>B2673/30.48</f>
        <v/>
      </c>
      <c r="G2673" s="74">
        <f>D2673/30.48</f>
        <v/>
      </c>
      <c r="H2673" s="526" t="inlineStr">
        <is>
          <t>WTR</t>
        </is>
      </c>
      <c r="I2673" s="570" t="inlineStr">
        <is>
          <t>JESSICA MARIE BROWNE</t>
        </is>
      </c>
      <c r="J2673" s="557" t="n"/>
    </row>
    <row r="2674" ht="18" customHeight="1" s="305">
      <c r="A2674" s="8" t="n">
        <v>1383</v>
      </c>
      <c r="B2674" s="5" t="n">
        <v>88</v>
      </c>
      <c r="C2674" s="72" t="inlineStr">
        <is>
          <t>X</t>
        </is>
      </c>
      <c r="D2674" s="5" t="n">
        <v>334</v>
      </c>
      <c r="E2674" s="73">
        <f>B2674*D2674/10000</f>
        <v/>
      </c>
      <c r="F2674" s="74">
        <f>B2674/30.48</f>
        <v/>
      </c>
      <c r="G2674" s="74">
        <f>D2674/30.48</f>
        <v/>
      </c>
      <c r="H2674" s="569" t="inlineStr">
        <is>
          <t>OLD</t>
        </is>
      </c>
      <c r="I2674" s="570" t="inlineStr">
        <is>
          <t>Tammy Grimes</t>
        </is>
      </c>
      <c r="J2674" s="557" t="n"/>
    </row>
    <row r="2675" ht="18" customHeight="1" s="305">
      <c r="A2675" s="8" t="n">
        <v>3442</v>
      </c>
      <c r="B2675" s="5" t="n">
        <v>75</v>
      </c>
      <c r="C2675" s="72" t="inlineStr">
        <is>
          <t>X</t>
        </is>
      </c>
      <c r="D2675" s="5" t="n">
        <v>114</v>
      </c>
      <c r="E2675" s="73">
        <f>B2675*D2675/10000</f>
        <v/>
      </c>
      <c r="F2675" s="74">
        <f>B2675/30.48</f>
        <v/>
      </c>
      <c r="G2675" s="74">
        <f>D2675/30.48</f>
        <v/>
      </c>
      <c r="H2675" s="334" t="inlineStr">
        <is>
          <t>RST</t>
        </is>
      </c>
      <c r="I2675" s="570" t="inlineStr">
        <is>
          <t>caylee north</t>
        </is>
      </c>
      <c r="J2675" s="557" t="n"/>
    </row>
    <row r="2676" ht="18" customHeight="1" s="305">
      <c r="A2676" s="8" t="inlineStr">
        <is>
          <t>D 4</t>
        </is>
      </c>
      <c r="B2676" s="5" t="n">
        <v>55</v>
      </c>
      <c r="C2676" s="72" t="inlineStr">
        <is>
          <t>X</t>
        </is>
      </c>
      <c r="D2676" s="5" t="n">
        <v>99</v>
      </c>
      <c r="E2676" s="73">
        <f>B2676*D2676/10000</f>
        <v/>
      </c>
      <c r="F2676" s="74">
        <f>B2676/30.48</f>
        <v/>
      </c>
      <c r="G2676" s="74">
        <f>D2676/30.48</f>
        <v/>
      </c>
      <c r="H2676" s="334" t="inlineStr">
        <is>
          <t>RST</t>
        </is>
      </c>
      <c r="I2676" s="570" t="inlineStr">
        <is>
          <t>Martha Brown</t>
        </is>
      </c>
      <c r="J2676" s="557" t="n"/>
    </row>
    <row r="2677" ht="18" customHeight="1" s="305">
      <c r="A2677" s="8" t="inlineStr">
        <is>
          <t>H 212</t>
        </is>
      </c>
      <c r="B2677" s="5" t="n">
        <v>104</v>
      </c>
      <c r="C2677" s="6" t="inlineStr">
        <is>
          <t>X</t>
        </is>
      </c>
      <c r="D2677" s="5" t="n">
        <v>314</v>
      </c>
      <c r="E2677" s="2">
        <f>B2677*D2677/10000</f>
        <v/>
      </c>
      <c r="F2677" s="3">
        <f>B2677/30.48</f>
        <v/>
      </c>
      <c r="G2677" s="3">
        <f>D2677/30.48</f>
        <v/>
      </c>
      <c r="H2677" s="526" t="inlineStr">
        <is>
          <t>WTR</t>
        </is>
      </c>
      <c r="I2677" s="570" t="inlineStr">
        <is>
          <t>Monique Carroll</t>
        </is>
      </c>
      <c r="J2677" s="557" t="n"/>
    </row>
    <row r="2678" ht="18" customHeight="1" s="305">
      <c r="A2678" s="8" t="n">
        <v>4039</v>
      </c>
      <c r="B2678" s="5" t="n">
        <v>61</v>
      </c>
      <c r="C2678" s="72" t="inlineStr">
        <is>
          <t>X</t>
        </is>
      </c>
      <c r="D2678" s="5" t="n">
        <v>145</v>
      </c>
      <c r="E2678" s="73">
        <f>B2678*D2678/10000</f>
        <v/>
      </c>
      <c r="F2678" s="74">
        <f>B2678/30.48</f>
        <v/>
      </c>
      <c r="G2678" s="74">
        <f>D2678/30.48</f>
        <v/>
      </c>
      <c r="H2678" s="526" t="inlineStr">
        <is>
          <t>WTR</t>
        </is>
      </c>
      <c r="I2678" s="570" t="inlineStr">
        <is>
          <t>Jennifer rigamonti</t>
        </is>
      </c>
      <c r="J2678" s="557" t="n"/>
      <c r="S2678" s="1" t="n"/>
    </row>
    <row r="2679" ht="18" customHeight="1" s="305">
      <c r="A2679" s="28" t="inlineStr">
        <is>
          <t>D 860</t>
        </is>
      </c>
      <c r="B2679" s="29" t="n">
        <v>50</v>
      </c>
      <c r="C2679" s="236" t="inlineStr">
        <is>
          <t>X</t>
        </is>
      </c>
      <c r="D2679" s="29" t="n">
        <v>107</v>
      </c>
      <c r="E2679" s="237">
        <f>B2679*D2679/10000</f>
        <v/>
      </c>
      <c r="F2679" s="238">
        <f>B2679/30.48</f>
        <v/>
      </c>
      <c r="G2679" s="238">
        <f>D2679/30.48</f>
        <v/>
      </c>
      <c r="H2679" s="526" t="inlineStr">
        <is>
          <t>WCR</t>
        </is>
      </c>
      <c r="I2679" s="570" t="inlineStr">
        <is>
          <t>Kelsey Kennedy</t>
        </is>
      </c>
      <c r="J2679" s="557" t="n"/>
    </row>
    <row r="2680" ht="18" customHeight="1" s="305">
      <c r="A2680" s="8" t="n">
        <v>3686</v>
      </c>
      <c r="B2680" s="5" t="n">
        <v>85</v>
      </c>
      <c r="C2680" s="72" t="inlineStr">
        <is>
          <t>X</t>
        </is>
      </c>
      <c r="D2680" s="5" t="n">
        <v>284</v>
      </c>
      <c r="E2680" s="73">
        <f>B2680*D2680/10000</f>
        <v/>
      </c>
      <c r="F2680" s="74">
        <f>B2680/30.48</f>
        <v/>
      </c>
      <c r="G2680" s="74">
        <f>D2680/30.48</f>
        <v/>
      </c>
      <c r="H2680" s="316" t="inlineStr">
        <is>
          <t>BHR</t>
        </is>
      </c>
      <c r="I2680" s="570" t="inlineStr">
        <is>
          <t>PERI R ENCINAS JAIME</t>
        </is>
      </c>
      <c r="J2680" s="557" t="n"/>
      <c r="S2680" s="1" t="n"/>
    </row>
    <row r="2681" ht="18" customHeight="1" s="305">
      <c r="A2681" s="8" t="n">
        <v>2079</v>
      </c>
      <c r="B2681" s="5" t="n">
        <v>86</v>
      </c>
      <c r="C2681" s="72" t="inlineStr">
        <is>
          <t>X</t>
        </is>
      </c>
      <c r="D2681" s="5" t="n">
        <v>346</v>
      </c>
      <c r="E2681" s="73">
        <f>B2681*D2681/10000</f>
        <v/>
      </c>
      <c r="F2681" s="74">
        <f>B2681/30.48</f>
        <v/>
      </c>
      <c r="G2681" s="74">
        <f>D2681/30.48</f>
        <v/>
      </c>
      <c r="H2681" s="569" t="inlineStr">
        <is>
          <t>OLD</t>
        </is>
      </c>
      <c r="I2681" s="570" t="inlineStr">
        <is>
          <t>Emily Rainwater</t>
        </is>
      </c>
      <c r="J2681" s="557" t="n"/>
      <c r="S2681" s="1" t="n"/>
    </row>
    <row r="2682" ht="18" customHeight="1" s="305">
      <c r="A2682" s="8" t="n">
        <v>1476</v>
      </c>
      <c r="B2682" s="5" t="n">
        <v>130</v>
      </c>
      <c r="C2682" s="72" t="inlineStr">
        <is>
          <t>X</t>
        </is>
      </c>
      <c r="D2682" s="5" t="n">
        <v>350</v>
      </c>
      <c r="E2682" s="73">
        <f>B2682*D2682/10000</f>
        <v/>
      </c>
      <c r="F2682" s="74">
        <f>B2682/30.48</f>
        <v/>
      </c>
      <c r="G2682" s="74">
        <f>D2682/30.48</f>
        <v/>
      </c>
      <c r="H2682" s="569" t="inlineStr">
        <is>
          <t>OLD</t>
        </is>
      </c>
      <c r="I2682" s="570" t="inlineStr">
        <is>
          <t>Deanna Simmons</t>
        </is>
      </c>
      <c r="J2682" s="557" t="n"/>
      <c r="S2682" s="1" t="n"/>
    </row>
    <row r="2683" ht="18" customHeight="1" s="305">
      <c r="A2683" s="8" t="n">
        <v>1464</v>
      </c>
      <c r="B2683" s="5" t="n">
        <v>88</v>
      </c>
      <c r="C2683" s="72" t="inlineStr">
        <is>
          <t>X</t>
        </is>
      </c>
      <c r="D2683" s="5" t="n">
        <v>297</v>
      </c>
      <c r="E2683" s="73">
        <f>B2683*D2683/10000</f>
        <v/>
      </c>
      <c r="F2683" s="74">
        <f>B2683/30.48</f>
        <v/>
      </c>
      <c r="G2683" s="74">
        <f>D2683/30.48</f>
        <v/>
      </c>
      <c r="H2683" s="334" t="inlineStr">
        <is>
          <t>RST</t>
        </is>
      </c>
      <c r="I2683" s="570" t="inlineStr">
        <is>
          <t>Kim Wray</t>
        </is>
      </c>
      <c r="J2683" s="557" t="n"/>
      <c r="S2683" s="1" t="n"/>
    </row>
    <row r="2684" ht="18" customHeight="1" s="305">
      <c r="A2684" s="8" t="n">
        <v>1908</v>
      </c>
      <c r="B2684" s="5" t="n">
        <v>70</v>
      </c>
      <c r="C2684" s="72" t="inlineStr">
        <is>
          <t>X</t>
        </is>
      </c>
      <c r="D2684" s="5" t="n">
        <v>276</v>
      </c>
      <c r="E2684" s="73">
        <f>B2684*D2684/10000</f>
        <v/>
      </c>
      <c r="F2684" s="74">
        <f>B2684/30.48</f>
        <v/>
      </c>
      <c r="G2684" s="74">
        <f>D2684/30.48</f>
        <v/>
      </c>
      <c r="H2684" s="334" t="inlineStr">
        <is>
          <t>RST</t>
        </is>
      </c>
      <c r="I2684" s="570" t="inlineStr">
        <is>
          <t>Deanna Simmons</t>
        </is>
      </c>
      <c r="J2684" s="557" t="n"/>
      <c r="S2684" s="1" t="n"/>
    </row>
    <row r="2685" ht="18" customHeight="1" s="305">
      <c r="A2685" s="8" t="n">
        <v>2225</v>
      </c>
      <c r="B2685" s="5" t="n">
        <v>98</v>
      </c>
      <c r="C2685" s="72" t="inlineStr">
        <is>
          <t>X</t>
        </is>
      </c>
      <c r="D2685" s="5" t="n">
        <v>188</v>
      </c>
      <c r="E2685" s="73">
        <f>B2685*D2685/10000</f>
        <v/>
      </c>
      <c r="F2685" s="74">
        <f>B2685/30.48</f>
        <v/>
      </c>
      <c r="G2685" s="74">
        <f>D2685/30.48</f>
        <v/>
      </c>
      <c r="H2685" s="334" t="inlineStr">
        <is>
          <t>LLC</t>
        </is>
      </c>
      <c r="I2685" s="570" t="inlineStr">
        <is>
          <t>Carole Wintle</t>
        </is>
      </c>
      <c r="J2685" s="557" t="n"/>
      <c r="S2685" s="1" t="n"/>
    </row>
    <row r="2686" ht="18" customHeight="1" s="305">
      <c r="A2686" s="8" t="n">
        <v>3716</v>
      </c>
      <c r="B2686" s="5" t="n">
        <v>117</v>
      </c>
      <c r="C2686" s="72" t="inlineStr">
        <is>
          <t>X</t>
        </is>
      </c>
      <c r="D2686" s="5" t="n">
        <v>188</v>
      </c>
      <c r="E2686" s="73">
        <f>B2686*D2686/10000</f>
        <v/>
      </c>
      <c r="F2686" s="74">
        <f>B2686/30.48</f>
        <v/>
      </c>
      <c r="G2686" s="74">
        <f>D2686/30.48</f>
        <v/>
      </c>
      <c r="H2686" s="334" t="inlineStr">
        <is>
          <t>LMX</t>
        </is>
      </c>
      <c r="I2686" s="570" t="inlineStr">
        <is>
          <t>Christa Fabre</t>
        </is>
      </c>
      <c r="J2686" s="557" t="n"/>
      <c r="S2686" s="1" t="n"/>
    </row>
    <row r="2687" ht="18" customHeight="1" s="305">
      <c r="A2687" s="8" t="n">
        <v>2048</v>
      </c>
      <c r="B2687" s="5" t="n">
        <v>90</v>
      </c>
      <c r="C2687" s="72" t="inlineStr">
        <is>
          <t>X</t>
        </is>
      </c>
      <c r="D2687" s="5" t="n">
        <v>345</v>
      </c>
      <c r="E2687" s="73">
        <f>B2687*D2687/10000</f>
        <v/>
      </c>
      <c r="F2687" s="74">
        <f>B2687/30.48</f>
        <v/>
      </c>
      <c r="G2687" s="74">
        <f>D2687/30.48</f>
        <v/>
      </c>
      <c r="H2687" s="334" t="inlineStr">
        <is>
          <t>MCHD-TR</t>
        </is>
      </c>
      <c r="I2687" s="557" t="n"/>
      <c r="J2687" s="557" t="n"/>
      <c r="S2687" s="1" t="n"/>
    </row>
    <row r="2688" ht="18" customHeight="1" s="305">
      <c r="A2688" s="8" t="inlineStr">
        <is>
          <t>E-9</t>
        </is>
      </c>
      <c r="B2688" s="5" t="n">
        <v>57</v>
      </c>
      <c r="C2688" s="72" t="inlineStr">
        <is>
          <t>X</t>
        </is>
      </c>
      <c r="D2688" s="5" t="n">
        <v>124</v>
      </c>
      <c r="E2688" s="73">
        <f>B2688*D2688/10000</f>
        <v/>
      </c>
      <c r="F2688" s="74">
        <f>B2688/30.48</f>
        <v/>
      </c>
      <c r="G2688" s="74">
        <f>D2688/30.48</f>
        <v/>
      </c>
      <c r="H2688" s="316" t="inlineStr">
        <is>
          <t>BHR</t>
        </is>
      </c>
      <c r="I2688" s="570" t="inlineStr">
        <is>
          <t>Vera Errico</t>
        </is>
      </c>
      <c r="J2688" s="557" t="n"/>
      <c r="S2688" s="1" t="n"/>
    </row>
    <row r="2689" ht="18" customHeight="1" s="305">
      <c r="A2689" s="8" t="n">
        <v>2513</v>
      </c>
      <c r="B2689" s="5" t="n">
        <v>122</v>
      </c>
      <c r="C2689" s="72" t="inlineStr">
        <is>
          <t>X</t>
        </is>
      </c>
      <c r="D2689" s="5" t="n">
        <v>178</v>
      </c>
      <c r="E2689" s="73">
        <f>B2689*D2689/10000</f>
        <v/>
      </c>
      <c r="F2689" s="74">
        <f>B2689/30.48</f>
        <v/>
      </c>
      <c r="G2689" s="74">
        <f>D2689/30.48</f>
        <v/>
      </c>
      <c r="H2689" s="334" t="inlineStr">
        <is>
          <t>RST</t>
        </is>
      </c>
      <c r="I2689" s="570" t="inlineStr">
        <is>
          <t>Mary Knight</t>
        </is>
      </c>
      <c r="J2689" s="557" t="n"/>
      <c r="S2689" s="1" t="n"/>
    </row>
    <row r="2690" ht="18" customHeight="1" s="305">
      <c r="A2690" s="8" t="inlineStr">
        <is>
          <t>D 436</t>
        </is>
      </c>
      <c r="B2690" s="5" t="n">
        <v>45</v>
      </c>
      <c r="C2690" s="72" t="inlineStr">
        <is>
          <t>X</t>
        </is>
      </c>
      <c r="D2690" s="5" t="n">
        <v>95</v>
      </c>
      <c r="E2690" s="73">
        <f>B2690*D2690/10000</f>
        <v/>
      </c>
      <c r="F2690" s="74">
        <f>B2690/30.48</f>
        <v/>
      </c>
      <c r="G2690" s="74">
        <f>D2690/30.48</f>
        <v/>
      </c>
      <c r="H2690" s="334" t="inlineStr">
        <is>
          <t>WTR</t>
        </is>
      </c>
      <c r="I2690" s="570" t="inlineStr">
        <is>
          <t>Christine Riley</t>
        </is>
      </c>
      <c r="J2690" s="557" t="n"/>
      <c r="S2690" s="1" t="n"/>
    </row>
    <row r="2691" ht="18" customHeight="1" s="305">
      <c r="A2691" s="8" t="inlineStr">
        <is>
          <t>D 259</t>
        </is>
      </c>
      <c r="B2691" s="5" t="n">
        <v>53</v>
      </c>
      <c r="C2691" s="72" t="inlineStr">
        <is>
          <t>X</t>
        </is>
      </c>
      <c r="D2691" s="5" t="n">
        <v>93</v>
      </c>
      <c r="E2691" s="73">
        <f>B2691*D2691/10000</f>
        <v/>
      </c>
      <c r="F2691" s="74">
        <f>B2691/30.48</f>
        <v/>
      </c>
      <c r="G2691" s="74">
        <f>D2691/30.48</f>
        <v/>
      </c>
      <c r="H2691" s="334" t="inlineStr">
        <is>
          <t>WLR</t>
        </is>
      </c>
      <c r="I2691" s="570" t="inlineStr">
        <is>
          <t>Christine Riley</t>
        </is>
      </c>
      <c r="J2691" s="557" t="n"/>
      <c r="S2691" s="1" t="n"/>
    </row>
    <row r="2692" ht="18" customHeight="1" s="305">
      <c r="A2692" s="8" t="n">
        <v>3549</v>
      </c>
      <c r="B2692" s="5" t="n">
        <v>75</v>
      </c>
      <c r="C2692" s="72" t="inlineStr">
        <is>
          <t>X</t>
        </is>
      </c>
      <c r="D2692" s="5" t="n">
        <v>225</v>
      </c>
      <c r="E2692" s="73">
        <f>B2692*D2692/10000</f>
        <v/>
      </c>
      <c r="F2692" s="74">
        <f>B2692/30.48</f>
        <v/>
      </c>
      <c r="G2692" s="74">
        <f>D2692/30.48</f>
        <v/>
      </c>
      <c r="H2692" s="334" t="inlineStr">
        <is>
          <t>MCHD-TR</t>
        </is>
      </c>
      <c r="I2692" s="557" t="n"/>
      <c r="J2692" s="557" t="n"/>
    </row>
    <row r="2693" ht="18" customHeight="1" s="305">
      <c r="A2693" s="8" t="n">
        <v>4034</v>
      </c>
      <c r="B2693" s="5" t="n">
        <v>65</v>
      </c>
      <c r="C2693" s="72" t="inlineStr">
        <is>
          <t>X</t>
        </is>
      </c>
      <c r="D2693" s="5" t="n">
        <v>152</v>
      </c>
      <c r="E2693" s="73">
        <f>B2693*D2693/10000</f>
        <v/>
      </c>
      <c r="F2693" s="74">
        <f>B2693/30.48</f>
        <v/>
      </c>
      <c r="G2693" s="74">
        <f>D2693/30.48</f>
        <v/>
      </c>
      <c r="H2693" s="334" t="inlineStr">
        <is>
          <t>WTR</t>
        </is>
      </c>
      <c r="I2693" s="570" t="inlineStr">
        <is>
          <t>EXTRA STORAGE JLV WINHAM</t>
        </is>
      </c>
      <c r="J2693" s="557" t="inlineStr">
        <is>
          <t>+1 8435642101</t>
        </is>
      </c>
      <c r="S2693" s="1" t="n"/>
    </row>
    <row r="2694" ht="18" customHeight="1" s="305">
      <c r="A2694" s="8" t="n">
        <v>3145</v>
      </c>
      <c r="B2694" s="5" t="n">
        <v>100</v>
      </c>
      <c r="C2694" s="72" t="inlineStr">
        <is>
          <t>X</t>
        </is>
      </c>
      <c r="D2694" s="5" t="n">
        <v>294</v>
      </c>
      <c r="E2694" s="73">
        <f>B2694*D2694/10000</f>
        <v/>
      </c>
      <c r="F2694" s="74">
        <f>B2694/30.48</f>
        <v/>
      </c>
      <c r="G2694" s="74">
        <f>D2694/30.48</f>
        <v/>
      </c>
      <c r="H2694" s="334" t="inlineStr">
        <is>
          <t>WTR</t>
        </is>
      </c>
      <c r="I2694" s="570" t="inlineStr">
        <is>
          <t>Caitlin Anckner</t>
        </is>
      </c>
      <c r="J2694" s="557" t="n"/>
    </row>
    <row r="2695" ht="18" customHeight="1" s="305">
      <c r="A2695" s="8" t="n">
        <v>3979</v>
      </c>
      <c r="B2695" s="5" t="n">
        <v>75</v>
      </c>
      <c r="C2695" s="72" t="inlineStr">
        <is>
          <t>X</t>
        </is>
      </c>
      <c r="D2695" s="5" t="n">
        <v>329</v>
      </c>
      <c r="E2695" s="73">
        <f>B2695*D2695/10000</f>
        <v/>
      </c>
      <c r="F2695" s="74">
        <f>B2695/30.48</f>
        <v/>
      </c>
      <c r="G2695" s="74">
        <f>D2695/30.48</f>
        <v/>
      </c>
      <c r="H2695" s="334" t="inlineStr">
        <is>
          <t>WTR</t>
        </is>
      </c>
      <c r="I2695" s="570" t="inlineStr">
        <is>
          <t>Amie Egbert</t>
        </is>
      </c>
      <c r="J2695" s="557" t="n"/>
      <c r="S2695" s="1" t="n"/>
    </row>
    <row r="2696" ht="18" customHeight="1" s="305">
      <c r="A2696" s="8" t="n">
        <v>2252</v>
      </c>
      <c r="B2696" s="5" t="n">
        <v>73</v>
      </c>
      <c r="C2696" s="72" t="inlineStr">
        <is>
          <t>X</t>
        </is>
      </c>
      <c r="D2696" s="5" t="n">
        <v>160</v>
      </c>
      <c r="E2696" s="73">
        <f>B2696*D2696/10000</f>
        <v/>
      </c>
      <c r="F2696" s="74">
        <f>B2696/30.48</f>
        <v/>
      </c>
      <c r="G2696" s="74">
        <f>D2696/30.48</f>
        <v/>
      </c>
      <c r="H2696" s="334" t="inlineStr">
        <is>
          <t>LLC</t>
        </is>
      </c>
      <c r="I2696" s="570" t="inlineStr">
        <is>
          <t>Heather Sims</t>
        </is>
      </c>
      <c r="J2696" s="557" t="n"/>
    </row>
    <row r="2697" ht="18" customHeight="1" s="305">
      <c r="A2697" s="8" t="n">
        <v>2878</v>
      </c>
      <c r="B2697" s="5" t="n">
        <v>127</v>
      </c>
      <c r="C2697" s="72" t="inlineStr">
        <is>
          <t>X</t>
        </is>
      </c>
      <c r="D2697" s="5" t="n">
        <v>341</v>
      </c>
      <c r="E2697" s="73">
        <f>B2697*D2697/10000</f>
        <v/>
      </c>
      <c r="F2697" s="74">
        <f>B2697/30.48</f>
        <v/>
      </c>
      <c r="G2697" s="74">
        <f>D2697/30.48</f>
        <v/>
      </c>
      <c r="H2697" s="334" t="inlineStr">
        <is>
          <t>LLC</t>
        </is>
      </c>
      <c r="I2697" s="570" t="inlineStr">
        <is>
          <t>David Wolfson</t>
        </is>
      </c>
      <c r="J2697" s="557" t="n"/>
      <c r="S2697" s="1" t="n"/>
    </row>
    <row r="2698" ht="18" customHeight="1" s="305">
      <c r="A2698" s="8" t="n">
        <v>3349</v>
      </c>
      <c r="B2698" s="5" t="n">
        <v>90</v>
      </c>
      <c r="C2698" s="72" t="inlineStr">
        <is>
          <t>X</t>
        </is>
      </c>
      <c r="D2698" s="5" t="n">
        <v>127</v>
      </c>
      <c r="E2698" s="73">
        <f>B2698*D2698/10000</f>
        <v/>
      </c>
      <c r="F2698" s="74">
        <f>B2698/30.48</f>
        <v/>
      </c>
      <c r="G2698" s="74">
        <f>D2698/30.48</f>
        <v/>
      </c>
      <c r="H2698" s="334" t="inlineStr">
        <is>
          <t>RST</t>
        </is>
      </c>
      <c r="I2698" s="570" t="inlineStr">
        <is>
          <t>Carol Byrnes</t>
        </is>
      </c>
      <c r="J2698" s="557" t="n"/>
      <c r="S2698" s="1" t="n"/>
    </row>
    <row r="2699" ht="18" customHeight="1" s="305">
      <c r="A2699" s="8" t="n">
        <v>2529</v>
      </c>
      <c r="B2699" s="5" t="n">
        <v>92</v>
      </c>
      <c r="C2699" s="72" t="inlineStr">
        <is>
          <t>X</t>
        </is>
      </c>
      <c r="D2699" s="5" t="n">
        <v>350</v>
      </c>
      <c r="E2699" s="73">
        <f>B2699*D2699/10000</f>
        <v/>
      </c>
      <c r="F2699" s="74">
        <f>B2699/30.48</f>
        <v/>
      </c>
      <c r="G2699" s="74">
        <f>D2699/30.48</f>
        <v/>
      </c>
      <c r="H2699" s="334" t="inlineStr">
        <is>
          <t>RST</t>
        </is>
      </c>
      <c r="I2699" s="570" t="inlineStr">
        <is>
          <t>Hannah and Adam Grogan/ Brennan Interiors</t>
        </is>
      </c>
      <c r="J2699" s="557" t="n"/>
      <c r="S2699" s="1" t="n"/>
    </row>
    <row r="2700" ht="18" customHeight="1" s="305">
      <c r="A2700" s="8" t="inlineStr">
        <is>
          <t>H 14</t>
        </is>
      </c>
      <c r="B2700" s="5" t="n">
        <v>87</v>
      </c>
      <c r="C2700" s="72" t="inlineStr">
        <is>
          <t>X</t>
        </is>
      </c>
      <c r="D2700" s="5" t="n">
        <v>370</v>
      </c>
      <c r="E2700" s="73">
        <f>B2700*D2700/10000</f>
        <v/>
      </c>
      <c r="F2700" s="74">
        <f>B2700/30.48</f>
        <v/>
      </c>
      <c r="G2700" s="74">
        <f>D2700/30.48</f>
        <v/>
      </c>
      <c r="H2700" s="592" t="inlineStr">
        <is>
          <t>PAC</t>
        </is>
      </c>
      <c r="I2700" s="570" t="inlineStr">
        <is>
          <t>Madeleine Lord</t>
        </is>
      </c>
      <c r="J2700" s="557" t="n"/>
      <c r="S2700" s="1" t="n"/>
    </row>
    <row r="2701" ht="18" customHeight="1" s="305">
      <c r="A2701" s="8" t="n">
        <v>3994</v>
      </c>
      <c r="B2701" s="5" t="n">
        <v>79</v>
      </c>
      <c r="C2701" s="72" t="inlineStr">
        <is>
          <t>X</t>
        </is>
      </c>
      <c r="D2701" s="5" t="n">
        <v>294</v>
      </c>
      <c r="E2701" s="73">
        <f>B2701*D2701/10000</f>
        <v/>
      </c>
      <c r="F2701" s="74">
        <f>B2701/30.48</f>
        <v/>
      </c>
      <c r="G2701" s="74">
        <f>D2701/30.48</f>
        <v/>
      </c>
      <c r="H2701" s="334" t="inlineStr">
        <is>
          <t>LMX</t>
        </is>
      </c>
      <c r="I2701" s="570" t="inlineStr">
        <is>
          <t>Julie Schavone</t>
        </is>
      </c>
      <c r="J2701" s="557" t="n"/>
      <c r="S2701" s="1" t="n"/>
    </row>
    <row r="2702" ht="18" customHeight="1" s="305">
      <c r="A2702" s="28" t="inlineStr">
        <is>
          <t>D 833</t>
        </is>
      </c>
      <c r="B2702" s="29" t="n">
        <v>46</v>
      </c>
      <c r="C2702" s="236" t="inlineStr">
        <is>
          <t>X</t>
        </is>
      </c>
      <c r="D2702" s="29" t="n">
        <v>71</v>
      </c>
      <c r="E2702" s="237">
        <f>B2702*D2702/10000</f>
        <v/>
      </c>
      <c r="F2702" s="238">
        <f>B2702/30.48</f>
        <v/>
      </c>
      <c r="G2702" s="238">
        <f>D2702/30.48</f>
        <v/>
      </c>
      <c r="H2702" s="592" t="inlineStr">
        <is>
          <t>LR</t>
        </is>
      </c>
      <c r="I2702" s="570" t="inlineStr">
        <is>
          <t>Milette Fields</t>
        </is>
      </c>
      <c r="J2702" s="557" t="n"/>
      <c r="S2702" s="1" t="n"/>
    </row>
    <row r="2703" ht="18" customHeight="1" s="305">
      <c r="A2703" s="8" t="inlineStr">
        <is>
          <t>H 263</t>
        </is>
      </c>
      <c r="B2703" s="5" t="n">
        <v>94</v>
      </c>
      <c r="C2703" s="72" t="inlineStr">
        <is>
          <t>X</t>
        </is>
      </c>
      <c r="D2703" s="5" t="n">
        <v>338</v>
      </c>
      <c r="E2703" s="73">
        <f>B2703*D2703/10000</f>
        <v/>
      </c>
      <c r="F2703" s="74">
        <f>B2703/30.48</f>
        <v/>
      </c>
      <c r="G2703" s="74">
        <f>D2703/30.48</f>
        <v/>
      </c>
      <c r="H2703" s="334" t="inlineStr">
        <is>
          <t>WTR</t>
        </is>
      </c>
      <c r="I2703" s="570" t="inlineStr">
        <is>
          <t>AINSLEY WICKERSON</t>
        </is>
      </c>
      <c r="J2703" s="557" t="n"/>
      <c r="S2703" s="1" t="n"/>
    </row>
    <row r="2704" ht="18" customHeight="1" s="305">
      <c r="A2704" s="8" t="n">
        <v>2617</v>
      </c>
      <c r="B2704" s="5" t="n">
        <v>87</v>
      </c>
      <c r="C2704" s="72" t="inlineStr">
        <is>
          <t>X</t>
        </is>
      </c>
      <c r="D2704" s="5" t="n">
        <v>137</v>
      </c>
      <c r="E2704" s="73">
        <f>B2704*D2704/10000</f>
        <v/>
      </c>
      <c r="F2704" s="74">
        <f>B2704/30.48</f>
        <v/>
      </c>
      <c r="G2704" s="74">
        <f>D2704/30.48</f>
        <v/>
      </c>
      <c r="H2704" s="334" t="inlineStr">
        <is>
          <t>WTR</t>
        </is>
      </c>
      <c r="I2704" s="570" t="inlineStr">
        <is>
          <t>Clare Stewart</t>
        </is>
      </c>
      <c r="J2704" s="557" t="n"/>
      <c r="S2704" s="1" t="n"/>
    </row>
    <row r="2705" ht="18" customHeight="1" s="305">
      <c r="A2705" s="8" t="n">
        <v>2506</v>
      </c>
      <c r="B2705" s="5" t="n">
        <v>80</v>
      </c>
      <c r="C2705" s="72" t="inlineStr">
        <is>
          <t>X</t>
        </is>
      </c>
      <c r="D2705" s="5" t="n">
        <v>304</v>
      </c>
      <c r="E2705" s="73">
        <f>B2705*D2705/10000</f>
        <v/>
      </c>
      <c r="F2705" s="74">
        <f>B2705/30.48</f>
        <v/>
      </c>
      <c r="G2705" s="74">
        <f>D2705/30.48</f>
        <v/>
      </c>
      <c r="H2705" s="334" t="inlineStr">
        <is>
          <t>WTR</t>
        </is>
      </c>
      <c r="I2705" s="570" t="inlineStr">
        <is>
          <t>Amy Rustin Rahman</t>
        </is>
      </c>
      <c r="J2705" s="557" t="n"/>
      <c r="S2705" s="1" t="n"/>
    </row>
    <row r="2706" ht="18" customHeight="1" s="305">
      <c r="A2706" s="8" t="n">
        <v>3153</v>
      </c>
      <c r="B2706" s="5" t="n">
        <v>110</v>
      </c>
      <c r="C2706" s="72" t="inlineStr">
        <is>
          <t>X</t>
        </is>
      </c>
      <c r="D2706" s="5" t="n">
        <v>198</v>
      </c>
      <c r="E2706" s="73">
        <f>B2706*D2706/10000</f>
        <v/>
      </c>
      <c r="F2706" s="74">
        <f>B2706/30.48</f>
        <v/>
      </c>
      <c r="G2706" s="74">
        <f>D2706/30.48</f>
        <v/>
      </c>
      <c r="H2706" s="334" t="inlineStr">
        <is>
          <t>WTR</t>
        </is>
      </c>
      <c r="I2706" s="570" t="inlineStr">
        <is>
          <t>Allison Broms</t>
        </is>
      </c>
      <c r="J2706" s="557" t="n"/>
      <c r="S2706" s="1" t="n"/>
    </row>
    <row r="2707" ht="18" customHeight="1" s="305">
      <c r="A2707" s="8" t="n">
        <v>3802</v>
      </c>
      <c r="B2707" s="5" t="n">
        <v>102</v>
      </c>
      <c r="C2707" s="72" t="inlineStr">
        <is>
          <t>X</t>
        </is>
      </c>
      <c r="D2707" s="5" t="n">
        <v>316</v>
      </c>
      <c r="E2707" s="73">
        <f>B2707*D2707/10000</f>
        <v/>
      </c>
      <c r="F2707" s="74">
        <f>B2707/30.48</f>
        <v/>
      </c>
      <c r="G2707" s="74">
        <f>D2707/30.48</f>
        <v/>
      </c>
      <c r="H2707" s="334" t="inlineStr">
        <is>
          <t>LMX</t>
        </is>
      </c>
      <c r="I2707" s="570" t="inlineStr">
        <is>
          <t>Bebelu Oyala</t>
        </is>
      </c>
      <c r="J2707" s="557" t="n"/>
      <c r="S2707" s="1" t="n"/>
    </row>
    <row r="2708" ht="18" customHeight="1" s="305">
      <c r="A2708" s="8" t="n">
        <v>3635</v>
      </c>
      <c r="B2708" s="5" t="n">
        <v>90</v>
      </c>
      <c r="C2708" s="72" t="inlineStr">
        <is>
          <t>X</t>
        </is>
      </c>
      <c r="D2708" s="5" t="n">
        <v>432</v>
      </c>
      <c r="E2708" s="73">
        <f>B2708*D2708/10000</f>
        <v/>
      </c>
      <c r="F2708" s="74">
        <f>B2708/30.48</f>
        <v/>
      </c>
      <c r="G2708" s="74">
        <f>D2708/30.48</f>
        <v/>
      </c>
      <c r="H2708" s="334" t="inlineStr">
        <is>
          <t>LMX</t>
        </is>
      </c>
      <c r="I2708" s="570" t="inlineStr">
        <is>
          <t>Bebelu Oyala</t>
        </is>
      </c>
      <c r="J2708" s="557" t="n"/>
      <c r="S2708" s="1" t="n"/>
    </row>
    <row r="2709" ht="18" customHeight="1" s="305">
      <c r="A2709" s="8" t="n">
        <v>3838</v>
      </c>
      <c r="B2709" s="5" t="n">
        <v>95</v>
      </c>
      <c r="C2709" s="72" t="inlineStr">
        <is>
          <t>X</t>
        </is>
      </c>
      <c r="D2709" s="5" t="n">
        <v>273</v>
      </c>
      <c r="E2709" s="73">
        <f>B2709*D2709/10000</f>
        <v/>
      </c>
      <c r="F2709" s="74">
        <f>B2709/30.48</f>
        <v/>
      </c>
      <c r="G2709" s="74">
        <f>D2709/30.48</f>
        <v/>
      </c>
      <c r="H2709" s="334" t="inlineStr">
        <is>
          <t>LMX</t>
        </is>
      </c>
      <c r="I2709" s="570" t="inlineStr">
        <is>
          <t>Kendall Schmitt</t>
        </is>
      </c>
      <c r="J2709" s="557" t="n"/>
      <c r="S2709" s="1" t="n"/>
    </row>
    <row r="2710">
      <c r="A2710" s="536" t="inlineStr">
        <is>
          <t>-2025 TEMMUZ-</t>
        </is>
      </c>
      <c r="H2710" s="104" t="inlineStr">
        <is>
          <t>SATAN-SİTE</t>
        </is>
      </c>
      <c r="I2710" s="98" t="inlineStr">
        <is>
          <t>MÜŞTERİ ADI</t>
        </is>
      </c>
      <c r="J2710" s="63" t="inlineStr">
        <is>
          <t>MÜŞTERİ İLETİŞİM &amp; ÜLKE</t>
        </is>
      </c>
      <c r="P2710" s="1" t="n"/>
    </row>
    <row r="2711" ht="19.5" customHeight="1" s="305">
      <c r="A2711" s="8" t="n">
        <v>2947</v>
      </c>
      <c r="B2711" s="5" t="n">
        <v>79</v>
      </c>
      <c r="C2711" s="72" t="inlineStr">
        <is>
          <t>X</t>
        </is>
      </c>
      <c r="D2711" s="5" t="n">
        <v>375</v>
      </c>
      <c r="E2711" s="73">
        <f>B2711*D2711/10000</f>
        <v/>
      </c>
      <c r="F2711" s="74">
        <f>B2711/30.48</f>
        <v/>
      </c>
      <c r="G2711" s="74">
        <f>D2711/30.48</f>
        <v/>
      </c>
      <c r="H2711" s="334" t="inlineStr">
        <is>
          <t>LMX</t>
        </is>
      </c>
      <c r="I2711" s="570" t="inlineStr">
        <is>
          <t>Rina Yatabe</t>
        </is>
      </c>
      <c r="J2711" s="557" t="inlineStr">
        <is>
          <t>81-33678-1379</t>
        </is>
      </c>
      <c r="S2711" s="1" t="n"/>
    </row>
    <row r="2712" ht="18" customHeight="1" s="305">
      <c r="A2712" s="8" t="n">
        <v>2486</v>
      </c>
      <c r="B2712" s="5" t="n">
        <v>90</v>
      </c>
      <c r="C2712" s="72" t="inlineStr">
        <is>
          <t>X</t>
        </is>
      </c>
      <c r="D2712" s="5" t="n">
        <v>301</v>
      </c>
      <c r="E2712" s="73">
        <f>B2712*D2712/10000</f>
        <v/>
      </c>
      <c r="F2712" s="74">
        <f>B2712/30.48</f>
        <v/>
      </c>
      <c r="G2712" s="74">
        <f>D2712/30.48</f>
        <v/>
      </c>
      <c r="H2712" s="334" t="inlineStr">
        <is>
          <t>RST</t>
        </is>
      </c>
      <c r="I2712" s="570" t="inlineStr">
        <is>
          <t>Kendall Schmitt</t>
        </is>
      </c>
      <c r="J2712" s="557" t="n"/>
      <c r="S2712" s="1" t="n"/>
    </row>
    <row r="2713" ht="18" customHeight="1" s="305">
      <c r="A2713" s="8" t="inlineStr">
        <is>
          <t>D 254</t>
        </is>
      </c>
      <c r="B2713" s="5" t="n">
        <v>51</v>
      </c>
      <c r="C2713" s="72" t="inlineStr">
        <is>
          <t>X</t>
        </is>
      </c>
      <c r="D2713" s="5" t="n">
        <v>92</v>
      </c>
      <c r="E2713" s="73">
        <f>B2713*D2713/10000</f>
        <v/>
      </c>
      <c r="F2713" s="74">
        <f>B2713/30.48</f>
        <v/>
      </c>
      <c r="G2713" s="74">
        <f>D2713/30.48</f>
        <v/>
      </c>
      <c r="H2713" s="334" t="inlineStr">
        <is>
          <t>OLD</t>
        </is>
      </c>
      <c r="I2713" s="570" t="inlineStr">
        <is>
          <t>Carol Ricketts</t>
        </is>
      </c>
      <c r="J2713" s="557" t="n"/>
      <c r="S2713" s="1" t="n"/>
    </row>
    <row r="2714" ht="18" customHeight="1" s="305">
      <c r="A2714" s="8" t="n">
        <v>3471</v>
      </c>
      <c r="B2714" s="5" t="n">
        <v>131</v>
      </c>
      <c r="C2714" s="72" t="inlineStr">
        <is>
          <t>X</t>
        </is>
      </c>
      <c r="D2714" s="5" t="n">
        <v>209</v>
      </c>
      <c r="E2714" s="73">
        <f>B2714*D2714/10000</f>
        <v/>
      </c>
      <c r="F2714" s="74">
        <f>B2714/30.48</f>
        <v/>
      </c>
      <c r="G2714" s="74">
        <f>D2714/30.48</f>
        <v/>
      </c>
      <c r="H2714" s="334" t="inlineStr">
        <is>
          <t>WTR</t>
        </is>
      </c>
      <c r="I2714" s="570" t="inlineStr">
        <is>
          <t>Brittanie Robinson</t>
        </is>
      </c>
      <c r="J2714" s="557" t="n"/>
      <c r="S2714" s="1" t="n"/>
    </row>
    <row r="2715" ht="18" customHeight="1" s="305">
      <c r="A2715" s="8" t="inlineStr">
        <is>
          <t>E-23</t>
        </is>
      </c>
      <c r="B2715" s="5" t="n">
        <v>67</v>
      </c>
      <c r="C2715" s="72" t="inlineStr">
        <is>
          <t>X</t>
        </is>
      </c>
      <c r="D2715" s="5" t="n">
        <v>123</v>
      </c>
      <c r="E2715" s="73">
        <f>B2715*D2715/10000</f>
        <v/>
      </c>
      <c r="F2715" s="74">
        <f>B2715/30.48</f>
        <v/>
      </c>
      <c r="G2715" s="74">
        <f>D2715/30.48</f>
        <v/>
      </c>
      <c r="H2715" s="316" t="inlineStr">
        <is>
          <t>BHR</t>
        </is>
      </c>
      <c r="I2715" s="570" t="inlineStr">
        <is>
          <t>Vera Errico</t>
        </is>
      </c>
      <c r="J2715" s="557" t="n"/>
      <c r="S2715" s="1" t="n"/>
    </row>
    <row r="2716" ht="18" customHeight="1" s="305">
      <c r="A2716" s="8" t="n">
        <v>3750</v>
      </c>
      <c r="B2716" s="5" t="n">
        <v>81</v>
      </c>
      <c r="C2716" s="72" t="inlineStr">
        <is>
          <t>X</t>
        </is>
      </c>
      <c r="D2716" s="5" t="n">
        <v>199</v>
      </c>
      <c r="E2716" s="73">
        <f>B2716*D2716/10000</f>
        <v/>
      </c>
      <c r="F2716" s="74">
        <f>B2716/30.48</f>
        <v/>
      </c>
      <c r="G2716" s="74">
        <f>D2716/30.48</f>
        <v/>
      </c>
      <c r="H2716" s="316" t="inlineStr">
        <is>
          <t>BHR</t>
        </is>
      </c>
      <c r="I2716" s="570" t="inlineStr">
        <is>
          <t>Natalie Kropiewnicki</t>
        </is>
      </c>
      <c r="J2716" s="557" t="n"/>
      <c r="S2716" s="1" t="n"/>
    </row>
    <row r="2717" ht="18" customHeight="1" s="305">
      <c r="A2717" s="28" t="inlineStr">
        <is>
          <t>D 784</t>
        </is>
      </c>
      <c r="B2717" s="29" t="n">
        <v>43</v>
      </c>
      <c r="C2717" s="236" t="inlineStr">
        <is>
          <t>X</t>
        </is>
      </c>
      <c r="D2717" s="29" t="n">
        <v>90</v>
      </c>
      <c r="E2717" s="237">
        <f>B2717*D2717/10000</f>
        <v/>
      </c>
      <c r="F2717" s="238">
        <f>B2717/30.48</f>
        <v/>
      </c>
      <c r="G2717" s="238">
        <f>D2717/30.48</f>
        <v/>
      </c>
      <c r="H2717" s="314" t="inlineStr">
        <is>
          <t>FRD-NR</t>
        </is>
      </c>
      <c r="I2717" s="349" t="inlineStr">
        <is>
          <t>Noble Designs</t>
        </is>
      </c>
      <c r="J2717" s="557" t="n"/>
      <c r="S2717" s="1" t="n"/>
    </row>
    <row r="2718" ht="18" customHeight="1" s="305">
      <c r="A2718" s="8" t="n">
        <v>4323</v>
      </c>
      <c r="B2718" s="5" t="n"/>
      <c r="C2718" s="72" t="inlineStr">
        <is>
          <t>X</t>
        </is>
      </c>
      <c r="D2718" s="5" t="n"/>
      <c r="E2718" s="73">
        <f>B2718*D2718/10000</f>
        <v/>
      </c>
      <c r="F2718" s="74">
        <f>B2718/30.48</f>
        <v/>
      </c>
      <c r="G2718" s="74">
        <f>D2718/30.48</f>
        <v/>
      </c>
      <c r="H2718" s="314" t="inlineStr">
        <is>
          <t>MCHD-TR</t>
        </is>
      </c>
      <c r="I2718" s="344" t="n"/>
      <c r="J2718" s="557" t="n"/>
      <c r="S2718" s="1" t="n"/>
    </row>
    <row r="2719" ht="18" customHeight="1" s="305">
      <c r="A2719" s="8" t="n">
        <v>1447</v>
      </c>
      <c r="B2719" s="5" t="n">
        <v>223</v>
      </c>
      <c r="C2719" s="72" t="inlineStr">
        <is>
          <t>X</t>
        </is>
      </c>
      <c r="D2719" s="5" t="n">
        <v>291</v>
      </c>
      <c r="E2719" s="73">
        <f>B2719*D2719/10000</f>
        <v/>
      </c>
      <c r="F2719" s="74">
        <f>B2719/30.48</f>
        <v/>
      </c>
      <c r="G2719" s="74">
        <f>D2719/30.48</f>
        <v/>
      </c>
      <c r="H2719" s="334" t="inlineStr">
        <is>
          <t>RST</t>
        </is>
      </c>
      <c r="I2719" s="349" t="inlineStr">
        <is>
          <t>Bonnie F Harris</t>
        </is>
      </c>
      <c r="J2719" s="557" t="n"/>
      <c r="S2719" s="1" t="n"/>
    </row>
    <row r="2720" ht="18" customHeight="1" s="305">
      <c r="A2720" s="8" t="n">
        <v>3172</v>
      </c>
      <c r="B2720" s="5" t="n">
        <v>165</v>
      </c>
      <c r="C2720" s="72" t="inlineStr">
        <is>
          <t>X</t>
        </is>
      </c>
      <c r="D2720" s="5" t="n">
        <v>227</v>
      </c>
      <c r="E2720" s="73">
        <f>B2720*D2720/10000</f>
        <v/>
      </c>
      <c r="F2720" s="74">
        <f>B2720/30.48</f>
        <v/>
      </c>
      <c r="G2720" s="74">
        <f>D2720/30.48</f>
        <v/>
      </c>
      <c r="H2720" s="592" t="inlineStr">
        <is>
          <t>PAC</t>
        </is>
      </c>
      <c r="I2720" s="349" t="inlineStr">
        <is>
          <t>Jennifer Read</t>
        </is>
      </c>
      <c r="J2720" s="557" t="n"/>
      <c r="S2720" s="1" t="n"/>
    </row>
    <row r="2721" ht="18" customHeight="1" s="305">
      <c r="A2721" s="8" t="inlineStr">
        <is>
          <t>Y 760</t>
        </is>
      </c>
      <c r="B2721" s="5" t="n">
        <v>272</v>
      </c>
      <c r="C2721" s="72" t="inlineStr">
        <is>
          <t>X</t>
        </is>
      </c>
      <c r="D2721" s="5" t="n">
        <v>371</v>
      </c>
      <c r="E2721" s="73">
        <f>B2721*D2721/10000</f>
        <v/>
      </c>
      <c r="F2721" s="74">
        <f>B2721/30.48</f>
        <v/>
      </c>
      <c r="G2721" s="74">
        <f>D2721/30.48</f>
        <v/>
      </c>
      <c r="H2721" s="592" t="inlineStr">
        <is>
          <t>PAC</t>
        </is>
      </c>
      <c r="I2721" s="349" t="inlineStr">
        <is>
          <t>IGC Nashville c/o HLI Armstrong Relocation</t>
        </is>
      </c>
      <c r="J2721" s="557" t="n"/>
      <c r="S2721" s="1" t="n"/>
    </row>
    <row r="2722" ht="18" customHeight="1" s="305">
      <c r="A2722" s="28" t="inlineStr">
        <is>
          <t>D 515</t>
        </is>
      </c>
      <c r="B2722" s="29" t="n">
        <v>48</v>
      </c>
      <c r="C2722" s="236" t="inlineStr">
        <is>
          <t>X</t>
        </is>
      </c>
      <c r="D2722" s="29" t="n">
        <v>95</v>
      </c>
      <c r="E2722" s="237">
        <f>B2722*D2722/10000</f>
        <v/>
      </c>
      <c r="F2722" s="238">
        <f>B2722/30.48</f>
        <v/>
      </c>
      <c r="G2722" s="238">
        <f>D2722/30.48</f>
        <v/>
      </c>
      <c r="H2722" s="592" t="inlineStr">
        <is>
          <t>WLR</t>
        </is>
      </c>
      <c r="I2722" s="349" t="inlineStr">
        <is>
          <t>Tina Valmas</t>
        </is>
      </c>
      <c r="J2722" s="557" t="n"/>
      <c r="S2722" s="1" t="n"/>
    </row>
    <row r="2723" ht="18" customHeight="1" s="305">
      <c r="A2723" s="8" t="inlineStr">
        <is>
          <t>D 395</t>
        </is>
      </c>
      <c r="B2723" s="5" t="n">
        <v>61</v>
      </c>
      <c r="C2723" s="72" t="inlineStr">
        <is>
          <t>X</t>
        </is>
      </c>
      <c r="D2723" s="5" t="n">
        <v>92</v>
      </c>
      <c r="E2723" s="73">
        <f>B2723*D2723/10000</f>
        <v/>
      </c>
      <c r="F2723" s="74">
        <f>B2723/30.48</f>
        <v/>
      </c>
      <c r="G2723" s="74">
        <f>D2723/30.48</f>
        <v/>
      </c>
      <c r="H2723" s="592" t="inlineStr">
        <is>
          <t>WTR</t>
        </is>
      </c>
      <c r="I2723" s="349" t="inlineStr">
        <is>
          <t>Peter + Kendra Johnson/MHC</t>
        </is>
      </c>
      <c r="J2723" s="557" t="n"/>
      <c r="S2723" s="1" t="n"/>
    </row>
    <row r="2724" ht="18" customHeight="1" s="305">
      <c r="A2724" s="8" t="inlineStr">
        <is>
          <t>H 188</t>
        </is>
      </c>
      <c r="B2724" s="5" t="n">
        <v>87</v>
      </c>
      <c r="C2724" s="6" t="inlineStr">
        <is>
          <t>X</t>
        </is>
      </c>
      <c r="D2724" s="5" t="n">
        <v>330</v>
      </c>
      <c r="E2724" s="2">
        <f>B2724*D2724/10000</f>
        <v/>
      </c>
      <c r="F2724" s="3">
        <f>B2724/30.48</f>
        <v/>
      </c>
      <c r="G2724" s="3">
        <f>D2724/30.48</f>
        <v/>
      </c>
      <c r="H2724" s="592" t="inlineStr">
        <is>
          <t>LMX</t>
        </is>
      </c>
      <c r="I2724" s="349" t="inlineStr">
        <is>
          <t>Liz Muckleroy</t>
        </is>
      </c>
      <c r="J2724" s="557" t="n"/>
      <c r="S2724" s="1" t="n"/>
    </row>
    <row r="2725" ht="18" customHeight="1" s="305">
      <c r="A2725" s="8" t="inlineStr">
        <is>
          <t>H 241</t>
        </is>
      </c>
      <c r="B2725" s="5" t="n">
        <v>80</v>
      </c>
      <c r="C2725" s="72" t="inlineStr">
        <is>
          <t>X</t>
        </is>
      </c>
      <c r="D2725" s="5" t="n">
        <v>171</v>
      </c>
      <c r="E2725" s="73">
        <f>B2725*D2725/10000</f>
        <v/>
      </c>
      <c r="F2725" s="74">
        <f>B2725/30.48</f>
        <v/>
      </c>
      <c r="G2725" s="74">
        <f>D2725/30.48</f>
        <v/>
      </c>
      <c r="H2725" s="592" t="inlineStr">
        <is>
          <t>BHR</t>
        </is>
      </c>
      <c r="I2725" s="694" t="n"/>
      <c r="J2725" s="557" t="n"/>
      <c r="S2725" s="1" t="n"/>
    </row>
    <row r="2726" ht="18" customHeight="1" s="305">
      <c r="A2726" s="8" t="n">
        <v>2310</v>
      </c>
      <c r="B2726" s="5" t="n">
        <v>179</v>
      </c>
      <c r="C2726" s="72" t="inlineStr">
        <is>
          <t>X</t>
        </is>
      </c>
      <c r="D2726" s="5" t="n">
        <v>252</v>
      </c>
      <c r="E2726" s="73">
        <f>B2726*D2726/10000</f>
        <v/>
      </c>
      <c r="F2726" s="74">
        <f>B2726/30.48</f>
        <v/>
      </c>
      <c r="G2726" s="74">
        <f>D2726/30.48</f>
        <v/>
      </c>
      <c r="H2726" s="592" t="inlineStr">
        <is>
          <t>LLC</t>
        </is>
      </c>
      <c r="I2726" s="611" t="inlineStr">
        <is>
          <t>Kristi Johnson</t>
        </is>
      </c>
      <c r="J2726" s="545" t="n"/>
      <c r="S2726" s="1" t="n"/>
    </row>
    <row r="2727" ht="18" customHeight="1" s="305">
      <c r="A2727" s="8" t="n">
        <v>2224</v>
      </c>
      <c r="B2727" s="5" t="n">
        <v>91</v>
      </c>
      <c r="C2727" s="72" t="inlineStr">
        <is>
          <t>X</t>
        </is>
      </c>
      <c r="D2727" s="5" t="n">
        <v>168</v>
      </c>
      <c r="E2727" s="73">
        <f>B2727*D2727/10000</f>
        <v/>
      </c>
      <c r="F2727" s="74">
        <f>B2727/30.48</f>
        <v/>
      </c>
      <c r="G2727" s="74">
        <f>D2727/30.48</f>
        <v/>
      </c>
      <c r="H2727" s="592" t="inlineStr">
        <is>
          <t>WTR</t>
        </is>
      </c>
      <c r="I2727" s="570" t="inlineStr">
        <is>
          <t>Rose Cook</t>
        </is>
      </c>
      <c r="J2727" s="557" t="n"/>
    </row>
    <row r="2728" ht="18" customHeight="1" s="305">
      <c r="A2728" s="8" t="inlineStr">
        <is>
          <t>H 242</t>
        </is>
      </c>
      <c r="B2728" s="5" t="n">
        <v>96</v>
      </c>
      <c r="C2728" s="72" t="inlineStr">
        <is>
          <t>X</t>
        </is>
      </c>
      <c r="D2728" s="5" t="n">
        <v>324</v>
      </c>
      <c r="E2728" s="73">
        <f>B2728*D2728/10000</f>
        <v/>
      </c>
      <c r="F2728" s="74">
        <f>B2728/30.48</f>
        <v/>
      </c>
      <c r="G2728" s="74">
        <f>D2728/30.48</f>
        <v/>
      </c>
      <c r="H2728" s="592" t="inlineStr">
        <is>
          <t>BHR</t>
        </is>
      </c>
      <c r="I2728" s="534" t="inlineStr">
        <is>
          <t>matt parker</t>
        </is>
      </c>
      <c r="J2728" s="545" t="n"/>
    </row>
    <row r="2729" ht="18" customHeight="1" s="305">
      <c r="A2729" s="28" t="inlineStr">
        <is>
          <t>D 507</t>
        </is>
      </c>
      <c r="B2729" s="29" t="n">
        <v>45</v>
      </c>
      <c r="C2729" s="236" t="inlineStr">
        <is>
          <t>X</t>
        </is>
      </c>
      <c r="D2729" s="29" t="n">
        <v>87</v>
      </c>
      <c r="E2729" s="237">
        <f>B2729*D2729/10000</f>
        <v/>
      </c>
      <c r="F2729" s="238">
        <f>B2729/30.48</f>
        <v/>
      </c>
      <c r="G2729" s="238">
        <f>D2729/30.48</f>
        <v/>
      </c>
      <c r="H2729" s="592" t="inlineStr">
        <is>
          <t>LMX</t>
        </is>
      </c>
      <c r="I2729" s="570" t="inlineStr">
        <is>
          <t>Kimberly Purcell</t>
        </is>
      </c>
      <c r="J2729" s="557" t="n"/>
    </row>
    <row r="2730" ht="18" customHeight="1" s="305">
      <c r="A2730" s="28" t="inlineStr">
        <is>
          <t>D 676</t>
        </is>
      </c>
      <c r="B2730" s="29" t="n">
        <v>49</v>
      </c>
      <c r="C2730" s="236" t="inlineStr">
        <is>
          <t>X</t>
        </is>
      </c>
      <c r="D2730" s="29" t="n">
        <v>98</v>
      </c>
      <c r="E2730" s="237">
        <f>B2730*D2730/10000</f>
        <v/>
      </c>
      <c r="F2730" s="238">
        <f>B2730/30.48</f>
        <v/>
      </c>
      <c r="G2730" s="238">
        <f>D2730/30.48</f>
        <v/>
      </c>
      <c r="H2730" s="592" t="inlineStr">
        <is>
          <t>WLR</t>
        </is>
      </c>
      <c r="I2730" s="570" t="inlineStr">
        <is>
          <t>Claire Demere</t>
        </is>
      </c>
      <c r="J2730" s="557" t="n"/>
    </row>
    <row r="2731" ht="18" customHeight="1" s="305">
      <c r="A2731" s="8" t="n">
        <v>2535</v>
      </c>
      <c r="B2731" s="5" t="n">
        <v>80</v>
      </c>
      <c r="C2731" s="236" t="inlineStr">
        <is>
          <t>X</t>
        </is>
      </c>
      <c r="D2731" s="5" t="n">
        <v>260</v>
      </c>
      <c r="E2731" s="73">
        <f>B2731*D2731/10000</f>
        <v/>
      </c>
      <c r="F2731" s="74">
        <f>B2731/30.48</f>
        <v/>
      </c>
      <c r="G2731" s="74">
        <f>D2731/30.48</f>
        <v/>
      </c>
      <c r="H2731" s="66" t="inlineStr">
        <is>
          <t>RK</t>
        </is>
      </c>
      <c r="I2731" s="570" t="inlineStr">
        <is>
          <t>Nancy Hutchins</t>
        </is>
      </c>
      <c r="J2731" s="557" t="n"/>
    </row>
    <row r="2732" ht="18" customHeight="1" s="305">
      <c r="A2732" s="8" t="n">
        <v>1361</v>
      </c>
      <c r="B2732" s="5" t="n">
        <v>89</v>
      </c>
      <c r="C2732" s="72" t="inlineStr">
        <is>
          <t>X</t>
        </is>
      </c>
      <c r="D2732" s="5" t="n">
        <v>280</v>
      </c>
      <c r="E2732" s="73">
        <f>B2732*D2732/10000</f>
        <v/>
      </c>
      <c r="F2732" s="74">
        <f>B2732/30.48</f>
        <v/>
      </c>
      <c r="G2732" s="74">
        <f>D2732/30.48</f>
        <v/>
      </c>
      <c r="H2732" s="334" t="inlineStr">
        <is>
          <t>OLD</t>
        </is>
      </c>
      <c r="I2732" s="570" t="inlineStr">
        <is>
          <t>Nelia Dolan</t>
        </is>
      </c>
      <c r="J2732" s="557" t="n"/>
    </row>
    <row r="2733" ht="18" customHeight="1" s="305">
      <c r="A2733" s="8" t="n">
        <v>3166</v>
      </c>
      <c r="B2733" s="5" t="n">
        <v>121</v>
      </c>
      <c r="C2733" s="72" t="inlineStr">
        <is>
          <t>X</t>
        </is>
      </c>
      <c r="D2733" s="5" t="n">
        <v>191</v>
      </c>
      <c r="E2733" s="73">
        <f>B2733*D2733/10000</f>
        <v/>
      </c>
      <c r="F2733" s="74">
        <f>B2733/30.48</f>
        <v/>
      </c>
      <c r="G2733" s="74">
        <f>D2733/30.48</f>
        <v/>
      </c>
      <c r="H2733" s="592" t="inlineStr">
        <is>
          <t>WTR</t>
        </is>
      </c>
      <c r="I2733" s="570" t="inlineStr">
        <is>
          <t>Julie Launsbach</t>
        </is>
      </c>
      <c r="J2733" s="557" t="n"/>
      <c r="S2733" s="1" t="n"/>
    </row>
    <row r="2734" ht="18" customHeight="1" s="305">
      <c r="A2734" s="8" t="n">
        <v>4436</v>
      </c>
      <c r="B2734" s="5" t="n"/>
      <c r="C2734" s="72" t="inlineStr">
        <is>
          <t>X</t>
        </is>
      </c>
      <c r="D2734" s="5" t="n"/>
      <c r="E2734" s="73">
        <f>B2734*D2734/10000</f>
        <v/>
      </c>
      <c r="F2734" s="74">
        <f>B2734/30.48</f>
        <v/>
      </c>
      <c r="G2734" s="74">
        <f>D2734/30.48</f>
        <v/>
      </c>
      <c r="H2734" s="314" t="inlineStr">
        <is>
          <t>MCHD-TR</t>
        </is>
      </c>
      <c r="I2734" s="545" t="n"/>
      <c r="J2734" s="545" t="n"/>
    </row>
    <row r="2735" ht="18" customHeight="1" s="305">
      <c r="A2735" s="8" t="n">
        <v>2833</v>
      </c>
      <c r="B2735" s="5" t="n">
        <v>80</v>
      </c>
      <c r="C2735" s="72" t="inlineStr">
        <is>
          <t>X</t>
        </is>
      </c>
      <c r="D2735" s="5" t="n">
        <v>278</v>
      </c>
      <c r="E2735" s="73">
        <f>B2735*D2735/10000</f>
        <v/>
      </c>
      <c r="F2735" s="74">
        <f>B2735/30.48</f>
        <v/>
      </c>
      <c r="G2735" s="74">
        <f>D2735/30.48</f>
        <v/>
      </c>
      <c r="H2735" s="592" t="inlineStr">
        <is>
          <t>LMX</t>
        </is>
      </c>
      <c r="I2735" s="570" t="inlineStr">
        <is>
          <t>Rina Yatabe</t>
        </is>
      </c>
      <c r="J2735" s="557" t="inlineStr">
        <is>
          <t>81-33678-1379</t>
        </is>
      </c>
    </row>
    <row r="2736" ht="18" customHeight="1" s="305">
      <c r="A2736" s="8" t="n">
        <v>4280</v>
      </c>
      <c r="B2736" s="5" t="n"/>
      <c r="C2736" s="72" t="inlineStr">
        <is>
          <t>X</t>
        </is>
      </c>
      <c r="D2736" s="5" t="n"/>
      <c r="E2736" s="73">
        <f>B2736*D2736/10000</f>
        <v/>
      </c>
      <c r="F2736" s="74">
        <f>B2736/30.48</f>
        <v/>
      </c>
      <c r="G2736" s="74">
        <f>D2736/30.48</f>
        <v/>
      </c>
      <c r="H2736" s="347" t="inlineStr">
        <is>
          <t>MCHD-TR</t>
        </is>
      </c>
      <c r="I2736" s="545" t="n"/>
      <c r="J2736" s="545" t="n"/>
      <c r="S2736" s="1" t="n"/>
    </row>
    <row r="2737" ht="18" customHeight="1" s="305">
      <c r="A2737" s="8" t="inlineStr">
        <is>
          <t>E-97</t>
        </is>
      </c>
      <c r="B2737" s="5" t="n">
        <v>157</v>
      </c>
      <c r="C2737" s="72" t="inlineStr">
        <is>
          <t>X</t>
        </is>
      </c>
      <c r="D2737" s="5" t="n">
        <v>247</v>
      </c>
      <c r="E2737" s="73">
        <f>B2737*D2737/10000</f>
        <v/>
      </c>
      <c r="F2737" s="74">
        <f>B2737/30.48</f>
        <v/>
      </c>
      <c r="G2737" s="74">
        <f>D2737/30.48</f>
        <v/>
      </c>
      <c r="H2737" s="592" t="inlineStr">
        <is>
          <t>WLR</t>
        </is>
      </c>
      <c r="I2737" s="570" t="inlineStr">
        <is>
          <t>KATHY ROBINSON</t>
        </is>
      </c>
      <c r="J2737" s="557" t="n"/>
    </row>
    <row r="2738" ht="18" customHeight="1" s="305">
      <c r="A2738" s="8" t="n">
        <v>2860</v>
      </c>
      <c r="B2738" s="5" t="n">
        <v>65</v>
      </c>
      <c r="C2738" s="72" t="inlineStr">
        <is>
          <t>X</t>
        </is>
      </c>
      <c r="D2738" s="5" t="n">
        <v>331</v>
      </c>
      <c r="E2738" s="73">
        <f>B2738*D2738/10000</f>
        <v/>
      </c>
      <c r="F2738" s="74">
        <f>B2738/30.48</f>
        <v/>
      </c>
      <c r="G2738" s="74">
        <f>D2738/30.48</f>
        <v/>
      </c>
      <c r="H2738" s="592" t="inlineStr">
        <is>
          <t>WTR</t>
        </is>
      </c>
      <c r="I2738" s="570" t="inlineStr">
        <is>
          <t>Sara Mineo</t>
        </is>
      </c>
      <c r="J2738" s="557" t="n"/>
    </row>
    <row r="2739" ht="18" customHeight="1" s="305">
      <c r="A2739" s="8" t="n">
        <v>2052</v>
      </c>
      <c r="B2739" s="5" t="n">
        <v>93</v>
      </c>
      <c r="C2739" s="72" t="inlineStr">
        <is>
          <t>X</t>
        </is>
      </c>
      <c r="D2739" s="5" t="n">
        <v>342</v>
      </c>
      <c r="E2739" s="73">
        <f>B2739*D2739/10000</f>
        <v/>
      </c>
      <c r="F2739" s="74">
        <f>B2739/30.48</f>
        <v/>
      </c>
      <c r="G2739" s="74">
        <f>D2739/30.48</f>
        <v/>
      </c>
      <c r="H2739" s="66" t="inlineStr">
        <is>
          <t>RK</t>
        </is>
      </c>
      <c r="I2739" s="570" t="inlineStr">
        <is>
          <t>Lauren Cofiño</t>
        </is>
      </c>
      <c r="J2739" s="557" t="n"/>
    </row>
    <row r="2740" ht="18" customHeight="1" s="305">
      <c r="A2740" s="8" t="n">
        <v>3691</v>
      </c>
      <c r="B2740" s="5" t="n">
        <v>80</v>
      </c>
      <c r="C2740" s="72" t="inlineStr">
        <is>
          <t>X</t>
        </is>
      </c>
      <c r="D2740" s="5" t="n">
        <v>349</v>
      </c>
      <c r="E2740" s="73">
        <f>B2740*D2740/10000</f>
        <v/>
      </c>
      <c r="F2740" s="74">
        <f>B2740/30.48</f>
        <v/>
      </c>
      <c r="G2740" s="74">
        <f>D2740/30.48</f>
        <v/>
      </c>
      <c r="H2740" s="347" t="inlineStr">
        <is>
          <t>MCHD-TR</t>
        </is>
      </c>
      <c r="I2740" s="557" t="n"/>
      <c r="J2740" s="557" t="n"/>
      <c r="S2740" s="1" t="n"/>
    </row>
    <row r="2741" ht="18" customHeight="1" s="305">
      <c r="A2741" s="8" t="n">
        <v>4490</v>
      </c>
      <c r="B2741" s="5" t="n"/>
      <c r="C2741" s="72" t="inlineStr">
        <is>
          <t>X</t>
        </is>
      </c>
      <c r="D2741" s="5" t="n"/>
      <c r="E2741" s="73">
        <f>B2741*D2741/10000</f>
        <v/>
      </c>
      <c r="F2741" s="74">
        <f>B2741/30.48</f>
        <v/>
      </c>
      <c r="G2741" s="74">
        <f>D2741/30.48</f>
        <v/>
      </c>
      <c r="H2741" s="347" t="inlineStr">
        <is>
          <t>MCHD-TR</t>
        </is>
      </c>
      <c r="I2741" s="545" t="n"/>
      <c r="J2741" s="545" t="n"/>
      <c r="S2741" s="1" t="n"/>
    </row>
    <row r="2742" ht="18" customHeight="1" s="305">
      <c r="A2742" s="8" t="n">
        <v>3365</v>
      </c>
      <c r="B2742" s="5" t="n">
        <v>80</v>
      </c>
      <c r="C2742" s="72" t="inlineStr">
        <is>
          <t>X</t>
        </is>
      </c>
      <c r="D2742" s="5" t="n">
        <v>334</v>
      </c>
      <c r="E2742" s="73">
        <f>B2742*D2742/10000</f>
        <v/>
      </c>
      <c r="F2742" s="74">
        <f>B2742/30.48</f>
        <v/>
      </c>
      <c r="G2742" s="74">
        <f>D2742/30.48</f>
        <v/>
      </c>
      <c r="H2742" s="592" t="inlineStr">
        <is>
          <t>WTR</t>
        </is>
      </c>
      <c r="I2742" s="570" t="inlineStr">
        <is>
          <t>claire mcmillan</t>
        </is>
      </c>
      <c r="J2742" s="557" t="n"/>
    </row>
    <row r="2743" ht="18" customHeight="1" s="305">
      <c r="A2743" s="8" t="n">
        <v>3377</v>
      </c>
      <c r="B2743" s="5" t="n">
        <v>93</v>
      </c>
      <c r="C2743" s="72" t="inlineStr">
        <is>
          <t>X</t>
        </is>
      </c>
      <c r="D2743" s="5" t="n">
        <v>248</v>
      </c>
      <c r="E2743" s="73">
        <f>B2743*D2743/10000</f>
        <v/>
      </c>
      <c r="F2743" s="74">
        <f>B2743/30.48</f>
        <v/>
      </c>
      <c r="G2743" s="74">
        <f>D2743/30.48</f>
        <v/>
      </c>
      <c r="H2743" s="592" t="inlineStr">
        <is>
          <t>WTR</t>
        </is>
      </c>
      <c r="I2743" s="570" t="inlineStr">
        <is>
          <t>Katy Anderman</t>
        </is>
      </c>
      <c r="J2743" s="557" t="n"/>
      <c r="S2743" s="1" t="n"/>
    </row>
    <row r="2744" ht="18" customHeight="1" s="305">
      <c r="A2744" s="8" t="n">
        <v>3390</v>
      </c>
      <c r="B2744" s="5" t="n">
        <v>90</v>
      </c>
      <c r="C2744" s="72" t="inlineStr">
        <is>
          <t>X</t>
        </is>
      </c>
      <c r="D2744" s="5" t="n">
        <v>454</v>
      </c>
      <c r="E2744" s="73">
        <f>B2744*D2744/10000</f>
        <v/>
      </c>
      <c r="F2744" s="74">
        <f>B2744/30.48</f>
        <v/>
      </c>
      <c r="G2744" s="74">
        <f>D2744/30.48</f>
        <v/>
      </c>
      <c r="H2744" s="592" t="inlineStr">
        <is>
          <t>WTR</t>
        </is>
      </c>
      <c r="I2744" s="570" t="inlineStr">
        <is>
          <t>HH / DUCICH Kitchen</t>
        </is>
      </c>
      <c r="J2744" s="557" t="n"/>
      <c r="S2744" s="1" t="n"/>
    </row>
    <row r="2745" ht="18" customHeight="1" s="305">
      <c r="A2745" s="8" t="n">
        <v>3857</v>
      </c>
      <c r="B2745" s="5" t="n">
        <v>125</v>
      </c>
      <c r="C2745" s="72" t="inlineStr">
        <is>
          <t>X</t>
        </is>
      </c>
      <c r="D2745" s="5" t="n">
        <v>231</v>
      </c>
      <c r="E2745" s="73">
        <f>B2745*D2745/10000</f>
        <v/>
      </c>
      <c r="F2745" s="74">
        <f>B2745/30.48</f>
        <v/>
      </c>
      <c r="G2745" s="74">
        <f>D2745/30.48</f>
        <v/>
      </c>
      <c r="H2745" s="592" t="inlineStr">
        <is>
          <t>LR</t>
        </is>
      </c>
      <c r="I2745" s="570" t="inlineStr">
        <is>
          <t>Brigitte Huff</t>
        </is>
      </c>
      <c r="J2745" s="557" t="n"/>
      <c r="S2745" s="1" t="n"/>
    </row>
    <row r="2746" ht="18" customHeight="1" s="305">
      <c r="A2746" s="8" t="n">
        <v>1283</v>
      </c>
      <c r="B2746" s="5" t="n">
        <v>72</v>
      </c>
      <c r="C2746" s="72" t="inlineStr">
        <is>
          <t>X</t>
        </is>
      </c>
      <c r="D2746" s="5" t="n">
        <v>97</v>
      </c>
      <c r="E2746" s="73">
        <f>B2746*D2746/10000</f>
        <v/>
      </c>
      <c r="F2746" s="74">
        <f>B2746/30.48</f>
        <v/>
      </c>
      <c r="G2746" s="74">
        <f>D2746/30.48</f>
        <v/>
      </c>
      <c r="H2746" s="334" t="inlineStr">
        <is>
          <t>OLD</t>
        </is>
      </c>
      <c r="I2746" s="570" t="inlineStr">
        <is>
          <t>Victoria Zerbst</t>
        </is>
      </c>
      <c r="J2746" s="557" t="n"/>
    </row>
    <row r="2747" ht="18" customHeight="1" s="305">
      <c r="A2747" s="8" t="n">
        <v>2915</v>
      </c>
      <c r="B2747" s="5" t="n">
        <v>91</v>
      </c>
      <c r="C2747" s="72" t="inlineStr">
        <is>
          <t>X</t>
        </is>
      </c>
      <c r="D2747" s="5" t="n">
        <v>466</v>
      </c>
      <c r="E2747" s="73">
        <f>B2747*D2747/10000</f>
        <v/>
      </c>
      <c r="F2747" s="74">
        <f>B2747/30.48</f>
        <v/>
      </c>
      <c r="G2747" s="74">
        <f>D2747/30.48</f>
        <v/>
      </c>
      <c r="H2747" s="334" t="inlineStr">
        <is>
          <t>LLC</t>
        </is>
      </c>
      <c r="I2747" s="570" t="inlineStr">
        <is>
          <t>Jeffrey Partridge</t>
        </is>
      </c>
      <c r="J2747" s="557" t="n"/>
      <c r="S2747" s="1" t="n"/>
    </row>
    <row r="2748" ht="18" customHeight="1" s="305">
      <c r="A2748" s="28" t="inlineStr">
        <is>
          <t>D 660</t>
        </is>
      </c>
      <c r="B2748" s="29" t="n">
        <v>43</v>
      </c>
      <c r="C2748" s="236" t="inlineStr">
        <is>
          <t>X</t>
        </is>
      </c>
      <c r="D2748" s="29" t="n">
        <v>108</v>
      </c>
      <c r="E2748" s="237">
        <f>B2748*D2748/10000</f>
        <v/>
      </c>
      <c r="F2748" s="238">
        <f>B2748/30.48</f>
        <v/>
      </c>
      <c r="G2748" s="238">
        <f>D2748/30.48</f>
        <v/>
      </c>
      <c r="H2748" s="592" t="inlineStr">
        <is>
          <t>LMX</t>
        </is>
      </c>
      <c r="I2748" s="534" t="inlineStr">
        <is>
          <t>Nicole V. Hofstetter</t>
        </is>
      </c>
      <c r="J2748" s="545" t="n"/>
    </row>
    <row r="2749" ht="18" customHeight="1" s="305">
      <c r="A2749" s="8" t="n">
        <v>3803</v>
      </c>
      <c r="B2749" s="5" t="n">
        <v>90</v>
      </c>
      <c r="C2749" s="72" t="inlineStr">
        <is>
          <t>X</t>
        </is>
      </c>
      <c r="D2749" s="5" t="n">
        <v>393</v>
      </c>
      <c r="E2749" s="73">
        <f>B2749*D2749/10000</f>
        <v/>
      </c>
      <c r="F2749" s="74">
        <f>B2749/30.48</f>
        <v/>
      </c>
      <c r="G2749" s="74">
        <f>D2749/30.48</f>
        <v/>
      </c>
      <c r="H2749" s="592" t="inlineStr">
        <is>
          <t>LMX</t>
        </is>
      </c>
      <c r="I2749" s="570" t="inlineStr">
        <is>
          <t>Stacy Alldredge</t>
        </is>
      </c>
      <c r="J2749" s="557" t="n"/>
    </row>
    <row r="2750" ht="18" customHeight="1" s="305">
      <c r="A2750" s="28" t="inlineStr">
        <is>
          <t>D 570</t>
        </is>
      </c>
      <c r="B2750" s="29" t="n">
        <v>47</v>
      </c>
      <c r="C2750" s="236" t="inlineStr">
        <is>
          <t>X</t>
        </is>
      </c>
      <c r="D2750" s="29" t="n">
        <v>89</v>
      </c>
      <c r="E2750" s="237">
        <f>B2750*D2750/10000</f>
        <v/>
      </c>
      <c r="F2750" s="238">
        <f>B2750/30.48</f>
        <v/>
      </c>
      <c r="G2750" s="238">
        <f>D2750/30.48</f>
        <v/>
      </c>
      <c r="H2750" s="592" t="inlineStr">
        <is>
          <t>WLR</t>
        </is>
      </c>
      <c r="I2750" s="570" t="inlineStr">
        <is>
          <t>Caroline Mcwilliams</t>
        </is>
      </c>
      <c r="J2750" s="557" t="n"/>
    </row>
    <row r="2751" ht="18" customHeight="1" s="305">
      <c r="A2751" s="8" t="inlineStr">
        <is>
          <t>D 320</t>
        </is>
      </c>
      <c r="B2751" s="5" t="n">
        <v>48</v>
      </c>
      <c r="C2751" s="72" t="inlineStr">
        <is>
          <t>X</t>
        </is>
      </c>
      <c r="D2751" s="5" t="n">
        <v>87</v>
      </c>
      <c r="E2751" s="73">
        <f>B2751*D2751/10000</f>
        <v/>
      </c>
      <c r="F2751" s="74">
        <f>B2751/30.48</f>
        <v/>
      </c>
      <c r="G2751" s="74">
        <f>D2751/30.48</f>
        <v/>
      </c>
      <c r="H2751" s="592" t="inlineStr">
        <is>
          <t>WTR</t>
        </is>
      </c>
      <c r="I2751" s="570" t="inlineStr">
        <is>
          <t>Kristin Erickson</t>
        </is>
      </c>
      <c r="J2751" s="557" t="n"/>
    </row>
    <row r="2752" ht="18" customHeight="1" s="305">
      <c r="A2752" s="8" t="n">
        <v>2089</v>
      </c>
      <c r="B2752" s="5" t="n">
        <v>88</v>
      </c>
      <c r="C2752" s="72" t="inlineStr">
        <is>
          <t>X</t>
        </is>
      </c>
      <c r="D2752" s="5" t="n">
        <v>366</v>
      </c>
      <c r="E2752" s="73">
        <f>B2752*D2752/10000</f>
        <v/>
      </c>
      <c r="F2752" s="74">
        <f>B2752/30.48</f>
        <v/>
      </c>
      <c r="G2752" s="74">
        <f>D2752/30.48</f>
        <v/>
      </c>
      <c r="H2752" s="347" t="inlineStr">
        <is>
          <t>MCHD-TR</t>
        </is>
      </c>
      <c r="I2752" s="545" t="n"/>
      <c r="J2752" s="545" t="n"/>
    </row>
    <row r="2753" ht="18" customHeight="1" s="305">
      <c r="A2753" s="8" t="inlineStr">
        <is>
          <t>H 128</t>
        </is>
      </c>
      <c r="B2753" s="5" t="n">
        <v>95</v>
      </c>
      <c r="C2753" s="72" t="inlineStr">
        <is>
          <t>X</t>
        </is>
      </c>
      <c r="D2753" s="5" t="n">
        <v>416</v>
      </c>
      <c r="E2753" s="73">
        <f>B2753*D2753/10000</f>
        <v/>
      </c>
      <c r="F2753" s="74">
        <f>B2753/30.48</f>
        <v/>
      </c>
      <c r="G2753" s="74">
        <f>D2753/30.48</f>
        <v/>
      </c>
      <c r="H2753" s="592" t="inlineStr">
        <is>
          <t>WTR</t>
        </is>
      </c>
      <c r="I2753" s="534" t="inlineStr">
        <is>
          <t>Lynn Bovee</t>
        </is>
      </c>
      <c r="J2753" s="545" t="n"/>
    </row>
    <row r="2754" ht="18" customHeight="1" s="305">
      <c r="A2754" s="8" t="n">
        <v>2574</v>
      </c>
      <c r="B2754" s="5" t="n">
        <v>61</v>
      </c>
      <c r="C2754" s="72" t="inlineStr">
        <is>
          <t>X</t>
        </is>
      </c>
      <c r="D2754" s="5" t="n">
        <v>271</v>
      </c>
      <c r="E2754" s="73">
        <f>B2754*D2754/10000</f>
        <v/>
      </c>
      <c r="F2754" s="74">
        <f>B2754/30.48</f>
        <v/>
      </c>
      <c r="G2754" s="74">
        <f>D2754/30.48</f>
        <v/>
      </c>
      <c r="H2754" s="592" t="inlineStr">
        <is>
          <t>WTR</t>
        </is>
      </c>
      <c r="I2754" s="361" t="inlineStr">
        <is>
          <t>Erica Carneglia</t>
        </is>
      </c>
      <c r="J2754" s="322" t="n"/>
    </row>
    <row r="2755" ht="18" customHeight="1" s="305">
      <c r="A2755" s="8" t="inlineStr">
        <is>
          <t>T 169</t>
        </is>
      </c>
      <c r="B2755" s="5" t="n">
        <v>230</v>
      </c>
      <c r="C2755" s="6" t="inlineStr">
        <is>
          <t>X</t>
        </is>
      </c>
      <c r="D2755" s="5" t="n">
        <v>137</v>
      </c>
      <c r="E2755" s="2">
        <f>B2755*D2755/10000</f>
        <v/>
      </c>
      <c r="F2755" s="3">
        <f>B2755/30.48</f>
        <v/>
      </c>
      <c r="G2755" s="3">
        <f>D2755/30.48</f>
        <v/>
      </c>
      <c r="H2755" s="334" t="inlineStr">
        <is>
          <t>OLD</t>
        </is>
      </c>
      <c r="I2755" s="551" t="inlineStr">
        <is>
          <t>stephanie salazar</t>
        </is>
      </c>
      <c r="J2755" s="552" t="n"/>
    </row>
    <row r="2756" ht="18" customHeight="1" s="305">
      <c r="A2756" s="8" t="inlineStr">
        <is>
          <t>D 75</t>
        </is>
      </c>
      <c r="B2756" s="5" t="n">
        <v>53</v>
      </c>
      <c r="C2756" s="72" t="inlineStr">
        <is>
          <t>X</t>
        </is>
      </c>
      <c r="D2756" s="5" t="n">
        <v>88</v>
      </c>
      <c r="E2756" s="73">
        <f>B2756*D2756/10000</f>
        <v/>
      </c>
      <c r="F2756" s="74">
        <f>B2756/30.48</f>
        <v/>
      </c>
      <c r="G2756" s="74">
        <f>D2756/30.48</f>
        <v/>
      </c>
      <c r="H2756" s="592" t="inlineStr">
        <is>
          <t>WLR</t>
        </is>
      </c>
      <c r="I2756" s="570" t="inlineStr">
        <is>
          <t>Brittany Robinson</t>
        </is>
      </c>
      <c r="J2756" s="557" t="n"/>
    </row>
    <row r="2757" ht="18" customHeight="1" s="305">
      <c r="A2757" s="8" t="n">
        <v>2648</v>
      </c>
      <c r="B2757" s="5" t="n">
        <v>82</v>
      </c>
      <c r="C2757" s="72" t="inlineStr">
        <is>
          <t>X</t>
        </is>
      </c>
      <c r="D2757" s="5" t="n">
        <v>122</v>
      </c>
      <c r="E2757" s="73">
        <f>B2757*D2757/10000</f>
        <v/>
      </c>
      <c r="F2757" s="74">
        <f>B2757/30.48</f>
        <v/>
      </c>
      <c r="G2757" s="74">
        <f>D2757/30.48</f>
        <v/>
      </c>
      <c r="H2757" s="592" t="inlineStr">
        <is>
          <t>LMX</t>
        </is>
      </c>
      <c r="I2757" s="570" t="inlineStr">
        <is>
          <t>sally darling</t>
        </is>
      </c>
      <c r="J2757" s="557" t="n"/>
      <c r="S2757" s="1" t="n"/>
    </row>
    <row r="2758" ht="18" customHeight="1" s="305">
      <c r="A2758" s="8" t="n">
        <v>3771</v>
      </c>
      <c r="B2758" s="5" t="n">
        <v>126</v>
      </c>
      <c r="C2758" s="72" t="inlineStr">
        <is>
          <t>X</t>
        </is>
      </c>
      <c r="D2758" s="5" t="n">
        <v>182</v>
      </c>
      <c r="E2758" s="73">
        <f>B2758*D2758/10000</f>
        <v/>
      </c>
      <c r="F2758" s="74">
        <f>B2758/30.48</f>
        <v/>
      </c>
      <c r="G2758" s="74">
        <f>D2758/30.48</f>
        <v/>
      </c>
      <c r="H2758" s="592" t="inlineStr">
        <is>
          <t>LMX</t>
        </is>
      </c>
      <c r="I2758" s="570" t="inlineStr">
        <is>
          <t>Mimi Clark</t>
        </is>
      </c>
      <c r="J2758" s="557" t="n"/>
      <c r="S2758" s="1" t="n"/>
    </row>
    <row r="2759" ht="18" customHeight="1" s="305">
      <c r="A2759" s="8" t="n">
        <v>2090</v>
      </c>
      <c r="B2759" s="5" t="n">
        <v>88</v>
      </c>
      <c r="C2759" s="72" t="inlineStr">
        <is>
          <t>X</t>
        </is>
      </c>
      <c r="D2759" s="5" t="n">
        <v>333</v>
      </c>
      <c r="E2759" s="73">
        <f>B2759*D2759/10000</f>
        <v/>
      </c>
      <c r="F2759" s="74">
        <f>B2759/30.48</f>
        <v/>
      </c>
      <c r="G2759" s="74">
        <f>D2759/30.48</f>
        <v/>
      </c>
      <c r="H2759" s="66" t="inlineStr">
        <is>
          <t>RK</t>
        </is>
      </c>
      <c r="I2759" s="570" t="inlineStr">
        <is>
          <t>jane sorensen</t>
        </is>
      </c>
      <c r="J2759" s="557" t="n"/>
      <c r="S2759" s="1" t="n"/>
    </row>
    <row r="2760" ht="18" customHeight="1" s="305">
      <c r="A2760" s="8" t="n">
        <v>2951</v>
      </c>
      <c r="B2760" s="5" t="n">
        <v>78</v>
      </c>
      <c r="C2760" s="72" t="inlineStr">
        <is>
          <t>X</t>
        </is>
      </c>
      <c r="D2760" s="5" t="n">
        <v>327</v>
      </c>
      <c r="E2760" s="73">
        <f>B2760*D2760/10000</f>
        <v/>
      </c>
      <c r="F2760" s="74">
        <f>B2760/30.48</f>
        <v/>
      </c>
      <c r="G2760" s="74">
        <f>D2760/30.48</f>
        <v/>
      </c>
      <c r="H2760" s="16" t="inlineStr">
        <is>
          <t>RK</t>
        </is>
      </c>
      <c r="I2760" s="570" t="inlineStr">
        <is>
          <t>Katie Kildal</t>
        </is>
      </c>
      <c r="J2760" s="557" t="n"/>
      <c r="S2760" s="1" t="n"/>
    </row>
    <row r="2761" ht="18" customHeight="1" s="305">
      <c r="A2761" s="8" t="n">
        <v>3293</v>
      </c>
      <c r="B2761" s="5" t="n">
        <v>110</v>
      </c>
      <c r="C2761" s="72" t="inlineStr">
        <is>
          <t>X</t>
        </is>
      </c>
      <c r="D2761" s="5" t="n">
        <v>335</v>
      </c>
      <c r="E2761" s="73">
        <f>B2761*D2761/10000</f>
        <v/>
      </c>
      <c r="F2761" s="74">
        <f>B2761/30.48</f>
        <v/>
      </c>
      <c r="G2761" s="74">
        <f>D2761/30.48</f>
        <v/>
      </c>
      <c r="H2761" s="693" t="n"/>
      <c r="I2761" s="693" t="n"/>
      <c r="J2761" s="557" t="n"/>
      <c r="S2761" s="1" t="n"/>
    </row>
    <row r="2762" ht="18" customHeight="1" s="305">
      <c r="A2762" s="8" t="n">
        <v>2840</v>
      </c>
      <c r="B2762" s="5" t="n">
        <v>97</v>
      </c>
      <c r="C2762" s="72" t="inlineStr">
        <is>
          <t>X</t>
        </is>
      </c>
      <c r="D2762" s="5" t="n">
        <v>302</v>
      </c>
      <c r="E2762" s="73">
        <f>B2762*D2762/10000</f>
        <v/>
      </c>
      <c r="F2762" s="74">
        <f>B2762/30.48</f>
        <v/>
      </c>
      <c r="G2762" s="74">
        <f>D2762/30.48</f>
        <v/>
      </c>
      <c r="H2762" s="693" t="n"/>
      <c r="I2762" s="693" t="n"/>
      <c r="J2762" s="557" t="n"/>
      <c r="S2762" s="1" t="n"/>
    </row>
    <row r="2763" ht="18" customHeight="1" s="305">
      <c r="A2763" s="8" t="n">
        <v>2462</v>
      </c>
      <c r="B2763" s="5" t="n">
        <v>80</v>
      </c>
      <c r="C2763" s="72" t="inlineStr">
        <is>
          <t>X</t>
        </is>
      </c>
      <c r="D2763" s="5" t="n">
        <v>310</v>
      </c>
      <c r="E2763" s="73">
        <f>B2763*D2763/10000</f>
        <v/>
      </c>
      <c r="F2763" s="74">
        <f>B2763/30.48</f>
        <v/>
      </c>
      <c r="G2763" s="74">
        <f>D2763/30.48</f>
        <v/>
      </c>
      <c r="H2763" s="694" t="n"/>
      <c r="I2763" s="694" t="n"/>
      <c r="J2763" s="557" t="n"/>
      <c r="S2763" s="1" t="n"/>
    </row>
    <row r="2764" ht="18" customHeight="1" s="305">
      <c r="A2764" s="8" t="n">
        <v>2320</v>
      </c>
      <c r="B2764" s="5" t="n">
        <v>127</v>
      </c>
      <c r="C2764" s="72" t="inlineStr">
        <is>
          <t>X</t>
        </is>
      </c>
      <c r="D2764" s="5" t="n">
        <v>293</v>
      </c>
      <c r="E2764" s="73">
        <f>B2764*D2764/10000</f>
        <v/>
      </c>
      <c r="F2764" s="74">
        <f>B2764/30.48</f>
        <v/>
      </c>
      <c r="G2764" s="74">
        <f>D2764/30.48</f>
        <v/>
      </c>
      <c r="H2764" s="66" t="inlineStr">
        <is>
          <t>RK</t>
        </is>
      </c>
      <c r="I2764" s="570" t="inlineStr">
        <is>
          <t>Angela wahlbom</t>
        </is>
      </c>
      <c r="J2764" s="557" t="n"/>
      <c r="S2764" s="1" t="n"/>
    </row>
    <row r="2765" ht="18" customHeight="1" s="305">
      <c r="A2765" s="8" t="n">
        <v>4366</v>
      </c>
      <c r="B2765" s="5" t="n"/>
      <c r="C2765" s="72" t="inlineStr">
        <is>
          <t>X</t>
        </is>
      </c>
      <c r="D2765" s="5" t="n"/>
      <c r="E2765" s="73">
        <f>B2765*D2765/10000</f>
        <v/>
      </c>
      <c r="F2765" s="74">
        <f>B2765/30.48</f>
        <v/>
      </c>
      <c r="G2765" s="74">
        <f>D2765/30.48</f>
        <v/>
      </c>
      <c r="H2765" s="347" t="inlineStr">
        <is>
          <t>MCHD-TR</t>
        </is>
      </c>
      <c r="I2765" s="557" t="n"/>
      <c r="J2765" s="557" t="n"/>
      <c r="S2765" s="1" t="n"/>
    </row>
    <row r="2766" ht="18" customHeight="1" s="305">
      <c r="A2766" s="8" t="n">
        <v>3460</v>
      </c>
      <c r="B2766" s="5" t="n">
        <v>90</v>
      </c>
      <c r="C2766" s="72" t="inlineStr">
        <is>
          <t>X</t>
        </is>
      </c>
      <c r="D2766" s="5" t="n">
        <v>129</v>
      </c>
      <c r="E2766" s="73">
        <f>B2766*D2766/10000</f>
        <v/>
      </c>
      <c r="F2766" s="74">
        <f>B2766/30.48</f>
        <v/>
      </c>
      <c r="G2766" s="74">
        <f>D2766/30.48</f>
        <v/>
      </c>
      <c r="H2766" s="347" t="inlineStr">
        <is>
          <t>MCHD-TR</t>
        </is>
      </c>
      <c r="I2766" s="557" t="n"/>
      <c r="J2766" s="557" t="n"/>
      <c r="S2766" s="1" t="n"/>
    </row>
    <row r="2767" ht="18" customHeight="1" s="305">
      <c r="A2767" s="8" t="n">
        <v>4439</v>
      </c>
      <c r="B2767" s="5" t="n">
        <v>105</v>
      </c>
      <c r="C2767" s="72" t="inlineStr">
        <is>
          <t>X</t>
        </is>
      </c>
      <c r="D2767" s="5" t="n">
        <v>363</v>
      </c>
      <c r="E2767" s="73">
        <f>B2767*D2767/10000</f>
        <v/>
      </c>
      <c r="F2767" s="74">
        <f>B2767/30.48</f>
        <v/>
      </c>
      <c r="G2767" s="74">
        <f>D2767/30.48</f>
        <v/>
      </c>
      <c r="H2767" s="347" t="inlineStr">
        <is>
          <t>MCHD-TR</t>
        </is>
      </c>
      <c r="I2767" s="545" t="n"/>
      <c r="J2767" s="545" t="n"/>
      <c r="S2767" s="1" t="n"/>
    </row>
    <row r="2768" ht="18" customHeight="1" s="305">
      <c r="A2768" s="8" t="n">
        <v>2072</v>
      </c>
      <c r="B2768" s="5" t="n">
        <v>77</v>
      </c>
      <c r="C2768" s="72" t="inlineStr">
        <is>
          <t>X</t>
        </is>
      </c>
      <c r="D2768" s="5" t="n">
        <v>349</v>
      </c>
      <c r="E2768" s="73">
        <f>B2768*D2768/10000</f>
        <v/>
      </c>
      <c r="F2768" s="74">
        <f>B2768/30.48</f>
        <v/>
      </c>
      <c r="G2768" s="74">
        <f>D2768/30.48</f>
        <v/>
      </c>
      <c r="H2768" s="334" t="inlineStr">
        <is>
          <t>RST</t>
        </is>
      </c>
      <c r="I2768" s="570" t="inlineStr">
        <is>
          <t>Megan Korb</t>
        </is>
      </c>
      <c r="J2768" s="557" t="n"/>
      <c r="S2768" s="1" t="n"/>
    </row>
    <row r="2769" ht="18" customHeight="1" s="305">
      <c r="A2769" s="8" t="n">
        <v>2675</v>
      </c>
      <c r="B2769" s="5" t="n">
        <v>84</v>
      </c>
      <c r="C2769" s="72" t="inlineStr">
        <is>
          <t>X</t>
        </is>
      </c>
      <c r="D2769" s="5" t="n">
        <v>394</v>
      </c>
      <c r="E2769" s="73">
        <f>B2769*D2769/10000</f>
        <v/>
      </c>
      <c r="F2769" s="74">
        <f>B2769/30.48</f>
        <v/>
      </c>
      <c r="G2769" s="74">
        <f>D2769/30.48</f>
        <v/>
      </c>
      <c r="H2769" s="592" t="inlineStr">
        <is>
          <t>WTR</t>
        </is>
      </c>
      <c r="I2769" s="570" t="inlineStr">
        <is>
          <t>Alisa Morkides</t>
        </is>
      </c>
      <c r="J2769" s="557" t="n"/>
      <c r="S2769" s="1" t="n"/>
    </row>
    <row r="2770" ht="18" customHeight="1" s="305">
      <c r="A2770" s="8" t="inlineStr">
        <is>
          <t>KLM-60</t>
        </is>
      </c>
      <c r="B2770" s="9" t="n">
        <v>84</v>
      </c>
      <c r="C2770" s="239" t="inlineStr">
        <is>
          <t>X</t>
        </is>
      </c>
      <c r="D2770" s="9" t="n">
        <v>384</v>
      </c>
      <c r="E2770" s="73">
        <f>B2770*D2770/10000</f>
        <v/>
      </c>
      <c r="F2770" s="74">
        <f>B2770/30.48</f>
        <v/>
      </c>
      <c r="G2770" s="74">
        <f>D2770/30.48</f>
        <v/>
      </c>
      <c r="H2770" s="592" t="inlineStr">
        <is>
          <t>WTR</t>
        </is>
      </c>
      <c r="I2770" s="296" t="inlineStr">
        <is>
          <t>Caron Robinson</t>
        </is>
      </c>
      <c r="J2770" s="295" t="inlineStr">
        <is>
          <t>+61 403 015 605</t>
        </is>
      </c>
      <c r="S2770" s="1" t="n"/>
    </row>
    <row r="2771" ht="18" customHeight="1" s="305">
      <c r="A2771" s="8" t="n">
        <v>2232</v>
      </c>
      <c r="B2771" s="5" t="n">
        <v>80</v>
      </c>
      <c r="C2771" s="72" t="inlineStr">
        <is>
          <t>X</t>
        </is>
      </c>
      <c r="D2771" s="5" t="n">
        <v>122</v>
      </c>
      <c r="E2771" s="73">
        <f>B2771*D2771/10000</f>
        <v/>
      </c>
      <c r="F2771" s="74">
        <f>B2771/30.48</f>
        <v/>
      </c>
      <c r="G2771" s="74">
        <f>D2771/30.48</f>
        <v/>
      </c>
      <c r="H2771" s="592" t="inlineStr">
        <is>
          <t>LMX</t>
        </is>
      </c>
      <c r="I2771" s="570" t="inlineStr">
        <is>
          <t>Marlie Richardson</t>
        </is>
      </c>
      <c r="J2771" s="557" t="n"/>
      <c r="S2771" s="1" t="n"/>
    </row>
    <row r="2772" ht="18" customHeight="1" s="305">
      <c r="A2772" s="8" t="n">
        <v>2547</v>
      </c>
      <c r="B2772" s="5" t="n">
        <v>166</v>
      </c>
      <c r="C2772" s="72" t="inlineStr">
        <is>
          <t>X</t>
        </is>
      </c>
      <c r="D2772" s="5" t="n">
        <v>213</v>
      </c>
      <c r="E2772" s="73">
        <f>B2772*D2772/10000</f>
        <v/>
      </c>
      <c r="F2772" s="74">
        <f>B2772/30.48</f>
        <v/>
      </c>
      <c r="G2772" s="74">
        <f>D2772/30.48</f>
        <v/>
      </c>
      <c r="H2772" s="592" t="inlineStr">
        <is>
          <t>LMX</t>
        </is>
      </c>
      <c r="I2772" s="570" t="inlineStr">
        <is>
          <t>Jill Schiff</t>
        </is>
      </c>
      <c r="J2772" s="557" t="n"/>
      <c r="S2772" s="1" t="n"/>
    </row>
    <row r="2773" ht="18" customHeight="1" s="305">
      <c r="A2773" s="28" t="inlineStr">
        <is>
          <t>D 651</t>
        </is>
      </c>
      <c r="B2773" s="29" t="n">
        <v>60</v>
      </c>
      <c r="C2773" s="236" t="inlineStr">
        <is>
          <t>X</t>
        </is>
      </c>
      <c r="D2773" s="29" t="n">
        <v>91</v>
      </c>
      <c r="E2773" s="237">
        <f>B2773*D2773/10000</f>
        <v/>
      </c>
      <c r="F2773" s="238">
        <f>B2773/30.48</f>
        <v/>
      </c>
      <c r="G2773" s="238">
        <f>D2773/30.48</f>
        <v/>
      </c>
      <c r="H2773" s="592" t="inlineStr">
        <is>
          <t>LMX</t>
        </is>
      </c>
      <c r="I2773" s="570" t="inlineStr">
        <is>
          <t>Julia Landreth</t>
        </is>
      </c>
      <c r="J2773" s="557" t="n"/>
      <c r="S2773" s="1" t="n"/>
    </row>
    <row r="2774" ht="18" customHeight="1" s="305">
      <c r="A2774" s="8" t="n">
        <v>2602</v>
      </c>
      <c r="B2774" s="5" t="n">
        <v>113</v>
      </c>
      <c r="C2774" s="72" t="inlineStr">
        <is>
          <t>X</t>
        </is>
      </c>
      <c r="D2774" s="5" t="n">
        <v>192</v>
      </c>
      <c r="E2774" s="73">
        <f>B2774*D2774/10000</f>
        <v/>
      </c>
      <c r="F2774" s="74">
        <f>B2774/30.48</f>
        <v/>
      </c>
      <c r="G2774" s="74">
        <f>D2774/30.48</f>
        <v/>
      </c>
      <c r="H2774" s="592" t="inlineStr">
        <is>
          <t>LMX</t>
        </is>
      </c>
      <c r="I2774" s="570" t="inlineStr">
        <is>
          <t>Olivia Hamilton</t>
        </is>
      </c>
      <c r="J2774" s="557" t="n"/>
      <c r="S2774" s="1" t="n"/>
    </row>
    <row r="2775" ht="18" customHeight="1" s="305">
      <c r="A2775" s="8" t="n">
        <v>2899</v>
      </c>
      <c r="B2775" s="5" t="n">
        <v>81</v>
      </c>
      <c r="C2775" s="72" t="inlineStr">
        <is>
          <t>X</t>
        </is>
      </c>
      <c r="D2775" s="5" t="n">
        <v>124</v>
      </c>
      <c r="E2775" s="73">
        <f>B2775*D2775/10000</f>
        <v/>
      </c>
      <c r="F2775" s="74">
        <f>B2775/30.48</f>
        <v/>
      </c>
      <c r="G2775" s="74">
        <f>D2775/30.48</f>
        <v/>
      </c>
      <c r="H2775" s="592" t="inlineStr">
        <is>
          <t>LLC</t>
        </is>
      </c>
      <c r="I2775" s="534" t="inlineStr">
        <is>
          <t>Katherine Gatward</t>
        </is>
      </c>
      <c r="J2775" s="545" t="n"/>
      <c r="S2775" s="1" t="n"/>
    </row>
    <row r="2776" ht="18" customHeight="1" s="305">
      <c r="A2776" s="8" t="inlineStr">
        <is>
          <t>H 115</t>
        </is>
      </c>
      <c r="B2776" s="5" t="n">
        <v>81</v>
      </c>
      <c r="C2776" s="72" t="inlineStr">
        <is>
          <t>X</t>
        </is>
      </c>
      <c r="D2776" s="5" t="n">
        <v>393</v>
      </c>
      <c r="E2776" s="73">
        <f>B2776*D2776/10000</f>
        <v/>
      </c>
      <c r="F2776" s="74">
        <f>B2776/30.48</f>
        <v/>
      </c>
      <c r="G2776" s="74">
        <f>D2776/30.48</f>
        <v/>
      </c>
      <c r="H2776" s="592" t="inlineStr">
        <is>
          <t>WTR</t>
        </is>
      </c>
      <c r="I2776" s="570" t="inlineStr">
        <is>
          <t>Meagan Fahrenkopf</t>
        </is>
      </c>
      <c r="J2776" s="557" t="n"/>
      <c r="S2776" s="1" t="n"/>
    </row>
    <row r="2777" ht="18" customHeight="1" s="305">
      <c r="A2777" s="28" t="inlineStr">
        <is>
          <t>H 171</t>
        </is>
      </c>
      <c r="B2777" s="29" t="n">
        <v>360</v>
      </c>
      <c r="C2777" s="30" t="inlineStr">
        <is>
          <t>X</t>
        </is>
      </c>
      <c r="D2777" s="29" t="n">
        <v>88</v>
      </c>
      <c r="E2777" s="31">
        <f>B2777*D2777/10000</f>
        <v/>
      </c>
      <c r="F2777" s="32">
        <f>B2777/30.48</f>
        <v/>
      </c>
      <c r="G2777" s="32">
        <f>D2777/30.48</f>
        <v/>
      </c>
      <c r="H2777" s="592" t="inlineStr">
        <is>
          <t>WTR</t>
        </is>
      </c>
      <c r="I2777" s="534" t="inlineStr">
        <is>
          <t>P.J. Marshall</t>
        </is>
      </c>
      <c r="J2777" s="545" t="n"/>
      <c r="S2777" s="1" t="n"/>
    </row>
    <row r="2778" ht="18" customHeight="1" s="305">
      <c r="A2778" s="8" t="inlineStr">
        <is>
          <t>D 249</t>
        </is>
      </c>
      <c r="B2778" s="5" t="n">
        <v>51</v>
      </c>
      <c r="C2778" s="72" t="inlineStr">
        <is>
          <t>X</t>
        </is>
      </c>
      <c r="D2778" s="5" t="n">
        <v>100</v>
      </c>
      <c r="E2778" s="73">
        <f>B2778*D2778/10000</f>
        <v/>
      </c>
      <c r="F2778" s="74">
        <f>B2778/30.48</f>
        <v/>
      </c>
      <c r="G2778" s="74">
        <f>D2778/30.48</f>
        <v/>
      </c>
      <c r="H2778" s="592" t="inlineStr">
        <is>
          <t>BHR</t>
        </is>
      </c>
      <c r="I2778" s="570" t="inlineStr">
        <is>
          <t>Karena Kilcoyne</t>
        </is>
      </c>
      <c r="J2778" s="557" t="n"/>
    </row>
    <row r="2779" ht="18" customHeight="1" s="305">
      <c r="A2779" s="8" t="inlineStr">
        <is>
          <t>İ-68</t>
        </is>
      </c>
      <c r="B2779" s="5" t="n">
        <v>463</v>
      </c>
      <c r="C2779" s="72" t="inlineStr">
        <is>
          <t>X</t>
        </is>
      </c>
      <c r="D2779" s="5" t="n">
        <v>298</v>
      </c>
      <c r="E2779" s="73">
        <f>B2779*D2779/10000</f>
        <v/>
      </c>
      <c r="F2779" s="74">
        <f>B2779/30.48</f>
        <v/>
      </c>
      <c r="G2779" s="74">
        <f>D2779/30.48</f>
        <v/>
      </c>
      <c r="H2779" s="592" t="inlineStr">
        <is>
          <t>WTR</t>
        </is>
      </c>
      <c r="I2779" s="570" t="inlineStr">
        <is>
          <t>ASHLEY HANLEY</t>
        </is>
      </c>
      <c r="J2779" s="557" t="n"/>
      <c r="S2779" s="1" t="n"/>
    </row>
    <row r="2780" ht="18" customHeight="1" s="305">
      <c r="A2780" s="8" t="n">
        <v>2509</v>
      </c>
      <c r="B2780" s="5" t="n">
        <v>90</v>
      </c>
      <c r="C2780" s="72" t="inlineStr">
        <is>
          <t>X</t>
        </is>
      </c>
      <c r="D2780" s="5" t="n">
        <v>345</v>
      </c>
      <c r="E2780" s="73">
        <f>B2780*D2780/10000</f>
        <v/>
      </c>
      <c r="F2780" s="74">
        <f>B2780/30.48</f>
        <v/>
      </c>
      <c r="G2780" s="74">
        <f>D2780/30.48</f>
        <v/>
      </c>
      <c r="H2780" s="592" t="inlineStr">
        <is>
          <t>WTR</t>
        </is>
      </c>
      <c r="I2780" s="570" t="inlineStr">
        <is>
          <t>Adia Barnes</t>
        </is>
      </c>
      <c r="J2780" s="557" t="n"/>
    </row>
    <row r="2781" ht="18" customHeight="1" s="305">
      <c r="A2781" s="8" t="n">
        <v>1425</v>
      </c>
      <c r="B2781" s="5" t="n">
        <v>162</v>
      </c>
      <c r="C2781" s="72" t="inlineStr">
        <is>
          <t>X</t>
        </is>
      </c>
      <c r="D2781" s="5" t="n">
        <v>241</v>
      </c>
      <c r="E2781" s="73">
        <f>B2781*D2781/10000</f>
        <v/>
      </c>
      <c r="F2781" s="74">
        <f>B2781/30.48</f>
        <v/>
      </c>
      <c r="G2781" s="74">
        <f>D2781/30.48</f>
        <v/>
      </c>
      <c r="H2781" s="592" t="inlineStr">
        <is>
          <t>PAC</t>
        </is>
      </c>
      <c r="I2781" s="570" t="inlineStr">
        <is>
          <t>Madhu Nair</t>
        </is>
      </c>
      <c r="J2781" s="557" t="n"/>
    </row>
    <row r="2782" ht="18" customHeight="1" s="305">
      <c r="A2782" s="28" t="inlineStr">
        <is>
          <t>D 824</t>
        </is>
      </c>
      <c r="B2782" s="29" t="n">
        <v>48</v>
      </c>
      <c r="C2782" s="236" t="inlineStr">
        <is>
          <t>X</t>
        </is>
      </c>
      <c r="D2782" s="29" t="n">
        <v>96</v>
      </c>
      <c r="E2782" s="237">
        <f>B2782*D2782/10000</f>
        <v/>
      </c>
      <c r="F2782" s="238">
        <f>B2782/30.48</f>
        <v/>
      </c>
      <c r="G2782" s="238">
        <f>D2782/30.48</f>
        <v/>
      </c>
      <c r="H2782" s="290" t="inlineStr">
        <is>
          <t>WCR</t>
        </is>
      </c>
      <c r="I2782" s="341" t="inlineStr">
        <is>
          <t>Taylor Andres</t>
        </is>
      </c>
      <c r="J2782" s="557" t="n"/>
    </row>
    <row r="2783" ht="18" customHeight="1" s="305">
      <c r="A2783" s="28" t="inlineStr">
        <is>
          <t>D 619</t>
        </is>
      </c>
      <c r="B2783" s="29" t="n">
        <v>57</v>
      </c>
      <c r="C2783" s="236" t="inlineStr">
        <is>
          <t>X</t>
        </is>
      </c>
      <c r="D2783" s="29" t="n">
        <v>60</v>
      </c>
      <c r="E2783" s="237">
        <f>B2783*D2783/10000</f>
        <v/>
      </c>
      <c r="F2783" s="238">
        <f>B2783/30.48</f>
        <v/>
      </c>
      <c r="G2783" s="238">
        <f>D2783/30.48</f>
        <v/>
      </c>
      <c r="H2783" s="593" t="inlineStr">
        <is>
          <t>WLR</t>
        </is>
      </c>
      <c r="I2783" s="534" t="inlineStr">
        <is>
          <t>Aniela Gottwald</t>
        </is>
      </c>
      <c r="J2783" s="545" t="n"/>
    </row>
    <row r="2784" ht="18" customHeight="1" s="305">
      <c r="A2784" s="8" t="n">
        <v>1264</v>
      </c>
      <c r="B2784" s="5" t="n">
        <v>270</v>
      </c>
      <c r="C2784" s="72" t="inlineStr">
        <is>
          <t>X</t>
        </is>
      </c>
      <c r="D2784" s="5" t="n">
        <v>380</v>
      </c>
      <c r="E2784" s="73">
        <f>B2784*D2784/10000</f>
        <v/>
      </c>
      <c r="F2784" s="74">
        <f>B2784/30.48</f>
        <v/>
      </c>
      <c r="G2784" s="74">
        <f>D2784/30.48</f>
        <v/>
      </c>
      <c r="H2784" s="592" t="inlineStr">
        <is>
          <t>PAC</t>
        </is>
      </c>
      <c r="I2784" s="534" t="inlineStr">
        <is>
          <t>Julie Wadman</t>
        </is>
      </c>
      <c r="J2784" s="545" t="n"/>
    </row>
    <row r="2785" ht="18" customHeight="1" s="305">
      <c r="A2785" s="8" t="n">
        <v>3418</v>
      </c>
      <c r="B2785" s="5" t="n">
        <v>80</v>
      </c>
      <c r="C2785" s="72" t="inlineStr">
        <is>
          <t>X</t>
        </is>
      </c>
      <c r="D2785" s="5" t="n">
        <v>262</v>
      </c>
      <c r="E2785" s="73">
        <f>B2785*D2785/10000</f>
        <v/>
      </c>
      <c r="F2785" s="74">
        <f>B2785/30.48</f>
        <v/>
      </c>
      <c r="G2785" s="74">
        <f>D2785/30.48</f>
        <v/>
      </c>
      <c r="H2785" s="334" t="inlineStr">
        <is>
          <t>RST</t>
        </is>
      </c>
      <c r="I2785" s="570" t="inlineStr">
        <is>
          <t>Antonia Xenos</t>
        </is>
      </c>
      <c r="J2785" s="557" t="n"/>
    </row>
    <row r="2786" ht="18" customHeight="1" s="305">
      <c r="A2786" s="28" t="inlineStr">
        <is>
          <t>D 479</t>
        </is>
      </c>
      <c r="B2786" s="29" t="n">
        <v>47</v>
      </c>
      <c r="C2786" s="236" t="inlineStr">
        <is>
          <t>X</t>
        </is>
      </c>
      <c r="D2786" s="29" t="n">
        <v>89</v>
      </c>
      <c r="E2786" s="237">
        <f>B2786*D2786/10000</f>
        <v/>
      </c>
      <c r="F2786" s="238">
        <f>B2786/30.48</f>
        <v/>
      </c>
      <c r="G2786" s="238">
        <f>D2786/30.48</f>
        <v/>
      </c>
      <c r="H2786" s="592" t="inlineStr">
        <is>
          <t>LMX</t>
        </is>
      </c>
      <c r="I2786" s="534" t="inlineStr">
        <is>
          <t>Khaki Fleck</t>
        </is>
      </c>
      <c r="J2786" s="545" t="n"/>
    </row>
    <row r="2787" ht="18" customHeight="1" s="305">
      <c r="A2787" s="8" t="n">
        <v>1144</v>
      </c>
      <c r="B2787" s="5" t="n">
        <v>81</v>
      </c>
      <c r="C2787" s="72" t="inlineStr">
        <is>
          <t>X</t>
        </is>
      </c>
      <c r="D2787" s="5" t="n">
        <v>319</v>
      </c>
      <c r="E2787" s="73">
        <f>B2787*D2787/10000</f>
        <v/>
      </c>
      <c r="F2787" s="74">
        <f>B2787/30.48</f>
        <v/>
      </c>
      <c r="G2787" s="74">
        <f>D2787/30.48</f>
        <v/>
      </c>
      <c r="H2787" s="334" t="inlineStr">
        <is>
          <t>OLD</t>
        </is>
      </c>
      <c r="I2787" s="570" t="inlineStr">
        <is>
          <t>Bradon Rogers</t>
        </is>
      </c>
      <c r="J2787" s="557" t="n"/>
    </row>
    <row r="2788" ht="18" customHeight="1" s="305">
      <c r="A2788" s="8" t="n">
        <v>2961</v>
      </c>
      <c r="B2788" s="5" t="n">
        <v>180</v>
      </c>
      <c r="C2788" s="72" t="inlineStr">
        <is>
          <t>X</t>
        </is>
      </c>
      <c r="D2788" s="5" t="n">
        <v>305</v>
      </c>
      <c r="E2788" s="73">
        <f>B2788*D2788/10000</f>
        <v/>
      </c>
      <c r="F2788" s="74">
        <f>B2788/30.48</f>
        <v/>
      </c>
      <c r="G2788" s="74">
        <f>D2788/30.48</f>
        <v/>
      </c>
      <c r="H2788" s="592" t="inlineStr">
        <is>
          <t>LMX</t>
        </is>
      </c>
      <c r="I2788" s="570" t="inlineStr">
        <is>
          <t>Catrina Meyer</t>
        </is>
      </c>
      <c r="J2788" s="557" t="n"/>
    </row>
    <row r="2789" ht="18" customHeight="1" s="305">
      <c r="A2789" s="8" t="n">
        <v>3564</v>
      </c>
      <c r="B2789" s="5" t="n">
        <v>80</v>
      </c>
      <c r="C2789" s="72" t="inlineStr">
        <is>
          <t>X</t>
        </is>
      </c>
      <c r="D2789" s="5" t="n">
        <v>127</v>
      </c>
      <c r="E2789" s="73">
        <f>B2789*D2789/10000</f>
        <v/>
      </c>
      <c r="F2789" s="74">
        <f>B2789/30.48</f>
        <v/>
      </c>
      <c r="G2789" s="74">
        <f>D2789/30.48</f>
        <v/>
      </c>
      <c r="H2789" s="592" t="inlineStr">
        <is>
          <t>LMX</t>
        </is>
      </c>
      <c r="I2789" s="570" t="inlineStr">
        <is>
          <t>Holly Kunkel</t>
        </is>
      </c>
      <c r="J2789" s="557" t="n"/>
    </row>
    <row r="2790" ht="18" customHeight="1" s="305">
      <c r="A2790" s="8" t="n">
        <v>2832</v>
      </c>
      <c r="B2790" s="5" t="n">
        <v>67</v>
      </c>
      <c r="C2790" s="72" t="inlineStr">
        <is>
          <t>X</t>
        </is>
      </c>
      <c r="D2790" s="5" t="n">
        <v>271</v>
      </c>
      <c r="E2790" s="73">
        <f>B2790*D2790/10000</f>
        <v/>
      </c>
      <c r="F2790" s="74">
        <f>B2790/30.48</f>
        <v/>
      </c>
      <c r="G2790" s="74">
        <f>D2790/30.48</f>
        <v/>
      </c>
      <c r="H2790" s="592" t="inlineStr">
        <is>
          <t>LMX</t>
        </is>
      </c>
      <c r="I2790" s="570" t="inlineStr">
        <is>
          <t>Megan Riehle</t>
        </is>
      </c>
      <c r="J2790" s="557" t="n"/>
    </row>
    <row r="2791" ht="18" customHeight="1" s="305">
      <c r="A2791" s="8" t="n">
        <v>4400</v>
      </c>
      <c r="B2791" s="5" t="n">
        <v>140</v>
      </c>
      <c r="C2791" s="72" t="inlineStr">
        <is>
          <t>X</t>
        </is>
      </c>
      <c r="D2791" s="5" t="n">
        <v>258</v>
      </c>
      <c r="E2791" s="73">
        <f>B2791*D2791/10000</f>
        <v/>
      </c>
      <c r="F2791" s="74">
        <f>B2791/30.48</f>
        <v/>
      </c>
      <c r="G2791" s="74">
        <f>D2791/30.48</f>
        <v/>
      </c>
      <c r="H2791" s="347" t="inlineStr">
        <is>
          <t>MCHD-TR</t>
        </is>
      </c>
      <c r="I2791" s="545" t="n"/>
      <c r="J2791" s="545" t="n"/>
    </row>
    <row r="2792" ht="18" customHeight="1" s="305">
      <c r="A2792" s="28" t="inlineStr">
        <is>
          <t>D 821</t>
        </is>
      </c>
      <c r="B2792" s="29" t="n">
        <v>46</v>
      </c>
      <c r="C2792" s="236" t="inlineStr">
        <is>
          <t>X</t>
        </is>
      </c>
      <c r="D2792" s="29" t="n">
        <v>75</v>
      </c>
      <c r="E2792" s="237">
        <f>B2792*D2792/10000</f>
        <v/>
      </c>
      <c r="F2792" s="238">
        <f>B2792/30.48</f>
        <v/>
      </c>
      <c r="G2792" s="238">
        <f>D2792/30.48</f>
        <v/>
      </c>
      <c r="H2792" s="592" t="inlineStr">
        <is>
          <t>LR</t>
        </is>
      </c>
      <c r="I2792" s="534" t="inlineStr">
        <is>
          <t>Emma Wilson</t>
        </is>
      </c>
      <c r="J2792" s="545" t="n"/>
    </row>
    <row r="2793" ht="18" customHeight="1" s="305">
      <c r="A2793" s="8" t="n">
        <v>2167</v>
      </c>
      <c r="B2793" s="5" t="n">
        <v>121</v>
      </c>
      <c r="C2793" s="72" t="inlineStr">
        <is>
          <t>X</t>
        </is>
      </c>
      <c r="D2793" s="5" t="n">
        <v>201</v>
      </c>
      <c r="E2793" s="73">
        <f>B2793*D2793/10000</f>
        <v/>
      </c>
      <c r="F2793" s="74">
        <f>B2793/30.48</f>
        <v/>
      </c>
      <c r="G2793" s="74">
        <f>D2793/30.48</f>
        <v/>
      </c>
      <c r="H2793" s="592" t="inlineStr">
        <is>
          <t>WTR</t>
        </is>
      </c>
      <c r="I2793" s="534" t="inlineStr">
        <is>
          <t>Allison Nelson</t>
        </is>
      </c>
      <c r="J2793" s="545" t="n"/>
    </row>
    <row r="2794" ht="18" customHeight="1" s="305">
      <c r="A2794" s="28" t="inlineStr">
        <is>
          <t>D 1014</t>
        </is>
      </c>
      <c r="B2794" s="29" t="n">
        <v>71</v>
      </c>
      <c r="C2794" s="236" t="inlineStr">
        <is>
          <t>X</t>
        </is>
      </c>
      <c r="D2794" s="29" t="n">
        <v>124</v>
      </c>
      <c r="E2794" s="237">
        <f>B2794*D2794/10000</f>
        <v/>
      </c>
      <c r="F2794" s="238">
        <f>B2794/30.48</f>
        <v/>
      </c>
      <c r="G2794" s="238">
        <f>D2794/30.48</f>
        <v/>
      </c>
      <c r="H2794" s="334" t="inlineStr">
        <is>
          <t>RST</t>
        </is>
      </c>
      <c r="I2794" s="570" t="inlineStr">
        <is>
          <t>Olivia West</t>
        </is>
      </c>
      <c r="J2794" s="557" t="n"/>
    </row>
    <row r="2795" ht="18" customHeight="1" s="305">
      <c r="A2795" s="28" t="inlineStr">
        <is>
          <t>D 543</t>
        </is>
      </c>
      <c r="B2795" s="29" t="n">
        <v>41</v>
      </c>
      <c r="C2795" s="236" t="inlineStr">
        <is>
          <t>X</t>
        </is>
      </c>
      <c r="D2795" s="29" t="n">
        <v>83</v>
      </c>
      <c r="E2795" s="237">
        <f>B2795*D2795/10000</f>
        <v/>
      </c>
      <c r="F2795" s="238">
        <f>B2795/30.48</f>
        <v/>
      </c>
      <c r="G2795" s="238">
        <f>D2795/30.48</f>
        <v/>
      </c>
      <c r="H2795" s="593" t="inlineStr">
        <is>
          <t>WLR</t>
        </is>
      </c>
      <c r="I2795" s="570" t="inlineStr">
        <is>
          <t>Katherine Bailey</t>
        </is>
      </c>
      <c r="J2795" s="557" t="n"/>
    </row>
    <row r="2796" ht="18" customHeight="1" s="305">
      <c r="A2796" s="8" t="inlineStr">
        <is>
          <t>E-161</t>
        </is>
      </c>
      <c r="B2796" s="5" t="n"/>
      <c r="C2796" s="72" t="inlineStr">
        <is>
          <t>X</t>
        </is>
      </c>
      <c r="D2796" s="5" t="n"/>
      <c r="E2796" s="73">
        <f>B2796*D2796/10000</f>
        <v/>
      </c>
      <c r="F2796" s="74">
        <f>B2796/30.48</f>
        <v/>
      </c>
      <c r="G2796" s="74">
        <f>D2796/30.48</f>
        <v/>
      </c>
      <c r="H2796" s="592" t="inlineStr">
        <is>
          <t>WTR</t>
        </is>
      </c>
      <c r="I2796" s="534" t="inlineStr">
        <is>
          <t>KRISTIN Strand</t>
        </is>
      </c>
      <c r="J2796" s="545" t="n"/>
    </row>
    <row r="2797" ht="18" customHeight="1" s="305">
      <c r="A2797" s="8" t="n">
        <v>3614</v>
      </c>
      <c r="B2797" s="5" t="n">
        <v>201</v>
      </c>
      <c r="C2797" s="72" t="inlineStr">
        <is>
          <t>X</t>
        </is>
      </c>
      <c r="D2797" s="5" t="n">
        <v>276</v>
      </c>
      <c r="E2797" s="73">
        <f>B2797*D2797/10000</f>
        <v/>
      </c>
      <c r="F2797" s="74">
        <f>B2797/30.48</f>
        <v/>
      </c>
      <c r="G2797" s="74">
        <f>D2797/30.48</f>
        <v/>
      </c>
      <c r="H2797" s="347" t="inlineStr">
        <is>
          <t>MCHD-TR</t>
        </is>
      </c>
      <c r="I2797" s="557" t="n"/>
      <c r="J2797" s="557" t="n"/>
    </row>
    <row r="2798" ht="18" customHeight="1" s="305">
      <c r="A2798" s="8" t="inlineStr">
        <is>
          <t>İ-82</t>
        </is>
      </c>
      <c r="B2798" s="5" t="n">
        <v>311</v>
      </c>
      <c r="C2798" s="72" t="inlineStr">
        <is>
          <t>X</t>
        </is>
      </c>
      <c r="D2798" s="5" t="n">
        <v>360</v>
      </c>
      <c r="E2798" s="73">
        <f>B2798*D2798/10000</f>
        <v/>
      </c>
      <c r="F2798" s="74">
        <f>B2798/30.48</f>
        <v/>
      </c>
      <c r="G2798" s="74">
        <f>D2798/30.48</f>
        <v/>
      </c>
      <c r="H2798" s="347" t="inlineStr">
        <is>
          <t>MCHD-TR</t>
        </is>
      </c>
      <c r="I2798" s="557" t="n"/>
      <c r="J2798" s="557" t="n"/>
      <c r="S2798" s="1" t="n"/>
    </row>
    <row r="2799" ht="18" customHeight="1" s="305">
      <c r="A2799" s="8" t="n">
        <v>2849</v>
      </c>
      <c r="B2799" s="5" t="n">
        <v>116</v>
      </c>
      <c r="C2799" s="72" t="inlineStr">
        <is>
          <t>X</t>
        </is>
      </c>
      <c r="D2799" s="5" t="n">
        <v>186</v>
      </c>
      <c r="E2799" s="73">
        <f>B2799*D2799/10000</f>
        <v/>
      </c>
      <c r="F2799" s="74">
        <f>B2799/30.48</f>
        <v/>
      </c>
      <c r="G2799" s="74">
        <f>D2799/30.48</f>
        <v/>
      </c>
      <c r="H2799" s="347" t="inlineStr">
        <is>
          <t>MCHD-TR</t>
        </is>
      </c>
      <c r="I2799" s="545" t="n"/>
      <c r="J2799" s="545" t="n"/>
    </row>
    <row r="2800" ht="18" customHeight="1" s="305">
      <c r="A2800" s="28" t="inlineStr">
        <is>
          <t>D 478</t>
        </is>
      </c>
      <c r="B2800" s="29" t="n">
        <v>50</v>
      </c>
      <c r="C2800" s="236" t="inlineStr">
        <is>
          <t>X</t>
        </is>
      </c>
      <c r="D2800" s="29" t="n">
        <v>81</v>
      </c>
      <c r="E2800" s="237">
        <f>B2800*D2800/10000</f>
        <v/>
      </c>
      <c r="F2800" s="238">
        <f>B2800/30.48</f>
        <v/>
      </c>
      <c r="G2800" s="238">
        <f>D2800/30.48</f>
        <v/>
      </c>
      <c r="H2800" s="592" t="inlineStr">
        <is>
          <t>BHR</t>
        </is>
      </c>
      <c r="I2800" s="570" t="inlineStr">
        <is>
          <t>Allison Carrier</t>
        </is>
      </c>
      <c r="J2800" s="557" t="n"/>
    </row>
    <row r="2801" ht="18" customHeight="1" s="305">
      <c r="A2801" s="28" t="inlineStr">
        <is>
          <t>D 527</t>
        </is>
      </c>
      <c r="B2801" s="29" t="n">
        <v>39</v>
      </c>
      <c r="C2801" s="236" t="inlineStr">
        <is>
          <t>X</t>
        </is>
      </c>
      <c r="D2801" s="29" t="n">
        <v>65</v>
      </c>
      <c r="E2801" s="237">
        <f>B2801*D2801/10000</f>
        <v/>
      </c>
      <c r="F2801" s="238">
        <f>B2801/30.48</f>
        <v/>
      </c>
      <c r="G2801" s="238">
        <f>D2801/30.48</f>
        <v/>
      </c>
      <c r="H2801" s="334" t="inlineStr">
        <is>
          <t>OLD</t>
        </is>
      </c>
      <c r="I2801" s="570" t="inlineStr">
        <is>
          <t>Allison Carrier</t>
        </is>
      </c>
      <c r="J2801" s="557" t="n"/>
    </row>
    <row r="2802" ht="18" customHeight="1" s="305">
      <c r="A2802" s="8" t="n">
        <v>131</v>
      </c>
      <c r="B2802" s="5" t="n">
        <v>112</v>
      </c>
      <c r="C2802" s="6" t="inlineStr">
        <is>
          <t>X</t>
        </is>
      </c>
      <c r="D2802" s="5" t="n">
        <v>60</v>
      </c>
      <c r="E2802" s="2">
        <f>B2802*D2802/10000</f>
        <v/>
      </c>
      <c r="F2802" s="3">
        <f>B2802/30.48</f>
        <v/>
      </c>
      <c r="G2802" s="3">
        <f>D2802/30.48</f>
        <v/>
      </c>
      <c r="H2802" s="334" t="inlineStr">
        <is>
          <t>OLD</t>
        </is>
      </c>
      <c r="I2802" s="570" t="inlineStr">
        <is>
          <t>Barney Lane</t>
        </is>
      </c>
      <c r="J2802" s="557" t="n"/>
    </row>
    <row r="2803" ht="18" customHeight="1" s="305">
      <c r="A2803" s="8" t="n">
        <v>3591</v>
      </c>
      <c r="B2803" s="5" t="n">
        <v>80</v>
      </c>
      <c r="C2803" s="72" t="inlineStr">
        <is>
          <t>X</t>
        </is>
      </c>
      <c r="D2803" s="5" t="n">
        <v>360</v>
      </c>
      <c r="E2803" s="73">
        <f>B2803*D2803/10000</f>
        <v/>
      </c>
      <c r="F2803" s="74">
        <f>B2803/30.48</f>
        <v/>
      </c>
      <c r="G2803" s="74">
        <f>D2803/30.48</f>
        <v/>
      </c>
      <c r="H2803" s="592" t="inlineStr">
        <is>
          <t>WTR</t>
        </is>
      </c>
      <c r="I2803" s="570" t="inlineStr">
        <is>
          <t>Candie Guay</t>
        </is>
      </c>
      <c r="J2803" s="557" t="n"/>
      <c r="S2803" s="1" t="n"/>
    </row>
    <row r="2804" ht="18" customHeight="1" s="305">
      <c r="A2804" s="8" t="n">
        <v>3364</v>
      </c>
      <c r="B2804" s="5" t="n">
        <v>87</v>
      </c>
      <c r="C2804" s="72" t="inlineStr">
        <is>
          <t>X</t>
        </is>
      </c>
      <c r="D2804" s="5" t="n">
        <v>440</v>
      </c>
      <c r="E2804" s="73">
        <f>B2804*D2804/10000</f>
        <v/>
      </c>
      <c r="F2804" s="74">
        <f>B2804/30.48</f>
        <v/>
      </c>
      <c r="G2804" s="74">
        <f>D2804/30.48</f>
        <v/>
      </c>
      <c r="H2804" s="592" t="inlineStr">
        <is>
          <t>WTR</t>
        </is>
      </c>
      <c r="I2804" s="570" t="inlineStr">
        <is>
          <t>Ludmila Karkov</t>
        </is>
      </c>
      <c r="J2804" s="557" t="n"/>
      <c r="S2804" s="1" t="n"/>
    </row>
    <row r="2805" ht="18" customHeight="1" s="305">
      <c r="A2805" s="8" t="n">
        <v>4041</v>
      </c>
      <c r="B2805" s="5" t="n">
        <v>69</v>
      </c>
      <c r="C2805" s="72" t="inlineStr">
        <is>
          <t>X</t>
        </is>
      </c>
      <c r="D2805" s="5" t="n">
        <v>128</v>
      </c>
      <c r="E2805" s="73">
        <f>B2805*D2805/10000</f>
        <v/>
      </c>
      <c r="F2805" s="74">
        <f>B2805/30.48</f>
        <v/>
      </c>
      <c r="G2805" s="74">
        <f>D2805/30.48</f>
        <v/>
      </c>
      <c r="H2805" s="592" t="inlineStr">
        <is>
          <t>WTR</t>
        </is>
      </c>
      <c r="I2805" s="570" t="inlineStr">
        <is>
          <t>Victoria A. Spires</t>
        </is>
      </c>
      <c r="J2805" s="557" t="n"/>
      <c r="S2805" s="1" t="n"/>
    </row>
    <row r="2806" ht="18" customHeight="1" s="305">
      <c r="A2806" s="8" t="n">
        <v>2674</v>
      </c>
      <c r="B2806" s="5" t="n">
        <v>99</v>
      </c>
      <c r="C2806" s="72" t="inlineStr">
        <is>
          <t>X</t>
        </is>
      </c>
      <c r="D2806" s="5" t="n">
        <v>290</v>
      </c>
      <c r="E2806" s="73">
        <f>B2806*D2806/10000</f>
        <v/>
      </c>
      <c r="F2806" s="74">
        <f>B2806/30.48</f>
        <v/>
      </c>
      <c r="G2806" s="74">
        <f>D2806/30.48</f>
        <v/>
      </c>
      <c r="H2806" s="592" t="inlineStr">
        <is>
          <t>WTR</t>
        </is>
      </c>
      <c r="I2806" s="570" t="inlineStr">
        <is>
          <t>Mary Trybus</t>
        </is>
      </c>
      <c r="J2806" s="557" t="n"/>
      <c r="S2806" s="1" t="n"/>
    </row>
    <row r="2807" ht="18" customHeight="1" s="305">
      <c r="A2807" s="8" t="n">
        <v>4432</v>
      </c>
      <c r="B2807" s="5" t="n">
        <v>72</v>
      </c>
      <c r="C2807" s="72" t="inlineStr">
        <is>
          <t>X</t>
        </is>
      </c>
      <c r="D2807" s="5" t="n">
        <v>432</v>
      </c>
      <c r="E2807" s="73">
        <f>B2807*D2807/10000</f>
        <v/>
      </c>
      <c r="F2807" s="74">
        <f>B2807/30.48</f>
        <v/>
      </c>
      <c r="G2807" s="74">
        <f>D2807/30.48</f>
        <v/>
      </c>
      <c r="H2807" s="347" t="inlineStr">
        <is>
          <t>MCHD-TR</t>
        </is>
      </c>
      <c r="I2807" s="557" t="n"/>
      <c r="J2807" s="557" t="n"/>
      <c r="S2807" s="1" t="n"/>
    </row>
    <row r="2808" ht="18" customHeight="1" s="305">
      <c r="A2808" s="8" t="n">
        <v>3464</v>
      </c>
      <c r="B2808" s="5" t="n">
        <v>95</v>
      </c>
      <c r="C2808" s="72" t="inlineStr">
        <is>
          <t>X</t>
        </is>
      </c>
      <c r="D2808" s="5" t="n">
        <v>373</v>
      </c>
      <c r="E2808" s="73">
        <f>B2808*D2808/10000</f>
        <v/>
      </c>
      <c r="F2808" s="74">
        <f>B2808/30.48</f>
        <v/>
      </c>
      <c r="G2808" s="74">
        <f>D2808/30.48</f>
        <v/>
      </c>
      <c r="H2808" s="347" t="inlineStr">
        <is>
          <t>MCHD-TR</t>
        </is>
      </c>
      <c r="I2808" s="545" t="n"/>
      <c r="J2808" s="545" t="n"/>
      <c r="S2808" s="1" t="n"/>
    </row>
    <row r="2809" ht="18" customHeight="1" s="305">
      <c r="A2809" s="8" t="n">
        <v>1604</v>
      </c>
      <c r="B2809" s="5" t="n">
        <v>313</v>
      </c>
      <c r="C2809" s="72" t="inlineStr">
        <is>
          <t>X</t>
        </is>
      </c>
      <c r="D2809" s="5" t="n">
        <v>211</v>
      </c>
      <c r="E2809" s="73">
        <f>B2809*D2809/10000</f>
        <v/>
      </c>
      <c r="F2809" s="74">
        <f>B2809/30.48</f>
        <v/>
      </c>
      <c r="G2809" s="74">
        <f>D2809/30.48</f>
        <v/>
      </c>
      <c r="H2809" s="357" t="inlineStr">
        <is>
          <t>RST</t>
        </is>
      </c>
      <c r="I2809" s="570" t="inlineStr">
        <is>
          <t>Susan T Basel</t>
        </is>
      </c>
      <c r="J2809" s="557" t="n"/>
    </row>
    <row r="2810" ht="18" customHeight="1" s="305">
      <c r="A2810" s="8" t="n">
        <v>2438</v>
      </c>
      <c r="B2810" s="5" t="n">
        <v>126</v>
      </c>
      <c r="C2810" s="72" t="inlineStr">
        <is>
          <t>X</t>
        </is>
      </c>
      <c r="D2810" s="5" t="n">
        <v>203</v>
      </c>
      <c r="E2810" s="73">
        <f>B2810*D2810/10000</f>
        <v/>
      </c>
      <c r="F2810" s="74">
        <f>B2810/30.48</f>
        <v/>
      </c>
      <c r="G2810" s="74">
        <f>D2810/30.48</f>
        <v/>
      </c>
      <c r="H2810" s="37" t="inlineStr">
        <is>
          <t>LLC</t>
        </is>
      </c>
      <c r="I2810" s="322" t="inlineStr">
        <is>
          <t>Anna Dabbs</t>
        </is>
      </c>
      <c r="J2810" s="557" t="n"/>
      <c r="S2810" s="1" t="n"/>
    </row>
    <row r="2811" ht="18" customHeight="1" s="305">
      <c r="A2811" s="8" t="n">
        <v>2444</v>
      </c>
      <c r="B2811" s="5" t="n">
        <v>167</v>
      </c>
      <c r="C2811" s="72" t="inlineStr">
        <is>
          <t>X</t>
        </is>
      </c>
      <c r="D2811" s="5" t="n">
        <v>226</v>
      </c>
      <c r="E2811" s="73">
        <f>B2811*D2811/10000</f>
        <v/>
      </c>
      <c r="F2811" s="74">
        <f>B2811/30.48</f>
        <v/>
      </c>
      <c r="G2811" s="74">
        <f>D2811/30.48</f>
        <v/>
      </c>
      <c r="H2811" s="593" t="inlineStr">
        <is>
          <t>WLR</t>
        </is>
      </c>
      <c r="I2811" s="534" t="inlineStr">
        <is>
          <t>Janet Barnhill</t>
        </is>
      </c>
      <c r="J2811" s="545" t="n"/>
      <c r="S2811" s="1" t="n"/>
    </row>
    <row r="2812" ht="18" customHeight="1" s="305">
      <c r="A2812" s="8" t="n">
        <v>1786</v>
      </c>
      <c r="B2812" s="5" t="n">
        <v>118</v>
      </c>
      <c r="C2812" s="72" t="inlineStr">
        <is>
          <t>X</t>
        </is>
      </c>
      <c r="D2812" s="5" t="n">
        <v>201</v>
      </c>
      <c r="E2812" s="73">
        <f>B2812*D2812/10000</f>
        <v/>
      </c>
      <c r="F2812" s="74">
        <f>B2812/30.48</f>
        <v/>
      </c>
      <c r="G2812" s="74">
        <f>D2812/30.48</f>
        <v/>
      </c>
      <c r="H2812" s="357" t="inlineStr">
        <is>
          <t>RST</t>
        </is>
      </c>
      <c r="I2812" s="570" t="inlineStr">
        <is>
          <t>Mari-Michelle Wahlstrom</t>
        </is>
      </c>
      <c r="J2812" s="557" t="n"/>
    </row>
    <row r="2813" ht="18" customHeight="1" s="305">
      <c r="A2813" s="8" t="n">
        <v>2504</v>
      </c>
      <c r="B2813" s="5" t="n">
        <v>84</v>
      </c>
      <c r="C2813" s="72" t="inlineStr">
        <is>
          <t>X</t>
        </is>
      </c>
      <c r="D2813" s="5" t="n">
        <v>327</v>
      </c>
      <c r="E2813" s="73">
        <f>B2813*D2813/10000</f>
        <v/>
      </c>
      <c r="F2813" s="74">
        <f>B2813/30.48</f>
        <v/>
      </c>
      <c r="G2813" s="74">
        <f>D2813/30.48</f>
        <v/>
      </c>
      <c r="H2813" s="357" t="inlineStr">
        <is>
          <t>RST</t>
        </is>
      </c>
      <c r="I2813" s="570" t="inlineStr">
        <is>
          <t>Mary Rademaker</t>
        </is>
      </c>
      <c r="J2813" s="557" t="n"/>
      <c r="S2813" s="1" t="n"/>
    </row>
    <row r="2814" ht="18" customHeight="1" s="305">
      <c r="A2814" s="8" t="n">
        <v>1420</v>
      </c>
      <c r="B2814" s="5" t="n">
        <v>81</v>
      </c>
      <c r="C2814" s="72" t="inlineStr">
        <is>
          <t>X</t>
        </is>
      </c>
      <c r="D2814" s="5" t="n">
        <v>391</v>
      </c>
      <c r="E2814" s="73">
        <f>B2814*D2814/10000</f>
        <v/>
      </c>
      <c r="F2814" s="74">
        <f>B2814/30.48</f>
        <v/>
      </c>
      <c r="G2814" s="74">
        <f>D2814/30.48</f>
        <v/>
      </c>
      <c r="H2814" s="334" t="inlineStr">
        <is>
          <t>OLD</t>
        </is>
      </c>
      <c r="I2814" s="570" t="inlineStr">
        <is>
          <t>Robin Cegelski</t>
        </is>
      </c>
      <c r="J2814" s="557" t="n"/>
    </row>
    <row r="2815" ht="18" customHeight="1" s="305">
      <c r="A2815" s="8" t="inlineStr">
        <is>
          <t>İ-6</t>
        </is>
      </c>
      <c r="B2815" s="5" t="n">
        <v>283</v>
      </c>
      <c r="C2815" s="72" t="inlineStr">
        <is>
          <t>X</t>
        </is>
      </c>
      <c r="D2815" s="5" t="n">
        <v>374</v>
      </c>
      <c r="E2815" s="73">
        <f>B2815*D2815/10000</f>
        <v/>
      </c>
      <c r="F2815" s="74">
        <f>B2815/30.48</f>
        <v/>
      </c>
      <c r="G2815" s="74">
        <f>D2815/30.48</f>
        <v/>
      </c>
      <c r="H2815" s="347" t="inlineStr">
        <is>
          <t>MCHD-TR</t>
        </is>
      </c>
      <c r="I2815" s="545" t="n"/>
      <c r="J2815" s="545" t="n"/>
      <c r="S2815" s="1" t="n"/>
    </row>
    <row r="2816" ht="18" customHeight="1" s="305">
      <c r="A2816" s="8" t="n">
        <v>22</v>
      </c>
      <c r="B2816" s="5" t="n">
        <v>93</v>
      </c>
      <c r="C2816" s="6" t="inlineStr">
        <is>
          <t>X</t>
        </is>
      </c>
      <c r="D2816" s="5" t="n">
        <v>50</v>
      </c>
      <c r="E2816" s="2">
        <f>B2816*D2816/10000</f>
        <v/>
      </c>
      <c r="F2816" s="3">
        <f>B2816/30.48</f>
        <v/>
      </c>
      <c r="G2816" s="3">
        <f>D2816/30.48</f>
        <v/>
      </c>
      <c r="H2816" s="334" t="inlineStr">
        <is>
          <t>OLD</t>
        </is>
      </c>
      <c r="I2816" s="570" t="inlineStr">
        <is>
          <t>Laura Powell</t>
        </is>
      </c>
      <c r="J2816" s="557" t="n"/>
    </row>
    <row r="2817" ht="18" customHeight="1" s="305">
      <c r="A2817" s="28" t="inlineStr">
        <is>
          <t>D 717</t>
        </is>
      </c>
      <c r="B2817" s="29" t="n">
        <v>56</v>
      </c>
      <c r="C2817" s="236" t="inlineStr">
        <is>
          <t>X</t>
        </is>
      </c>
      <c r="D2817" s="29" t="n">
        <v>97</v>
      </c>
      <c r="E2817" s="237">
        <f>B2817*D2817/10000</f>
        <v/>
      </c>
      <c r="F2817" s="238">
        <f>B2817/30.48</f>
        <v/>
      </c>
      <c r="G2817" s="238">
        <f>D2817/30.48</f>
        <v/>
      </c>
      <c r="H2817" s="314" t="inlineStr">
        <is>
          <t>FRD-NR</t>
        </is>
      </c>
      <c r="I2817" s="570" t="inlineStr">
        <is>
          <t>Katie Eaddy</t>
        </is>
      </c>
      <c r="J2817" s="557" t="n"/>
    </row>
    <row r="2818" ht="18" customHeight="1" s="305">
      <c r="A2818" s="8" t="n">
        <v>2258</v>
      </c>
      <c r="B2818" s="5" t="n">
        <v>88</v>
      </c>
      <c r="C2818" s="72" t="inlineStr">
        <is>
          <t>X</t>
        </is>
      </c>
      <c r="D2818" s="5" t="n">
        <v>276</v>
      </c>
      <c r="E2818" s="73">
        <f>B2818*D2818/10000</f>
        <v/>
      </c>
      <c r="F2818" s="74">
        <f>B2818/30.48</f>
        <v/>
      </c>
      <c r="G2818" s="74">
        <f>D2818/30.48</f>
        <v/>
      </c>
      <c r="H2818" s="37" t="inlineStr">
        <is>
          <t>LLC</t>
        </is>
      </c>
      <c r="I2818" s="570" t="inlineStr">
        <is>
          <t>Daleet Spector</t>
        </is>
      </c>
      <c r="J2818" s="557" t="n"/>
      <c r="S2818" s="1" t="n"/>
    </row>
    <row r="2819" ht="18" customHeight="1" s="305">
      <c r="A2819" s="8" t="inlineStr">
        <is>
          <t>İ-49</t>
        </is>
      </c>
      <c r="B2819" s="5" t="n">
        <v>285</v>
      </c>
      <c r="C2819" s="72" t="inlineStr">
        <is>
          <t>X</t>
        </is>
      </c>
      <c r="D2819" s="5" t="n">
        <v>370</v>
      </c>
      <c r="E2819" s="73">
        <f>B2819*D2819/10000</f>
        <v/>
      </c>
      <c r="F2819" s="74">
        <f>B2819/30.48</f>
        <v/>
      </c>
      <c r="G2819" s="74">
        <f>D2819/30.48</f>
        <v/>
      </c>
      <c r="H2819" s="347" t="inlineStr">
        <is>
          <t>MCHD-TR</t>
        </is>
      </c>
      <c r="I2819" s="545" t="n"/>
      <c r="J2819" s="545" t="n"/>
      <c r="S2819" s="1" t="n"/>
    </row>
    <row r="2820">
      <c r="A2820" s="536" t="inlineStr">
        <is>
          <t>-2025 AĞUSTOS-</t>
        </is>
      </c>
      <c r="H2820" s="104" t="inlineStr">
        <is>
          <t>SATAN-SİTE</t>
        </is>
      </c>
      <c r="I2820" s="98" t="inlineStr">
        <is>
          <t>MÜŞTERİ ADI</t>
        </is>
      </c>
      <c r="J2820" s="63" t="inlineStr">
        <is>
          <t>MÜŞTERİ İLETİŞİM &amp; ÜLKE</t>
        </is>
      </c>
      <c r="P2820" s="1" t="n"/>
    </row>
    <row r="2821" ht="18" customHeight="1" s="305">
      <c r="A2821" s="28" t="inlineStr">
        <is>
          <t>D 642</t>
        </is>
      </c>
      <c r="B2821" s="29" t="n">
        <v>48</v>
      </c>
      <c r="C2821" s="236" t="inlineStr">
        <is>
          <t>X</t>
        </is>
      </c>
      <c r="D2821" s="29" t="n">
        <v>81</v>
      </c>
      <c r="E2821" s="237">
        <f>B2821*D2821/10000</f>
        <v/>
      </c>
      <c r="F2821" s="238">
        <f>B2821/30.48</f>
        <v/>
      </c>
      <c r="G2821" s="238">
        <f>D2821/30.48</f>
        <v/>
      </c>
      <c r="H2821" s="592" t="inlineStr">
        <is>
          <t>LMX</t>
        </is>
      </c>
      <c r="I2821" s="570" t="inlineStr">
        <is>
          <t>Rachel Garis</t>
        </is>
      </c>
      <c r="J2821" s="557" t="n"/>
    </row>
    <row r="2822" ht="18" customHeight="1" s="305">
      <c r="A2822" s="8" t="n">
        <v>2246</v>
      </c>
      <c r="B2822" s="5" t="n">
        <v>81</v>
      </c>
      <c r="C2822" s="72" t="inlineStr">
        <is>
          <t>X</t>
        </is>
      </c>
      <c r="D2822" s="5" t="n">
        <v>274</v>
      </c>
      <c r="E2822" s="73">
        <f>B2822*D2822/10000</f>
        <v/>
      </c>
      <c r="F2822" s="74">
        <f>B2822/30.48</f>
        <v/>
      </c>
      <c r="G2822" s="74">
        <f>D2822/30.48</f>
        <v/>
      </c>
      <c r="H2822" s="592" t="inlineStr">
        <is>
          <t>WTR</t>
        </is>
      </c>
      <c r="I2822" s="570" t="inlineStr">
        <is>
          <t>Julie Wetherell</t>
        </is>
      </c>
      <c r="J2822" s="557" t="n"/>
    </row>
    <row r="2823" ht="18" customHeight="1" s="305">
      <c r="A2823" s="8" t="n">
        <v>4057</v>
      </c>
      <c r="B2823" s="5" t="n">
        <v>62</v>
      </c>
      <c r="C2823" s="72" t="inlineStr">
        <is>
          <t>X</t>
        </is>
      </c>
      <c r="D2823" s="5" t="n">
        <v>178</v>
      </c>
      <c r="E2823" s="73">
        <f>B2823*D2823/10000</f>
        <v/>
      </c>
      <c r="F2823" s="74">
        <f>B2823/30.48</f>
        <v/>
      </c>
      <c r="G2823" s="74">
        <f>D2823/30.48</f>
        <v/>
      </c>
      <c r="H2823" s="592" t="inlineStr">
        <is>
          <t>WTR</t>
        </is>
      </c>
      <c r="I2823" s="570" t="inlineStr">
        <is>
          <t>Chelsey Stephenson</t>
        </is>
      </c>
      <c r="J2823" s="557" t="n"/>
      <c r="S2823" s="1" t="n"/>
    </row>
    <row r="2824" ht="18" customHeight="1" s="305">
      <c r="A2824" s="8" t="n">
        <v>2701</v>
      </c>
      <c r="B2824" s="5" t="n">
        <v>100</v>
      </c>
      <c r="C2824" s="72" t="inlineStr">
        <is>
          <t>X</t>
        </is>
      </c>
      <c r="D2824" s="5" t="n">
        <v>333</v>
      </c>
      <c r="E2824" s="73">
        <f>B2824*D2824/10000</f>
        <v/>
      </c>
      <c r="F2824" s="74">
        <f>B2824/30.48</f>
        <v/>
      </c>
      <c r="G2824" s="74">
        <f>D2824/30.48</f>
        <v/>
      </c>
      <c r="H2824" s="592" t="inlineStr">
        <is>
          <t>WTR</t>
        </is>
      </c>
      <c r="I2824" s="534" t="inlineStr">
        <is>
          <t>Brooke Michelsen</t>
        </is>
      </c>
      <c r="J2824" s="545" t="n"/>
      <c r="S2824" s="1" t="n"/>
    </row>
    <row r="2825" ht="18" customHeight="1" s="305">
      <c r="A2825" s="8" t="n">
        <v>3849</v>
      </c>
      <c r="B2825" s="5" t="n">
        <v>110</v>
      </c>
      <c r="C2825" s="72" t="inlineStr">
        <is>
          <t>X</t>
        </is>
      </c>
      <c r="D2825" s="5" t="n">
        <v>411</v>
      </c>
      <c r="E2825" s="73">
        <f>B2825*D2825/10000</f>
        <v/>
      </c>
      <c r="F2825" s="74">
        <f>B2825/30.48</f>
        <v/>
      </c>
      <c r="G2825" s="74">
        <f>D2825/30.48</f>
        <v/>
      </c>
      <c r="H2825" s="592" t="inlineStr">
        <is>
          <t>LR</t>
        </is>
      </c>
      <c r="I2825" s="570" t="inlineStr">
        <is>
          <t>Scott Parker</t>
        </is>
      </c>
      <c r="J2825" s="557" t="n"/>
    </row>
    <row r="2826" ht="18" customHeight="1" s="305">
      <c r="A2826" s="8" t="n">
        <v>3742</v>
      </c>
      <c r="B2826" s="5" t="n">
        <v>111</v>
      </c>
      <c r="C2826" s="72" t="inlineStr">
        <is>
          <t>X</t>
        </is>
      </c>
      <c r="D2826" s="5" t="n">
        <v>310</v>
      </c>
      <c r="E2826" s="73">
        <f>B2826*D2826/10000</f>
        <v/>
      </c>
      <c r="F2826" s="74">
        <f>B2826/30.48</f>
        <v/>
      </c>
      <c r="G2826" s="74">
        <f>D2826/30.48</f>
        <v/>
      </c>
      <c r="H2826" s="592" t="inlineStr">
        <is>
          <t>LR</t>
        </is>
      </c>
      <c r="I2826" s="570" t="inlineStr">
        <is>
          <t>Margaret Shugrue</t>
        </is>
      </c>
      <c r="J2826" s="557" t="n"/>
    </row>
    <row r="2827" ht="18" customHeight="1" s="305">
      <c r="A2827" s="8" t="inlineStr">
        <is>
          <t>D 220</t>
        </is>
      </c>
      <c r="B2827" s="5" t="n">
        <v>54</v>
      </c>
      <c r="C2827" s="72" t="inlineStr">
        <is>
          <t>X</t>
        </is>
      </c>
      <c r="D2827" s="5" t="n">
        <v>96</v>
      </c>
      <c r="E2827" s="73">
        <f>B2827*D2827/10000</f>
        <v/>
      </c>
      <c r="F2827" s="74">
        <f>B2827/30.48</f>
        <v/>
      </c>
      <c r="G2827" s="74">
        <f>D2827/30.48</f>
        <v/>
      </c>
      <c r="H2827" s="334" t="inlineStr">
        <is>
          <t>OLD</t>
        </is>
      </c>
      <c r="I2827" s="341" t="inlineStr">
        <is>
          <t>Maura Gallo</t>
        </is>
      </c>
      <c r="J2827" s="557" t="n"/>
    </row>
    <row r="2828" ht="18" customHeight="1" s="305">
      <c r="A2828" s="8" t="inlineStr">
        <is>
          <t>E-5</t>
        </is>
      </c>
      <c r="B2828" s="5" t="n"/>
      <c r="C2828" s="72" t="inlineStr">
        <is>
          <t>X</t>
        </is>
      </c>
      <c r="D2828" s="5" t="n"/>
      <c r="E2828" s="73">
        <f>B2828*D2828/10000</f>
        <v/>
      </c>
      <c r="F2828" s="74">
        <f>B2828/30.48</f>
        <v/>
      </c>
      <c r="G2828" s="74">
        <f>D2828/30.48</f>
        <v/>
      </c>
      <c r="H2828" s="37" t="inlineStr">
        <is>
          <t>BHR</t>
        </is>
      </c>
      <c r="I2828" s="341" t="inlineStr">
        <is>
          <t>Sally Creasy</t>
        </is>
      </c>
      <c r="J2828" s="557" t="n"/>
      <c r="S2828" s="1" t="n"/>
    </row>
    <row r="2829" ht="18" customHeight="1" s="305">
      <c r="A2829" s="8" t="n">
        <v>3832</v>
      </c>
      <c r="B2829" s="5" t="n">
        <v>92</v>
      </c>
      <c r="C2829" s="72" t="inlineStr">
        <is>
          <t>X</t>
        </is>
      </c>
      <c r="D2829" s="5" t="n">
        <v>279</v>
      </c>
      <c r="E2829" s="73">
        <f>B2829*D2829/10000</f>
        <v/>
      </c>
      <c r="F2829" s="74">
        <f>B2829/30.48</f>
        <v/>
      </c>
      <c r="G2829" s="74">
        <f>D2829/30.48</f>
        <v/>
      </c>
      <c r="H2829" s="37" t="inlineStr">
        <is>
          <t>WLR</t>
        </is>
      </c>
      <c r="I2829" s="341" t="inlineStr">
        <is>
          <t>allan levitt</t>
        </is>
      </c>
      <c r="J2829" s="557" t="n"/>
      <c r="S2829" s="1" t="n"/>
    </row>
    <row r="2830" ht="18" customHeight="1" s="305">
      <c r="A2830" s="28" t="inlineStr">
        <is>
          <t>D 644</t>
        </is>
      </c>
      <c r="B2830" s="29" t="n">
        <v>47</v>
      </c>
      <c r="C2830" s="236" t="inlineStr">
        <is>
          <t>X</t>
        </is>
      </c>
      <c r="D2830" s="29" t="n">
        <v>106</v>
      </c>
      <c r="E2830" s="237">
        <f>B2830*D2830/10000</f>
        <v/>
      </c>
      <c r="F2830" s="238">
        <f>B2830/30.48</f>
        <v/>
      </c>
      <c r="G2830" s="238">
        <f>D2830/30.48</f>
        <v/>
      </c>
      <c r="H2830" s="37" t="inlineStr">
        <is>
          <t>WLR</t>
        </is>
      </c>
      <c r="I2830" s="341" t="inlineStr">
        <is>
          <t>Courtney Erickson Walker</t>
        </is>
      </c>
      <c r="J2830" s="557" t="n"/>
    </row>
    <row r="2831" ht="18" customHeight="1" s="305">
      <c r="A2831" s="28" t="inlineStr">
        <is>
          <t>D 577</t>
        </is>
      </c>
      <c r="B2831" s="29" t="n">
        <v>48</v>
      </c>
      <c r="C2831" s="236" t="inlineStr">
        <is>
          <t>X</t>
        </is>
      </c>
      <c r="D2831" s="29" t="n">
        <v>78</v>
      </c>
      <c r="E2831" s="237">
        <f>B2831*D2831/10000</f>
        <v/>
      </c>
      <c r="F2831" s="238">
        <f>B2831/30.48</f>
        <v/>
      </c>
      <c r="G2831" s="238">
        <f>D2831/30.48</f>
        <v/>
      </c>
      <c r="H2831" s="37" t="inlineStr">
        <is>
          <t>WLR</t>
        </is>
      </c>
      <c r="I2831" s="341" t="inlineStr">
        <is>
          <t>Madeleine Fennell</t>
        </is>
      </c>
      <c r="J2831" s="557" t="n"/>
    </row>
    <row r="2832" ht="18" customHeight="1" s="305">
      <c r="A2832" s="8" t="n">
        <v>4106</v>
      </c>
      <c r="B2832" s="5" t="n">
        <v>70</v>
      </c>
      <c r="C2832" s="72" t="inlineStr">
        <is>
          <t>X</t>
        </is>
      </c>
      <c r="D2832" s="5" t="n">
        <v>160</v>
      </c>
      <c r="E2832" s="73">
        <f>B2832*D2832/10000</f>
        <v/>
      </c>
      <c r="F2832" s="74">
        <f>B2832/30.48</f>
        <v/>
      </c>
      <c r="G2832" s="74">
        <f>D2832/30.48</f>
        <v/>
      </c>
      <c r="H2832" s="37" t="inlineStr">
        <is>
          <t>WTR</t>
        </is>
      </c>
      <c r="I2832" s="341" t="inlineStr">
        <is>
          <t>Lisa Beebe</t>
        </is>
      </c>
      <c r="J2832" s="557" t="n"/>
      <c r="S2832" s="1" t="n"/>
    </row>
    <row r="2833" ht="18" customHeight="1" s="305">
      <c r="A2833" s="8" t="n">
        <v>3392</v>
      </c>
      <c r="B2833" s="5" t="n">
        <v>78</v>
      </c>
      <c r="C2833" s="72" t="inlineStr">
        <is>
          <t>X</t>
        </is>
      </c>
      <c r="D2833" s="5" t="n">
        <v>366</v>
      </c>
      <c r="E2833" s="73">
        <f>B2833*D2833/10000</f>
        <v/>
      </c>
      <c r="F2833" s="74">
        <f>B2833/30.48</f>
        <v/>
      </c>
      <c r="G2833" s="74">
        <f>D2833/30.48</f>
        <v/>
      </c>
      <c r="H2833" s="37" t="inlineStr">
        <is>
          <t>WTR</t>
        </is>
      </c>
      <c r="I2833" s="341" t="inlineStr">
        <is>
          <t>Heather Gautreaux</t>
        </is>
      </c>
      <c r="J2833" s="557" t="n"/>
    </row>
    <row r="2834" ht="18" customHeight="1" s="305">
      <c r="A2834" s="8" t="inlineStr">
        <is>
          <t>İ-46</t>
        </is>
      </c>
      <c r="B2834" s="5" t="n">
        <v>281</v>
      </c>
      <c r="C2834" s="72" t="inlineStr">
        <is>
          <t>X</t>
        </is>
      </c>
      <c r="D2834" s="5" t="n">
        <v>357</v>
      </c>
      <c r="E2834" s="73">
        <f>B2834*D2834/10000</f>
        <v/>
      </c>
      <c r="F2834" s="74">
        <f>B2834/30.48</f>
        <v/>
      </c>
      <c r="G2834" s="74">
        <f>D2834/30.48</f>
        <v/>
      </c>
      <c r="H2834" s="37" t="inlineStr">
        <is>
          <t>WTR</t>
        </is>
      </c>
      <c r="I2834" s="341" t="inlineStr">
        <is>
          <t>SHAWNA WHITTY</t>
        </is>
      </c>
      <c r="J2834" s="557" t="n"/>
      <c r="S2834" s="1" t="n"/>
    </row>
    <row r="2835" ht="18" customHeight="1" s="305">
      <c r="A2835" s="8" t="inlineStr">
        <is>
          <t>D 315</t>
        </is>
      </c>
      <c r="B2835" s="5" t="n">
        <v>48</v>
      </c>
      <c r="C2835" s="72" t="inlineStr">
        <is>
          <t>X</t>
        </is>
      </c>
      <c r="D2835" s="5" t="n">
        <v>100</v>
      </c>
      <c r="E2835" s="73">
        <f>B2835*D2835/10000</f>
        <v/>
      </c>
      <c r="F2835" s="74">
        <f>B2835/30.48</f>
        <v/>
      </c>
      <c r="G2835" s="74">
        <f>D2835/30.48</f>
        <v/>
      </c>
      <c r="H2835" s="614" t="inlineStr">
        <is>
          <t>WTR</t>
        </is>
      </c>
      <c r="I2835" s="341" t="inlineStr">
        <is>
          <t>Maria Veklich</t>
        </is>
      </c>
      <c r="J2835" s="557" t="n"/>
    </row>
    <row r="2836" ht="18" customHeight="1" s="305">
      <c r="A2836" s="8" t="n">
        <v>3971</v>
      </c>
      <c r="B2836" s="5" t="n">
        <v>259</v>
      </c>
      <c r="C2836" s="72" t="inlineStr">
        <is>
          <t>X</t>
        </is>
      </c>
      <c r="D2836" s="5" t="n">
        <v>348</v>
      </c>
      <c r="E2836" s="73">
        <f>B2836*D2836/10000</f>
        <v/>
      </c>
      <c r="F2836" s="74">
        <f>B2836/30.48</f>
        <v/>
      </c>
      <c r="G2836" s="74">
        <f>D2836/30.48</f>
        <v/>
      </c>
      <c r="H2836" s="694" t="n"/>
      <c r="I2836" s="698" t="n"/>
      <c r="J2836" s="557" t="n"/>
      <c r="S2836" s="1" t="n"/>
    </row>
    <row r="2837" ht="18" customHeight="1" s="305">
      <c r="A2837" s="8" t="n">
        <v>2546</v>
      </c>
      <c r="B2837" s="5" t="n">
        <v>118</v>
      </c>
      <c r="C2837" s="72" t="inlineStr">
        <is>
          <t>X</t>
        </is>
      </c>
      <c r="D2837" s="5" t="n">
        <v>197</v>
      </c>
      <c r="E2837" s="73">
        <f>B2837*D2837/10000</f>
        <v/>
      </c>
      <c r="F2837" s="74">
        <f>B2837/30.48</f>
        <v/>
      </c>
      <c r="G2837" s="74">
        <f>D2837/30.48</f>
        <v/>
      </c>
      <c r="H2837" s="37" t="inlineStr">
        <is>
          <t>LLC</t>
        </is>
      </c>
      <c r="I2837" s="341" t="inlineStr">
        <is>
          <t>Margaret Runnels</t>
        </is>
      </c>
      <c r="J2837" s="557" t="n"/>
    </row>
    <row r="2838" ht="18" customHeight="1" s="305">
      <c r="A2838" s="8" t="n">
        <v>4380</v>
      </c>
      <c r="B2838" s="5" t="n">
        <v>66</v>
      </c>
      <c r="C2838" s="72" t="inlineStr">
        <is>
          <t>X</t>
        </is>
      </c>
      <c r="D2838" s="5" t="n">
        <v>198</v>
      </c>
      <c r="E2838" s="73">
        <f>B2838*D2838/10000</f>
        <v/>
      </c>
      <c r="F2838" s="74">
        <f>B2838/30.48</f>
        <v/>
      </c>
      <c r="G2838" s="74">
        <f>D2838/30.48</f>
        <v/>
      </c>
      <c r="H2838" s="359" t="inlineStr">
        <is>
          <t>MCHD-TR</t>
        </is>
      </c>
      <c r="I2838" s="322" t="n"/>
      <c r="J2838" s="557" t="n"/>
      <c r="S2838" s="1" t="n"/>
    </row>
    <row r="2839" ht="18" customHeight="1" s="305">
      <c r="A2839" s="28" t="inlineStr">
        <is>
          <t>D 793</t>
        </is>
      </c>
      <c r="B2839" s="29" t="n">
        <v>54</v>
      </c>
      <c r="C2839" s="236" t="inlineStr">
        <is>
          <t>X</t>
        </is>
      </c>
      <c r="D2839" s="29" t="n">
        <v>113</v>
      </c>
      <c r="E2839" s="237">
        <f>B2839*D2839/10000</f>
        <v/>
      </c>
      <c r="F2839" s="238">
        <f>B2839/30.48</f>
        <v/>
      </c>
      <c r="G2839" s="238">
        <f>D2839/30.48</f>
        <v/>
      </c>
      <c r="H2839" s="360" t="inlineStr">
        <is>
          <t>FRD-NR</t>
        </is>
      </c>
      <c r="I2839" s="616" t="inlineStr">
        <is>
          <t>Avery Young</t>
        </is>
      </c>
      <c r="J2839" s="545" t="n"/>
    </row>
    <row r="2840" ht="18" customHeight="1" s="305">
      <c r="A2840" s="8" t="n">
        <v>2974</v>
      </c>
      <c r="B2840" s="5" t="n">
        <v>86</v>
      </c>
      <c r="C2840" s="72" t="inlineStr">
        <is>
          <t>X</t>
        </is>
      </c>
      <c r="D2840" s="5" t="n">
        <v>336</v>
      </c>
      <c r="E2840" s="73">
        <f>B2840*D2840/10000</f>
        <v/>
      </c>
      <c r="F2840" s="74">
        <f>B2840/30.48</f>
        <v/>
      </c>
      <c r="G2840" s="74">
        <f>D2840/30.48</f>
        <v/>
      </c>
      <c r="H2840" s="592" t="inlineStr">
        <is>
          <t>LMX</t>
        </is>
      </c>
      <c r="I2840" s="570" t="inlineStr">
        <is>
          <t>Stefanie Mecham</t>
        </is>
      </c>
      <c r="J2840" s="557" t="n"/>
    </row>
    <row r="2841" ht="18" customHeight="1" s="305">
      <c r="A2841" s="8" t="n">
        <v>2999</v>
      </c>
      <c r="B2841" s="5" t="n">
        <v>79</v>
      </c>
      <c r="C2841" s="72" t="inlineStr">
        <is>
          <t>X</t>
        </is>
      </c>
      <c r="D2841" s="5" t="n">
        <v>288</v>
      </c>
      <c r="E2841" s="73">
        <f>B2841*D2841/10000</f>
        <v/>
      </c>
      <c r="F2841" s="74">
        <f>B2841/30.48</f>
        <v/>
      </c>
      <c r="G2841" s="74">
        <f>D2841/30.48</f>
        <v/>
      </c>
      <c r="H2841" s="37" t="inlineStr">
        <is>
          <t>LLC</t>
        </is>
      </c>
      <c r="I2841" s="570" t="inlineStr">
        <is>
          <t>Ellen Grant</t>
        </is>
      </c>
      <c r="J2841" s="557" t="n"/>
    </row>
    <row r="2842" ht="18" customHeight="1" s="305">
      <c r="A2842" s="28" t="inlineStr">
        <is>
          <t>D 879</t>
        </is>
      </c>
      <c r="B2842" s="29" t="n">
        <v>51</v>
      </c>
      <c r="C2842" s="236" t="inlineStr">
        <is>
          <t>X</t>
        </is>
      </c>
      <c r="D2842" s="29" t="n">
        <v>86</v>
      </c>
      <c r="E2842" s="237">
        <f>B2842*D2842/10000</f>
        <v/>
      </c>
      <c r="F2842" s="238">
        <f>B2842/30.48</f>
        <v/>
      </c>
      <c r="G2842" s="238">
        <f>D2842/30.48</f>
        <v/>
      </c>
      <c r="H2842" s="290" t="inlineStr">
        <is>
          <t>WCR</t>
        </is>
      </c>
      <c r="I2842" s="534" t="inlineStr">
        <is>
          <t>Erica Davis</t>
        </is>
      </c>
      <c r="J2842" s="545" t="n"/>
    </row>
    <row r="2843" ht="18" customHeight="1" s="305">
      <c r="A2843" s="28" t="inlineStr">
        <is>
          <t>D 652</t>
        </is>
      </c>
      <c r="B2843" s="29" t="n">
        <v>47</v>
      </c>
      <c r="C2843" s="236" t="inlineStr">
        <is>
          <t>X</t>
        </is>
      </c>
      <c r="D2843" s="29" t="n">
        <v>95</v>
      </c>
      <c r="E2843" s="237">
        <f>B2843*D2843/10000</f>
        <v/>
      </c>
      <c r="F2843" s="238">
        <f>B2843/30.48</f>
        <v/>
      </c>
      <c r="G2843" s="238">
        <f>D2843/30.48</f>
        <v/>
      </c>
      <c r="H2843" s="37" t="inlineStr">
        <is>
          <t>WLR</t>
        </is>
      </c>
      <c r="I2843" s="570" t="inlineStr">
        <is>
          <t>Melissa A. Shaw</t>
        </is>
      </c>
      <c r="J2843" s="557" t="n"/>
    </row>
    <row r="2844" ht="18" customHeight="1" s="305">
      <c r="A2844" s="8" t="n">
        <v>3012</v>
      </c>
      <c r="B2844" s="5" t="n">
        <v>83</v>
      </c>
      <c r="C2844" s="72" t="inlineStr">
        <is>
          <t>X</t>
        </is>
      </c>
      <c r="D2844" s="5" t="n">
        <v>283</v>
      </c>
      <c r="E2844" s="73">
        <f>B2844*D2844/10000</f>
        <v/>
      </c>
      <c r="F2844" s="74">
        <f>B2844/30.48</f>
        <v/>
      </c>
      <c r="G2844" s="74">
        <f>D2844/30.48</f>
        <v/>
      </c>
      <c r="H2844" s="592" t="inlineStr">
        <is>
          <t>PAC</t>
        </is>
      </c>
      <c r="I2844" s="534" t="inlineStr">
        <is>
          <t>Kempt YLE</t>
        </is>
      </c>
      <c r="J2844" s="545" t="n"/>
    </row>
    <row r="2845" ht="18" customHeight="1" s="305">
      <c r="A2845" s="8" t="n">
        <v>3820</v>
      </c>
      <c r="B2845" s="5" t="n">
        <v>149</v>
      </c>
      <c r="C2845" s="72" t="inlineStr">
        <is>
          <t>X</t>
        </is>
      </c>
      <c r="D2845" s="5" t="n">
        <v>172</v>
      </c>
      <c r="E2845" s="73">
        <f>B2845*D2845/10000</f>
        <v/>
      </c>
      <c r="F2845" s="74">
        <f>B2845/30.48</f>
        <v/>
      </c>
      <c r="G2845" s="74">
        <f>D2845/30.48</f>
        <v/>
      </c>
      <c r="H2845" s="592" t="inlineStr">
        <is>
          <t>LR</t>
        </is>
      </c>
      <c r="I2845" s="570" t="inlineStr">
        <is>
          <t>Karmen Elwazir</t>
        </is>
      </c>
      <c r="J2845" s="557" t="n"/>
    </row>
    <row r="2846" ht="18" customHeight="1" s="305">
      <c r="A2846" s="8" t="inlineStr">
        <is>
          <t>D 20</t>
        </is>
      </c>
      <c r="B2846" s="5" t="n">
        <v>52</v>
      </c>
      <c r="C2846" s="72" t="inlineStr">
        <is>
          <t>X</t>
        </is>
      </c>
      <c r="D2846" s="5" t="n">
        <v>100</v>
      </c>
      <c r="E2846" s="73">
        <f>B2846*D2846/10000</f>
        <v/>
      </c>
      <c r="F2846" s="74">
        <f>B2846/30.48</f>
        <v/>
      </c>
      <c r="G2846" s="74">
        <f>D2846/30.48</f>
        <v/>
      </c>
      <c r="H2846" s="37" t="inlineStr">
        <is>
          <t>WLR</t>
        </is>
      </c>
      <c r="I2846" s="570" t="inlineStr">
        <is>
          <t>James Hansen</t>
        </is>
      </c>
      <c r="J2846" s="557" t="n"/>
    </row>
    <row r="2847" ht="18" customHeight="1" s="305">
      <c r="A2847" s="8" t="inlineStr">
        <is>
          <t>İ-18</t>
        </is>
      </c>
      <c r="B2847" s="5" t="n">
        <v>286</v>
      </c>
      <c r="C2847" s="72" t="inlineStr">
        <is>
          <t>X</t>
        </is>
      </c>
      <c r="D2847" s="5" t="n">
        <v>368</v>
      </c>
      <c r="E2847" s="73">
        <f>B2847*D2847/10000</f>
        <v/>
      </c>
      <c r="F2847" s="74">
        <f>B2847/30.48</f>
        <v/>
      </c>
      <c r="G2847" s="74">
        <f>D2847/30.48</f>
        <v/>
      </c>
      <c r="H2847" s="37" t="inlineStr">
        <is>
          <t>WTR</t>
        </is>
      </c>
      <c r="I2847" s="570" t="inlineStr">
        <is>
          <t>Katherine Van Liew</t>
        </is>
      </c>
      <c r="J2847" s="557" t="n"/>
      <c r="S2847" s="1" t="n"/>
    </row>
    <row r="2848" ht="18" customHeight="1" s="305">
      <c r="A2848" s="8" t="n">
        <v>3341</v>
      </c>
      <c r="B2848" s="5" t="n">
        <v>102</v>
      </c>
      <c r="C2848" s="72" t="inlineStr">
        <is>
          <t>X</t>
        </is>
      </c>
      <c r="D2848" s="5" t="n">
        <v>323</v>
      </c>
      <c r="E2848" s="73">
        <f>B2848*D2848/10000</f>
        <v/>
      </c>
      <c r="F2848" s="74">
        <f>B2848/30.48</f>
        <v/>
      </c>
      <c r="G2848" s="74">
        <f>D2848/30.48</f>
        <v/>
      </c>
      <c r="H2848" s="37" t="inlineStr">
        <is>
          <t>BHR</t>
        </is>
      </c>
      <c r="I2848" s="534" t="inlineStr">
        <is>
          <t>Abigail Bailey</t>
        </is>
      </c>
      <c r="J2848" s="545" t="n"/>
    </row>
    <row r="2849" ht="18" customHeight="1" s="305">
      <c r="A2849" s="8" t="inlineStr">
        <is>
          <t>H 261</t>
        </is>
      </c>
      <c r="B2849" s="5" t="n">
        <v>82</v>
      </c>
      <c r="C2849" s="72" t="inlineStr">
        <is>
          <t>X</t>
        </is>
      </c>
      <c r="D2849" s="5" t="n">
        <v>310</v>
      </c>
      <c r="E2849" s="73">
        <f>B2849*D2849/10000</f>
        <v/>
      </c>
      <c r="F2849" s="74">
        <f>B2849/30.48</f>
        <v/>
      </c>
      <c r="G2849" s="74">
        <f>D2849/30.48</f>
        <v/>
      </c>
      <c r="H2849" s="37" t="inlineStr">
        <is>
          <t>WTR</t>
        </is>
      </c>
      <c r="I2849" s="570" t="inlineStr">
        <is>
          <t>Caroline Shirley</t>
        </is>
      </c>
      <c r="J2849" s="557" t="n"/>
      <c r="S2849" s="1" t="n"/>
    </row>
    <row r="2850" ht="18" customHeight="1" s="305">
      <c r="A2850" s="8" t="n">
        <v>3082</v>
      </c>
      <c r="B2850" s="5" t="n">
        <v>91</v>
      </c>
      <c r="C2850" s="72" t="inlineStr">
        <is>
          <t>X</t>
        </is>
      </c>
      <c r="D2850" s="5" t="n">
        <v>153</v>
      </c>
      <c r="E2850" s="73">
        <f>B2850*D2850/10000</f>
        <v/>
      </c>
      <c r="F2850" s="74">
        <f>B2850/30.48</f>
        <v/>
      </c>
      <c r="G2850" s="74">
        <f>D2850/30.48</f>
        <v/>
      </c>
      <c r="H2850" s="37" t="inlineStr">
        <is>
          <t>WTR</t>
        </is>
      </c>
      <c r="I2850" s="570" t="inlineStr">
        <is>
          <t>Nicole Bouchey</t>
        </is>
      </c>
      <c r="J2850" s="557" t="n"/>
    </row>
    <row r="2851" ht="18" customHeight="1" s="305">
      <c r="A2851" s="8" t="inlineStr">
        <is>
          <t>H 10</t>
        </is>
      </c>
      <c r="B2851" s="5" t="n">
        <v>83</v>
      </c>
      <c r="C2851" s="72" t="inlineStr">
        <is>
          <t>X</t>
        </is>
      </c>
      <c r="D2851" s="5" t="n">
        <v>393</v>
      </c>
      <c r="E2851" s="73">
        <f>B2851*D2851/10000</f>
        <v/>
      </c>
      <c r="F2851" s="74">
        <f>B2851/30.48</f>
        <v/>
      </c>
      <c r="G2851" s="74">
        <f>D2851/30.48</f>
        <v/>
      </c>
      <c r="H2851" s="37" t="inlineStr">
        <is>
          <t>WTR</t>
        </is>
      </c>
      <c r="I2851" s="534" t="inlineStr">
        <is>
          <t>sharon hughes</t>
        </is>
      </c>
      <c r="J2851" s="545" t="n"/>
      <c r="S2851" s="1" t="n"/>
    </row>
    <row r="2852" ht="18" customHeight="1" s="305">
      <c r="A2852" s="8" t="n">
        <v>3579</v>
      </c>
      <c r="B2852" s="5" t="n">
        <v>130</v>
      </c>
      <c r="C2852" s="72" t="inlineStr">
        <is>
          <t>X</t>
        </is>
      </c>
      <c r="D2852" s="5" t="n">
        <v>190</v>
      </c>
      <c r="E2852" s="73">
        <f>B2852*D2852/10000</f>
        <v/>
      </c>
      <c r="F2852" s="74">
        <f>B2852/30.48</f>
        <v/>
      </c>
      <c r="G2852" s="74">
        <f>D2852/30.48</f>
        <v/>
      </c>
      <c r="H2852" s="592" t="inlineStr">
        <is>
          <t>LMX</t>
        </is>
      </c>
      <c r="I2852" s="570" t="inlineStr">
        <is>
          <t>Dorothy Shiver</t>
        </is>
      </c>
      <c r="J2852" s="557" t="n"/>
    </row>
    <row r="2853" ht="18" customHeight="1" s="305">
      <c r="A2853" s="8" t="n">
        <v>2906</v>
      </c>
      <c r="B2853" s="5" t="n">
        <v>78</v>
      </c>
      <c r="C2853" s="72" t="inlineStr">
        <is>
          <t>X</t>
        </is>
      </c>
      <c r="D2853" s="5" t="n">
        <v>282</v>
      </c>
      <c r="E2853" s="73">
        <f>B2853*D2853/10000</f>
        <v/>
      </c>
      <c r="F2853" s="74">
        <f>B2853/30.48</f>
        <v/>
      </c>
      <c r="G2853" s="74">
        <f>D2853/30.48</f>
        <v/>
      </c>
      <c r="H2853" s="37" t="inlineStr">
        <is>
          <t>LLC</t>
        </is>
      </c>
      <c r="I2853" s="570" t="inlineStr">
        <is>
          <t>Kylee Leiendecker</t>
        </is>
      </c>
      <c r="J2853" s="557" t="n"/>
      <c r="S2853" s="1" t="n"/>
    </row>
    <row r="2854" ht="18" customHeight="1" s="305">
      <c r="A2854" s="8" t="n">
        <v>3730</v>
      </c>
      <c r="B2854" s="5" t="n">
        <v>106</v>
      </c>
      <c r="C2854" s="72" t="inlineStr">
        <is>
          <t>X</t>
        </is>
      </c>
      <c r="D2854" s="5" t="n">
        <v>153</v>
      </c>
      <c r="E2854" s="73">
        <f>B2854*D2854/10000</f>
        <v/>
      </c>
      <c r="F2854" s="74">
        <f>B2854/30.48</f>
        <v/>
      </c>
      <c r="G2854" s="74">
        <f>D2854/30.48</f>
        <v/>
      </c>
      <c r="H2854" s="37" t="inlineStr">
        <is>
          <t>LLC</t>
        </is>
      </c>
      <c r="I2854" s="570" t="inlineStr">
        <is>
          <t>Allen Albergotti</t>
        </is>
      </c>
      <c r="J2854" s="557" t="n"/>
      <c r="S2854" s="1" t="n"/>
    </row>
    <row r="2855" ht="18" customHeight="1" s="305">
      <c r="A2855" s="8" t="n">
        <v>3468</v>
      </c>
      <c r="B2855" s="5" t="n">
        <v>80</v>
      </c>
      <c r="C2855" s="72" t="inlineStr">
        <is>
          <t>X</t>
        </is>
      </c>
      <c r="D2855" s="5" t="n">
        <v>291</v>
      </c>
      <c r="E2855" s="73">
        <f>B2855*D2855/10000</f>
        <v/>
      </c>
      <c r="F2855" s="74">
        <f>B2855/30.48</f>
        <v/>
      </c>
      <c r="G2855" s="74">
        <f>D2855/30.48</f>
        <v/>
      </c>
      <c r="H2855" s="37" t="inlineStr">
        <is>
          <t>LLC</t>
        </is>
      </c>
      <c r="I2855" s="570" t="inlineStr">
        <is>
          <t>Sarah McCarron</t>
        </is>
      </c>
      <c r="J2855" s="557" t="n"/>
      <c r="S2855" s="1" t="n"/>
    </row>
    <row r="2856" ht="18" customHeight="1" s="305">
      <c r="A2856" s="8" t="inlineStr">
        <is>
          <t>İ-51</t>
        </is>
      </c>
      <c r="B2856" s="5" t="n">
        <v>276</v>
      </c>
      <c r="C2856" s="72" t="inlineStr">
        <is>
          <t>X</t>
        </is>
      </c>
      <c r="D2856" s="5" t="n">
        <v>388</v>
      </c>
      <c r="E2856" s="73">
        <f>B2856*D2856/10000</f>
        <v/>
      </c>
      <c r="F2856" s="74">
        <f>B2856/30.48</f>
        <v/>
      </c>
      <c r="G2856" s="74">
        <f>D2856/30.48</f>
        <v/>
      </c>
      <c r="H2856" s="37" t="inlineStr">
        <is>
          <t>WTR</t>
        </is>
      </c>
      <c r="I2856" s="570" t="inlineStr">
        <is>
          <t>Erin Hill-Derkowski</t>
        </is>
      </c>
      <c r="J2856" s="557" t="n"/>
      <c r="S2856" s="1" t="n"/>
    </row>
    <row r="2857" ht="18" customHeight="1" s="305">
      <c r="A2857" s="8" t="n">
        <v>2377</v>
      </c>
      <c r="B2857" s="5" t="n">
        <v>84</v>
      </c>
      <c r="C2857" s="72" t="inlineStr">
        <is>
          <t>X</t>
        </is>
      </c>
      <c r="D2857" s="5" t="n">
        <v>308</v>
      </c>
      <c r="E2857" s="73">
        <f>B2857*D2857/10000</f>
        <v/>
      </c>
      <c r="F2857" s="74">
        <f>B2857/30.48</f>
        <v/>
      </c>
      <c r="G2857" s="74">
        <f>D2857/30.48</f>
        <v/>
      </c>
      <c r="H2857" s="37" t="inlineStr">
        <is>
          <t>WTR</t>
        </is>
      </c>
      <c r="I2857" s="570" t="inlineStr">
        <is>
          <t>Gillian Robinson</t>
        </is>
      </c>
      <c r="J2857" s="557" t="n"/>
      <c r="S2857" s="1" t="n"/>
    </row>
    <row r="2858" ht="18" customHeight="1" s="305">
      <c r="A2858" s="8" t="n">
        <v>3351</v>
      </c>
      <c r="B2858" s="5" t="n">
        <v>110</v>
      </c>
      <c r="C2858" s="72" t="inlineStr">
        <is>
          <t>X</t>
        </is>
      </c>
      <c r="D2858" s="5" t="n">
        <v>182</v>
      </c>
      <c r="E2858" s="73">
        <f>B2858*D2858/10000</f>
        <v/>
      </c>
      <c r="F2858" s="74">
        <f>B2858/30.48</f>
        <v/>
      </c>
      <c r="G2858" s="74">
        <f>D2858/30.48</f>
        <v/>
      </c>
      <c r="H2858" s="37" t="inlineStr">
        <is>
          <t>WTR</t>
        </is>
      </c>
      <c r="I2858" s="570" t="inlineStr">
        <is>
          <t>Sara Haley</t>
        </is>
      </c>
      <c r="J2858" s="557" t="n"/>
      <c r="S2858" s="1" t="n"/>
    </row>
    <row r="2859" ht="18" customHeight="1" s="305">
      <c r="A2859" s="8" t="inlineStr">
        <is>
          <t>İ-64</t>
        </is>
      </c>
      <c r="B2859" s="5" t="n">
        <v>290</v>
      </c>
      <c r="C2859" s="72" t="inlineStr">
        <is>
          <t>X</t>
        </is>
      </c>
      <c r="D2859" s="5" t="n">
        <v>386</v>
      </c>
      <c r="E2859" s="73">
        <f>B2859*D2859/10000</f>
        <v/>
      </c>
      <c r="F2859" s="74">
        <f>B2859/30.48</f>
        <v/>
      </c>
      <c r="G2859" s="74">
        <f>D2859/30.48</f>
        <v/>
      </c>
      <c r="H2859" s="37" t="inlineStr">
        <is>
          <t>WTR</t>
        </is>
      </c>
      <c r="I2859" s="534" t="inlineStr">
        <is>
          <t>Katie Cohen</t>
        </is>
      </c>
      <c r="J2859" s="545" t="n"/>
      <c r="S2859" s="1" t="n"/>
    </row>
    <row r="2860" ht="18" customHeight="1" s="305">
      <c r="A2860" s="8" t="n">
        <v>2879</v>
      </c>
      <c r="B2860" s="5" t="n">
        <v>213</v>
      </c>
      <c r="C2860" s="72" t="inlineStr">
        <is>
          <t>X</t>
        </is>
      </c>
      <c r="D2860" s="5" t="n">
        <v>277</v>
      </c>
      <c r="E2860" s="73">
        <f>B2860*D2860/10000</f>
        <v/>
      </c>
      <c r="F2860" s="74">
        <f>B2860/30.48</f>
        <v/>
      </c>
      <c r="G2860" s="74">
        <f>D2860/30.48</f>
        <v/>
      </c>
      <c r="H2860" s="553" t="inlineStr">
        <is>
          <t>WTR</t>
        </is>
      </c>
      <c r="I2860" s="534" t="inlineStr">
        <is>
          <t>Kate Krenkel</t>
        </is>
      </c>
      <c r="J2860" s="545" t="n"/>
    </row>
    <row r="2861" ht="18" customHeight="1" s="305">
      <c r="A2861" s="28" t="inlineStr">
        <is>
          <t>D 489</t>
        </is>
      </c>
      <c r="B2861" s="29" t="n">
        <v>45</v>
      </c>
      <c r="C2861" s="236" t="inlineStr">
        <is>
          <t>X</t>
        </is>
      </c>
      <c r="D2861" s="29" t="n">
        <v>111</v>
      </c>
      <c r="E2861" s="237">
        <f>B2861*D2861/10000</f>
        <v/>
      </c>
      <c r="F2861" s="238">
        <f>B2861/30.48</f>
        <v/>
      </c>
      <c r="G2861" s="238">
        <f>D2861/30.48</f>
        <v/>
      </c>
      <c r="H2861" s="37" t="inlineStr">
        <is>
          <t>WLR</t>
        </is>
      </c>
      <c r="I2861" s="570" t="inlineStr">
        <is>
          <t>KATRINA BARNES</t>
        </is>
      </c>
      <c r="J2861" s="557" t="n"/>
    </row>
    <row r="2862" ht="18" customHeight="1" s="305">
      <c r="A2862" s="8" t="n">
        <v>1434</v>
      </c>
      <c r="B2862" s="5" t="n">
        <v>86</v>
      </c>
      <c r="C2862" s="72" t="inlineStr">
        <is>
          <t>X</t>
        </is>
      </c>
      <c r="D2862" s="5" t="n">
        <v>320</v>
      </c>
      <c r="E2862" s="73">
        <f>B2862*D2862/10000</f>
        <v/>
      </c>
      <c r="F2862" s="74">
        <f>B2862/30.48</f>
        <v/>
      </c>
      <c r="G2862" s="74">
        <f>D2862/30.48</f>
        <v/>
      </c>
      <c r="H2862" s="357" t="inlineStr">
        <is>
          <t>RST</t>
        </is>
      </c>
      <c r="I2862" s="570" t="inlineStr">
        <is>
          <t>The Mix Interiors/JRogers</t>
        </is>
      </c>
      <c r="J2862" s="557" t="n"/>
    </row>
    <row r="2863" ht="18" customHeight="1" s="305">
      <c r="A2863" s="8" t="inlineStr">
        <is>
          <t>Y 50</t>
        </is>
      </c>
      <c r="B2863" s="5" t="n">
        <v>206</v>
      </c>
      <c r="C2863" s="6" t="inlineStr">
        <is>
          <t>X</t>
        </is>
      </c>
      <c r="D2863" s="5" t="n">
        <v>108</v>
      </c>
      <c r="E2863" s="2">
        <f>B2863*D2863/10000</f>
        <v/>
      </c>
      <c r="F2863" s="3">
        <f>B2863/30.48</f>
        <v/>
      </c>
      <c r="G2863" s="3">
        <f>D2863/30.48</f>
        <v/>
      </c>
      <c r="H2863" s="37" t="inlineStr">
        <is>
          <t>PAC</t>
        </is>
      </c>
      <c r="I2863" s="616" t="inlineStr">
        <is>
          <t>victoria smith</t>
        </is>
      </c>
      <c r="J2863" s="545" t="n"/>
    </row>
    <row r="2864" ht="18" customHeight="1" s="305">
      <c r="A2864" s="8" t="inlineStr">
        <is>
          <t>H 268</t>
        </is>
      </c>
      <c r="B2864" s="5" t="n">
        <v>83</v>
      </c>
      <c r="C2864" s="72" t="inlineStr">
        <is>
          <t>X</t>
        </is>
      </c>
      <c r="D2864" s="5" t="n">
        <v>318</v>
      </c>
      <c r="E2864" s="73">
        <f>B2864*D2864/10000</f>
        <v/>
      </c>
      <c r="F2864" s="74">
        <f>B2864/30.48</f>
        <v/>
      </c>
      <c r="G2864" s="74">
        <f>D2864/30.48</f>
        <v/>
      </c>
      <c r="H2864" s="553" t="inlineStr">
        <is>
          <t>WTR</t>
        </is>
      </c>
      <c r="I2864" s="570" t="inlineStr">
        <is>
          <t>Suna Lock</t>
        </is>
      </c>
      <c r="J2864" s="557" t="n"/>
    </row>
    <row r="2865" ht="18" customHeight="1" s="305">
      <c r="A2865" s="8" t="inlineStr">
        <is>
          <t>İ-27</t>
        </is>
      </c>
      <c r="B2865" s="5" t="n">
        <v>288</v>
      </c>
      <c r="C2865" s="72" t="inlineStr">
        <is>
          <t>X</t>
        </is>
      </c>
      <c r="D2865" s="5" t="n">
        <v>387</v>
      </c>
      <c r="E2865" s="73">
        <f>B2865*D2865/10000</f>
        <v/>
      </c>
      <c r="F2865" s="74">
        <f>B2865/30.48</f>
        <v/>
      </c>
      <c r="G2865" s="74">
        <f>D2865/30.48</f>
        <v/>
      </c>
      <c r="H2865" s="592" t="inlineStr">
        <is>
          <t>LMX</t>
        </is>
      </c>
      <c r="I2865" s="570" t="inlineStr">
        <is>
          <t>Rachel thompson</t>
        </is>
      </c>
      <c r="J2865" s="557" t="n"/>
      <c r="S2865" s="1" t="n"/>
    </row>
    <row r="2866" ht="18" customHeight="1" s="305">
      <c r="A2866" s="8" t="inlineStr">
        <is>
          <t>İ-17</t>
        </is>
      </c>
      <c r="B2866" s="5" t="n">
        <v>298</v>
      </c>
      <c r="C2866" s="72" t="inlineStr">
        <is>
          <t>X</t>
        </is>
      </c>
      <c r="D2866" s="5" t="n">
        <v>381</v>
      </c>
      <c r="E2866" s="73">
        <f>B2866*D2866/10000</f>
        <v/>
      </c>
      <c r="F2866" s="74">
        <f>B2866/30.48</f>
        <v/>
      </c>
      <c r="G2866" s="74">
        <f>D2866/30.48</f>
        <v/>
      </c>
      <c r="H2866" s="553" t="inlineStr">
        <is>
          <t>WTR</t>
        </is>
      </c>
      <c r="I2866" s="694" t="n"/>
      <c r="J2866" s="557" t="n"/>
      <c r="S2866" s="1" t="n"/>
    </row>
    <row r="2867" ht="18" customHeight="1" s="305">
      <c r="A2867" s="8" t="n">
        <v>3688</v>
      </c>
      <c r="B2867" s="5" t="n">
        <v>70</v>
      </c>
      <c r="C2867" s="72" t="inlineStr">
        <is>
          <t>X</t>
        </is>
      </c>
      <c r="D2867" s="5" t="n">
        <v>245</v>
      </c>
      <c r="E2867" s="73">
        <f>B2867*D2867/10000</f>
        <v/>
      </c>
      <c r="F2867" s="74">
        <f>B2867/30.48</f>
        <v/>
      </c>
      <c r="G2867" s="74">
        <f>D2867/30.48</f>
        <v/>
      </c>
      <c r="H2867" s="334" t="inlineStr">
        <is>
          <t>OLD</t>
        </is>
      </c>
      <c r="I2867" s="570" t="inlineStr">
        <is>
          <t>Patricia Cabreja</t>
        </is>
      </c>
      <c r="J2867" s="557" t="n"/>
      <c r="S2867" s="1" t="n"/>
    </row>
    <row r="2868" ht="18" customHeight="1" s="305">
      <c r="A2868" s="8" t="n">
        <v>1970</v>
      </c>
      <c r="B2868" s="5" t="n">
        <v>82</v>
      </c>
      <c r="C2868" s="72" t="inlineStr">
        <is>
          <t>X</t>
        </is>
      </c>
      <c r="D2868" s="5" t="n">
        <v>372</v>
      </c>
      <c r="E2868" s="73">
        <f>B2868*D2868/10000</f>
        <v/>
      </c>
      <c r="F2868" s="74">
        <f>B2868/30.48</f>
        <v/>
      </c>
      <c r="G2868" s="74">
        <f>D2868/30.48</f>
        <v/>
      </c>
      <c r="H2868" s="359" t="inlineStr">
        <is>
          <t>MCHD-TR</t>
        </is>
      </c>
      <c r="I2868" s="545" t="n"/>
      <c r="J2868" s="545" t="n"/>
    </row>
    <row r="2869" ht="18" customHeight="1" s="305">
      <c r="A2869" s="8" t="inlineStr">
        <is>
          <t>D 125</t>
        </is>
      </c>
      <c r="B2869" s="5" t="n">
        <v>53</v>
      </c>
      <c r="C2869" s="72" t="inlineStr">
        <is>
          <t>X</t>
        </is>
      </c>
      <c r="D2869" s="5" t="n">
        <v>104</v>
      </c>
      <c r="E2869" s="73">
        <f>B2869*D2869/10000</f>
        <v/>
      </c>
      <c r="F2869" s="74">
        <f>B2869/30.48</f>
        <v/>
      </c>
      <c r="G2869" s="74">
        <f>D2869/30.48</f>
        <v/>
      </c>
      <c r="H2869" s="37" t="inlineStr">
        <is>
          <t>BHR</t>
        </is>
      </c>
      <c r="I2869" s="570" t="inlineStr">
        <is>
          <t>MICHELE RIDDEL</t>
        </is>
      </c>
      <c r="J2869" s="557" t="inlineStr">
        <is>
          <t xml:space="preserve"> +1 734 347 8773</t>
        </is>
      </c>
    </row>
    <row r="2870" ht="18" customHeight="1" s="305">
      <c r="A2870" s="8" t="n">
        <v>1016</v>
      </c>
      <c r="B2870" s="5" t="n">
        <v>118</v>
      </c>
      <c r="C2870" s="72" t="inlineStr">
        <is>
          <t>X</t>
        </is>
      </c>
      <c r="D2870" s="5" t="n">
        <v>168</v>
      </c>
      <c r="E2870" s="73">
        <f>B2870*D2870/10000</f>
        <v/>
      </c>
      <c r="F2870" s="74">
        <f>B2870/30.48</f>
        <v/>
      </c>
      <c r="G2870" s="74">
        <f>D2870/30.48</f>
        <v/>
      </c>
      <c r="H2870" s="37" t="inlineStr">
        <is>
          <t>BHR</t>
        </is>
      </c>
      <c r="I2870" s="570" t="inlineStr">
        <is>
          <t>Mollie Piccirilli</t>
        </is>
      </c>
      <c r="J2870" s="557" t="n"/>
    </row>
    <row r="2871" ht="18" customHeight="1" s="305">
      <c r="A2871" s="8" t="n">
        <v>3848</v>
      </c>
      <c r="B2871" s="5" t="n">
        <v>112</v>
      </c>
      <c r="C2871" s="72" t="inlineStr">
        <is>
          <t>X</t>
        </is>
      </c>
      <c r="D2871" s="5" t="n">
        <v>198</v>
      </c>
      <c r="E2871" s="73">
        <f>B2871*D2871/10000</f>
        <v/>
      </c>
      <c r="F2871" s="74">
        <f>B2871/30.48</f>
        <v/>
      </c>
      <c r="G2871" s="74">
        <f>D2871/30.48</f>
        <v/>
      </c>
      <c r="H2871" s="37" t="inlineStr">
        <is>
          <t>LLC</t>
        </is>
      </c>
      <c r="I2871" s="534" t="inlineStr">
        <is>
          <t>Chelsea Surdi</t>
        </is>
      </c>
      <c r="J2871" s="545" t="n"/>
      <c r="S2871" s="1" t="n"/>
    </row>
    <row r="2872" ht="18" customHeight="1" s="305">
      <c r="A2872" s="8" t="n">
        <v>3801</v>
      </c>
      <c r="B2872" s="5" t="n">
        <v>88</v>
      </c>
      <c r="C2872" s="72" t="inlineStr">
        <is>
          <t>X</t>
        </is>
      </c>
      <c r="D2872" s="5" t="n">
        <v>277</v>
      </c>
      <c r="E2872" s="73">
        <f>B2872*D2872/10000</f>
        <v/>
      </c>
      <c r="F2872" s="74">
        <f>B2872/30.48</f>
        <v/>
      </c>
      <c r="G2872" s="74">
        <f>D2872/30.48</f>
        <v/>
      </c>
      <c r="H2872" s="592" t="inlineStr">
        <is>
          <t>LMX</t>
        </is>
      </c>
      <c r="I2872" s="570" t="inlineStr">
        <is>
          <t>Aubrey Johnson</t>
        </is>
      </c>
      <c r="J2872" s="557" t="n"/>
    </row>
    <row r="2873" ht="18" customHeight="1" s="305">
      <c r="A2873" s="8" t="inlineStr">
        <is>
          <t>D 77</t>
        </is>
      </c>
      <c r="B2873" s="5" t="n">
        <v>41</v>
      </c>
      <c r="C2873" s="72" t="inlineStr">
        <is>
          <t>X</t>
        </is>
      </c>
      <c r="D2873" s="5" t="n">
        <v>102</v>
      </c>
      <c r="E2873" s="73">
        <f>B2873*D2873/10000</f>
        <v/>
      </c>
      <c r="F2873" s="74">
        <f>B2873/30.48</f>
        <v/>
      </c>
      <c r="G2873" s="74">
        <f>D2873/30.48</f>
        <v/>
      </c>
      <c r="H2873" s="37" t="inlineStr">
        <is>
          <t>BHR</t>
        </is>
      </c>
      <c r="I2873" s="534" t="inlineStr">
        <is>
          <t>Annie Barnatt</t>
        </is>
      </c>
      <c r="J2873" s="545" t="inlineStr">
        <is>
          <t>+1 508 802 3944</t>
        </is>
      </c>
    </row>
    <row r="2874" ht="18" customHeight="1" s="305">
      <c r="A2874" s="8" t="n">
        <v>3738</v>
      </c>
      <c r="B2874" s="5" t="n">
        <v>98</v>
      </c>
      <c r="C2874" s="72" t="inlineStr">
        <is>
          <t>X</t>
        </is>
      </c>
      <c r="D2874" s="5" t="n">
        <v>353</v>
      </c>
      <c r="E2874" s="73">
        <f>B2874*D2874/10000</f>
        <v/>
      </c>
      <c r="F2874" s="74">
        <f>B2874/30.48</f>
        <v/>
      </c>
      <c r="G2874" s="74">
        <f>D2874/30.48</f>
        <v/>
      </c>
      <c r="H2874" s="592" t="inlineStr">
        <is>
          <t>LR</t>
        </is>
      </c>
      <c r="I2874" s="570" t="inlineStr">
        <is>
          <t>leigh Davis</t>
        </is>
      </c>
      <c r="J2874" s="557" t="n"/>
    </row>
    <row r="2875" ht="18" customHeight="1" s="305">
      <c r="A2875" s="8" t="n">
        <v>3681</v>
      </c>
      <c r="B2875" s="5" t="n">
        <v>78</v>
      </c>
      <c r="C2875" s="72" t="inlineStr">
        <is>
          <t>X</t>
        </is>
      </c>
      <c r="D2875" s="5" t="n">
        <v>464</v>
      </c>
      <c r="E2875" s="73">
        <f>B2875*D2875/10000</f>
        <v/>
      </c>
      <c r="F2875" s="74">
        <f>B2875/30.48</f>
        <v/>
      </c>
      <c r="G2875" s="74">
        <f>D2875/30.48</f>
        <v/>
      </c>
      <c r="H2875" s="592" t="inlineStr">
        <is>
          <t>LR</t>
        </is>
      </c>
      <c r="I2875" s="570" t="inlineStr">
        <is>
          <t>Katherine Brooks</t>
        </is>
      </c>
      <c r="J2875" s="557" t="n"/>
    </row>
    <row r="2876" ht="18" customHeight="1" s="305">
      <c r="A2876" s="8" t="n">
        <v>1665</v>
      </c>
      <c r="B2876" s="5" t="n">
        <v>198</v>
      </c>
      <c r="C2876" s="72" t="inlineStr">
        <is>
          <t>X</t>
        </is>
      </c>
      <c r="D2876" s="5" t="n">
        <v>112</v>
      </c>
      <c r="E2876" s="73">
        <f>B2876*D2876/10000</f>
        <v/>
      </c>
      <c r="F2876" s="74">
        <f>B2876/30.48</f>
        <v/>
      </c>
      <c r="G2876" s="74">
        <f>D2876/30.48</f>
        <v/>
      </c>
      <c r="H2876" s="357" t="inlineStr">
        <is>
          <t>RST</t>
        </is>
      </c>
      <c r="I2876" s="570" t="inlineStr">
        <is>
          <t>Hannah Presley</t>
        </is>
      </c>
      <c r="J2876" s="557" t="n"/>
    </row>
    <row r="2877" ht="18" customHeight="1" s="305">
      <c r="A2877" s="28" t="inlineStr">
        <is>
          <t>D 665</t>
        </is>
      </c>
      <c r="B2877" s="29" t="n">
        <v>48</v>
      </c>
      <c r="C2877" s="236" t="inlineStr">
        <is>
          <t>X</t>
        </is>
      </c>
      <c r="D2877" s="29" t="n">
        <v>76</v>
      </c>
      <c r="E2877" s="237">
        <f>B2877*D2877/10000</f>
        <v/>
      </c>
      <c r="F2877" s="238">
        <f>B2877/30.48</f>
        <v/>
      </c>
      <c r="G2877" s="238">
        <f>D2877/30.48</f>
        <v/>
      </c>
      <c r="H2877" s="357" t="inlineStr">
        <is>
          <t>RST</t>
        </is>
      </c>
      <c r="I2877" s="570" t="inlineStr">
        <is>
          <t>Sarah Peyton King</t>
        </is>
      </c>
      <c r="J2877" s="557" t="n"/>
    </row>
    <row r="2878" ht="18" customHeight="1" s="305">
      <c r="A2878" s="28" t="inlineStr">
        <is>
          <t>D 471</t>
        </is>
      </c>
      <c r="B2878" s="29" t="n">
        <v>41</v>
      </c>
      <c r="C2878" s="236" t="inlineStr">
        <is>
          <t>X</t>
        </is>
      </c>
      <c r="D2878" s="29" t="n">
        <v>89</v>
      </c>
      <c r="E2878" s="237">
        <f>B2878*D2878/10000</f>
        <v/>
      </c>
      <c r="F2878" s="238">
        <f>B2878/30.48</f>
        <v/>
      </c>
      <c r="G2878" s="238">
        <f>D2878/30.48</f>
        <v/>
      </c>
      <c r="H2878" s="37" t="inlineStr">
        <is>
          <t>BHR</t>
        </is>
      </c>
      <c r="I2878" s="570" t="inlineStr">
        <is>
          <t>KATE GONZALO</t>
        </is>
      </c>
      <c r="J2878" s="557" t="n"/>
    </row>
    <row r="2879" ht="18" customHeight="1" s="305">
      <c r="A2879" s="8" t="inlineStr">
        <is>
          <t>E-6</t>
        </is>
      </c>
      <c r="B2879" s="5" t="n"/>
      <c r="C2879" s="72" t="inlineStr">
        <is>
          <t>X</t>
        </is>
      </c>
      <c r="D2879" s="5" t="n"/>
      <c r="E2879" s="73">
        <f>B2879*D2879/10000</f>
        <v/>
      </c>
      <c r="F2879" s="74">
        <f>B2879/30.48</f>
        <v/>
      </c>
      <c r="G2879" s="74">
        <f>D2879/30.48</f>
        <v/>
      </c>
      <c r="H2879" s="37" t="inlineStr">
        <is>
          <t>WLR</t>
        </is>
      </c>
      <c r="I2879" s="570" t="inlineStr">
        <is>
          <t>Danielle cirilli</t>
        </is>
      </c>
      <c r="J2879" s="557" t="n"/>
      <c r="S2879" s="1" t="n"/>
    </row>
    <row r="2880" ht="18" customHeight="1" s="305">
      <c r="A2880" s="28" t="inlineStr">
        <is>
          <t>D 575</t>
        </is>
      </c>
      <c r="B2880" s="29" t="n">
        <v>45</v>
      </c>
      <c r="C2880" s="236" t="inlineStr">
        <is>
          <t>X</t>
        </is>
      </c>
      <c r="D2880" s="29" t="n">
        <v>110</v>
      </c>
      <c r="E2880" s="237">
        <f>B2880*D2880/10000</f>
        <v/>
      </c>
      <c r="F2880" s="238">
        <f>B2880/30.48</f>
        <v/>
      </c>
      <c r="G2880" s="238">
        <f>D2880/30.48</f>
        <v/>
      </c>
      <c r="H2880" s="37" t="inlineStr">
        <is>
          <t>WLR</t>
        </is>
      </c>
      <c r="I2880" s="570" t="inlineStr">
        <is>
          <t>Janell Wood</t>
        </is>
      </c>
      <c r="J2880" s="557" t="n"/>
    </row>
    <row r="2881" ht="18" customHeight="1" s="305">
      <c r="A2881" s="8" t="inlineStr">
        <is>
          <t>İ-10</t>
        </is>
      </c>
      <c r="B2881" s="5" t="n">
        <v>246</v>
      </c>
      <c r="C2881" s="72" t="inlineStr">
        <is>
          <t>X</t>
        </is>
      </c>
      <c r="D2881" s="5" t="n">
        <v>334</v>
      </c>
      <c r="E2881" s="73">
        <f>B2881*D2881/10000</f>
        <v/>
      </c>
      <c r="F2881" s="74">
        <f>B2881/30.48</f>
        <v/>
      </c>
      <c r="G2881" s="74">
        <f>D2881/30.48</f>
        <v/>
      </c>
      <c r="H2881" s="290" t="inlineStr">
        <is>
          <t>WCR</t>
        </is>
      </c>
      <c r="I2881" s="570" t="inlineStr">
        <is>
          <t>Sara Moore</t>
        </is>
      </c>
      <c r="J2881" s="557" t="n"/>
      <c r="S2881" s="1" t="n"/>
    </row>
    <row r="2882" ht="18" customHeight="1" s="305">
      <c r="A2882" s="8" t="n">
        <v>3668</v>
      </c>
      <c r="B2882" s="5" t="n">
        <v>113</v>
      </c>
      <c r="C2882" s="72" t="inlineStr">
        <is>
          <t>X</t>
        </is>
      </c>
      <c r="D2882" s="5" t="n">
        <v>329</v>
      </c>
      <c r="E2882" s="73">
        <f>B2882*D2882/10000</f>
        <v/>
      </c>
      <c r="F2882" s="74">
        <f>B2882/30.48</f>
        <v/>
      </c>
      <c r="G2882" s="74">
        <f>D2882/30.48</f>
        <v/>
      </c>
      <c r="H2882" s="290" t="inlineStr">
        <is>
          <t>WCR</t>
        </is>
      </c>
      <c r="I2882" s="570" t="inlineStr">
        <is>
          <t>Brett Shaffer</t>
        </is>
      </c>
      <c r="J2882" s="557" t="n"/>
      <c r="S2882" s="1" t="n"/>
    </row>
    <row r="2883" ht="18" customHeight="1" s="305">
      <c r="A2883" s="8" t="n">
        <v>2982</v>
      </c>
      <c r="B2883" s="5" t="n">
        <v>121</v>
      </c>
      <c r="C2883" s="72" t="inlineStr">
        <is>
          <t>X</t>
        </is>
      </c>
      <c r="D2883" s="5" t="n">
        <v>296</v>
      </c>
      <c r="E2883" s="73">
        <f>B2883*D2883/10000</f>
        <v/>
      </c>
      <c r="F2883" s="74">
        <f>B2883/30.48</f>
        <v/>
      </c>
      <c r="G2883" s="74">
        <f>D2883/30.48</f>
        <v/>
      </c>
      <c r="H2883" s="359" t="inlineStr">
        <is>
          <t>MCHD-TR</t>
        </is>
      </c>
      <c r="I2883" s="545" t="n"/>
      <c r="J2883" s="545" t="n"/>
      <c r="S2883" s="1" t="n"/>
    </row>
    <row r="2884" ht="18" customHeight="1" s="305">
      <c r="A2884" s="8" t="n">
        <v>2729</v>
      </c>
      <c r="B2884" s="5" t="n">
        <v>114</v>
      </c>
      <c r="C2884" s="72" t="inlineStr">
        <is>
          <t>X</t>
        </is>
      </c>
      <c r="D2884" s="5" t="n">
        <v>366</v>
      </c>
      <c r="E2884" s="73">
        <f>B2884*D2884/10000</f>
        <v/>
      </c>
      <c r="F2884" s="74">
        <f>B2884/30.48</f>
        <v/>
      </c>
      <c r="G2884" s="74">
        <f>D2884/30.48</f>
        <v/>
      </c>
      <c r="H2884" s="37" t="inlineStr">
        <is>
          <t>PAC</t>
        </is>
      </c>
      <c r="I2884" s="606" t="inlineStr">
        <is>
          <t>Linda Bleakney</t>
        </is>
      </c>
      <c r="J2884" s="545" t="n"/>
      <c r="S2884" s="1" t="n"/>
    </row>
    <row r="2885" ht="18" customHeight="1" s="305">
      <c r="A2885" s="8" t="inlineStr">
        <is>
          <t>İ-85</t>
        </is>
      </c>
      <c r="B2885" s="5" t="n">
        <v>290</v>
      </c>
      <c r="C2885" s="72" t="inlineStr">
        <is>
          <t>X</t>
        </is>
      </c>
      <c r="D2885" s="5" t="n">
        <v>330</v>
      </c>
      <c r="E2885" s="73">
        <f>B2885*D2885/10000</f>
        <v/>
      </c>
      <c r="F2885" s="74">
        <f>B2885/30.48</f>
        <v/>
      </c>
      <c r="G2885" s="74">
        <f>D2885/30.48</f>
        <v/>
      </c>
      <c r="H2885" s="37" t="inlineStr">
        <is>
          <t>WLR</t>
        </is>
      </c>
      <c r="I2885" s="570" t="inlineStr">
        <is>
          <t>JFD VALLEY MEADOW</t>
        </is>
      </c>
      <c r="J2885" s="557" t="n"/>
    </row>
    <row r="2886" ht="18" customHeight="1" s="305">
      <c r="A2886" s="8" t="n">
        <v>2970</v>
      </c>
      <c r="B2886" s="5" t="n">
        <v>87</v>
      </c>
      <c r="C2886" s="72" t="inlineStr">
        <is>
          <t>X</t>
        </is>
      </c>
      <c r="D2886" s="5" t="n">
        <v>480</v>
      </c>
      <c r="E2886" s="73">
        <f>B2886*D2886/10000</f>
        <v/>
      </c>
      <c r="F2886" s="74">
        <f>B2886/30.48</f>
        <v/>
      </c>
      <c r="G2886" s="74">
        <f>D2886/30.48</f>
        <v/>
      </c>
      <c r="H2886" s="37" t="inlineStr">
        <is>
          <t>LLC</t>
        </is>
      </c>
      <c r="I2886" s="570" t="inlineStr">
        <is>
          <t>Meredith Robinson</t>
        </is>
      </c>
      <c r="J2886" s="557" t="n"/>
    </row>
    <row r="2887" ht="18" customHeight="1" s="305">
      <c r="A2887" s="8" t="inlineStr">
        <is>
          <t>D 278</t>
        </is>
      </c>
      <c r="B2887" s="5" t="n">
        <v>47</v>
      </c>
      <c r="C2887" s="72" t="inlineStr">
        <is>
          <t>X</t>
        </is>
      </c>
      <c r="D2887" s="5" t="n">
        <v>85</v>
      </c>
      <c r="E2887" s="73">
        <f>B2887*D2887/10000</f>
        <v/>
      </c>
      <c r="F2887" s="74">
        <f>B2887/30.48</f>
        <v/>
      </c>
      <c r="G2887" s="74">
        <f>D2887/30.48</f>
        <v/>
      </c>
      <c r="H2887" s="592" t="inlineStr">
        <is>
          <t>LMX</t>
        </is>
      </c>
      <c r="I2887" s="534" t="inlineStr">
        <is>
          <t>Abigail Boylan</t>
        </is>
      </c>
      <c r="J2887" s="557" t="n"/>
    </row>
    <row r="2888" ht="18" customHeight="1" s="305">
      <c r="A2888" s="8" t="n">
        <v>4437</v>
      </c>
      <c r="B2888" s="5" t="n">
        <v>80</v>
      </c>
      <c r="C2888" s="72" t="inlineStr">
        <is>
          <t>X</t>
        </is>
      </c>
      <c r="D2888" s="5" t="n">
        <v>203</v>
      </c>
      <c r="E2888" s="73">
        <f>B2888*D2888/10000</f>
        <v/>
      </c>
      <c r="F2888" s="74">
        <f>B2888/30.48</f>
        <v/>
      </c>
      <c r="G2888" s="74">
        <f>D2888/30.48</f>
        <v/>
      </c>
      <c r="H2888" s="359" t="inlineStr">
        <is>
          <t>MCHD-TR</t>
        </is>
      </c>
      <c r="I2888" s="322" t="n"/>
      <c r="J2888" s="571" t="n"/>
      <c r="S2888" s="1" t="n"/>
    </row>
    <row r="2889" ht="18" customHeight="1" s="305">
      <c r="A2889" s="8" t="inlineStr">
        <is>
          <t>Y 651</t>
        </is>
      </c>
      <c r="B2889" s="5" t="n">
        <v>385</v>
      </c>
      <c r="C2889" s="6" t="inlineStr">
        <is>
          <t>X</t>
        </is>
      </c>
      <c r="D2889" s="5" t="n">
        <v>300</v>
      </c>
      <c r="E2889" s="2">
        <f>B2889*D2889/10000</f>
        <v/>
      </c>
      <c r="F2889" s="3">
        <f>B2889/30.48</f>
        <v/>
      </c>
      <c r="G2889" s="3">
        <f>D2889/30.48</f>
        <v/>
      </c>
      <c r="H2889" s="615" t="inlineStr">
        <is>
          <t>WTR</t>
        </is>
      </c>
      <c r="I2889" s="570" t="n"/>
      <c r="J2889" s="322" t="n"/>
    </row>
    <row r="2890" ht="18" customHeight="1" s="305">
      <c r="A2890" s="8" t="inlineStr">
        <is>
          <t>İ-19</t>
        </is>
      </c>
      <c r="B2890" s="5" t="n">
        <v>290</v>
      </c>
      <c r="C2890" s="72" t="inlineStr">
        <is>
          <t>X</t>
        </is>
      </c>
      <c r="D2890" s="5" t="n">
        <v>375</v>
      </c>
      <c r="E2890" s="73">
        <f>B2890*D2890/10000</f>
        <v/>
      </c>
      <c r="F2890" s="74">
        <f>B2890/30.48</f>
        <v/>
      </c>
      <c r="G2890" s="74">
        <f>D2890/30.48</f>
        <v/>
      </c>
      <c r="H2890" s="693" t="n"/>
      <c r="I2890" s="693" t="n"/>
      <c r="J2890" s="322" t="n"/>
      <c r="S2890" s="1" t="n"/>
    </row>
    <row r="2891" ht="18" customHeight="1" s="305">
      <c r="A2891" s="8" t="inlineStr">
        <is>
          <t>İ-9</t>
        </is>
      </c>
      <c r="B2891" s="5" t="n">
        <v>240</v>
      </c>
      <c r="C2891" s="72" t="inlineStr">
        <is>
          <t>X</t>
        </is>
      </c>
      <c r="D2891" s="5" t="n">
        <v>334</v>
      </c>
      <c r="E2891" s="73">
        <f>B2891*D2891/10000</f>
        <v/>
      </c>
      <c r="F2891" s="74">
        <f>B2891/30.48</f>
        <v/>
      </c>
      <c r="G2891" s="74">
        <f>D2891/30.48</f>
        <v/>
      </c>
      <c r="H2891" s="693" t="n"/>
      <c r="I2891" s="693" t="n"/>
      <c r="J2891" s="322" t="n"/>
      <c r="S2891" s="1" t="n"/>
    </row>
    <row r="2892" ht="18" customHeight="1" s="305">
      <c r="A2892" s="8" t="inlineStr">
        <is>
          <t>İ-29</t>
        </is>
      </c>
      <c r="B2892" s="5" t="n">
        <v>284</v>
      </c>
      <c r="C2892" s="72" t="inlineStr">
        <is>
          <t>X</t>
        </is>
      </c>
      <c r="D2892" s="5" t="n">
        <v>382</v>
      </c>
      <c r="E2892" s="73">
        <f>B2892*D2892/10000</f>
        <v/>
      </c>
      <c r="F2892" s="74">
        <f>B2892/30.48</f>
        <v/>
      </c>
      <c r="G2892" s="74">
        <f>D2892/30.48</f>
        <v/>
      </c>
      <c r="H2892" s="693" t="n"/>
      <c r="I2892" s="693" t="n"/>
      <c r="J2892" s="322" t="n"/>
      <c r="S2892" s="1" t="n"/>
    </row>
    <row r="2893" ht="18" customHeight="1" s="305">
      <c r="A2893" s="8" t="inlineStr">
        <is>
          <t>İ-31</t>
        </is>
      </c>
      <c r="B2893" s="5" t="n">
        <v>290</v>
      </c>
      <c r="C2893" s="72" t="inlineStr">
        <is>
          <t>X</t>
        </is>
      </c>
      <c r="D2893" s="5" t="n">
        <v>389</v>
      </c>
      <c r="E2893" s="73">
        <f>B2893*D2893/10000</f>
        <v/>
      </c>
      <c r="F2893" s="74">
        <f>B2893/30.48</f>
        <v/>
      </c>
      <c r="G2893" s="74">
        <f>D2893/30.48</f>
        <v/>
      </c>
      <c r="H2893" s="694" t="n"/>
      <c r="I2893" s="694" t="n"/>
      <c r="J2893" s="571" t="n"/>
      <c r="S2893" s="1" t="n"/>
    </row>
    <row r="2894" ht="18" customHeight="1" s="305">
      <c r="A2894" s="8" t="inlineStr">
        <is>
          <t>E-206</t>
        </is>
      </c>
      <c r="B2894" s="5" t="n"/>
      <c r="C2894" s="72" t="inlineStr">
        <is>
          <t>X</t>
        </is>
      </c>
      <c r="D2894" s="5" t="n"/>
      <c r="E2894" s="73">
        <f>B2894*D2894/10000</f>
        <v/>
      </c>
      <c r="F2894" s="74">
        <f>B2894/30.48</f>
        <v/>
      </c>
      <c r="G2894" s="74">
        <f>D2894/30.48</f>
        <v/>
      </c>
      <c r="H2894" s="593" t="inlineStr">
        <is>
          <t>LR</t>
        </is>
      </c>
      <c r="I2894" s="535" t="inlineStr">
        <is>
          <t>Jacqueline Luft 1220</t>
        </is>
      </c>
      <c r="J2894" s="545" t="n"/>
      <c r="S2894" s="1" t="n"/>
    </row>
    <row r="2895" ht="18" customHeight="1" s="305">
      <c r="A2895" s="8" t="n">
        <v>1590</v>
      </c>
      <c r="B2895" s="5" t="n">
        <v>439</v>
      </c>
      <c r="C2895" s="72" t="inlineStr">
        <is>
          <t>X</t>
        </is>
      </c>
      <c r="D2895" s="5" t="n">
        <v>87</v>
      </c>
      <c r="E2895" s="73">
        <f>B2895*D2895/10000</f>
        <v/>
      </c>
      <c r="F2895" s="74">
        <f>B2895/30.48</f>
        <v/>
      </c>
      <c r="G2895" s="74">
        <f>D2895/30.48</f>
        <v/>
      </c>
      <c r="H2895" s="334" t="inlineStr">
        <is>
          <t>OLD</t>
        </is>
      </c>
      <c r="I2895" s="570" t="inlineStr">
        <is>
          <t>Anna Kemper</t>
        </is>
      </c>
      <c r="J2895" s="557" t="n"/>
    </row>
    <row r="2896" ht="18" customHeight="1" s="305">
      <c r="A2896" s="8" t="n">
        <v>3650</v>
      </c>
      <c r="B2896" s="5" t="n">
        <v>90</v>
      </c>
      <c r="C2896" s="72" t="inlineStr">
        <is>
          <t>X</t>
        </is>
      </c>
      <c r="D2896" s="5" t="n">
        <v>278</v>
      </c>
      <c r="E2896" s="73">
        <f>B2896*D2896/10000</f>
        <v/>
      </c>
      <c r="F2896" s="74">
        <f>B2896/30.48</f>
        <v/>
      </c>
      <c r="G2896" s="74">
        <f>D2896/30.48</f>
        <v/>
      </c>
      <c r="H2896" s="290" t="inlineStr">
        <is>
          <t>WCR</t>
        </is>
      </c>
      <c r="I2896" s="570" t="inlineStr">
        <is>
          <t>Amy Peeples</t>
        </is>
      </c>
      <c r="J2896" s="557" t="n"/>
      <c r="S2896" s="1" t="n"/>
    </row>
    <row r="2897" ht="18" customHeight="1" s="305">
      <c r="A2897" s="8" t="n">
        <v>1837</v>
      </c>
      <c r="B2897" s="5" t="n">
        <v>64</v>
      </c>
      <c r="C2897" s="72" t="inlineStr">
        <is>
          <t>X</t>
        </is>
      </c>
      <c r="D2897" s="5" t="n">
        <v>327</v>
      </c>
      <c r="E2897" s="73">
        <f>B2897*D2897/10000</f>
        <v/>
      </c>
      <c r="F2897" s="74">
        <f>B2897/30.48</f>
        <v/>
      </c>
      <c r="G2897" s="74">
        <f>D2897/30.48</f>
        <v/>
      </c>
      <c r="H2897" s="359" t="inlineStr">
        <is>
          <t>MCHD-TR</t>
        </is>
      </c>
      <c r="I2897" s="557" t="n"/>
      <c r="J2897" s="557" t="n"/>
      <c r="S2897" s="1" t="n"/>
    </row>
    <row r="2898" ht="18" customHeight="1" s="305">
      <c r="A2898" s="8" t="n">
        <v>3873</v>
      </c>
      <c r="B2898" s="5" t="n">
        <v>157</v>
      </c>
      <c r="C2898" s="72" t="inlineStr">
        <is>
          <t>X</t>
        </is>
      </c>
      <c r="D2898" s="5" t="n">
        <v>293</v>
      </c>
      <c r="E2898" s="73">
        <f>B2898*D2898/10000</f>
        <v/>
      </c>
      <c r="F2898" s="74">
        <f>B2898/30.48</f>
        <v/>
      </c>
      <c r="G2898" s="74">
        <f>D2898/30.48</f>
        <v/>
      </c>
      <c r="H2898" s="359" t="inlineStr">
        <is>
          <t>MCHD-TR</t>
        </is>
      </c>
      <c r="I2898" s="545" t="n"/>
      <c r="J2898" s="545" t="n"/>
      <c r="S2898" s="1" t="n"/>
    </row>
    <row r="2899" ht="18" customHeight="1" s="305">
      <c r="A2899" s="8" t="inlineStr">
        <is>
          <t>İ-72</t>
        </is>
      </c>
      <c r="B2899" s="5" t="n">
        <v>228</v>
      </c>
      <c r="C2899" s="72" t="inlineStr">
        <is>
          <t>X</t>
        </is>
      </c>
      <c r="D2899" s="5" t="n">
        <v>377</v>
      </c>
      <c r="E2899" s="73">
        <f>B2899*D2899/10000</f>
        <v/>
      </c>
      <c r="F2899" s="74">
        <f>B2899/30.48</f>
        <v/>
      </c>
      <c r="G2899" s="74">
        <f>D2899/30.48</f>
        <v/>
      </c>
      <c r="H2899" s="37" t="inlineStr">
        <is>
          <t>WLR</t>
        </is>
      </c>
      <c r="I2899" s="570" t="inlineStr">
        <is>
          <t>Anna Schumacher</t>
        </is>
      </c>
      <c r="J2899" s="557" t="inlineStr">
        <is>
          <t>+1 802 922 62 04</t>
        </is>
      </c>
    </row>
    <row r="2900" ht="18" customHeight="1" s="305">
      <c r="A2900" s="8" t="n">
        <v>3813</v>
      </c>
      <c r="B2900" s="5" t="n">
        <v>144</v>
      </c>
      <c r="C2900" s="72" t="inlineStr">
        <is>
          <t>X</t>
        </is>
      </c>
      <c r="D2900" s="5" t="n">
        <v>214</v>
      </c>
      <c r="E2900" s="73">
        <f>B2900*D2900/10000</f>
        <v/>
      </c>
      <c r="F2900" s="74">
        <f>B2900/30.48</f>
        <v/>
      </c>
      <c r="G2900" s="74">
        <f>D2900/30.48</f>
        <v/>
      </c>
      <c r="H2900" s="592" t="inlineStr">
        <is>
          <t>LMX</t>
        </is>
      </c>
      <c r="I2900" s="534" t="inlineStr">
        <is>
          <t>Kirsten Avery</t>
        </is>
      </c>
      <c r="J2900" s="545" t="n"/>
    </row>
    <row r="2901" ht="18" customHeight="1" s="305">
      <c r="A2901" s="28" t="inlineStr">
        <is>
          <t>D 990</t>
        </is>
      </c>
      <c r="B2901" s="29" t="n">
        <v>62</v>
      </c>
      <c r="C2901" s="236" t="inlineStr">
        <is>
          <t>X</t>
        </is>
      </c>
      <c r="D2901" s="29" t="n">
        <v>114</v>
      </c>
      <c r="E2901" s="237">
        <f>B2901*D2901/10000</f>
        <v/>
      </c>
      <c r="F2901" s="238">
        <f>B2901/30.48</f>
        <v/>
      </c>
      <c r="G2901" s="238">
        <f>D2901/30.48</f>
        <v/>
      </c>
      <c r="H2901" s="592" t="inlineStr">
        <is>
          <t>LR</t>
        </is>
      </c>
      <c r="I2901" s="570" t="inlineStr">
        <is>
          <t>Casey Otterson</t>
        </is>
      </c>
      <c r="J2901" s="557" t="n"/>
    </row>
    <row r="2902" ht="18" customHeight="1" s="305">
      <c r="A2902" s="8" t="n">
        <v>3845</v>
      </c>
      <c r="B2902" s="5" t="n">
        <v>80</v>
      </c>
      <c r="C2902" s="72" t="inlineStr">
        <is>
          <t>X</t>
        </is>
      </c>
      <c r="D2902" s="5" t="n">
        <v>319</v>
      </c>
      <c r="E2902" s="73">
        <f>B2902*D2902/10000</f>
        <v/>
      </c>
      <c r="F2902" s="74">
        <f>B2902/30.48</f>
        <v/>
      </c>
      <c r="G2902" s="74">
        <f>D2902/30.48</f>
        <v/>
      </c>
      <c r="H2902" s="592" t="inlineStr">
        <is>
          <t>LR</t>
        </is>
      </c>
      <c r="I2902" s="570" t="inlineStr">
        <is>
          <t>Audrey Dwyer</t>
        </is>
      </c>
      <c r="J2902" s="557" t="n"/>
    </row>
    <row r="2903" ht="18" customHeight="1" s="305">
      <c r="A2903" s="28" t="inlineStr">
        <is>
          <t>D 552</t>
        </is>
      </c>
      <c r="B2903" s="29" t="n">
        <v>45</v>
      </c>
      <c r="C2903" s="236" t="inlineStr">
        <is>
          <t>X</t>
        </is>
      </c>
      <c r="D2903" s="29" t="n">
        <v>110</v>
      </c>
      <c r="E2903" s="237">
        <f>B2903*D2903/10000</f>
        <v/>
      </c>
      <c r="F2903" s="238">
        <f>B2903/30.48</f>
        <v/>
      </c>
      <c r="G2903" s="238">
        <f>D2903/30.48</f>
        <v/>
      </c>
      <c r="H2903" s="37" t="inlineStr">
        <is>
          <t>WLR</t>
        </is>
      </c>
      <c r="I2903" s="570" t="inlineStr">
        <is>
          <t>Ethel Richards</t>
        </is>
      </c>
      <c r="J2903" s="557" t="n"/>
    </row>
    <row r="2904" ht="18" customHeight="1" s="305">
      <c r="A2904" s="28" t="inlineStr">
        <is>
          <t>D 585</t>
        </is>
      </c>
      <c r="B2904" s="29" t="n">
        <v>53</v>
      </c>
      <c r="C2904" s="236" t="inlineStr">
        <is>
          <t>X</t>
        </is>
      </c>
      <c r="D2904" s="29" t="n">
        <v>93</v>
      </c>
      <c r="E2904" s="237">
        <f>B2904*D2904/10000</f>
        <v/>
      </c>
      <c r="F2904" s="238">
        <f>B2904/30.48</f>
        <v/>
      </c>
      <c r="G2904" s="238">
        <f>D2904/30.48</f>
        <v/>
      </c>
      <c r="H2904" s="717" t="inlineStr">
        <is>
          <t>WLR</t>
        </is>
      </c>
      <c r="I2904" s="570" t="inlineStr">
        <is>
          <t>Ally Chaloupka</t>
        </is>
      </c>
      <c r="J2904" s="557" t="n"/>
    </row>
    <row r="2905" ht="18" customHeight="1" s="305">
      <c r="A2905" s="28" t="inlineStr">
        <is>
          <t>D 510</t>
        </is>
      </c>
      <c r="B2905" s="29" t="n">
        <v>49</v>
      </c>
      <c r="C2905" s="236" t="inlineStr">
        <is>
          <t>X</t>
        </is>
      </c>
      <c r="D2905" s="29" t="n">
        <v>99</v>
      </c>
      <c r="E2905" s="237">
        <f>B2905*D2905/10000</f>
        <v/>
      </c>
      <c r="F2905" s="238">
        <f>B2905/30.48</f>
        <v/>
      </c>
      <c r="G2905" s="238">
        <f>D2905/30.48</f>
        <v/>
      </c>
      <c r="H2905" s="694" t="n"/>
      <c r="I2905" s="694" t="n"/>
      <c r="J2905" s="557" t="n"/>
    </row>
    <row r="2906" ht="18" customHeight="1" s="305">
      <c r="A2906" s="8" t="inlineStr">
        <is>
          <t>D 51</t>
        </is>
      </c>
      <c r="B2906" s="5" t="n">
        <v>50</v>
      </c>
      <c r="C2906" s="72" t="inlineStr">
        <is>
          <t>X</t>
        </is>
      </c>
      <c r="D2906" s="5" t="n">
        <v>88</v>
      </c>
      <c r="E2906" s="73">
        <f>B2906*D2906/10000</f>
        <v/>
      </c>
      <c r="F2906" s="74">
        <f>B2906/30.48</f>
        <v/>
      </c>
      <c r="G2906" s="74">
        <f>D2906/30.48</f>
        <v/>
      </c>
      <c r="H2906" s="37" t="inlineStr">
        <is>
          <t>WLR</t>
        </is>
      </c>
      <c r="I2906" s="570" t="inlineStr">
        <is>
          <t>Cynthia Pinto</t>
        </is>
      </c>
      <c r="J2906" s="557" t="n"/>
    </row>
    <row r="2907" ht="18" customHeight="1" s="305">
      <c r="A2907" s="8" t="n">
        <v>3490</v>
      </c>
      <c r="B2907" s="5" t="n">
        <v>101</v>
      </c>
      <c r="C2907" s="72" t="inlineStr">
        <is>
          <t>X</t>
        </is>
      </c>
      <c r="D2907" s="5" t="n">
        <v>336</v>
      </c>
      <c r="E2907" s="73">
        <f>B2907*D2907/10000</f>
        <v/>
      </c>
      <c r="F2907" s="74">
        <f>B2907/30.48</f>
        <v/>
      </c>
      <c r="G2907" s="74">
        <f>D2907/30.48</f>
        <v/>
      </c>
      <c r="H2907" s="717" t="inlineStr">
        <is>
          <t>WTR</t>
        </is>
      </c>
      <c r="I2907" s="570" t="inlineStr">
        <is>
          <t>JULIE PEINADO</t>
        </is>
      </c>
      <c r="J2907" s="557" t="n"/>
    </row>
    <row r="2908" ht="18" customHeight="1" s="305">
      <c r="A2908" s="8" t="n">
        <v>2366</v>
      </c>
      <c r="B2908" s="5" t="n">
        <v>89</v>
      </c>
      <c r="C2908" s="72" t="inlineStr">
        <is>
          <t>X</t>
        </is>
      </c>
      <c r="D2908" s="5" t="n">
        <v>334</v>
      </c>
      <c r="E2908" s="73">
        <f>B2908*D2908/10000</f>
        <v/>
      </c>
      <c r="F2908" s="74">
        <f>B2908/30.48</f>
        <v/>
      </c>
      <c r="G2908" s="74">
        <f>D2908/30.48</f>
        <v/>
      </c>
      <c r="H2908" s="694" t="n"/>
      <c r="I2908" s="694" t="n"/>
      <c r="J2908" s="557" t="n"/>
    </row>
    <row r="2909" ht="18" customHeight="1" s="305">
      <c r="A2909" s="8" t="n">
        <v>2703</v>
      </c>
      <c r="B2909" s="5" t="n">
        <v>200</v>
      </c>
      <c r="C2909" s="72" t="inlineStr">
        <is>
          <t>X</t>
        </is>
      </c>
      <c r="D2909" s="5" t="n">
        <v>305</v>
      </c>
      <c r="E2909" s="73">
        <f>B2909*D2909/10000</f>
        <v/>
      </c>
      <c r="F2909" s="74">
        <f>B2909/30.48</f>
        <v/>
      </c>
      <c r="G2909" s="74">
        <f>D2909/30.48</f>
        <v/>
      </c>
      <c r="H2909" s="553" t="inlineStr">
        <is>
          <t>WTR</t>
        </is>
      </c>
      <c r="I2909" s="570" t="inlineStr">
        <is>
          <t>ENT</t>
        </is>
      </c>
      <c r="J2909" s="557" t="n"/>
      <c r="S2909" s="1" t="n"/>
    </row>
    <row r="2910" ht="18" customHeight="1" s="305">
      <c r="A2910" s="8" t="n">
        <v>3752</v>
      </c>
      <c r="B2910" s="5" t="n">
        <v>110</v>
      </c>
      <c r="C2910" s="72" t="inlineStr">
        <is>
          <t>X</t>
        </is>
      </c>
      <c r="D2910" s="5" t="n">
        <v>204</v>
      </c>
      <c r="E2910" s="73">
        <f>B2910*D2910/10000</f>
        <v/>
      </c>
      <c r="F2910" s="74">
        <f>B2910/30.48</f>
        <v/>
      </c>
      <c r="G2910" s="74">
        <f>D2910/30.48</f>
        <v/>
      </c>
      <c r="H2910" s="37" t="inlineStr">
        <is>
          <t>LLC</t>
        </is>
      </c>
      <c r="I2910" s="570" t="inlineStr">
        <is>
          <t>Carol Pilat</t>
        </is>
      </c>
      <c r="J2910" s="557" t="n"/>
      <c r="S2910" s="1" t="n"/>
    </row>
    <row r="2911" ht="18" customHeight="1" s="305">
      <c r="A2911" s="8" t="n">
        <v>3638</v>
      </c>
      <c r="B2911" s="5" t="n">
        <v>129</v>
      </c>
      <c r="C2911" s="72" t="inlineStr">
        <is>
          <t>X</t>
        </is>
      </c>
      <c r="D2911" s="5" t="n">
        <v>269</v>
      </c>
      <c r="E2911" s="73">
        <f>B2911*D2911/10000</f>
        <v/>
      </c>
      <c r="F2911" s="74">
        <f>B2911/30.48</f>
        <v/>
      </c>
      <c r="G2911" s="74">
        <f>D2911/30.48</f>
        <v/>
      </c>
      <c r="H2911" s="359" t="inlineStr">
        <is>
          <t>FRD-NR</t>
        </is>
      </c>
      <c r="I2911" s="570" t="inlineStr">
        <is>
          <t>Rachel Leone</t>
        </is>
      </c>
      <c r="J2911" s="557" t="n"/>
      <c r="S2911" s="1" t="n"/>
    </row>
    <row r="2912" ht="18" customHeight="1" s="305">
      <c r="A2912" s="8" t="inlineStr">
        <is>
          <t>Y 812</t>
        </is>
      </c>
      <c r="B2912" s="5" t="n">
        <v>265</v>
      </c>
      <c r="C2912" s="6" t="inlineStr">
        <is>
          <t>X</t>
        </is>
      </c>
      <c r="D2912" s="5" t="n">
        <v>131</v>
      </c>
      <c r="E2912" s="2">
        <f>B2912*D2912/10000</f>
        <v/>
      </c>
      <c r="F2912" s="3">
        <f>B2912/30.48</f>
        <v/>
      </c>
      <c r="G2912" s="3">
        <f>D2912/30.48</f>
        <v/>
      </c>
      <c r="H2912" s="359" t="inlineStr">
        <is>
          <t>MCHD-TR</t>
        </is>
      </c>
      <c r="I2912" s="557" t="n"/>
      <c r="J2912" s="557" t="n"/>
    </row>
    <row r="2913" ht="18" customHeight="1" s="305">
      <c r="A2913" s="8" t="inlineStr">
        <is>
          <t>H 199</t>
        </is>
      </c>
      <c r="B2913" s="5" t="n">
        <v>374</v>
      </c>
      <c r="C2913" s="6" t="inlineStr">
        <is>
          <t>X</t>
        </is>
      </c>
      <c r="D2913" s="5" t="n">
        <v>94</v>
      </c>
      <c r="E2913" s="2">
        <f>B2913*D2913/10000</f>
        <v/>
      </c>
      <c r="F2913" s="3">
        <f>B2913/30.48</f>
        <v/>
      </c>
      <c r="G2913" s="3">
        <f>D2913/30.48</f>
        <v/>
      </c>
      <c r="H2913" s="553" t="inlineStr">
        <is>
          <t>WTR</t>
        </is>
      </c>
      <c r="I2913" s="534" t="inlineStr">
        <is>
          <t>Anna Haitz</t>
        </is>
      </c>
      <c r="J2913" s="545" t="n"/>
      <c r="S2913" s="1" t="n"/>
    </row>
    <row r="2914" ht="18" customHeight="1" s="305">
      <c r="A2914" s="8" t="n">
        <v>3774</v>
      </c>
      <c r="B2914" s="5" t="n">
        <v>107</v>
      </c>
      <c r="C2914" s="72" t="inlineStr">
        <is>
          <t>X</t>
        </is>
      </c>
      <c r="D2914" s="5" t="n">
        <v>315</v>
      </c>
      <c r="E2914" s="73">
        <f>B2914*D2914/10000</f>
        <v/>
      </c>
      <c r="F2914" s="74">
        <f>B2914/30.48</f>
        <v/>
      </c>
      <c r="G2914" s="74">
        <f>D2914/30.48</f>
        <v/>
      </c>
      <c r="H2914" s="592" t="inlineStr">
        <is>
          <t>LR</t>
        </is>
      </c>
      <c r="I2914" s="570" t="inlineStr">
        <is>
          <t>Nicole Diznoff</t>
        </is>
      </c>
      <c r="J2914" s="557" t="n"/>
    </row>
    <row r="2915" ht="18" customHeight="1" s="305">
      <c r="A2915" s="28" t="inlineStr">
        <is>
          <t>D 519</t>
        </is>
      </c>
      <c r="B2915" s="29" t="n">
        <v>54</v>
      </c>
      <c r="C2915" s="236" t="inlineStr">
        <is>
          <t>X</t>
        </is>
      </c>
      <c r="D2915" s="29" t="n">
        <v>94</v>
      </c>
      <c r="E2915" s="237">
        <f>B2915*D2915/10000</f>
        <v/>
      </c>
      <c r="F2915" s="238">
        <f>B2915/30.48</f>
        <v/>
      </c>
      <c r="G2915" s="238">
        <f>D2915/30.48</f>
        <v/>
      </c>
      <c r="H2915" s="37" t="inlineStr">
        <is>
          <t>WLR</t>
        </is>
      </c>
      <c r="I2915" s="570" t="inlineStr">
        <is>
          <t>Maura De Raedt</t>
        </is>
      </c>
      <c r="J2915" s="557" t="n"/>
    </row>
    <row r="2916" ht="18" customHeight="1" s="305">
      <c r="A2916" s="8" t="n">
        <v>3520</v>
      </c>
      <c r="B2916" s="5" t="n">
        <v>89</v>
      </c>
      <c r="C2916" s="72" t="inlineStr">
        <is>
          <t>X</t>
        </is>
      </c>
      <c r="D2916" s="5" t="n">
        <v>233</v>
      </c>
      <c r="E2916" s="73">
        <f>B2916*D2916/10000</f>
        <v/>
      </c>
      <c r="F2916" s="74">
        <f>B2916/30.48</f>
        <v/>
      </c>
      <c r="G2916" s="74">
        <f>D2916/30.48</f>
        <v/>
      </c>
      <c r="H2916" s="37" t="inlineStr">
        <is>
          <t>BHR</t>
        </is>
      </c>
      <c r="I2916" s="570" t="inlineStr">
        <is>
          <t>Jania Watkins</t>
        </is>
      </c>
      <c r="J2916" s="557" t="n"/>
    </row>
    <row r="2917" ht="18" customHeight="1" s="305">
      <c r="A2917" s="8" t="inlineStr">
        <is>
          <t>İ-2</t>
        </is>
      </c>
      <c r="B2917" s="5" t="n">
        <v>240</v>
      </c>
      <c r="C2917" s="72" t="inlineStr">
        <is>
          <t>X</t>
        </is>
      </c>
      <c r="D2917" s="5" t="n">
        <v>327</v>
      </c>
      <c r="E2917" s="73">
        <f>B2917*D2917/10000</f>
        <v/>
      </c>
      <c r="F2917" s="74">
        <f>B2917/30.48</f>
        <v/>
      </c>
      <c r="G2917" s="74">
        <f>D2917/30.48</f>
        <v/>
      </c>
      <c r="H2917" s="359" t="inlineStr">
        <is>
          <t>MCHD-TR</t>
        </is>
      </c>
      <c r="I2917" s="545" t="n"/>
      <c r="J2917" s="545" t="n"/>
      <c r="S2917" s="1" t="n"/>
    </row>
    <row r="2918" ht="18" customHeight="1" s="305">
      <c r="A2918" s="8" t="inlineStr">
        <is>
          <t>İ-5</t>
        </is>
      </c>
      <c r="B2918" s="5" t="n">
        <v>280</v>
      </c>
      <c r="C2918" s="72" t="inlineStr">
        <is>
          <t>X</t>
        </is>
      </c>
      <c r="D2918" s="5" t="n">
        <v>368</v>
      </c>
      <c r="E2918" s="73">
        <f>B2918*D2918/10000</f>
        <v/>
      </c>
      <c r="F2918" s="74">
        <f>B2918/30.48</f>
        <v/>
      </c>
      <c r="G2918" s="74">
        <f>D2918/30.48</f>
        <v/>
      </c>
      <c r="H2918" s="553" t="inlineStr">
        <is>
          <t>WTR</t>
        </is>
      </c>
      <c r="I2918" s="534" t="inlineStr">
        <is>
          <t>Jeremy Roth</t>
        </is>
      </c>
      <c r="J2918" s="545" t="n"/>
    </row>
    <row r="2919" ht="18" customHeight="1" s="305">
      <c r="A2919" s="8" t="n">
        <v>3689</v>
      </c>
      <c r="B2919" s="5" t="n">
        <v>113</v>
      </c>
      <c r="C2919" s="72" t="inlineStr">
        <is>
          <t>X</t>
        </is>
      </c>
      <c r="D2919" s="5" t="n">
        <v>316</v>
      </c>
      <c r="E2919" s="73">
        <f>B2919*D2919/10000</f>
        <v/>
      </c>
      <c r="F2919" s="74">
        <f>B2919/30.48</f>
        <v/>
      </c>
      <c r="G2919" s="74">
        <f>D2919/30.48</f>
        <v/>
      </c>
      <c r="H2919" s="37" t="inlineStr">
        <is>
          <t>BHR</t>
        </is>
      </c>
      <c r="I2919" s="606" t="inlineStr">
        <is>
          <t>Sally Burns</t>
        </is>
      </c>
      <c r="J2919" s="545" t="n"/>
    </row>
    <row r="2920" ht="18" customHeight="1" s="305">
      <c r="A2920" s="8" t="n">
        <v>4101</v>
      </c>
      <c r="B2920" s="5" t="n">
        <v>75</v>
      </c>
      <c r="C2920" s="72" t="inlineStr">
        <is>
          <t>X</t>
        </is>
      </c>
      <c r="D2920" s="5" t="n">
        <v>138</v>
      </c>
      <c r="E2920" s="73">
        <f>B2920*D2920/10000</f>
        <v/>
      </c>
      <c r="F2920" s="74">
        <f>B2920/30.48</f>
        <v/>
      </c>
      <c r="G2920" s="74">
        <f>D2920/30.48</f>
        <v/>
      </c>
      <c r="H2920" s="553" t="inlineStr">
        <is>
          <t>WTR</t>
        </is>
      </c>
      <c r="I2920" s="570" t="inlineStr">
        <is>
          <t>Morgan Arceneaux</t>
        </is>
      </c>
      <c r="J2920" s="557" t="n"/>
    </row>
    <row r="2921" ht="18" customHeight="1" s="305">
      <c r="A2921" s="8" t="n">
        <v>4355</v>
      </c>
      <c r="B2921" s="5" t="n">
        <v>80</v>
      </c>
      <c r="C2921" s="72" t="inlineStr">
        <is>
          <t>X</t>
        </is>
      </c>
      <c r="D2921" s="5" t="n">
        <v>172</v>
      </c>
      <c r="E2921" s="73">
        <f>B2921*D2921/10000</f>
        <v/>
      </c>
      <c r="F2921" s="74">
        <f>B2921/30.48</f>
        <v/>
      </c>
      <c r="G2921" s="74">
        <f>D2921/30.48</f>
        <v/>
      </c>
      <c r="H2921" s="359" t="inlineStr">
        <is>
          <t>MCHD-TR</t>
        </is>
      </c>
      <c r="I2921" s="545" t="n"/>
      <c r="J2921" s="545" t="n"/>
      <c r="S2921" s="1" t="n"/>
    </row>
    <row r="2922" ht="18" customHeight="1" s="305">
      <c r="A2922" s="8" t="n">
        <v>3519</v>
      </c>
      <c r="B2922" s="5" t="n">
        <v>131</v>
      </c>
      <c r="C2922" s="72" t="inlineStr">
        <is>
          <t>X</t>
        </is>
      </c>
      <c r="D2922" s="5" t="n">
        <v>280</v>
      </c>
      <c r="E2922" s="73">
        <f>B2922*D2922/10000</f>
        <v/>
      </c>
      <c r="F2922" s="74">
        <f>B2922/30.48</f>
        <v/>
      </c>
      <c r="G2922" s="74">
        <f>D2922/30.48</f>
        <v/>
      </c>
      <c r="H2922" s="592" t="inlineStr">
        <is>
          <t>LR</t>
        </is>
      </c>
      <c r="I2922" s="284" t="inlineStr">
        <is>
          <t>Chantel Hassler</t>
        </is>
      </c>
      <c r="J2922" s="545" t="n"/>
    </row>
    <row r="2923" ht="18" customHeight="1" s="305">
      <c r="A2923" s="8" t="n">
        <v>3583</v>
      </c>
      <c r="B2923" s="5" t="n">
        <v>95</v>
      </c>
      <c r="C2923" s="72" t="inlineStr">
        <is>
          <t>X</t>
        </is>
      </c>
      <c r="D2923" s="5" t="n">
        <v>146</v>
      </c>
      <c r="E2923" s="73">
        <f>B2923*D2923/10000</f>
        <v/>
      </c>
      <c r="F2923" s="74">
        <f>B2923/30.48</f>
        <v/>
      </c>
      <c r="G2923" s="74">
        <f>D2923/30.48</f>
        <v/>
      </c>
      <c r="H2923" s="37" t="inlineStr">
        <is>
          <t>LLC</t>
        </is>
      </c>
      <c r="I2923" s="534" t="inlineStr">
        <is>
          <t>Chantel Hassler</t>
        </is>
      </c>
      <c r="J2923" s="557" t="n"/>
      <c r="S2923" s="1" t="n"/>
    </row>
    <row r="2924" ht="18" customHeight="1" s="305">
      <c r="A2924" s="8" t="n">
        <v>3778</v>
      </c>
      <c r="B2924" s="5" t="n">
        <v>87</v>
      </c>
      <c r="C2924" s="72" t="inlineStr">
        <is>
          <t>X</t>
        </is>
      </c>
      <c r="D2924" s="5" t="n">
        <v>272</v>
      </c>
      <c r="E2924" s="73">
        <f>B2924*D2924/10000</f>
        <v/>
      </c>
      <c r="F2924" s="74">
        <f>B2924/30.48</f>
        <v/>
      </c>
      <c r="G2924" s="74">
        <f>D2924/30.48</f>
        <v/>
      </c>
      <c r="H2924" s="553" t="inlineStr">
        <is>
          <t>LLC</t>
        </is>
      </c>
      <c r="I2924" s="535" t="inlineStr">
        <is>
          <t>kendall bourgeois</t>
        </is>
      </c>
      <c r="J2924" s="546" t="n"/>
      <c r="S2924" s="1" t="n"/>
    </row>
    <row r="2925">
      <c r="A2925" s="536" t="inlineStr">
        <is>
          <t>-2025 EYLÜL-</t>
        </is>
      </c>
      <c r="H2925" s="104" t="inlineStr">
        <is>
          <t>SATAN-SİTE</t>
        </is>
      </c>
      <c r="I2925" s="98" t="inlineStr">
        <is>
          <t>MÜŞTERİ ADI</t>
        </is>
      </c>
      <c r="J2925" s="63" t="inlineStr">
        <is>
          <t>MÜŞTERİ İLETİŞİM &amp; ÜLKE</t>
        </is>
      </c>
      <c r="P2925" s="1" t="n"/>
    </row>
    <row r="2926" ht="18" customHeight="1" s="305">
      <c r="A2926" s="8" t="n">
        <v>3670</v>
      </c>
      <c r="B2926" s="5" t="n">
        <v>210</v>
      </c>
      <c r="C2926" s="72" t="inlineStr">
        <is>
          <t>X</t>
        </is>
      </c>
      <c r="D2926" s="5" t="n">
        <v>296</v>
      </c>
      <c r="E2926" s="73">
        <f>B2926*D2926/10000</f>
        <v/>
      </c>
      <c r="F2926" s="74">
        <f>B2926/30.48</f>
        <v/>
      </c>
      <c r="G2926" s="74">
        <f>D2926/30.48</f>
        <v/>
      </c>
      <c r="H2926" s="592" t="inlineStr">
        <is>
          <t>LR</t>
        </is>
      </c>
      <c r="I2926" s="570" t="inlineStr">
        <is>
          <t>Casey Carlisle</t>
        </is>
      </c>
      <c r="J2926" s="557" t="n"/>
      <c r="S2926" s="1" t="n"/>
    </row>
    <row r="2927" ht="18" customHeight="1" s="305">
      <c r="A2927" s="8" t="n">
        <v>3467</v>
      </c>
      <c r="B2927" s="5" t="n">
        <v>85</v>
      </c>
      <c r="C2927" s="72" t="inlineStr">
        <is>
          <t>X</t>
        </is>
      </c>
      <c r="D2927" s="5" t="n">
        <v>425</v>
      </c>
      <c r="E2927" s="73">
        <f>B2927*D2927/10000</f>
        <v/>
      </c>
      <c r="F2927" s="74">
        <f>B2927/30.48</f>
        <v/>
      </c>
      <c r="G2927" s="74">
        <f>D2927/30.48</f>
        <v/>
      </c>
      <c r="H2927" s="37" t="inlineStr">
        <is>
          <t>BHR</t>
        </is>
      </c>
      <c r="I2927" s="570" t="inlineStr">
        <is>
          <t>Martha Herndon</t>
        </is>
      </c>
      <c r="J2927" s="557" t="n"/>
      <c r="S2927" s="1" t="n"/>
    </row>
    <row r="2928" ht="18" customHeight="1" s="305">
      <c r="A2928" s="8" t="n">
        <v>2455</v>
      </c>
      <c r="B2928" s="5" t="n">
        <v>68</v>
      </c>
      <c r="C2928" s="72" t="inlineStr">
        <is>
          <t>X</t>
        </is>
      </c>
      <c r="D2928" s="5" t="n">
        <v>113</v>
      </c>
      <c r="E2928" s="73">
        <f>B2928*D2928/10000</f>
        <v/>
      </c>
      <c r="F2928" s="74">
        <f>B2928/30.48</f>
        <v/>
      </c>
      <c r="G2928" s="74">
        <f>D2928/30.48</f>
        <v/>
      </c>
      <c r="H2928" s="37" t="inlineStr">
        <is>
          <t>LLC</t>
        </is>
      </c>
      <c r="I2928" s="570" t="inlineStr">
        <is>
          <t>Lindsey sykes</t>
        </is>
      </c>
      <c r="J2928" s="557" t="n"/>
      <c r="S2928" s="1" t="n"/>
    </row>
    <row r="2929" ht="18" customHeight="1" s="305">
      <c r="A2929" s="8" t="n">
        <v>2405</v>
      </c>
      <c r="B2929" s="5" t="n">
        <v>184</v>
      </c>
      <c r="C2929" s="72" t="inlineStr">
        <is>
          <t>X</t>
        </is>
      </c>
      <c r="D2929" s="5" t="n">
        <v>294</v>
      </c>
      <c r="E2929" s="73">
        <f>B2929*D2929/10000</f>
        <v/>
      </c>
      <c r="F2929" s="74">
        <f>B2929/30.48</f>
        <v/>
      </c>
      <c r="G2929" s="74">
        <f>D2929/30.48</f>
        <v/>
      </c>
      <c r="H2929" s="718" t="inlineStr">
        <is>
          <t>WTR</t>
        </is>
      </c>
      <c r="I2929" s="570" t="inlineStr">
        <is>
          <t>Natalie Bool</t>
        </is>
      </c>
      <c r="J2929" s="557" t="n"/>
      <c r="S2929" s="1" t="n"/>
    </row>
    <row r="2930" ht="18" customHeight="1" s="305">
      <c r="A2930" s="8" t="inlineStr">
        <is>
          <t>H 32</t>
        </is>
      </c>
      <c r="B2930" s="5" t="n">
        <v>91</v>
      </c>
      <c r="C2930" s="72" t="inlineStr">
        <is>
          <t>X</t>
        </is>
      </c>
      <c r="D2930" s="5" t="n">
        <v>384</v>
      </c>
      <c r="E2930" s="73">
        <f>B2930*D2930/10000</f>
        <v/>
      </c>
      <c r="F2930" s="74">
        <f>B2930/30.48</f>
        <v/>
      </c>
      <c r="G2930" s="74">
        <f>D2930/30.48</f>
        <v/>
      </c>
      <c r="H2930" s="694" t="n"/>
      <c r="I2930" s="694" t="n"/>
      <c r="J2930" s="557" t="n"/>
      <c r="S2930" s="1" t="n"/>
    </row>
    <row r="2931" ht="18" customHeight="1" s="305">
      <c r="A2931" s="8" t="n">
        <v>2168</v>
      </c>
      <c r="B2931" s="5" t="n">
        <v>92</v>
      </c>
      <c r="C2931" s="72" t="inlineStr">
        <is>
          <t>X</t>
        </is>
      </c>
      <c r="D2931" s="5" t="n">
        <v>386</v>
      </c>
      <c r="E2931" s="73">
        <f>B2931*D2931/10000</f>
        <v/>
      </c>
      <c r="F2931" s="74">
        <f>B2931/30.48</f>
        <v/>
      </c>
      <c r="G2931" s="74">
        <f>D2931/30.48</f>
        <v/>
      </c>
      <c r="H2931" s="553" t="inlineStr">
        <is>
          <t>WTR</t>
        </is>
      </c>
      <c r="I2931" s="570" t="inlineStr">
        <is>
          <t>Heather Morton</t>
        </is>
      </c>
      <c r="J2931" s="557" t="n"/>
      <c r="S2931" s="1" t="n"/>
    </row>
    <row r="2932" ht="18" customHeight="1" s="305">
      <c r="A2932" s="8" t="inlineStr">
        <is>
          <t>C 604</t>
        </is>
      </c>
      <c r="B2932" s="5" t="n">
        <v>162</v>
      </c>
      <c r="C2932" s="6" t="inlineStr">
        <is>
          <t>X</t>
        </is>
      </c>
      <c r="D2932" s="5" t="n">
        <v>448</v>
      </c>
      <c r="E2932" s="2">
        <f>B2932*D2932/10000</f>
        <v/>
      </c>
      <c r="F2932" s="3">
        <f>B2932/30.48</f>
        <v/>
      </c>
      <c r="G2932" s="3">
        <f>D2932/30.48</f>
        <v/>
      </c>
      <c r="H2932" s="359" t="inlineStr">
        <is>
          <t>MCHD-TR</t>
        </is>
      </c>
      <c r="I2932" s="545" t="inlineStr">
        <is>
          <t>Laura Malagarie</t>
        </is>
      </c>
      <c r="J2932" s="545" t="n"/>
      <c r="S2932" s="1" t="n"/>
    </row>
    <row r="2933" ht="18" customHeight="1" s="305">
      <c r="A2933" s="8" t="n">
        <v>3382</v>
      </c>
      <c r="B2933" s="5" t="n">
        <v>65</v>
      </c>
      <c r="C2933" s="72" t="inlineStr">
        <is>
          <t>X</t>
        </is>
      </c>
      <c r="D2933" s="5" t="n">
        <v>217</v>
      </c>
      <c r="E2933" s="73">
        <f>B2933*D2933/10000</f>
        <v/>
      </c>
      <c r="F2933" s="74">
        <f>B2933/30.48</f>
        <v/>
      </c>
      <c r="G2933" s="74">
        <f>D2933/30.48</f>
        <v/>
      </c>
      <c r="H2933" s="592" t="inlineStr">
        <is>
          <t>LR</t>
        </is>
      </c>
      <c r="I2933" s="570" t="inlineStr">
        <is>
          <t>Amy Morris</t>
        </is>
      </c>
      <c r="J2933" s="557" t="n"/>
      <c r="S2933" s="1" t="n"/>
    </row>
    <row r="2934" ht="18" customHeight="1" s="305">
      <c r="A2934" s="8" t="inlineStr">
        <is>
          <t>H 99</t>
        </is>
      </c>
      <c r="B2934" s="5" t="n">
        <v>83</v>
      </c>
      <c r="C2934" s="72" t="inlineStr">
        <is>
          <t>X</t>
        </is>
      </c>
      <c r="D2934" s="5" t="n">
        <v>357</v>
      </c>
      <c r="E2934" s="73">
        <f>B2934*D2934/10000</f>
        <v/>
      </c>
      <c r="F2934" s="74">
        <f>B2934/30.48</f>
        <v/>
      </c>
      <c r="G2934" s="74">
        <f>D2934/30.48</f>
        <v/>
      </c>
      <c r="H2934" s="553" t="inlineStr">
        <is>
          <t>WTR</t>
        </is>
      </c>
      <c r="I2934" s="570" t="inlineStr">
        <is>
          <t>Megan Parker</t>
        </is>
      </c>
      <c r="J2934" s="557" t="n"/>
      <c r="S2934" s="1" t="n"/>
    </row>
    <row r="2935" ht="18" customHeight="1" s="305">
      <c r="A2935" s="28" t="inlineStr">
        <is>
          <t>D 1106</t>
        </is>
      </c>
      <c r="B2935" s="29" t="n">
        <v>43</v>
      </c>
      <c r="C2935" s="236" t="inlineStr">
        <is>
          <t>X</t>
        </is>
      </c>
      <c r="D2935" s="29" t="n">
        <v>94</v>
      </c>
      <c r="E2935" s="237">
        <f>B2935*D2935/10000</f>
        <v/>
      </c>
      <c r="F2935" s="238">
        <f>B2935/30.48</f>
        <v/>
      </c>
      <c r="G2935" s="238">
        <f>D2935/30.48</f>
        <v/>
      </c>
      <c r="H2935" s="592" t="inlineStr">
        <is>
          <t>LMX</t>
        </is>
      </c>
      <c r="I2935" s="570" t="inlineStr">
        <is>
          <t>michelle williams</t>
        </is>
      </c>
      <c r="J2935" s="557" t="n"/>
    </row>
    <row r="2936" ht="18" customHeight="1" s="305">
      <c r="A2936" s="28" t="inlineStr">
        <is>
          <t>D 487</t>
        </is>
      </c>
      <c r="B2936" s="29" t="n">
        <v>50</v>
      </c>
      <c r="C2936" s="236" t="inlineStr">
        <is>
          <t>X</t>
        </is>
      </c>
      <c r="D2936" s="29" t="n">
        <v>98</v>
      </c>
      <c r="E2936" s="237">
        <f>B2936*D2936/10000</f>
        <v/>
      </c>
      <c r="F2936" s="238">
        <f>B2936/30.48</f>
        <v/>
      </c>
      <c r="G2936" s="238">
        <f>D2936/30.48</f>
        <v/>
      </c>
      <c r="H2936" s="37" t="inlineStr">
        <is>
          <t>WLR</t>
        </is>
      </c>
      <c r="I2936" s="534" t="inlineStr">
        <is>
          <t>Shannon thomas</t>
        </is>
      </c>
      <c r="J2936" s="545" t="n"/>
    </row>
    <row r="2937" ht="18" customHeight="1" s="305">
      <c r="A2937" s="28" t="inlineStr">
        <is>
          <t>D 638</t>
        </is>
      </c>
      <c r="B2937" s="29" t="n">
        <v>45</v>
      </c>
      <c r="C2937" s="236" t="inlineStr">
        <is>
          <t>X</t>
        </is>
      </c>
      <c r="D2937" s="29" t="n">
        <v>97</v>
      </c>
      <c r="E2937" s="237">
        <f>B2937*D2937/10000</f>
        <v/>
      </c>
      <c r="F2937" s="238">
        <f>B2937/30.48</f>
        <v/>
      </c>
      <c r="G2937" s="238">
        <f>D2937/30.48</f>
        <v/>
      </c>
      <c r="H2937" s="37" t="inlineStr">
        <is>
          <t>WLR</t>
        </is>
      </c>
      <c r="I2937" s="570" t="n"/>
      <c r="J2937" s="557" t="n"/>
    </row>
    <row r="2938" ht="18" customHeight="1" s="305">
      <c r="A2938" s="8" t="inlineStr">
        <is>
          <t>İ-48</t>
        </is>
      </c>
      <c r="B2938" s="5" t="n">
        <v>289</v>
      </c>
      <c r="C2938" s="72" t="inlineStr">
        <is>
          <t>X</t>
        </is>
      </c>
      <c r="D2938" s="5" t="n">
        <v>392</v>
      </c>
      <c r="E2938" s="73">
        <f>B2938*D2938/10000</f>
        <v/>
      </c>
      <c r="F2938" s="74">
        <f>B2938/30.48</f>
        <v/>
      </c>
      <c r="G2938" s="74">
        <f>D2938/30.48</f>
        <v/>
      </c>
      <c r="H2938" s="553" t="inlineStr">
        <is>
          <t>WTR</t>
        </is>
      </c>
      <c r="I2938" s="570" t="inlineStr">
        <is>
          <t>Marilyn S Horwath</t>
        </is>
      </c>
      <c r="J2938" s="557" t="n"/>
    </row>
    <row r="2939" ht="18" customHeight="1" s="305">
      <c r="A2939" s="8" t="inlineStr">
        <is>
          <t>İ-84</t>
        </is>
      </c>
      <c r="B2939" s="5" t="n">
        <v>293</v>
      </c>
      <c r="C2939" s="72" t="inlineStr">
        <is>
          <t>X</t>
        </is>
      </c>
      <c r="D2939" s="5" t="n">
        <v>380</v>
      </c>
      <c r="E2939" s="73">
        <f>B2939*D2939/10000</f>
        <v/>
      </c>
      <c r="F2939" s="74">
        <f>B2939/30.48</f>
        <v/>
      </c>
      <c r="G2939" s="74">
        <f>D2939/30.48</f>
        <v/>
      </c>
      <c r="H2939" s="553" t="inlineStr">
        <is>
          <t>WTR</t>
        </is>
      </c>
      <c r="I2939" s="570" t="inlineStr">
        <is>
          <t>Robert Douglass</t>
        </is>
      </c>
      <c r="J2939" s="557" t="n"/>
      <c r="S2939" s="1" t="n"/>
    </row>
    <row r="2940" ht="18" customHeight="1" s="305">
      <c r="A2940" s="8" t="inlineStr">
        <is>
          <t>İ-59</t>
        </is>
      </c>
      <c r="B2940" s="5" t="n">
        <v>290</v>
      </c>
      <c r="C2940" s="72" t="inlineStr">
        <is>
          <t>X</t>
        </is>
      </c>
      <c r="D2940" s="5" t="n">
        <v>378</v>
      </c>
      <c r="E2940" s="73">
        <f>B2940*D2940/10000</f>
        <v/>
      </c>
      <c r="F2940" s="74">
        <f>B2940/30.48</f>
        <v/>
      </c>
      <c r="G2940" s="74">
        <f>D2940/30.48</f>
        <v/>
      </c>
      <c r="H2940" s="553" t="inlineStr">
        <is>
          <t>WTR</t>
        </is>
      </c>
      <c r="I2940" s="570" t="inlineStr">
        <is>
          <t>Katie Hura</t>
        </is>
      </c>
      <c r="J2940" s="557" t="n"/>
      <c r="S2940" s="1" t="n"/>
    </row>
    <row r="2941" ht="18" customHeight="1" s="305">
      <c r="A2941" s="8" t="n">
        <v>2556</v>
      </c>
      <c r="B2941" s="5" t="n">
        <v>136</v>
      </c>
      <c r="C2941" s="72" t="inlineStr">
        <is>
          <t>X</t>
        </is>
      </c>
      <c r="D2941" s="5" t="n">
        <v>241</v>
      </c>
      <c r="E2941" s="73">
        <f>B2941*D2941/10000</f>
        <v/>
      </c>
      <c r="F2941" s="74">
        <f>B2941/30.48</f>
        <v/>
      </c>
      <c r="G2941" s="74">
        <f>D2941/30.48</f>
        <v/>
      </c>
      <c r="H2941" s="37" t="inlineStr">
        <is>
          <t>LLC</t>
        </is>
      </c>
      <c r="I2941" s="570" t="inlineStr">
        <is>
          <t>Ward North American - ZZ DRIGGS RAINEY</t>
        </is>
      </c>
      <c r="J2941" s="557" t="n"/>
    </row>
    <row r="2942" ht="18" customHeight="1" s="305">
      <c r="A2942" s="8" t="n">
        <v>2950</v>
      </c>
      <c r="B2942" s="5" t="n">
        <v>168</v>
      </c>
      <c r="C2942" s="72" t="inlineStr">
        <is>
          <t>X</t>
        </is>
      </c>
      <c r="D2942" s="5" t="n">
        <v>261</v>
      </c>
      <c r="E2942" s="73">
        <f>B2942*D2942/10000</f>
        <v/>
      </c>
      <c r="F2942" s="74">
        <f>B2942/30.48</f>
        <v/>
      </c>
      <c r="G2942" s="74">
        <f>D2942/30.48</f>
        <v/>
      </c>
      <c r="H2942" s="694" t="n"/>
      <c r="I2942" s="693" t="n"/>
      <c r="J2942" s="557" t="n"/>
      <c r="S2942" s="1" t="n"/>
    </row>
    <row r="2943" ht="18" customHeight="1" s="305">
      <c r="A2943" s="8" t="n">
        <v>3871</v>
      </c>
      <c r="B2943" s="5" t="n">
        <v>192</v>
      </c>
      <c r="C2943" s="72" t="inlineStr">
        <is>
          <t>X</t>
        </is>
      </c>
      <c r="D2943" s="5" t="n">
        <v>270</v>
      </c>
      <c r="E2943" s="73">
        <f>B2943*D2943/10000</f>
        <v/>
      </c>
      <c r="F2943" s="74">
        <f>B2943/30.48</f>
        <v/>
      </c>
      <c r="G2943" s="74">
        <f>D2943/30.48</f>
        <v/>
      </c>
      <c r="H2943" s="290" t="inlineStr">
        <is>
          <t>WCR</t>
        </is>
      </c>
      <c r="I2943" s="694" t="n"/>
      <c r="J2943" s="557" t="n"/>
      <c r="S2943" s="1" t="n"/>
    </row>
    <row r="2944" ht="18" customHeight="1" s="305">
      <c r="A2944" s="8" t="n">
        <v>3452</v>
      </c>
      <c r="B2944" s="5" t="n">
        <v>85</v>
      </c>
      <c r="C2944" s="72" t="inlineStr">
        <is>
          <t>X</t>
        </is>
      </c>
      <c r="D2944" s="5" t="n">
        <v>397</v>
      </c>
      <c r="E2944" s="73">
        <f>B2944*D2944/10000</f>
        <v/>
      </c>
      <c r="F2944" s="74">
        <f>B2944/30.48</f>
        <v/>
      </c>
      <c r="G2944" s="74">
        <f>D2944/30.48</f>
        <v/>
      </c>
      <c r="H2944" s="37" t="inlineStr">
        <is>
          <t>BHR</t>
        </is>
      </c>
      <c r="I2944" s="534" t="inlineStr">
        <is>
          <t>Merritt Saunders</t>
        </is>
      </c>
      <c r="J2944" s="545" t="n"/>
      <c r="S2944" s="1" t="n"/>
    </row>
    <row r="2945" ht="18" customHeight="1" s="305">
      <c r="A2945" s="8" t="n">
        <v>3780</v>
      </c>
      <c r="B2945" s="5" t="n">
        <v>133</v>
      </c>
      <c r="C2945" s="72" t="inlineStr">
        <is>
          <t>X</t>
        </is>
      </c>
      <c r="D2945" s="5" t="n">
        <v>230</v>
      </c>
      <c r="E2945" s="73">
        <f>B2945*D2945/10000</f>
        <v/>
      </c>
      <c r="F2945" s="74">
        <f>B2945/30.48</f>
        <v/>
      </c>
      <c r="G2945" s="74">
        <f>D2945/30.48</f>
        <v/>
      </c>
      <c r="H2945" s="37" t="inlineStr">
        <is>
          <t>WLR</t>
        </is>
      </c>
      <c r="I2945" s="570" t="inlineStr">
        <is>
          <t>jimmy chan</t>
        </is>
      </c>
      <c r="J2945" s="557" t="n"/>
    </row>
    <row r="2946" ht="18" customHeight="1" s="305">
      <c r="A2946" s="8" t="n">
        <v>3069</v>
      </c>
      <c r="B2946" s="5" t="n">
        <v>270</v>
      </c>
      <c r="C2946" s="72" t="inlineStr">
        <is>
          <t>X</t>
        </is>
      </c>
      <c r="D2946" s="5" t="n">
        <v>362</v>
      </c>
      <c r="E2946" s="73">
        <f>B2946*D2946/10000</f>
        <v/>
      </c>
      <c r="F2946" s="74">
        <f>B2946/30.48</f>
        <v/>
      </c>
      <c r="G2946" s="74">
        <f>D2946/30.48</f>
        <v/>
      </c>
      <c r="H2946" s="553" t="inlineStr">
        <is>
          <t>WTR</t>
        </is>
      </c>
      <c r="I2946" s="570" t="inlineStr">
        <is>
          <t>Emily Vaughan</t>
        </is>
      </c>
      <c r="J2946" s="557" t="n"/>
    </row>
    <row r="2947" ht="18" customHeight="1" s="305">
      <c r="A2947" s="8" t="n">
        <v>1703</v>
      </c>
      <c r="B2947" s="5" t="n">
        <v>289</v>
      </c>
      <c r="C2947" s="72" t="inlineStr">
        <is>
          <t>X</t>
        </is>
      </c>
      <c r="D2947" s="5" t="n">
        <v>363</v>
      </c>
      <c r="E2947" s="73">
        <f>B2947*D2947/10000</f>
        <v/>
      </c>
      <c r="F2947" s="74">
        <f>B2947/30.48</f>
        <v/>
      </c>
      <c r="G2947" s="74">
        <f>D2947/30.48</f>
        <v/>
      </c>
      <c r="H2947" s="553" t="inlineStr">
        <is>
          <t>WTR</t>
        </is>
      </c>
      <c r="I2947" s="534" t="inlineStr">
        <is>
          <t>Amy Langenmayr Garrow</t>
        </is>
      </c>
      <c r="J2947" s="545" t="n"/>
    </row>
    <row r="2948" ht="18" customHeight="1" s="305">
      <c r="A2948" s="8" t="inlineStr">
        <is>
          <t>İ-81</t>
        </is>
      </c>
      <c r="B2948" s="5" t="n">
        <v>149</v>
      </c>
      <c r="C2948" s="72" t="inlineStr">
        <is>
          <t>X</t>
        </is>
      </c>
      <c r="D2948" s="5" t="n">
        <v>325</v>
      </c>
      <c r="E2948" s="73">
        <f>B2948*D2948/10000</f>
        <v/>
      </c>
      <c r="F2948" s="74">
        <f>B2948/30.48</f>
        <v/>
      </c>
      <c r="G2948" s="74">
        <f>D2948/30.48</f>
        <v/>
      </c>
      <c r="H2948" s="37" t="inlineStr">
        <is>
          <t>WLR</t>
        </is>
      </c>
      <c r="I2948" s="534" t="inlineStr">
        <is>
          <t>Eve Whitman</t>
        </is>
      </c>
      <c r="J2948" s="545" t="n"/>
    </row>
    <row r="2949" ht="18" customHeight="1" s="305">
      <c r="A2949" s="8" t="n">
        <v>3503</v>
      </c>
      <c r="B2949" s="5" t="n">
        <v>85</v>
      </c>
      <c r="C2949" s="72" t="inlineStr">
        <is>
          <t>X</t>
        </is>
      </c>
      <c r="D2949" s="5" t="n">
        <v>459</v>
      </c>
      <c r="E2949" s="73">
        <f>B2949*D2949/10000</f>
        <v/>
      </c>
      <c r="F2949" s="74">
        <f>B2949/30.48</f>
        <v/>
      </c>
      <c r="G2949" s="74">
        <f>D2949/30.48</f>
        <v/>
      </c>
      <c r="H2949" s="37" t="inlineStr">
        <is>
          <t>LLC</t>
        </is>
      </c>
      <c r="I2949" s="534" t="inlineStr">
        <is>
          <t>katy king</t>
        </is>
      </c>
      <c r="J2949" s="545" t="n"/>
    </row>
    <row r="2950" ht="18" customHeight="1" s="305">
      <c r="A2950" s="28" t="inlineStr">
        <is>
          <t>D 667</t>
        </is>
      </c>
      <c r="B2950" s="29" t="n">
        <v>48</v>
      </c>
      <c r="C2950" s="236" t="inlineStr">
        <is>
          <t>X</t>
        </is>
      </c>
      <c r="D2950" s="29" t="n">
        <v>99</v>
      </c>
      <c r="E2950" s="237">
        <f>B2950*D2950/10000</f>
        <v/>
      </c>
      <c r="F2950" s="238">
        <f>B2950/30.48</f>
        <v/>
      </c>
      <c r="G2950" s="238">
        <f>D2950/30.48</f>
        <v/>
      </c>
      <c r="H2950" s="592" t="inlineStr">
        <is>
          <t>LR</t>
        </is>
      </c>
      <c r="I2950" s="570" t="inlineStr">
        <is>
          <t>robin klein</t>
        </is>
      </c>
      <c r="J2950" s="557" t="n"/>
    </row>
    <row r="2951" ht="18" customHeight="1" s="305">
      <c r="A2951" s="28" t="inlineStr">
        <is>
          <t>D 663</t>
        </is>
      </c>
      <c r="B2951" s="29" t="n">
        <v>53</v>
      </c>
      <c r="C2951" s="236" t="inlineStr">
        <is>
          <t>X</t>
        </is>
      </c>
      <c r="D2951" s="29" t="n">
        <v>108</v>
      </c>
      <c r="E2951" s="237">
        <f>B2951*D2951/10000</f>
        <v/>
      </c>
      <c r="F2951" s="238">
        <f>B2951/30.48</f>
        <v/>
      </c>
      <c r="G2951" s="238">
        <f>D2951/30.48</f>
        <v/>
      </c>
      <c r="H2951" s="357" t="inlineStr">
        <is>
          <t>RST</t>
        </is>
      </c>
      <c r="I2951" s="534" t="inlineStr">
        <is>
          <t>Michelle Dietz</t>
        </is>
      </c>
      <c r="J2951" s="545" t="n"/>
    </row>
    <row r="2952" ht="18" customHeight="1" s="305">
      <c r="A2952" s="8" t="inlineStr">
        <is>
          <t>İ-83</t>
        </is>
      </c>
      <c r="B2952" s="5" t="n">
        <v>290</v>
      </c>
      <c r="C2952" s="72" t="inlineStr">
        <is>
          <t>X</t>
        </is>
      </c>
      <c r="D2952" s="5" t="n">
        <v>392</v>
      </c>
      <c r="E2952" s="73">
        <f>B2952*D2952/10000</f>
        <v/>
      </c>
      <c r="F2952" s="74">
        <f>B2952/30.48</f>
        <v/>
      </c>
      <c r="G2952" s="74">
        <f>D2952/30.48</f>
        <v/>
      </c>
      <c r="H2952" s="37" t="inlineStr">
        <is>
          <t>PAC</t>
        </is>
      </c>
      <c r="I2952" s="570" t="inlineStr">
        <is>
          <t>Carleigh Mahoney</t>
        </is>
      </c>
      <c r="J2952" s="557" t="n"/>
    </row>
    <row r="2953" ht="18" customHeight="1" s="305">
      <c r="A2953" s="8" t="inlineStr">
        <is>
          <t>Y 830</t>
        </is>
      </c>
      <c r="B2953" s="5" t="n">
        <v>280</v>
      </c>
      <c r="C2953" s="6" t="inlineStr">
        <is>
          <t>X</t>
        </is>
      </c>
      <c r="D2953" s="5" t="n">
        <v>440</v>
      </c>
      <c r="E2953" s="2">
        <f>B2953*D2953/10000</f>
        <v/>
      </c>
      <c r="F2953" s="3">
        <f>B2953/30.48</f>
        <v/>
      </c>
      <c r="G2953" s="3">
        <f>D2953/30.48</f>
        <v/>
      </c>
      <c r="H2953" s="37" t="inlineStr">
        <is>
          <t>PAC</t>
        </is>
      </c>
      <c r="I2953" s="570" t="inlineStr">
        <is>
          <t>Derham O&amp;#39;Neill</t>
        </is>
      </c>
      <c r="J2953" s="557" t="n"/>
    </row>
    <row r="2954" ht="18" customHeight="1" s="305">
      <c r="A2954" s="28" t="inlineStr">
        <is>
          <t>D 654</t>
        </is>
      </c>
      <c r="B2954" s="29" t="n">
        <v>51</v>
      </c>
      <c r="C2954" s="236" t="inlineStr">
        <is>
          <t>X</t>
        </is>
      </c>
      <c r="D2954" s="29" t="n">
        <v>100</v>
      </c>
      <c r="E2954" s="237">
        <f>B2954*D2954/10000</f>
        <v/>
      </c>
      <c r="F2954" s="238">
        <f>B2954/30.48</f>
        <v/>
      </c>
      <c r="G2954" s="238">
        <f>D2954/30.48</f>
        <v/>
      </c>
      <c r="H2954" s="37" t="inlineStr">
        <is>
          <t>WLR</t>
        </is>
      </c>
      <c r="I2954" s="570" t="inlineStr">
        <is>
          <t>MARINA BROSCHOFSKY</t>
        </is>
      </c>
      <c r="J2954" s="557" t="n"/>
    </row>
    <row r="2955" ht="18" customHeight="1" s="305">
      <c r="A2955" s="8" t="n">
        <v>2436</v>
      </c>
      <c r="B2955" s="5" t="n">
        <v>84</v>
      </c>
      <c r="C2955" s="72" t="inlineStr">
        <is>
          <t>X</t>
        </is>
      </c>
      <c r="D2955" s="5" t="n">
        <v>364</v>
      </c>
      <c r="E2955" s="73">
        <f>B2955*D2955/10000</f>
        <v/>
      </c>
      <c r="F2955" s="74">
        <f>B2955/30.48</f>
        <v/>
      </c>
      <c r="G2955" s="74">
        <f>D2955/30.48</f>
        <v/>
      </c>
      <c r="H2955" s="553" t="inlineStr">
        <is>
          <t>WTR</t>
        </is>
      </c>
      <c r="I2955" s="570" t="inlineStr">
        <is>
          <t>Elizabeth Jaxtheimer</t>
        </is>
      </c>
      <c r="J2955" s="557" t="n"/>
      <c r="S2955" s="1" t="n"/>
    </row>
    <row r="2956" ht="18" customHeight="1" s="305">
      <c r="A2956" s="8" t="inlineStr">
        <is>
          <t>D 425</t>
        </is>
      </c>
      <c r="B2956" s="5" t="n">
        <v>61</v>
      </c>
      <c r="C2956" s="72" t="inlineStr">
        <is>
          <t>X</t>
        </is>
      </c>
      <c r="D2956" s="5" t="n">
        <v>77</v>
      </c>
      <c r="E2956" s="73">
        <f>B2956*D2956/10000</f>
        <v/>
      </c>
      <c r="F2956" s="74">
        <f>B2956/30.48</f>
        <v/>
      </c>
      <c r="G2956" s="74">
        <f>D2956/30.48</f>
        <v/>
      </c>
      <c r="H2956" s="359" t="inlineStr">
        <is>
          <t>MCHD-TR</t>
        </is>
      </c>
      <c r="I2956" s="557" t="n"/>
      <c r="J2956" s="557" t="n"/>
    </row>
    <row r="2957" ht="18" customHeight="1" s="305">
      <c r="A2957" s="8" t="n">
        <v>2023</v>
      </c>
      <c r="B2957" s="5" t="n">
        <v>87</v>
      </c>
      <c r="C2957" s="72" t="inlineStr">
        <is>
          <t>X</t>
        </is>
      </c>
      <c r="D2957" s="5" t="n">
        <v>320</v>
      </c>
      <c r="E2957" s="73">
        <f>B2957*D2957/10000</f>
        <v/>
      </c>
      <c r="F2957" s="74">
        <f>B2957/30.48</f>
        <v/>
      </c>
      <c r="G2957" s="74">
        <f>D2957/30.48</f>
        <v/>
      </c>
      <c r="H2957" s="359" t="inlineStr">
        <is>
          <t>MCHD-TR</t>
        </is>
      </c>
      <c r="I2957" s="545" t="n"/>
      <c r="J2957" s="545" t="n"/>
      <c r="S2957" s="1" t="n"/>
    </row>
    <row r="2958" ht="18" customHeight="1" s="305">
      <c r="A2958" s="28" t="inlineStr">
        <is>
          <t>D 923</t>
        </is>
      </c>
      <c r="B2958" s="29" t="n">
        <v>41</v>
      </c>
      <c r="C2958" s="236" t="inlineStr">
        <is>
          <t>X</t>
        </is>
      </c>
      <c r="D2958" s="29" t="n">
        <v>106</v>
      </c>
      <c r="E2958" s="237">
        <f>B2958*D2958/10000</f>
        <v/>
      </c>
      <c r="F2958" s="238">
        <f>B2958/30.48</f>
        <v/>
      </c>
      <c r="G2958" s="238">
        <f>D2958/30.48</f>
        <v/>
      </c>
      <c r="H2958" s="592" t="inlineStr">
        <is>
          <t>LR</t>
        </is>
      </c>
      <c r="I2958" s="534" t="inlineStr">
        <is>
          <t>Mauricio Rodriguez Waxman</t>
        </is>
      </c>
      <c r="J2958" s="545" t="n"/>
    </row>
    <row r="2959" ht="18" customHeight="1" s="305">
      <c r="A2959" s="28" t="inlineStr">
        <is>
          <t>D 922</t>
        </is>
      </c>
      <c r="B2959" s="29" t="n">
        <v>53</v>
      </c>
      <c r="C2959" s="236" t="inlineStr">
        <is>
          <t>X</t>
        </is>
      </c>
      <c r="D2959" s="29" t="n">
        <v>110</v>
      </c>
      <c r="E2959" s="237">
        <f>B2959*D2959/10000</f>
        <v/>
      </c>
      <c r="F2959" s="238">
        <f>B2959/30.48</f>
        <v/>
      </c>
      <c r="G2959" s="238">
        <f>D2959/30.48</f>
        <v/>
      </c>
      <c r="H2959" s="592" t="inlineStr">
        <is>
          <t>LR</t>
        </is>
      </c>
      <c r="I2959" s="570" t="inlineStr">
        <is>
          <t>Sabine Barnett</t>
        </is>
      </c>
      <c r="J2959" s="557" t="n"/>
    </row>
    <row r="2960" ht="18" customHeight="1" s="305">
      <c r="A2960" s="8" t="n">
        <v>3378</v>
      </c>
      <c r="B2960" s="5" t="n">
        <v>90</v>
      </c>
      <c r="C2960" s="72" t="inlineStr">
        <is>
          <t>X</t>
        </is>
      </c>
      <c r="D2960" s="5" t="n">
        <v>308</v>
      </c>
      <c r="E2960" s="73">
        <f>B2960*D2960/10000</f>
        <v/>
      </c>
      <c r="F2960" s="74">
        <f>B2960/30.48</f>
        <v/>
      </c>
      <c r="G2960" s="74">
        <f>D2960/30.48</f>
        <v/>
      </c>
      <c r="H2960" s="553" t="inlineStr">
        <is>
          <t>WTR</t>
        </is>
      </c>
      <c r="I2960" s="534" t="inlineStr">
        <is>
          <t>Emily Moon</t>
        </is>
      </c>
      <c r="J2960" s="545" t="n"/>
    </row>
    <row r="2961" ht="18" customHeight="1" s="305">
      <c r="A2961" s="8" t="n">
        <v>2492</v>
      </c>
      <c r="B2961" s="5" t="n">
        <v>80</v>
      </c>
      <c r="C2961" s="72" t="inlineStr">
        <is>
          <t>X</t>
        </is>
      </c>
      <c r="D2961" s="5" t="n">
        <v>264</v>
      </c>
      <c r="E2961" s="73">
        <f>B2961*D2961/10000</f>
        <v/>
      </c>
      <c r="F2961" s="74">
        <f>B2961/30.48</f>
        <v/>
      </c>
      <c r="G2961" s="74">
        <f>D2961/30.48</f>
        <v/>
      </c>
      <c r="H2961" s="37" t="inlineStr">
        <is>
          <t>LLC</t>
        </is>
      </c>
      <c r="I2961" s="570" t="inlineStr">
        <is>
          <t>Brooke Christen</t>
        </is>
      </c>
      <c r="J2961" s="557" t="n"/>
    </row>
    <row r="2962" ht="18" customHeight="1" s="305">
      <c r="A2962" s="8" t="n">
        <v>3497</v>
      </c>
      <c r="B2962" s="5" t="n">
        <v>84</v>
      </c>
      <c r="C2962" s="72" t="inlineStr">
        <is>
          <t>X</t>
        </is>
      </c>
      <c r="D2962" s="5" t="n">
        <v>476</v>
      </c>
      <c r="E2962" s="73">
        <f>B2962*D2962/10000</f>
        <v/>
      </c>
      <c r="F2962" s="74">
        <f>B2962/30.48</f>
        <v/>
      </c>
      <c r="G2962" s="74">
        <f>D2962/30.48</f>
        <v/>
      </c>
      <c r="H2962" s="290" t="inlineStr">
        <is>
          <t>WCR</t>
        </is>
      </c>
      <c r="I2962" s="570" t="inlineStr">
        <is>
          <t>katy king</t>
        </is>
      </c>
      <c r="J2962" s="557" t="n"/>
      <c r="S2962" s="1" t="n"/>
    </row>
    <row r="2963" ht="18" customHeight="1" s="305">
      <c r="A2963" s="8" t="n">
        <v>2627</v>
      </c>
      <c r="B2963" s="5" t="n">
        <v>80</v>
      </c>
      <c r="C2963" s="72" t="inlineStr">
        <is>
          <t>X</t>
        </is>
      </c>
      <c r="D2963" s="5" t="n">
        <v>358</v>
      </c>
      <c r="E2963" s="73">
        <f>B2963*D2963/10000</f>
        <v/>
      </c>
      <c r="F2963" s="74">
        <f>B2963/30.48</f>
        <v/>
      </c>
      <c r="G2963" s="74">
        <f>D2963/30.48</f>
        <v/>
      </c>
      <c r="H2963" s="553" t="inlineStr">
        <is>
          <t>WTR</t>
        </is>
      </c>
      <c r="I2963" s="570" t="inlineStr">
        <is>
          <t>Studio Thomas</t>
        </is>
      </c>
      <c r="J2963" s="557" t="n"/>
      <c r="S2963" s="1" t="n"/>
    </row>
    <row r="2964" ht="18" customHeight="1" s="305">
      <c r="A2964" s="8" t="n">
        <v>4164</v>
      </c>
      <c r="B2964" s="5" t="n">
        <v>114</v>
      </c>
      <c r="C2964" s="72" t="inlineStr">
        <is>
          <t>X</t>
        </is>
      </c>
      <c r="D2964" s="5" t="n">
        <v>300</v>
      </c>
      <c r="E2964" s="73">
        <f>B2964*D2964/10000</f>
        <v/>
      </c>
      <c r="F2964" s="74">
        <f>B2964/30.48</f>
        <v/>
      </c>
      <c r="G2964" s="74">
        <f>D2964/30.48</f>
        <v/>
      </c>
      <c r="H2964" s="553" t="inlineStr">
        <is>
          <t>WTR</t>
        </is>
      </c>
      <c r="I2964" s="570" t="inlineStr">
        <is>
          <t>Kimberly Kreis</t>
        </is>
      </c>
      <c r="J2964" s="557" t="n"/>
      <c r="S2964" s="1" t="n"/>
    </row>
    <row r="2965" ht="18" customHeight="1" s="305">
      <c r="A2965" s="8" t="n">
        <v>1137</v>
      </c>
      <c r="B2965" s="5" t="n">
        <v>91</v>
      </c>
      <c r="C2965" s="72" t="inlineStr">
        <is>
          <t>X</t>
        </is>
      </c>
      <c r="D2965" s="5" t="n">
        <v>338</v>
      </c>
      <c r="E2965" s="73">
        <f>B2965*D2965/10000</f>
        <v/>
      </c>
      <c r="F2965" s="74">
        <f>B2965/30.48</f>
        <v/>
      </c>
      <c r="G2965" s="74">
        <f>D2965/30.48</f>
        <v/>
      </c>
      <c r="H2965" s="614" t="inlineStr">
        <is>
          <t>OLD</t>
        </is>
      </c>
      <c r="I2965" s="365" t="inlineStr">
        <is>
          <t>Lauren Prestridge</t>
        </is>
      </c>
      <c r="J2965" s="557" t="n"/>
    </row>
    <row r="2966" ht="18" customHeight="1" s="305">
      <c r="A2966" s="8" t="n">
        <v>1008</v>
      </c>
      <c r="B2966" s="5" t="n">
        <v>87</v>
      </c>
      <c r="C2966" s="72" t="inlineStr">
        <is>
          <t>X</t>
        </is>
      </c>
      <c r="D2966" s="5" t="n">
        <v>302</v>
      </c>
      <c r="E2966" s="73">
        <f>B2966*D2966/10000</f>
        <v/>
      </c>
      <c r="F2966" s="74">
        <f>B2966/30.48</f>
        <v/>
      </c>
      <c r="G2966" s="74">
        <f>D2966/30.48</f>
        <v/>
      </c>
      <c r="H2966" s="693" t="n"/>
      <c r="I2966" s="693" t="n"/>
      <c r="J2966" s="557" t="n"/>
    </row>
    <row r="2967" ht="18" customHeight="1" s="305">
      <c r="A2967" s="8" t="inlineStr">
        <is>
          <t>C 584</t>
        </is>
      </c>
      <c r="B2967" s="5" t="n">
        <v>85</v>
      </c>
      <c r="C2967" s="6" t="inlineStr">
        <is>
          <t>X</t>
        </is>
      </c>
      <c r="D2967" s="5" t="n">
        <v>340</v>
      </c>
      <c r="E2967" s="2">
        <f>B2967*D2967/10000</f>
        <v/>
      </c>
      <c r="F2967" s="3">
        <f>B2967/30.48</f>
        <v/>
      </c>
      <c r="G2967" s="3">
        <f>D2967/30.48</f>
        <v/>
      </c>
      <c r="H2967" s="693" t="n"/>
      <c r="I2967" s="693" t="n"/>
      <c r="J2967" s="557" t="n"/>
    </row>
    <row r="2968" ht="18" customHeight="1" s="305">
      <c r="A2968" s="8" t="inlineStr">
        <is>
          <t>Y 167</t>
        </is>
      </c>
      <c r="B2968" s="5" t="n">
        <v>251</v>
      </c>
      <c r="C2968" s="6" t="inlineStr">
        <is>
          <t>X</t>
        </is>
      </c>
      <c r="D2968" s="5" t="n">
        <v>159</v>
      </c>
      <c r="E2968" s="2">
        <f>B2968*D2968/10000</f>
        <v/>
      </c>
      <c r="F2968" s="3">
        <f>B2968/30.48</f>
        <v/>
      </c>
      <c r="G2968" s="3">
        <f>D2968/30.48</f>
        <v/>
      </c>
      <c r="H2968" s="694" t="n"/>
      <c r="I2968" s="694" t="n"/>
      <c r="J2968" s="557" t="n"/>
    </row>
    <row r="2969" ht="18" customHeight="1" s="305">
      <c r="A2969" s="8" t="inlineStr">
        <is>
          <t>C 414</t>
        </is>
      </c>
      <c r="B2969" s="5" t="n">
        <v>140</v>
      </c>
      <c r="C2969" s="6" t="inlineStr">
        <is>
          <t>X</t>
        </is>
      </c>
      <c r="D2969" s="5" t="n">
        <v>198</v>
      </c>
      <c r="E2969" s="2">
        <f>B2969*D2969/10000</f>
        <v/>
      </c>
      <c r="F2969" s="3">
        <f>B2969/30.48</f>
        <v/>
      </c>
      <c r="G2969" s="3">
        <f>D2969/30.48</f>
        <v/>
      </c>
      <c r="H2969" s="359" t="inlineStr">
        <is>
          <t>MCHD-TR</t>
        </is>
      </c>
      <c r="I2969" s="545" t="n"/>
      <c r="J2969" s="545" t="n"/>
      <c r="S2969" s="1" t="n"/>
    </row>
    <row r="2970" ht="18" customHeight="1" s="305">
      <c r="A2970" s="8" t="n">
        <v>2032</v>
      </c>
      <c r="B2970" s="5" t="n">
        <v>90</v>
      </c>
      <c r="C2970" s="72" t="inlineStr">
        <is>
          <t>X</t>
        </is>
      </c>
      <c r="D2970" s="5" t="n">
        <v>366</v>
      </c>
      <c r="E2970" s="73">
        <f>B2970*D2970/10000</f>
        <v/>
      </c>
      <c r="F2970" s="74">
        <f>B2970/30.48</f>
        <v/>
      </c>
      <c r="G2970" s="74">
        <f>D2970/30.48</f>
        <v/>
      </c>
      <c r="H2970" s="357" t="inlineStr">
        <is>
          <t>RST</t>
        </is>
      </c>
      <c r="I2970" s="534" t="inlineStr">
        <is>
          <t>Marin Jones</t>
        </is>
      </c>
      <c r="J2970" s="545" t="n"/>
    </row>
    <row r="2971" ht="18" customHeight="1" s="305">
      <c r="A2971" s="8" t="n">
        <v>1503</v>
      </c>
      <c r="B2971" s="5" t="n">
        <v>101</v>
      </c>
      <c r="C2971" s="72" t="inlineStr">
        <is>
          <t>X</t>
        </is>
      </c>
      <c r="D2971" s="5" t="n">
        <v>326</v>
      </c>
      <c r="E2971" s="73">
        <f>B2971*D2971/10000</f>
        <v/>
      </c>
      <c r="F2971" s="74">
        <f>B2971/30.48</f>
        <v/>
      </c>
      <c r="G2971" s="74">
        <f>D2971/30.48</f>
        <v/>
      </c>
      <c r="H2971" s="614" t="inlineStr">
        <is>
          <t>RST</t>
        </is>
      </c>
      <c r="I2971" s="570" t="inlineStr">
        <is>
          <t>Holly Forsythe</t>
        </is>
      </c>
      <c r="J2971" s="557" t="n"/>
    </row>
    <row r="2972" ht="18" customHeight="1" s="305">
      <c r="A2972" s="8" t="n">
        <v>1377</v>
      </c>
      <c r="B2972" s="5" t="n">
        <v>93</v>
      </c>
      <c r="C2972" s="72" t="inlineStr">
        <is>
          <t>X</t>
        </is>
      </c>
      <c r="D2972" s="5" t="n">
        <v>368</v>
      </c>
      <c r="E2972" s="73">
        <f>B2972*D2972/10000</f>
        <v/>
      </c>
      <c r="F2972" s="74" t="n">
        <v>33</v>
      </c>
      <c r="G2972" s="74">
        <f>D2972/30.48</f>
        <v/>
      </c>
      <c r="H2972" s="694" t="n"/>
      <c r="I2972" s="694" t="n"/>
      <c r="J2972" s="557" t="n"/>
      <c r="S2972" s="1" t="n"/>
    </row>
    <row r="2973" ht="18" customHeight="1" s="305">
      <c r="A2973" s="8" t="inlineStr">
        <is>
          <t>D 298</t>
        </is>
      </c>
      <c r="B2973" s="5" t="n">
        <v>42</v>
      </c>
      <c r="C2973" s="72" t="inlineStr">
        <is>
          <t>X</t>
        </is>
      </c>
      <c r="D2973" s="5" t="n">
        <v>85</v>
      </c>
      <c r="E2973" s="73">
        <f>B2973*D2973/10000</f>
        <v/>
      </c>
      <c r="F2973" s="74">
        <f>B2973/30.48</f>
        <v/>
      </c>
      <c r="G2973" s="74">
        <f>D2973/30.48</f>
        <v/>
      </c>
      <c r="H2973" s="553" t="inlineStr">
        <is>
          <t>WTR</t>
        </is>
      </c>
      <c r="I2973" s="570" t="inlineStr">
        <is>
          <t>Lee Heekin</t>
        </is>
      </c>
      <c r="J2973" s="557" t="n"/>
    </row>
    <row r="2974" ht="18" customHeight="1" s="305">
      <c r="A2974" s="8" t="inlineStr">
        <is>
          <t>D 396</t>
        </is>
      </c>
      <c r="B2974" s="5" t="n">
        <v>60</v>
      </c>
      <c r="C2974" s="72" t="inlineStr">
        <is>
          <t>X</t>
        </is>
      </c>
      <c r="D2974" s="5" t="n">
        <v>92</v>
      </c>
      <c r="E2974" s="73">
        <f>B2974*D2974/10000</f>
        <v/>
      </c>
      <c r="F2974" s="74">
        <f>B2974/30.48</f>
        <v/>
      </c>
      <c r="G2974" s="74">
        <f>D2974/30.48</f>
        <v/>
      </c>
      <c r="H2974" s="553" t="inlineStr">
        <is>
          <t>WTR</t>
        </is>
      </c>
      <c r="I2974" s="570" t="inlineStr">
        <is>
          <t>Laura McLaughlin</t>
        </is>
      </c>
      <c r="J2974" s="557" t="n"/>
    </row>
    <row r="2975" ht="18" customHeight="1" s="305">
      <c r="A2975" s="8" t="n">
        <v>4250</v>
      </c>
      <c r="B2975" s="5" t="n">
        <v>108</v>
      </c>
      <c r="C2975" s="72" t="inlineStr">
        <is>
          <t>X</t>
        </is>
      </c>
      <c r="D2975" s="5" t="n">
        <v>425</v>
      </c>
      <c r="E2975" s="73">
        <f>B2975*D2975/10000</f>
        <v/>
      </c>
      <c r="F2975" s="74">
        <f>B2975/30.48</f>
        <v/>
      </c>
      <c r="G2975" s="74">
        <f>D2975/30.48</f>
        <v/>
      </c>
      <c r="H2975" s="553" t="inlineStr">
        <is>
          <t>WTR</t>
        </is>
      </c>
      <c r="I2975" s="570" t="inlineStr">
        <is>
          <t>Lindsey Wingo</t>
        </is>
      </c>
      <c r="J2975" s="557" t="n"/>
      <c r="S2975" s="1" t="n"/>
    </row>
    <row r="2976" ht="18" customHeight="1" s="305">
      <c r="A2976" s="8" t="n">
        <v>3904</v>
      </c>
      <c r="B2976" s="5" t="n">
        <v>80</v>
      </c>
      <c r="C2976" s="72" t="inlineStr">
        <is>
          <t>X</t>
        </is>
      </c>
      <c r="D2976" s="5" t="n">
        <v>323</v>
      </c>
      <c r="E2976" s="73">
        <f>B2976*D2976/10000</f>
        <v/>
      </c>
      <c r="F2976" s="74">
        <f>B2976/30.48</f>
        <v/>
      </c>
      <c r="G2976" s="74">
        <f>D2976/30.48</f>
        <v/>
      </c>
      <c r="H2976" s="592" t="inlineStr">
        <is>
          <t>LMX</t>
        </is>
      </c>
      <c r="I2976" s="570" t="inlineStr">
        <is>
          <t>Mary Collis</t>
        </is>
      </c>
      <c r="J2976" s="557" t="n"/>
      <c r="S2976" s="1" t="n"/>
    </row>
    <row r="2977" ht="18" customHeight="1" s="305">
      <c r="A2977" s="8" t="n">
        <v>3481</v>
      </c>
      <c r="B2977" s="5" t="n">
        <v>90</v>
      </c>
      <c r="C2977" s="72" t="inlineStr">
        <is>
          <t>X</t>
        </is>
      </c>
      <c r="D2977" s="5" t="n">
        <v>318</v>
      </c>
      <c r="E2977" s="73">
        <f>B2977*D2977/10000</f>
        <v/>
      </c>
      <c r="F2977" s="74">
        <f>B2977/30.48</f>
        <v/>
      </c>
      <c r="G2977" s="74">
        <f>D2977/30.48</f>
        <v/>
      </c>
      <c r="H2977" s="37" t="inlineStr">
        <is>
          <t>LLC</t>
        </is>
      </c>
      <c r="I2977" s="570" t="inlineStr">
        <is>
          <t>Emily Hay</t>
        </is>
      </c>
      <c r="J2977" s="557" t="n"/>
      <c r="S2977" s="1" t="n"/>
    </row>
    <row r="2978" ht="18" customHeight="1" s="305">
      <c r="A2978" s="8" t="n">
        <v>3739</v>
      </c>
      <c r="B2978" s="5" t="n">
        <v>90</v>
      </c>
      <c r="C2978" s="72" t="inlineStr">
        <is>
          <t>X</t>
        </is>
      </c>
      <c r="D2978" s="5" t="n">
        <v>297</v>
      </c>
      <c r="E2978" s="73">
        <f>B2978*D2978/10000</f>
        <v/>
      </c>
      <c r="F2978" s="74">
        <f>B2978/30.48</f>
        <v/>
      </c>
      <c r="G2978" s="74">
        <f>D2978/30.48</f>
        <v/>
      </c>
      <c r="H2978" s="37" t="inlineStr">
        <is>
          <t>LLC</t>
        </is>
      </c>
      <c r="I2978" s="570" t="inlineStr">
        <is>
          <t>christy gohn</t>
        </is>
      </c>
      <c r="J2978" s="557" t="n"/>
      <c r="S2978" s="1" t="n"/>
    </row>
    <row r="2979" ht="18" customHeight="1" s="305">
      <c r="A2979" s="8" t="n">
        <v>3669</v>
      </c>
      <c r="B2979" s="5" t="n">
        <v>147</v>
      </c>
      <c r="C2979" s="72" t="inlineStr">
        <is>
          <t>X</t>
        </is>
      </c>
      <c r="D2979" s="5" t="n">
        <v>244</v>
      </c>
      <c r="E2979" s="73">
        <f>B2979*D2979/10000</f>
        <v/>
      </c>
      <c r="F2979" s="74">
        <f>B2979/30.48</f>
        <v/>
      </c>
      <c r="G2979" s="74">
        <f>D2979/30.48</f>
        <v/>
      </c>
      <c r="H2979" s="37" t="inlineStr">
        <is>
          <t>LLC</t>
        </is>
      </c>
      <c r="I2979" s="570" t="inlineStr">
        <is>
          <t>Genevieve Winter</t>
        </is>
      </c>
      <c r="J2979" s="557" t="n"/>
      <c r="S2979" s="1" t="n"/>
    </row>
    <row r="2980" ht="18" customHeight="1" s="305">
      <c r="A2980" s="8" t="n">
        <v>2898</v>
      </c>
      <c r="B2980" s="5" t="n">
        <v>52</v>
      </c>
      <c r="C2980" s="72" t="inlineStr">
        <is>
          <t>X</t>
        </is>
      </c>
      <c r="D2980" s="5" t="n">
        <v>135</v>
      </c>
      <c r="E2980" s="73">
        <f>B2980*D2980/10000</f>
        <v/>
      </c>
      <c r="F2980" s="74">
        <f>B2980/30.48</f>
        <v/>
      </c>
      <c r="G2980" s="74">
        <f>D2980/30.48</f>
        <v/>
      </c>
      <c r="H2980" s="37" t="inlineStr">
        <is>
          <t>LLC</t>
        </is>
      </c>
      <c r="I2980" s="570" t="inlineStr">
        <is>
          <t>Dana Strazza</t>
        </is>
      </c>
      <c r="J2980" s="557" t="n"/>
      <c r="S2980" s="1" t="n"/>
    </row>
    <row r="2981" ht="18" customHeight="1" s="305">
      <c r="A2981" s="8" t="n">
        <v>3727</v>
      </c>
      <c r="B2981" s="5" t="n">
        <v>73</v>
      </c>
      <c r="C2981" s="72" t="inlineStr">
        <is>
          <t>X</t>
        </is>
      </c>
      <c r="D2981" s="5" t="n">
        <v>306</v>
      </c>
      <c r="E2981" s="73">
        <f>B2981*D2981/10000</f>
        <v/>
      </c>
      <c r="F2981" s="74">
        <f>B2981/30.48</f>
        <v/>
      </c>
      <c r="G2981" s="74">
        <f>D2981/30.48</f>
        <v/>
      </c>
      <c r="H2981" s="37" t="inlineStr">
        <is>
          <t>LLC</t>
        </is>
      </c>
      <c r="I2981" s="534" t="inlineStr">
        <is>
          <t>Regan Hall Reinerth</t>
        </is>
      </c>
      <c r="J2981" s="545" t="n"/>
      <c r="S2981" s="1" t="n"/>
    </row>
    <row r="2982" ht="18" customHeight="1" s="305">
      <c r="A2982" s="28" t="inlineStr">
        <is>
          <t>D 703</t>
        </is>
      </c>
      <c r="B2982" s="29" t="n">
        <v>54</v>
      </c>
      <c r="C2982" s="236" t="inlineStr">
        <is>
          <t>X</t>
        </is>
      </c>
      <c r="D2982" s="29" t="n">
        <v>69</v>
      </c>
      <c r="E2982" s="237">
        <f>B2982*D2982/10000</f>
        <v/>
      </c>
      <c r="F2982" s="238">
        <f>B2982/30.48</f>
        <v/>
      </c>
      <c r="G2982" s="238">
        <f>D2982/30.48</f>
        <v/>
      </c>
      <c r="H2982" s="37" t="inlineStr">
        <is>
          <t>WLR</t>
        </is>
      </c>
      <c r="I2982" s="570" t="inlineStr">
        <is>
          <t>Colette Kelsey Stellar Lan</t>
        </is>
      </c>
      <c r="J2982" s="557" t="n"/>
      <c r="S2982" s="1" t="n"/>
    </row>
    <row r="2983" ht="18" customHeight="1" s="305">
      <c r="A2983" s="8" t="inlineStr">
        <is>
          <t>İ-55</t>
        </is>
      </c>
      <c r="B2983" s="5" t="n">
        <v>277</v>
      </c>
      <c r="C2983" s="72" t="inlineStr">
        <is>
          <t>X</t>
        </is>
      </c>
      <c r="D2983" s="5" t="n">
        <v>363</v>
      </c>
      <c r="E2983" s="73">
        <f>B2983*D2983/10000</f>
        <v/>
      </c>
      <c r="F2983" s="74">
        <f>B2983/30.48</f>
        <v/>
      </c>
      <c r="G2983" s="74">
        <f>D2983/30.48</f>
        <v/>
      </c>
      <c r="H2983" s="359" t="inlineStr">
        <is>
          <t>MCHD-TR</t>
        </is>
      </c>
      <c r="I2983" s="557" t="n"/>
      <c r="J2983" s="557" t="n"/>
      <c r="S2983" s="1" t="n"/>
    </row>
    <row r="2984" ht="18" customHeight="1" s="305">
      <c r="A2984" s="8" t="n">
        <v>2912</v>
      </c>
      <c r="B2984" s="5" t="n">
        <v>87</v>
      </c>
      <c r="C2984" s="72" t="inlineStr">
        <is>
          <t>X</t>
        </is>
      </c>
      <c r="D2984" s="5" t="n">
        <v>372</v>
      </c>
      <c r="E2984" s="73">
        <f>B2984*D2984/10000</f>
        <v/>
      </c>
      <c r="F2984" s="74">
        <f>B2984/30.48</f>
        <v/>
      </c>
      <c r="G2984" s="74">
        <f>D2984/30.48</f>
        <v/>
      </c>
      <c r="H2984" s="359" t="inlineStr">
        <is>
          <t>MCHD-TR</t>
        </is>
      </c>
      <c r="I2984" s="545" t="n"/>
      <c r="J2984" s="545" t="n"/>
      <c r="S2984" s="1" t="n"/>
    </row>
    <row r="2985" ht="18" customHeight="1" s="305">
      <c r="A2985" s="8" t="n">
        <v>2932</v>
      </c>
      <c r="B2985" s="5" t="n">
        <v>80</v>
      </c>
      <c r="C2985" s="72" t="inlineStr">
        <is>
          <t>X</t>
        </is>
      </c>
      <c r="D2985" s="5" t="n">
        <v>314</v>
      </c>
      <c r="E2985" s="73">
        <f>B2985*D2985/10000</f>
        <v/>
      </c>
      <c r="F2985" s="74">
        <f>B2985/30.48</f>
        <v/>
      </c>
      <c r="G2985" s="74">
        <f>D2985/30.48</f>
        <v/>
      </c>
      <c r="H2985" s="37" t="inlineStr">
        <is>
          <t>LLC</t>
        </is>
      </c>
      <c r="I2985" s="570" t="inlineStr">
        <is>
          <t>Elsa Haaseth</t>
        </is>
      </c>
      <c r="J2985" s="557" t="n"/>
      <c r="S2985" s="1" t="n"/>
    </row>
    <row r="2986" ht="18" customHeight="1" s="305">
      <c r="A2986" s="8" t="n">
        <v>3617</v>
      </c>
      <c r="B2986" s="5" t="n">
        <v>113</v>
      </c>
      <c r="C2986" s="72" t="inlineStr">
        <is>
          <t>X</t>
        </is>
      </c>
      <c r="D2986" s="5" t="n">
        <v>371</v>
      </c>
      <c r="E2986" s="73">
        <f>B2986*D2986/10000</f>
        <v/>
      </c>
      <c r="F2986" s="74">
        <f>B2986/30.48</f>
        <v/>
      </c>
      <c r="G2986" s="74">
        <f>D2986/30.48</f>
        <v/>
      </c>
      <c r="H2986" s="37" t="inlineStr">
        <is>
          <t>LLC</t>
        </is>
      </c>
      <c r="I2986" s="365" t="inlineStr">
        <is>
          <t>Zack Wallace</t>
        </is>
      </c>
      <c r="J2986" s="557" t="n"/>
      <c r="S2986" s="1" t="n"/>
    </row>
    <row r="2987" ht="18" customHeight="1" s="305">
      <c r="A2987" s="8" t="n">
        <v>4028</v>
      </c>
      <c r="B2987" s="5" t="n">
        <v>76</v>
      </c>
      <c r="C2987" s="72" t="inlineStr">
        <is>
          <t>X</t>
        </is>
      </c>
      <c r="D2987" s="5" t="n">
        <v>159</v>
      </c>
      <c r="E2987" s="73">
        <f>B2987*D2987/10000</f>
        <v/>
      </c>
      <c r="F2987" s="74">
        <f>B2987/30.48</f>
        <v/>
      </c>
      <c r="G2987" s="74">
        <f>D2987/30.48</f>
        <v/>
      </c>
      <c r="H2987" s="553" t="inlineStr">
        <is>
          <t>WTR</t>
        </is>
      </c>
      <c r="I2987" s="570" t="inlineStr">
        <is>
          <t>Wendy Nunes</t>
        </is>
      </c>
      <c r="J2987" s="557" t="n"/>
      <c r="S2987" s="1" t="n"/>
    </row>
    <row r="2988" ht="18" customHeight="1" s="305">
      <c r="A2988" s="8" t="n">
        <v>3204</v>
      </c>
      <c r="B2988" s="5" t="n">
        <v>97</v>
      </c>
      <c r="C2988" s="72" t="inlineStr">
        <is>
          <t>X</t>
        </is>
      </c>
      <c r="D2988" s="5" t="n">
        <v>185</v>
      </c>
      <c r="E2988" s="73">
        <f>B2988*D2988/10000</f>
        <v/>
      </c>
      <c r="F2988" s="74">
        <f>B2988/30.48</f>
        <v/>
      </c>
      <c r="G2988" s="74">
        <f>D2988/30.48</f>
        <v/>
      </c>
      <c r="H2988" s="553" t="inlineStr">
        <is>
          <t>WTR</t>
        </is>
      </c>
      <c r="I2988" s="534" t="inlineStr">
        <is>
          <t>erin petracca</t>
        </is>
      </c>
      <c r="J2988" s="545" t="n"/>
      <c r="S2988" s="1" t="n"/>
    </row>
    <row r="2989" ht="18" customHeight="1" s="305">
      <c r="A2989" s="28" t="inlineStr">
        <is>
          <t>D 700</t>
        </is>
      </c>
      <c r="B2989" s="29" t="n">
        <v>56</v>
      </c>
      <c r="C2989" s="236" t="inlineStr">
        <is>
          <t>X</t>
        </is>
      </c>
      <c r="D2989" s="29" t="n">
        <v>95</v>
      </c>
      <c r="E2989" s="237">
        <f>B2989*D2989/10000</f>
        <v/>
      </c>
      <c r="F2989" s="238">
        <f>B2989/30.48</f>
        <v/>
      </c>
      <c r="G2989" s="238">
        <f>D2989/30.48</f>
        <v/>
      </c>
      <c r="H2989" s="357" t="inlineStr">
        <is>
          <t>RST</t>
        </is>
      </c>
      <c r="I2989" s="570" t="inlineStr">
        <is>
          <t>Lisa Avery</t>
        </is>
      </c>
      <c r="J2989" s="557" t="n"/>
    </row>
    <row r="2990" ht="18" customHeight="1" s="305">
      <c r="A2990" s="8" t="n">
        <v>2633</v>
      </c>
      <c r="B2990" s="5" t="n">
        <v>166</v>
      </c>
      <c r="C2990" s="72" t="inlineStr">
        <is>
          <t>X</t>
        </is>
      </c>
      <c r="D2990" s="5" t="n">
        <v>241</v>
      </c>
      <c r="E2990" s="73">
        <f>B2990*D2990/10000</f>
        <v/>
      </c>
      <c r="F2990" s="74">
        <f>B2990/30.48</f>
        <v/>
      </c>
      <c r="G2990" s="74">
        <f>D2990/30.48</f>
        <v/>
      </c>
      <c r="H2990" s="357" t="inlineStr">
        <is>
          <t>RST</t>
        </is>
      </c>
      <c r="I2990" s="570" t="inlineStr">
        <is>
          <t>Susan Gilbert</t>
        </is>
      </c>
      <c r="J2990" s="557" t="n"/>
    </row>
    <row r="2991" ht="18" customHeight="1" s="305">
      <c r="A2991" s="28" t="inlineStr">
        <is>
          <t>D 707</t>
        </is>
      </c>
      <c r="B2991" s="29" t="n">
        <v>53</v>
      </c>
      <c r="C2991" s="236" t="inlineStr">
        <is>
          <t>X</t>
        </is>
      </c>
      <c r="D2991" s="29" t="n">
        <v>80</v>
      </c>
      <c r="E2991" s="237">
        <f>B2991*D2991/10000</f>
        <v/>
      </c>
      <c r="F2991" s="238">
        <f>B2991/30.48</f>
        <v/>
      </c>
      <c r="G2991" s="238">
        <f>D2991/30.48</f>
        <v/>
      </c>
      <c r="H2991" s="37" t="inlineStr">
        <is>
          <t>WLR</t>
        </is>
      </c>
      <c r="I2991" s="570" t="inlineStr">
        <is>
          <t>Sarah Berry</t>
        </is>
      </c>
      <c r="J2991" s="557" t="n"/>
    </row>
    <row r="2992" ht="18" customHeight="1" s="305">
      <c r="A2992" s="8" t="n">
        <v>3496</v>
      </c>
      <c r="B2992" s="5" t="n">
        <v>75</v>
      </c>
      <c r="C2992" s="72" t="inlineStr">
        <is>
          <t>X</t>
        </is>
      </c>
      <c r="D2992" s="5" t="n">
        <v>233</v>
      </c>
      <c r="E2992" s="73">
        <f>B2992*D2992/10000</f>
        <v/>
      </c>
      <c r="F2992" s="74">
        <f>B2992/30.48</f>
        <v/>
      </c>
      <c r="G2992" s="74">
        <f>D2992/30.48</f>
        <v/>
      </c>
      <c r="H2992" s="37" t="inlineStr">
        <is>
          <t>LLC</t>
        </is>
      </c>
      <c r="I2992" s="570" t="inlineStr">
        <is>
          <t>nancy schmitt</t>
        </is>
      </c>
      <c r="J2992" s="557" t="n"/>
      <c r="S2992" s="1" t="n"/>
    </row>
    <row r="2993" ht="18" customHeight="1" s="305">
      <c r="A2993" s="8" t="n">
        <v>2184</v>
      </c>
      <c r="B2993" s="5" t="n">
        <v>90</v>
      </c>
      <c r="C2993" s="72" t="inlineStr">
        <is>
          <t>X</t>
        </is>
      </c>
      <c r="D2993" s="5" t="n">
        <v>367</v>
      </c>
      <c r="E2993" s="73">
        <f>B2993*D2993/10000</f>
        <v/>
      </c>
      <c r="F2993" s="74">
        <f>B2993/30.48</f>
        <v/>
      </c>
      <c r="G2993" s="74">
        <f>D2993/30.48</f>
        <v/>
      </c>
      <c r="H2993" s="553" t="inlineStr">
        <is>
          <t>WTR</t>
        </is>
      </c>
      <c r="I2993" s="365" t="inlineStr">
        <is>
          <t>lindsay peirce</t>
        </is>
      </c>
      <c r="J2993" s="557" t="n"/>
    </row>
    <row r="2994" ht="18" customHeight="1" s="305">
      <c r="A2994" s="8" t="n">
        <v>3723</v>
      </c>
      <c r="B2994" s="5" t="n">
        <v>116</v>
      </c>
      <c r="C2994" s="72" t="inlineStr">
        <is>
          <t>X</t>
        </is>
      </c>
      <c r="D2994" s="5" t="n">
        <v>160</v>
      </c>
      <c r="E2994" s="73">
        <f>B2994*D2994/10000</f>
        <v/>
      </c>
      <c r="F2994" s="74">
        <f>B2994/30.48</f>
        <v/>
      </c>
      <c r="G2994" s="74">
        <f>D2994/30.48</f>
        <v/>
      </c>
      <c r="H2994" s="592" t="inlineStr">
        <is>
          <t>LMX</t>
        </is>
      </c>
      <c r="I2994" s="570" t="inlineStr">
        <is>
          <t>E Gwynn</t>
        </is>
      </c>
      <c r="J2994" s="557" t="n"/>
      <c r="S2994" s="1" t="n"/>
    </row>
    <row r="2995" ht="18" customHeight="1" s="305">
      <c r="A2995" s="8" t="inlineStr">
        <is>
          <t>E-4</t>
        </is>
      </c>
      <c r="B2995" s="5" t="n"/>
      <c r="C2995" s="72" t="inlineStr">
        <is>
          <t>X</t>
        </is>
      </c>
      <c r="D2995" s="5" t="n"/>
      <c r="E2995" s="73">
        <f>B2995*D2995/10000</f>
        <v/>
      </c>
      <c r="F2995" s="74">
        <f>B2995/30.48</f>
        <v/>
      </c>
      <c r="G2995" s="74">
        <f>D2995/30.48</f>
        <v/>
      </c>
      <c r="H2995" s="37" t="inlineStr">
        <is>
          <t>BHR</t>
        </is>
      </c>
      <c r="I2995" s="534" t="inlineStr">
        <is>
          <t>Hailey Whidden</t>
        </is>
      </c>
      <c r="J2995" s="545" t="n"/>
      <c r="S2995" s="1" t="n"/>
    </row>
    <row r="2996" ht="18" customHeight="1" s="305">
      <c r="A2996" s="8" t="n">
        <v>3448</v>
      </c>
      <c r="B2996" s="5" t="n">
        <v>77</v>
      </c>
      <c r="C2996" s="72" t="inlineStr">
        <is>
          <t>X</t>
        </is>
      </c>
      <c r="D2996" s="5" t="n">
        <v>294</v>
      </c>
      <c r="E2996" s="73">
        <f>B2996*D2996/10000</f>
        <v/>
      </c>
      <c r="F2996" s="74">
        <f>B2996/30.48</f>
        <v/>
      </c>
      <c r="G2996" s="74">
        <f>D2996/30.48</f>
        <v/>
      </c>
      <c r="H2996" s="37" t="inlineStr">
        <is>
          <t>LLC</t>
        </is>
      </c>
      <c r="I2996" s="570" t="inlineStr">
        <is>
          <t>Scarlett James</t>
        </is>
      </c>
      <c r="J2996" s="557" t="n"/>
    </row>
    <row r="2997" ht="18" customHeight="1" s="305">
      <c r="A2997" s="8" t="inlineStr">
        <is>
          <t>İ-30</t>
        </is>
      </c>
      <c r="B2997" s="5" t="n">
        <v>277</v>
      </c>
      <c r="C2997" s="72" t="inlineStr">
        <is>
          <t>X</t>
        </is>
      </c>
      <c r="D2997" s="5" t="n">
        <v>378</v>
      </c>
      <c r="E2997" s="73">
        <f>B2997*D2997/10000</f>
        <v/>
      </c>
      <c r="F2997" s="74">
        <f>B2997/30.48</f>
        <v/>
      </c>
      <c r="G2997" s="74">
        <f>D2997/30.48</f>
        <v/>
      </c>
      <c r="H2997" s="37" t="inlineStr">
        <is>
          <t>LLC</t>
        </is>
      </c>
      <c r="I2997" s="570" t="inlineStr">
        <is>
          <t>Nicholas Addeo</t>
        </is>
      </c>
      <c r="J2997" s="557" t="n"/>
      <c r="S2997" s="1" t="n"/>
    </row>
    <row r="2998" ht="18" customHeight="1" s="305">
      <c r="A2998" s="28" t="inlineStr">
        <is>
          <t>D 1095</t>
        </is>
      </c>
      <c r="B2998" s="29" t="n">
        <v>49</v>
      </c>
      <c r="C2998" s="236" t="inlineStr">
        <is>
          <t>X</t>
        </is>
      </c>
      <c r="D2998" s="29" t="n">
        <v>95</v>
      </c>
      <c r="E2998" s="237">
        <f>B2998*D2998/10000</f>
        <v/>
      </c>
      <c r="F2998" s="238">
        <f>B2998/30.48</f>
        <v/>
      </c>
      <c r="G2998" s="238">
        <f>D2998/30.48</f>
        <v/>
      </c>
      <c r="H2998" s="592" t="inlineStr">
        <is>
          <t>LMX</t>
        </is>
      </c>
      <c r="I2998" s="570" t="inlineStr">
        <is>
          <t>William Russ</t>
        </is>
      </c>
      <c r="J2998" s="557" t="n"/>
    </row>
    <row r="2999" ht="18" customHeight="1" s="305">
      <c r="A2999" s="8" t="n">
        <v>3115</v>
      </c>
      <c r="B2999" s="5" t="n">
        <v>176</v>
      </c>
      <c r="C2999" s="72" t="inlineStr">
        <is>
          <t>X</t>
        </is>
      </c>
      <c r="D2999" s="5" t="n">
        <v>242</v>
      </c>
      <c r="E2999" s="73">
        <f>B2999*D2999/10000</f>
        <v/>
      </c>
      <c r="F2999" s="74">
        <f>B2999/30.48</f>
        <v/>
      </c>
      <c r="G2999" s="74">
        <f>D2999/30.48</f>
        <v/>
      </c>
      <c r="H2999" s="37" t="inlineStr">
        <is>
          <t>PAC</t>
        </is>
      </c>
      <c r="I2999" s="534" t="inlineStr">
        <is>
          <t>Miranda Morgan</t>
        </is>
      </c>
      <c r="J2999" s="545" t="n"/>
    </row>
    <row r="3000" ht="18" customHeight="1" s="305">
      <c r="A3000" s="8" t="n">
        <v>3573</v>
      </c>
      <c r="B3000" s="5" t="n">
        <v>81</v>
      </c>
      <c r="C3000" s="72" t="inlineStr">
        <is>
          <t>X</t>
        </is>
      </c>
      <c r="D3000" s="5" t="n">
        <v>280</v>
      </c>
      <c r="E3000" s="73">
        <f>B3000*D3000/10000</f>
        <v/>
      </c>
      <c r="F3000" s="74">
        <f>B3000/30.48</f>
        <v/>
      </c>
      <c r="G3000" s="74">
        <f>D3000/30.48</f>
        <v/>
      </c>
      <c r="H3000" s="357" t="inlineStr">
        <is>
          <t>RST</t>
        </is>
      </c>
      <c r="I3000" s="570" t="inlineStr">
        <is>
          <t>Meghan Orr</t>
        </is>
      </c>
      <c r="J3000" s="557" t="n"/>
    </row>
    <row r="3001" ht="18" customHeight="1" s="305">
      <c r="A3001" s="8" t="n">
        <v>3652</v>
      </c>
      <c r="B3001" s="5" t="n">
        <v>80</v>
      </c>
      <c r="C3001" s="72" t="inlineStr">
        <is>
          <t>X</t>
        </is>
      </c>
      <c r="D3001" s="5" t="n">
        <v>307</v>
      </c>
      <c r="E3001" s="73">
        <f>B3001*D3001/10000</f>
        <v/>
      </c>
      <c r="F3001" s="74">
        <f>B3001/30.48</f>
        <v/>
      </c>
      <c r="G3001" s="74">
        <f>D3001/30.48</f>
        <v/>
      </c>
      <c r="H3001" s="37" t="inlineStr">
        <is>
          <t>WLR</t>
        </is>
      </c>
      <c r="I3001" s="570" t="inlineStr">
        <is>
          <t>Lauren Schumacher</t>
        </is>
      </c>
      <c r="J3001" s="557" t="n"/>
      <c r="S3001" s="1" t="n"/>
    </row>
    <row r="3002" ht="18" customHeight="1" s="305">
      <c r="A3002" s="8" t="n">
        <v>2918</v>
      </c>
      <c r="B3002" s="5" t="n">
        <v>86</v>
      </c>
      <c r="C3002" s="72" t="inlineStr">
        <is>
          <t>X</t>
        </is>
      </c>
      <c r="D3002" s="5" t="n">
        <v>371</v>
      </c>
      <c r="E3002" s="73">
        <f>B3002*D3002/10000</f>
        <v/>
      </c>
      <c r="F3002" s="74">
        <f>B3002/30.48</f>
        <v/>
      </c>
      <c r="G3002" s="74">
        <f>D3002/30.48</f>
        <v/>
      </c>
      <c r="H3002" s="719" t="inlineStr">
        <is>
          <t>LLC</t>
        </is>
      </c>
      <c r="I3002" s="570" t="inlineStr">
        <is>
          <t>Hayley Vanbragt 4971</t>
        </is>
      </c>
      <c r="J3002" s="557" t="n"/>
    </row>
    <row r="3003" ht="18" customHeight="1" s="305">
      <c r="A3003" s="8" t="n">
        <v>3715</v>
      </c>
      <c r="B3003" s="5" t="n">
        <v>79</v>
      </c>
      <c r="C3003" s="72" t="inlineStr">
        <is>
          <t>X</t>
        </is>
      </c>
      <c r="D3003" s="5" t="n">
        <v>279</v>
      </c>
      <c r="E3003" s="73">
        <f>B3003*D3003/10000</f>
        <v/>
      </c>
      <c r="F3003" s="74">
        <f>B3003/30.48</f>
        <v/>
      </c>
      <c r="G3003" s="74">
        <f>D3003/30.48</f>
        <v/>
      </c>
      <c r="H3003" s="693" t="n"/>
      <c r="I3003" s="693" t="n"/>
      <c r="J3003" s="557" t="n"/>
      <c r="S3003" s="1" t="n"/>
    </row>
    <row r="3004" ht="18" customHeight="1" s="305">
      <c r="A3004" s="8" t="n">
        <v>2939</v>
      </c>
      <c r="B3004" s="5" t="n">
        <v>91</v>
      </c>
      <c r="C3004" s="72" t="inlineStr">
        <is>
          <t>X</t>
        </is>
      </c>
      <c r="D3004" s="5" t="n">
        <v>398</v>
      </c>
      <c r="E3004" s="73">
        <f>B3004*D3004/10000</f>
        <v/>
      </c>
      <c r="F3004" s="74">
        <f>B3004/30.48</f>
        <v/>
      </c>
      <c r="G3004" s="74">
        <f>D3004/30.48</f>
        <v/>
      </c>
      <c r="H3004" s="694" t="n"/>
      <c r="I3004" s="693" t="n"/>
      <c r="J3004" s="557" t="n"/>
      <c r="S3004" s="1" t="n"/>
    </row>
    <row r="3005" ht="18" customHeight="1" s="305">
      <c r="A3005" s="8" t="n">
        <v>3333</v>
      </c>
      <c r="B3005" s="5" t="n">
        <v>90</v>
      </c>
      <c r="C3005" s="72" t="inlineStr">
        <is>
          <t>X</t>
        </is>
      </c>
      <c r="D3005" s="5" t="n">
        <v>386</v>
      </c>
      <c r="E3005" s="73">
        <f>B3005*D3005/10000</f>
        <v/>
      </c>
      <c r="F3005" s="74">
        <f>B3005/30.48</f>
        <v/>
      </c>
      <c r="G3005" s="74">
        <f>D3005/30.48</f>
        <v/>
      </c>
      <c r="H3005" s="592" t="inlineStr">
        <is>
          <t>LR</t>
        </is>
      </c>
      <c r="I3005" s="694" t="n"/>
      <c r="J3005" s="557" t="n"/>
    </row>
    <row r="3006" ht="18" customHeight="1" s="305">
      <c r="A3006" s="8" t="n">
        <v>3725</v>
      </c>
      <c r="B3006" s="5" t="n">
        <v>135</v>
      </c>
      <c r="C3006" s="72" t="inlineStr">
        <is>
          <t>X</t>
        </is>
      </c>
      <c r="D3006" s="5" t="n">
        <v>290</v>
      </c>
      <c r="E3006" s="73">
        <f>B3006*D3006/10000</f>
        <v/>
      </c>
      <c r="F3006" s="74">
        <f>B3006/30.48</f>
        <v/>
      </c>
      <c r="G3006" s="74">
        <f>D3006/30.48</f>
        <v/>
      </c>
      <c r="H3006" s="553" t="inlineStr">
        <is>
          <t>WTR</t>
        </is>
      </c>
      <c r="I3006" s="570" t="inlineStr">
        <is>
          <t>Robin Nauman</t>
        </is>
      </c>
      <c r="J3006" s="557" t="n"/>
      <c r="S3006" s="1" t="n"/>
    </row>
    <row r="3007" ht="18" customHeight="1" s="305">
      <c r="A3007" s="8" t="n">
        <v>3366</v>
      </c>
      <c r="B3007" s="5" t="n">
        <v>88</v>
      </c>
      <c r="C3007" s="72" t="inlineStr">
        <is>
          <t>X</t>
        </is>
      </c>
      <c r="D3007" s="5" t="n">
        <v>260</v>
      </c>
      <c r="E3007" s="73">
        <f>B3007*D3007/10000</f>
        <v/>
      </c>
      <c r="F3007" s="74">
        <f>B3007/30.48</f>
        <v/>
      </c>
      <c r="G3007" s="74">
        <f>D3007/30.48</f>
        <v/>
      </c>
      <c r="H3007" s="364" t="inlineStr">
        <is>
          <t>OLD</t>
        </is>
      </c>
      <c r="I3007" s="534" t="inlineStr">
        <is>
          <t>Emily Shiver</t>
        </is>
      </c>
      <c r="J3007" s="545" t="n"/>
      <c r="S3007" s="1" t="n"/>
    </row>
    <row r="3008" ht="18" customHeight="1" s="305">
      <c r="A3008" s="8" t="n">
        <v>2964</v>
      </c>
      <c r="B3008" s="5" t="n">
        <v>86</v>
      </c>
      <c r="C3008" s="72" t="inlineStr">
        <is>
          <t>X</t>
        </is>
      </c>
      <c r="D3008" s="5" t="n">
        <v>401</v>
      </c>
      <c r="E3008" s="73">
        <f>B3008*D3008/10000</f>
        <v/>
      </c>
      <c r="F3008" s="74">
        <f>B3008/30.48</f>
        <v/>
      </c>
      <c r="G3008" s="74">
        <f>D3008/30.48</f>
        <v/>
      </c>
      <c r="H3008" s="553" t="inlineStr">
        <is>
          <t>WTR</t>
        </is>
      </c>
      <c r="I3008" s="534" t="inlineStr">
        <is>
          <t>Kate Marker</t>
        </is>
      </c>
      <c r="J3008" s="545" t="n"/>
    </row>
    <row r="3009" ht="18" customHeight="1" s="305">
      <c r="A3009" s="8" t="n">
        <v>3599</v>
      </c>
      <c r="B3009" s="5" t="n">
        <v>204</v>
      </c>
      <c r="C3009" s="72" t="inlineStr">
        <is>
          <t>X</t>
        </is>
      </c>
      <c r="D3009" s="5" t="n">
        <v>299</v>
      </c>
      <c r="E3009" s="73">
        <f>B3009*D3009/10000</f>
        <v/>
      </c>
      <c r="F3009" s="74">
        <f>B3009/30.48</f>
        <v/>
      </c>
      <c r="G3009" s="74">
        <f>D3009/30.48</f>
        <v/>
      </c>
      <c r="H3009" s="592" t="inlineStr">
        <is>
          <t>LR</t>
        </is>
      </c>
      <c r="I3009" s="570" t="inlineStr">
        <is>
          <t>Heidi Putnam</t>
        </is>
      </c>
      <c r="J3009" s="557" t="n"/>
    </row>
    <row r="3010" ht="18" customHeight="1" s="305">
      <c r="A3010" s="8" t="n">
        <v>3510</v>
      </c>
      <c r="B3010" s="5" t="n">
        <v>87</v>
      </c>
      <c r="C3010" s="72" t="inlineStr">
        <is>
          <t>X</t>
        </is>
      </c>
      <c r="D3010" s="5" t="n">
        <v>256</v>
      </c>
      <c r="E3010" s="73">
        <f>B3010*D3010/10000</f>
        <v/>
      </c>
      <c r="F3010" s="74">
        <f>B3010/30.48</f>
        <v/>
      </c>
      <c r="G3010" s="74">
        <f>D3010/30.48</f>
        <v/>
      </c>
      <c r="H3010" s="357" t="inlineStr">
        <is>
          <t>RST</t>
        </is>
      </c>
      <c r="I3010" s="570" t="inlineStr">
        <is>
          <t>Kate Tracy</t>
        </is>
      </c>
      <c r="J3010" s="557" t="n"/>
    </row>
    <row r="3011" ht="18" customHeight="1" s="305">
      <c r="A3011" s="8" t="n">
        <v>2501</v>
      </c>
      <c r="B3011" s="5" t="n">
        <v>91</v>
      </c>
      <c r="C3011" s="72" t="inlineStr">
        <is>
          <t>X</t>
        </is>
      </c>
      <c r="D3011" s="5" t="n">
        <v>397</v>
      </c>
      <c r="E3011" s="73">
        <f>B3011*D3011/10000</f>
        <v/>
      </c>
      <c r="F3011" s="74">
        <f>B3011/30.48</f>
        <v/>
      </c>
      <c r="G3011" s="74">
        <f>D3011/30.48</f>
        <v/>
      </c>
      <c r="H3011" s="357" t="inlineStr">
        <is>
          <t>RST</t>
        </is>
      </c>
      <c r="I3011" s="570" t="inlineStr">
        <is>
          <t>Milette Fields</t>
        </is>
      </c>
      <c r="J3011" s="557" t="n"/>
    </row>
    <row r="3012" ht="18" customHeight="1" s="305">
      <c r="A3012" s="8" t="n">
        <v>2341</v>
      </c>
      <c r="B3012" s="5" t="n">
        <v>187</v>
      </c>
      <c r="C3012" s="72" t="inlineStr">
        <is>
          <t>X</t>
        </is>
      </c>
      <c r="D3012" s="5" t="n">
        <v>282</v>
      </c>
      <c r="E3012" s="73">
        <f>B3012*D3012/10000</f>
        <v/>
      </c>
      <c r="F3012" s="74">
        <f>B3012/30.48</f>
        <v/>
      </c>
      <c r="G3012" s="74">
        <f>D3012/30.48</f>
        <v/>
      </c>
      <c r="H3012" s="37" t="inlineStr">
        <is>
          <t>LLC</t>
        </is>
      </c>
      <c r="I3012" s="570" t="inlineStr">
        <is>
          <t>amanda fox</t>
        </is>
      </c>
      <c r="J3012" s="557" t="n"/>
    </row>
    <row r="3013" ht="18" customHeight="1" s="305">
      <c r="A3013" s="8" t="inlineStr">
        <is>
          <t>İ-43</t>
        </is>
      </c>
      <c r="B3013" s="5" t="n">
        <v>289</v>
      </c>
      <c r="C3013" s="72" t="inlineStr">
        <is>
          <t>X</t>
        </is>
      </c>
      <c r="D3013" s="5" t="n">
        <v>372</v>
      </c>
      <c r="E3013" s="73">
        <f>B3013*D3013/10000</f>
        <v/>
      </c>
      <c r="F3013" s="74">
        <f>B3013/30.48</f>
        <v/>
      </c>
      <c r="G3013" s="74">
        <f>D3013/30.48</f>
        <v/>
      </c>
      <c r="H3013" s="553" t="inlineStr">
        <is>
          <t>WTR</t>
        </is>
      </c>
      <c r="I3013" s="570" t="inlineStr">
        <is>
          <t>Karyl Walker</t>
        </is>
      </c>
      <c r="J3013" s="557" t="n"/>
      <c r="S3013" s="1" t="n"/>
    </row>
    <row r="3014" ht="18" customHeight="1" s="305">
      <c r="A3014" s="28" t="inlineStr">
        <is>
          <t>D 528</t>
        </is>
      </c>
      <c r="B3014" s="29" t="n">
        <v>47</v>
      </c>
      <c r="C3014" s="236" t="inlineStr">
        <is>
          <t>X</t>
        </is>
      </c>
      <c r="D3014" s="29" t="n">
        <v>80</v>
      </c>
      <c r="E3014" s="237">
        <f>B3014*D3014/10000</f>
        <v/>
      </c>
      <c r="F3014" s="238">
        <f>B3014/30.48</f>
        <v/>
      </c>
      <c r="G3014" s="238">
        <f>D3014/30.48</f>
        <v/>
      </c>
      <c r="H3014" s="364" t="inlineStr">
        <is>
          <t>OLD</t>
        </is>
      </c>
      <c r="I3014" s="570" t="inlineStr">
        <is>
          <t>Becki Faulkner</t>
        </is>
      </c>
      <c r="J3014" s="557" t="n"/>
    </row>
    <row r="3015" ht="18" customHeight="1" s="305">
      <c r="A3015" s="28" t="inlineStr">
        <is>
          <t>D 564</t>
        </is>
      </c>
      <c r="B3015" s="29" t="n">
        <v>56</v>
      </c>
      <c r="C3015" s="236" t="inlineStr">
        <is>
          <t>X</t>
        </is>
      </c>
      <c r="D3015" s="29" t="n">
        <v>100</v>
      </c>
      <c r="E3015" s="237">
        <f>B3015*D3015/10000</f>
        <v/>
      </c>
      <c r="F3015" s="238">
        <f>B3015/30.48</f>
        <v/>
      </c>
      <c r="G3015" s="238">
        <f>D3015/30.48</f>
        <v/>
      </c>
      <c r="H3015" s="359" t="inlineStr">
        <is>
          <t>FRD-NR</t>
        </is>
      </c>
      <c r="I3015" s="534" t="inlineStr">
        <is>
          <t>Summer Layton</t>
        </is>
      </c>
      <c r="J3015" s="545" t="n"/>
    </row>
    <row r="3016" ht="18" customHeight="1" s="305">
      <c r="A3016" s="8" t="inlineStr">
        <is>
          <t>D 40</t>
        </is>
      </c>
      <c r="B3016" s="5" t="n">
        <v>46</v>
      </c>
      <c r="C3016" s="72" t="inlineStr">
        <is>
          <t>X</t>
        </is>
      </c>
      <c r="D3016" s="5" t="n">
        <v>97</v>
      </c>
      <c r="E3016" s="73">
        <f>B3016*D3016/10000</f>
        <v/>
      </c>
      <c r="F3016" s="74">
        <f>B3016/30.48</f>
        <v/>
      </c>
      <c r="G3016" s="74">
        <f>D3016/30.48</f>
        <v/>
      </c>
      <c r="H3016" s="37" t="inlineStr">
        <is>
          <t>WLR</t>
        </is>
      </c>
      <c r="I3016" s="570" t="inlineStr">
        <is>
          <t>Kaylee Rendon</t>
        </is>
      </c>
      <c r="J3016" s="557" t="n"/>
    </row>
    <row r="3017" ht="18" customHeight="1" s="305">
      <c r="A3017" s="8" t="n">
        <v>2941</v>
      </c>
      <c r="B3017" s="5" t="n">
        <v>82</v>
      </c>
      <c r="C3017" s="72" t="inlineStr">
        <is>
          <t>X</t>
        </is>
      </c>
      <c r="D3017" s="5" t="n">
        <v>321</v>
      </c>
      <c r="E3017" s="73">
        <f>B3017*D3017/10000</f>
        <v/>
      </c>
      <c r="F3017" s="74">
        <f>B3017/30.48</f>
        <v/>
      </c>
      <c r="G3017" s="74">
        <f>D3017/30.48</f>
        <v/>
      </c>
      <c r="H3017" s="553" t="inlineStr">
        <is>
          <t>WTR</t>
        </is>
      </c>
      <c r="I3017" s="570" t="inlineStr">
        <is>
          <t>maggie crandall</t>
        </is>
      </c>
      <c r="J3017" s="557" t="n"/>
    </row>
    <row r="3018" ht="18" customHeight="1" s="305">
      <c r="A3018" s="8" t="n">
        <v>2530</v>
      </c>
      <c r="B3018" s="5" t="n">
        <v>102</v>
      </c>
      <c r="C3018" s="72" t="inlineStr">
        <is>
          <t>X</t>
        </is>
      </c>
      <c r="D3018" s="5" t="n">
        <v>147</v>
      </c>
      <c r="E3018" s="73">
        <f>B3018*D3018/10000</f>
        <v/>
      </c>
      <c r="F3018" s="74">
        <f>B3018/30.48</f>
        <v/>
      </c>
      <c r="G3018" s="74">
        <f>D3018/30.48</f>
        <v/>
      </c>
      <c r="H3018" s="553" t="inlineStr">
        <is>
          <t>WTR</t>
        </is>
      </c>
      <c r="I3018" s="534" t="inlineStr">
        <is>
          <t>Tracy Curran</t>
        </is>
      </c>
      <c r="J3018" s="545" t="n"/>
    </row>
    <row r="3019">
      <c r="A3019" s="536" t="inlineStr">
        <is>
          <t>-2025 EKİM-</t>
        </is>
      </c>
      <c r="H3019" s="104" t="inlineStr">
        <is>
          <t>SATAN-SİTE</t>
        </is>
      </c>
      <c r="I3019" s="98" t="inlineStr">
        <is>
          <t>MÜŞTERİ ADI</t>
        </is>
      </c>
      <c r="J3019" s="63" t="inlineStr">
        <is>
          <t>MÜŞTERİ İLETİŞİM &amp; ÜLKE</t>
        </is>
      </c>
      <c r="P3019" s="1" t="n"/>
    </row>
    <row r="3020" ht="18" customHeight="1" s="305">
      <c r="A3020" s="8" t="n">
        <v>2474</v>
      </c>
      <c r="B3020" s="5" t="n">
        <v>215</v>
      </c>
      <c r="C3020" s="72" t="inlineStr">
        <is>
          <t>X</t>
        </is>
      </c>
      <c r="D3020" s="5" t="n">
        <v>317</v>
      </c>
      <c r="E3020" s="73">
        <f>B3020*D3020/10000</f>
        <v/>
      </c>
      <c r="F3020" s="74">
        <f>B3020/30.48</f>
        <v/>
      </c>
      <c r="G3020" s="74">
        <f>D3020/30.48</f>
        <v/>
      </c>
      <c r="H3020" s="37" t="inlineStr">
        <is>
          <t>LLC</t>
        </is>
      </c>
      <c r="I3020" s="365" t="inlineStr">
        <is>
          <t>esther nagypal</t>
        </is>
      </c>
      <c r="J3020" s="557" t="n"/>
    </row>
    <row r="3021" ht="18" customHeight="1" s="305">
      <c r="A3021" s="8" t="n">
        <v>2935</v>
      </c>
      <c r="B3021" s="5" t="n">
        <v>83</v>
      </c>
      <c r="C3021" s="72" t="inlineStr">
        <is>
          <t>X</t>
        </is>
      </c>
      <c r="D3021" s="5" t="n">
        <v>255</v>
      </c>
      <c r="E3021" s="73">
        <f>B3021*D3021/10000</f>
        <v/>
      </c>
      <c r="F3021" s="74">
        <f>B3021/30.48</f>
        <v/>
      </c>
      <c r="G3021" s="74">
        <f>D3021/30.48</f>
        <v/>
      </c>
      <c r="H3021" s="37" t="inlineStr">
        <is>
          <t>LLC</t>
        </is>
      </c>
      <c r="I3021" s="570" t="inlineStr">
        <is>
          <t>Katherine Hauser</t>
        </is>
      </c>
      <c r="J3021" s="557" t="n"/>
      <c r="S3021" s="1" t="n"/>
    </row>
    <row r="3022" ht="18" customHeight="1" s="305">
      <c r="A3022" s="8" t="n">
        <v>3093</v>
      </c>
      <c r="B3022" s="5" t="n">
        <v>88</v>
      </c>
      <c r="C3022" s="72" t="inlineStr">
        <is>
          <t>X</t>
        </is>
      </c>
      <c r="D3022" s="5" t="n">
        <v>180</v>
      </c>
      <c r="E3022" s="73">
        <f>B3022*D3022/10000</f>
        <v/>
      </c>
      <c r="F3022" s="74">
        <f>B3022/30.48</f>
        <v/>
      </c>
      <c r="G3022" s="74">
        <f>D3022/30.48</f>
        <v/>
      </c>
      <c r="H3022" s="614" t="inlineStr">
        <is>
          <t>LLC</t>
        </is>
      </c>
      <c r="I3022" s="570" t="inlineStr">
        <is>
          <t>Caroline Blatcher</t>
        </is>
      </c>
      <c r="J3022" s="557" t="n"/>
      <c r="S3022" s="1" t="n"/>
    </row>
    <row r="3023" ht="18" customHeight="1" s="305">
      <c r="A3023" s="8" t="n">
        <v>3155</v>
      </c>
      <c r="B3023" s="5" t="n">
        <v>81</v>
      </c>
      <c r="C3023" s="72" t="inlineStr">
        <is>
          <t>X</t>
        </is>
      </c>
      <c r="D3023" s="5" t="n">
        <v>303</v>
      </c>
      <c r="E3023" s="73">
        <f>B3023*D3023/10000</f>
        <v/>
      </c>
      <c r="F3023" s="74">
        <f>B3023/30.48</f>
        <v/>
      </c>
      <c r="G3023" s="74">
        <f>D3023/30.48</f>
        <v/>
      </c>
      <c r="H3023" s="694" t="n"/>
      <c r="I3023" s="694" t="n"/>
      <c r="J3023" s="557" t="n"/>
      <c r="S3023" s="1" t="n"/>
    </row>
    <row r="3024" ht="18" customHeight="1" s="305">
      <c r="A3024" s="8" t="inlineStr">
        <is>
          <t>D 208</t>
        </is>
      </c>
      <c r="B3024" s="5" t="n">
        <v>50</v>
      </c>
      <c r="C3024" s="72" t="inlineStr">
        <is>
          <t>X</t>
        </is>
      </c>
      <c r="D3024" s="5" t="n">
        <v>95</v>
      </c>
      <c r="E3024" s="73">
        <f>B3024*D3024/10000</f>
        <v/>
      </c>
      <c r="F3024" s="74">
        <f>B3024/30.48</f>
        <v/>
      </c>
      <c r="G3024" s="74">
        <f>D3024/30.48</f>
        <v/>
      </c>
      <c r="H3024" s="364" t="inlineStr">
        <is>
          <t>OLD</t>
        </is>
      </c>
      <c r="I3024" s="534" t="inlineStr">
        <is>
          <t>Meredith Simpson</t>
        </is>
      </c>
      <c r="J3024" s="545" t="n"/>
    </row>
    <row r="3025" ht="18" customHeight="1" s="305">
      <c r="A3025" s="8" t="inlineStr">
        <is>
          <t>İ-87</t>
        </is>
      </c>
      <c r="B3025" s="5" t="n">
        <v>290</v>
      </c>
      <c r="C3025" s="72" t="inlineStr">
        <is>
          <t>X</t>
        </is>
      </c>
      <c r="D3025" s="5" t="n">
        <v>377</v>
      </c>
      <c r="E3025" s="73">
        <f>B3025*D3025/10000</f>
        <v/>
      </c>
      <c r="F3025" s="74">
        <f>B3025/30.48</f>
        <v/>
      </c>
      <c r="G3025" s="74">
        <f>D3025/30.48</f>
        <v/>
      </c>
      <c r="H3025" s="357" t="inlineStr">
        <is>
          <t>RST</t>
        </is>
      </c>
      <c r="I3025" s="570" t="inlineStr">
        <is>
          <t>KRISTIN</t>
        </is>
      </c>
      <c r="J3025" s="557" t="n"/>
    </row>
    <row r="3026" ht="18" customHeight="1" s="305">
      <c r="A3026" s="8" t="n">
        <v>3081</v>
      </c>
      <c r="B3026" s="5" t="n">
        <v>220</v>
      </c>
      <c r="C3026" s="72" t="inlineStr">
        <is>
          <t>X</t>
        </is>
      </c>
      <c r="D3026" s="5" t="n">
        <v>364</v>
      </c>
      <c r="E3026" s="73">
        <f>B3026*D3026/10000</f>
        <v/>
      </c>
      <c r="F3026" s="74">
        <f>B3026/30.48</f>
        <v/>
      </c>
      <c r="G3026" s="74">
        <f>D3026/30.48</f>
        <v/>
      </c>
      <c r="H3026" s="37" t="inlineStr">
        <is>
          <t>LLC</t>
        </is>
      </c>
      <c r="I3026" s="570" t="inlineStr">
        <is>
          <t>Thomas Vu</t>
        </is>
      </c>
      <c r="J3026" s="557" t="n"/>
    </row>
    <row r="3027" ht="18" customHeight="1" s="305">
      <c r="A3027" s="8" t="n">
        <v>2806</v>
      </c>
      <c r="B3027" s="5" t="n">
        <v>81</v>
      </c>
      <c r="C3027" s="72" t="inlineStr">
        <is>
          <t>X</t>
        </is>
      </c>
      <c r="D3027" s="5" t="n">
        <v>339</v>
      </c>
      <c r="E3027" s="73">
        <f>B3027*D3027/10000</f>
        <v/>
      </c>
      <c r="F3027" s="74">
        <f>B3027/30.48</f>
        <v/>
      </c>
      <c r="G3027" s="74">
        <f>D3027/30.48</f>
        <v/>
      </c>
      <c r="H3027" s="553" t="inlineStr">
        <is>
          <t>WTR</t>
        </is>
      </c>
      <c r="I3027" s="570" t="inlineStr">
        <is>
          <t>Nathaniel McCurdy</t>
        </is>
      </c>
      <c r="J3027" s="557" t="inlineStr">
        <is>
          <t>+1732 492 2575</t>
        </is>
      </c>
    </row>
    <row r="3028" ht="18" customHeight="1" s="305">
      <c r="A3028" s="8" t="n">
        <v>70</v>
      </c>
      <c r="B3028" s="5" t="n">
        <v>91</v>
      </c>
      <c r="C3028" s="6" t="inlineStr">
        <is>
          <t>X</t>
        </is>
      </c>
      <c r="D3028" s="5" t="n">
        <v>51</v>
      </c>
      <c r="E3028" s="2">
        <f>B3028*D3028/10000</f>
        <v/>
      </c>
      <c r="F3028" s="3">
        <f>B3028/30.48</f>
        <v/>
      </c>
      <c r="G3028" s="3">
        <f>D3028/30.48</f>
        <v/>
      </c>
      <c r="H3028" s="37" t="inlineStr">
        <is>
          <t>BHR</t>
        </is>
      </c>
      <c r="I3028" s="570" t="inlineStr">
        <is>
          <t>Erin Falley</t>
        </is>
      </c>
      <c r="J3028" s="557" t="n"/>
    </row>
    <row r="3029" ht="18" customHeight="1" s="305">
      <c r="A3029" s="28" t="inlineStr">
        <is>
          <t>D 818</t>
        </is>
      </c>
      <c r="B3029" s="29" t="n">
        <v>50</v>
      </c>
      <c r="C3029" s="236" t="inlineStr">
        <is>
          <t>X</t>
        </is>
      </c>
      <c r="D3029" s="29" t="n">
        <v>99</v>
      </c>
      <c r="E3029" s="237">
        <f>B3029*D3029/10000</f>
        <v/>
      </c>
      <c r="F3029" s="238">
        <f>B3029/30.48</f>
        <v/>
      </c>
      <c r="G3029" s="238">
        <f>D3029/30.48</f>
        <v/>
      </c>
      <c r="H3029" s="592" t="inlineStr">
        <is>
          <t>LR</t>
        </is>
      </c>
      <c r="I3029" s="534" t="inlineStr">
        <is>
          <t>Lauren Miller</t>
        </is>
      </c>
      <c r="J3029" s="545" t="n"/>
    </row>
    <row r="3030" ht="18" customHeight="1" s="305">
      <c r="A3030" s="8" t="n">
        <v>1534</v>
      </c>
      <c r="B3030" s="5" t="n">
        <v>180</v>
      </c>
      <c r="C3030" s="72" t="inlineStr">
        <is>
          <t>X</t>
        </is>
      </c>
      <c r="D3030" s="5" t="n">
        <v>104</v>
      </c>
      <c r="E3030" s="73">
        <f>B3030*D3030/10000</f>
        <v/>
      </c>
      <c r="F3030" s="74">
        <f>B3030/30.48</f>
        <v/>
      </c>
      <c r="G3030" s="74">
        <f>D3030/30.48</f>
        <v/>
      </c>
      <c r="H3030" s="357" t="inlineStr">
        <is>
          <t>RST</t>
        </is>
      </c>
      <c r="I3030" s="570" t="inlineStr">
        <is>
          <t>LORNA HAMILTON</t>
        </is>
      </c>
      <c r="J3030" s="557" t="n"/>
    </row>
    <row r="3031" ht="18" customHeight="1" s="305">
      <c r="A3031" s="28" t="inlineStr">
        <is>
          <t>D 929</t>
        </is>
      </c>
      <c r="B3031" s="29" t="n">
        <v>51</v>
      </c>
      <c r="C3031" s="236" t="inlineStr">
        <is>
          <t>X</t>
        </is>
      </c>
      <c r="D3031" s="29" t="n">
        <v>111</v>
      </c>
      <c r="E3031" s="237">
        <f>B3031*D3031/10000</f>
        <v/>
      </c>
      <c r="F3031" s="238">
        <f>B3031/30.48</f>
        <v/>
      </c>
      <c r="G3031" s="238">
        <f>D3031/30.48</f>
        <v/>
      </c>
      <c r="H3031" s="592" t="inlineStr">
        <is>
          <t>LR</t>
        </is>
      </c>
      <c r="I3031" s="570" t="inlineStr">
        <is>
          <t>Jason Foley</t>
        </is>
      </c>
      <c r="J3031" s="557" t="n"/>
    </row>
    <row r="3032" ht="18" customHeight="1" s="305">
      <c r="A3032" s="8" t="n">
        <v>4095</v>
      </c>
      <c r="B3032" s="5" t="n">
        <v>76</v>
      </c>
      <c r="C3032" s="72" t="inlineStr">
        <is>
          <t>X</t>
        </is>
      </c>
      <c r="D3032" s="5" t="n">
        <v>146</v>
      </c>
      <c r="E3032" s="73">
        <f>B3032*D3032/10000</f>
        <v/>
      </c>
      <c r="F3032" s="74">
        <f>B3032/30.48</f>
        <v/>
      </c>
      <c r="G3032" s="74">
        <f>D3032/30.48</f>
        <v/>
      </c>
      <c r="H3032" s="37" t="inlineStr">
        <is>
          <t>WLR</t>
        </is>
      </c>
      <c r="I3032" s="570" t="inlineStr">
        <is>
          <t>Alexandra Sewell</t>
        </is>
      </c>
      <c r="J3032" s="557" t="n"/>
      <c r="S3032" s="1" t="n"/>
    </row>
    <row r="3033" ht="18" customHeight="1" s="305">
      <c r="A3033" s="8" t="n">
        <v>2414</v>
      </c>
      <c r="B3033" s="5" t="n">
        <v>87</v>
      </c>
      <c r="C3033" s="72" t="inlineStr">
        <is>
          <t>X</t>
        </is>
      </c>
      <c r="D3033" s="5" t="n">
        <v>363</v>
      </c>
      <c r="E3033" s="73">
        <f>B3033*D3033/10000</f>
        <v/>
      </c>
      <c r="F3033" s="74">
        <f>B3033/30.48</f>
        <v/>
      </c>
      <c r="G3033" s="74">
        <f>D3033/30.48</f>
        <v/>
      </c>
      <c r="H3033" s="37" t="inlineStr">
        <is>
          <t>LLC</t>
        </is>
      </c>
      <c r="I3033" s="570" t="inlineStr">
        <is>
          <t>Ryan Banks</t>
        </is>
      </c>
      <c r="J3033" s="557" t="n"/>
      <c r="S3033" s="1" t="n"/>
    </row>
    <row r="3034" ht="18" customHeight="1" s="305">
      <c r="A3034" s="8" t="n">
        <v>2603</v>
      </c>
      <c r="B3034" s="5" t="n">
        <v>114</v>
      </c>
      <c r="C3034" s="72" t="inlineStr">
        <is>
          <t>X</t>
        </is>
      </c>
      <c r="D3034" s="5" t="n">
        <v>331</v>
      </c>
      <c r="E3034" s="73">
        <f>B3034*D3034/10000</f>
        <v/>
      </c>
      <c r="F3034" s="74">
        <f>B3034/30.48</f>
        <v/>
      </c>
      <c r="G3034" s="74">
        <f>D3034/30.48</f>
        <v/>
      </c>
      <c r="H3034" s="553" t="inlineStr">
        <is>
          <t>WTR</t>
        </is>
      </c>
      <c r="I3034" s="570" t="inlineStr">
        <is>
          <t>Casey Lasky</t>
        </is>
      </c>
      <c r="J3034" s="557" t="n"/>
      <c r="S3034" s="1" t="n"/>
    </row>
    <row r="3035" ht="18" customHeight="1" s="305">
      <c r="A3035" s="8" t="n">
        <v>2356</v>
      </c>
      <c r="B3035" s="5" t="n">
        <v>81</v>
      </c>
      <c r="C3035" s="72" t="inlineStr">
        <is>
          <t>X</t>
        </is>
      </c>
      <c r="D3035" s="5" t="n">
        <v>395</v>
      </c>
      <c r="E3035" s="73">
        <f>B3035*D3035/10000</f>
        <v/>
      </c>
      <c r="F3035" s="74">
        <f>B3035/30.48</f>
        <v/>
      </c>
      <c r="G3035" s="74">
        <f>D3035/30.48</f>
        <v/>
      </c>
      <c r="H3035" s="553" t="inlineStr">
        <is>
          <t>WTR</t>
        </is>
      </c>
      <c r="I3035" s="570" t="inlineStr">
        <is>
          <t>Kelsey Butler</t>
        </is>
      </c>
      <c r="J3035" s="557" t="n"/>
      <c r="S3035" s="1" t="n"/>
    </row>
    <row r="3036" ht="18" customHeight="1" s="305">
      <c r="A3036" s="8" t="inlineStr">
        <is>
          <t>C 558</t>
        </is>
      </c>
      <c r="B3036" s="5" t="n">
        <v>78</v>
      </c>
      <c r="C3036" s="6" t="inlineStr">
        <is>
          <t>X</t>
        </is>
      </c>
      <c r="D3036" s="5" t="n">
        <v>138</v>
      </c>
      <c r="E3036" s="2">
        <f>B3036*D3036/10000</f>
        <v/>
      </c>
      <c r="F3036" s="3">
        <f>B3036/30.48</f>
        <v/>
      </c>
      <c r="G3036" s="3">
        <f>D3036/30.48</f>
        <v/>
      </c>
      <c r="H3036" s="37" t="inlineStr">
        <is>
          <t>PAC</t>
        </is>
      </c>
      <c r="I3036" s="570" t="inlineStr">
        <is>
          <t>Mary Pat Maretz</t>
        </is>
      </c>
      <c r="J3036" s="557" t="n"/>
    </row>
    <row r="3037" ht="18" customHeight="1" s="305">
      <c r="A3037" s="8" t="inlineStr">
        <is>
          <t>İ-37</t>
        </is>
      </c>
      <c r="B3037" s="5" t="n">
        <v>290</v>
      </c>
      <c r="C3037" s="72" t="inlineStr">
        <is>
          <t>X</t>
        </is>
      </c>
      <c r="D3037" s="5" t="n">
        <v>384</v>
      </c>
      <c r="E3037" s="73">
        <f>B3037*D3037/10000</f>
        <v/>
      </c>
      <c r="F3037" s="74">
        <f>B3037/30.48</f>
        <v/>
      </c>
      <c r="G3037" s="74">
        <f>D3037/30.48</f>
        <v/>
      </c>
      <c r="H3037" s="37" t="inlineStr">
        <is>
          <t>PAC</t>
        </is>
      </c>
      <c r="I3037" s="570" t="inlineStr">
        <is>
          <t>Mindi Pruett</t>
        </is>
      </c>
      <c r="J3037" s="557" t="inlineStr">
        <is>
          <t>+1 903 278 7268</t>
        </is>
      </c>
      <c r="S3037" s="1" t="n"/>
    </row>
    <row r="3038" ht="18" customHeight="1" s="305">
      <c r="A3038" s="8" t="n">
        <v>2953</v>
      </c>
      <c r="B3038" s="5" t="n">
        <v>89</v>
      </c>
      <c r="C3038" s="72" t="inlineStr">
        <is>
          <t>X</t>
        </is>
      </c>
      <c r="D3038" s="5" t="n">
        <v>298</v>
      </c>
      <c r="E3038" s="73">
        <f>B3038*D3038/10000</f>
        <v/>
      </c>
      <c r="F3038" s="74">
        <f>B3038/30.48</f>
        <v/>
      </c>
      <c r="G3038" s="74">
        <f>D3038/30.48</f>
        <v/>
      </c>
      <c r="H3038" s="359" t="inlineStr">
        <is>
          <t>FRD-NR</t>
        </is>
      </c>
      <c r="I3038" s="534" t="inlineStr">
        <is>
          <t>Tracy Gunn</t>
        </is>
      </c>
      <c r="J3038" s="545" t="n"/>
      <c r="S3038" s="1" t="n"/>
    </row>
    <row r="3039" ht="18" customHeight="1" s="305">
      <c r="A3039" s="8" t="n">
        <v>3702</v>
      </c>
      <c r="B3039" s="5" t="n">
        <v>121</v>
      </c>
      <c r="C3039" s="72" t="inlineStr">
        <is>
          <t>X</t>
        </is>
      </c>
      <c r="D3039" s="5" t="n">
        <v>383</v>
      </c>
      <c r="E3039" s="73">
        <f>B3039*D3039/10000</f>
        <v/>
      </c>
      <c r="F3039" s="74">
        <f>B3039/30.48</f>
        <v/>
      </c>
      <c r="G3039" s="74">
        <f>D3039/30.48</f>
        <v/>
      </c>
      <c r="H3039" s="37" t="inlineStr">
        <is>
          <t>LLC</t>
        </is>
      </c>
      <c r="I3039" s="534" t="inlineStr">
        <is>
          <t>Crystal Roberts Smittkamp</t>
        </is>
      </c>
      <c r="J3039" s="545" t="n"/>
    </row>
    <row r="3040" ht="18" customHeight="1" s="305">
      <c r="A3040" s="8" t="n">
        <v>3754</v>
      </c>
      <c r="B3040" s="5" t="n">
        <v>124</v>
      </c>
      <c r="C3040" s="72" t="inlineStr">
        <is>
          <t>X</t>
        </is>
      </c>
      <c r="D3040" s="5" t="n">
        <v>227</v>
      </c>
      <c r="E3040" s="73">
        <f>B3040*D3040/10000</f>
        <v/>
      </c>
      <c r="F3040" s="74">
        <f>B3040/30.48</f>
        <v/>
      </c>
      <c r="G3040" s="74">
        <f>D3040/30.48</f>
        <v/>
      </c>
      <c r="H3040" s="592" t="inlineStr">
        <is>
          <t>LMX</t>
        </is>
      </c>
      <c r="I3040" s="570" t="inlineStr">
        <is>
          <t>savanna Morris</t>
        </is>
      </c>
      <c r="J3040" s="557" t="n"/>
    </row>
    <row r="3041" ht="18" customHeight="1" s="305">
      <c r="A3041" s="28" t="inlineStr">
        <is>
          <t>D 1097</t>
        </is>
      </c>
      <c r="B3041" s="29" t="n">
        <v>58</v>
      </c>
      <c r="C3041" s="236" t="inlineStr">
        <is>
          <t>X</t>
        </is>
      </c>
      <c r="D3041" s="29" t="n">
        <v>94</v>
      </c>
      <c r="E3041" s="237">
        <f>B3041*D3041/10000</f>
        <v/>
      </c>
      <c r="F3041" s="238">
        <f>B3041/30.48</f>
        <v/>
      </c>
      <c r="G3041" s="238">
        <f>D3041/30.48</f>
        <v/>
      </c>
      <c r="H3041" s="37" t="inlineStr">
        <is>
          <t>WLR</t>
        </is>
      </c>
      <c r="I3041" s="570" t="inlineStr">
        <is>
          <t>Zach Bielat</t>
        </is>
      </c>
      <c r="J3041" s="557" t="n"/>
    </row>
    <row r="3042" ht="18" customHeight="1" s="305">
      <c r="A3042" s="8" t="n">
        <v>1811</v>
      </c>
      <c r="B3042" s="5" t="n">
        <v>114</v>
      </c>
      <c r="C3042" s="72" t="inlineStr">
        <is>
          <t>X</t>
        </is>
      </c>
      <c r="D3042" s="5" t="n">
        <v>196</v>
      </c>
      <c r="E3042" s="73">
        <f>B3042*D3042/10000</f>
        <v/>
      </c>
      <c r="F3042" s="74">
        <f>B3042/30.48</f>
        <v/>
      </c>
      <c r="G3042" s="74">
        <f>D3042/30.48</f>
        <v/>
      </c>
      <c r="H3042" s="357" t="inlineStr">
        <is>
          <t>RST</t>
        </is>
      </c>
      <c r="I3042" s="570" t="inlineStr">
        <is>
          <t>Kelly Lake</t>
        </is>
      </c>
      <c r="J3042" s="557" t="n"/>
    </row>
    <row r="3043" ht="18" customHeight="1" s="305">
      <c r="A3043" s="8" t="n">
        <v>2740</v>
      </c>
      <c r="B3043" s="5" t="n">
        <v>100</v>
      </c>
      <c r="C3043" s="72" t="inlineStr">
        <is>
          <t>X</t>
        </is>
      </c>
      <c r="D3043" s="5" t="n">
        <v>366</v>
      </c>
      <c r="E3043" s="73">
        <f>B3043*D3043/10000</f>
        <v/>
      </c>
      <c r="F3043" s="74">
        <f>B3043/30.48</f>
        <v/>
      </c>
      <c r="G3043" s="74">
        <f>D3043/30.48</f>
        <v/>
      </c>
      <c r="H3043" s="553" t="inlineStr">
        <is>
          <t>WTR</t>
        </is>
      </c>
      <c r="I3043" s="534" t="inlineStr">
        <is>
          <t>Natalia Krupenko</t>
        </is>
      </c>
      <c r="J3043" s="545" t="n"/>
    </row>
    <row r="3044" ht="18" customHeight="1" s="305">
      <c r="A3044" s="28" t="inlineStr">
        <is>
          <t>D 501</t>
        </is>
      </c>
      <c r="B3044" s="29" t="n">
        <v>45</v>
      </c>
      <c r="C3044" s="236" t="inlineStr">
        <is>
          <t>X</t>
        </is>
      </c>
      <c r="D3044" s="29" t="n">
        <v>101</v>
      </c>
      <c r="E3044" s="237">
        <f>B3044*D3044/10000</f>
        <v/>
      </c>
      <c r="F3044" s="238">
        <f>B3044/30.48</f>
        <v/>
      </c>
      <c r="G3044" s="238">
        <f>D3044/30.48</f>
        <v/>
      </c>
      <c r="H3044" s="37" t="inlineStr">
        <is>
          <t>WLR</t>
        </is>
      </c>
      <c r="I3044" s="570" t="inlineStr">
        <is>
          <t>Laura Kocubinski</t>
        </is>
      </c>
      <c r="J3044" s="557" t="n"/>
    </row>
    <row r="3045" ht="18" customHeight="1" s="305">
      <c r="A3045" s="8" t="n">
        <v>1904</v>
      </c>
      <c r="B3045" s="5" t="n">
        <v>75</v>
      </c>
      <c r="C3045" s="72" t="inlineStr">
        <is>
          <t>X</t>
        </is>
      </c>
      <c r="D3045" s="5" t="n">
        <v>326</v>
      </c>
      <c r="E3045" s="73">
        <f>B3045*D3045/10000</f>
        <v/>
      </c>
      <c r="F3045" s="74">
        <f>B3045/30.48</f>
        <v/>
      </c>
      <c r="G3045" s="74">
        <f>D3045/30.48</f>
        <v/>
      </c>
      <c r="H3045" s="357" t="inlineStr">
        <is>
          <t>RST</t>
        </is>
      </c>
      <c r="I3045" s="534" t="inlineStr">
        <is>
          <t>Annabel Williams</t>
        </is>
      </c>
      <c r="J3045" s="545" t="inlineStr">
        <is>
          <t>+1214 534 4113</t>
        </is>
      </c>
    </row>
    <row r="3046" ht="18" customHeight="1" s="305">
      <c r="A3046" s="8" t="inlineStr">
        <is>
          <t>İ-89</t>
        </is>
      </c>
      <c r="B3046" s="5" t="n">
        <v>274</v>
      </c>
      <c r="C3046" s="72" t="inlineStr">
        <is>
          <t>X</t>
        </is>
      </c>
      <c r="D3046" s="5" t="n">
        <v>281</v>
      </c>
      <c r="E3046" s="73">
        <f>B3046*D3046/10000</f>
        <v/>
      </c>
      <c r="F3046" s="74">
        <f>B3046/30.48</f>
        <v/>
      </c>
      <c r="G3046" s="74">
        <f>D3046/30.48</f>
        <v/>
      </c>
      <c r="H3046" s="364" t="inlineStr">
        <is>
          <t>OLD</t>
        </is>
      </c>
      <c r="I3046" s="570" t="inlineStr">
        <is>
          <t>Kelsey McDonough</t>
        </is>
      </c>
      <c r="J3046" s="557" t="n"/>
    </row>
    <row r="3047" ht="18" customHeight="1" s="305">
      <c r="A3047" s="8" t="n">
        <v>2176</v>
      </c>
      <c r="B3047" s="5" t="n">
        <v>87</v>
      </c>
      <c r="C3047" s="72" t="inlineStr">
        <is>
          <t>X</t>
        </is>
      </c>
      <c r="D3047" s="5" t="n">
        <v>327</v>
      </c>
      <c r="E3047" s="73">
        <f>B3047*D3047/10000</f>
        <v/>
      </c>
      <c r="F3047" s="74">
        <f>B3047/30.48</f>
        <v/>
      </c>
      <c r="G3047" s="74">
        <f>D3047/30.48</f>
        <v/>
      </c>
      <c r="H3047" s="592" t="inlineStr">
        <is>
          <t>LMX</t>
        </is>
      </c>
      <c r="I3047" s="570" t="inlineStr">
        <is>
          <t>Angeline Kinnon</t>
        </is>
      </c>
      <c r="J3047" s="557" t="inlineStr">
        <is>
          <t>+1 603 475 4027</t>
        </is>
      </c>
    </row>
    <row r="3048" ht="18" customHeight="1" s="305">
      <c r="A3048" s="8" t="n">
        <v>3809</v>
      </c>
      <c r="B3048" s="5" t="n">
        <v>92</v>
      </c>
      <c r="C3048" s="72" t="inlineStr">
        <is>
          <t>X</t>
        </is>
      </c>
      <c r="D3048" s="5" t="n">
        <v>152</v>
      </c>
      <c r="E3048" s="73">
        <f>B3048*D3048/10000</f>
        <v/>
      </c>
      <c r="F3048" s="74">
        <f>B3048/30.48</f>
        <v/>
      </c>
      <c r="G3048" s="74">
        <f>D3048/30.48</f>
        <v/>
      </c>
      <c r="H3048" s="592" t="inlineStr">
        <is>
          <t>LMX</t>
        </is>
      </c>
      <c r="I3048" s="570" t="inlineStr">
        <is>
          <t>Rhonda Hiatt</t>
        </is>
      </c>
      <c r="J3048" s="557" t="n"/>
      <c r="S3048" s="1" t="n"/>
    </row>
    <row r="3049" ht="18" customHeight="1" s="305">
      <c r="A3049" s="8" t="inlineStr">
        <is>
          <t>C 84</t>
        </is>
      </c>
      <c r="B3049" s="5" t="n">
        <v>288</v>
      </c>
      <c r="C3049" s="6" t="inlineStr">
        <is>
          <t>X</t>
        </is>
      </c>
      <c r="D3049" s="5" t="n">
        <v>110</v>
      </c>
      <c r="E3049" s="2">
        <f>B3049*D3049/10000</f>
        <v/>
      </c>
      <c r="F3049" s="3">
        <f>B3049/30.48</f>
        <v/>
      </c>
      <c r="G3049" s="3">
        <f>D3049/30.48</f>
        <v/>
      </c>
      <c r="H3049" s="364" t="inlineStr">
        <is>
          <t>OLD</t>
        </is>
      </c>
      <c r="I3049" s="570" t="inlineStr">
        <is>
          <t>Noor Abdulmassih</t>
        </is>
      </c>
      <c r="J3049" s="557" t="n"/>
    </row>
    <row r="3050" ht="18" customHeight="1" s="305">
      <c r="A3050" s="8" t="n">
        <v>1303</v>
      </c>
      <c r="B3050" s="5" t="n">
        <v>91</v>
      </c>
      <c r="C3050" s="72" t="inlineStr">
        <is>
          <t>X</t>
        </is>
      </c>
      <c r="D3050" s="5" t="n">
        <v>362</v>
      </c>
      <c r="E3050" s="73">
        <f>B3050*D3050/10000</f>
        <v/>
      </c>
      <c r="F3050" s="74">
        <f>B3050/30.48</f>
        <v/>
      </c>
      <c r="G3050" s="74">
        <f>D3050/30.48</f>
        <v/>
      </c>
      <c r="H3050" s="614" t="inlineStr">
        <is>
          <t>OLD</t>
        </is>
      </c>
      <c r="I3050" s="570" t="inlineStr">
        <is>
          <t>adrienne b. davis</t>
        </is>
      </c>
      <c r="J3050" s="557" t="inlineStr">
        <is>
          <t>+1(704)651-3047</t>
        </is>
      </c>
      <c r="S3050" s="1" t="n"/>
    </row>
    <row r="3051" ht="18" customHeight="1" s="305">
      <c r="A3051" s="8" t="inlineStr">
        <is>
          <t>H 260</t>
        </is>
      </c>
      <c r="B3051" s="5" t="n">
        <v>90</v>
      </c>
      <c r="C3051" s="72" t="inlineStr">
        <is>
          <t>X</t>
        </is>
      </c>
      <c r="D3051" s="5" t="n">
        <v>316</v>
      </c>
      <c r="E3051" s="73">
        <f>B3051*D3051/10000</f>
        <v/>
      </c>
      <c r="F3051" s="74">
        <f>B3051/30.48</f>
        <v/>
      </c>
      <c r="G3051" s="74">
        <f>D3051/30.48</f>
        <v/>
      </c>
      <c r="H3051" s="693" t="n"/>
      <c r="I3051" s="693" t="n"/>
      <c r="J3051" s="693" t="n"/>
      <c r="S3051" s="1" t="n"/>
    </row>
    <row r="3052" ht="18" customHeight="1" s="305">
      <c r="A3052" s="8" t="n">
        <v>1312</v>
      </c>
      <c r="B3052" s="5" t="n">
        <v>82</v>
      </c>
      <c r="C3052" s="72" t="inlineStr">
        <is>
          <t>X</t>
        </is>
      </c>
      <c r="D3052" s="5" t="n">
        <v>294</v>
      </c>
      <c r="E3052" s="73">
        <f>B3052*D3052/10000</f>
        <v/>
      </c>
      <c r="F3052" s="74">
        <f>B3052/30.48</f>
        <v/>
      </c>
      <c r="G3052" s="74">
        <f>D3052/30.48</f>
        <v/>
      </c>
      <c r="H3052" s="694" t="n"/>
      <c r="I3052" s="694" t="n"/>
      <c r="J3052" s="694" t="n"/>
      <c r="S3052" s="1" t="n"/>
    </row>
    <row r="3053" ht="18" customHeight="1" s="305">
      <c r="A3053" s="8" t="n">
        <v>3110</v>
      </c>
      <c r="B3053" s="5" t="n">
        <v>102</v>
      </c>
      <c r="C3053" s="72" t="inlineStr">
        <is>
          <t>X</t>
        </is>
      </c>
      <c r="D3053" s="5" t="n">
        <v>255</v>
      </c>
      <c r="E3053" s="73">
        <f>B3053*D3053/10000</f>
        <v/>
      </c>
      <c r="F3053" s="74">
        <f>B3053/30.48</f>
        <v/>
      </c>
      <c r="G3053" s="74">
        <f>D3053/30.48</f>
        <v/>
      </c>
      <c r="H3053" s="359" t="inlineStr">
        <is>
          <t>MCHD-TR</t>
        </is>
      </c>
      <c r="I3053" s="557" t="n"/>
      <c r="J3053" s="557" t="n"/>
      <c r="S3053" s="1" t="n"/>
    </row>
    <row r="3054" ht="18" customHeight="1" s="305">
      <c r="A3054" s="28" t="inlineStr">
        <is>
          <t>D 495</t>
        </is>
      </c>
      <c r="B3054" s="29" t="n">
        <v>55</v>
      </c>
      <c r="C3054" s="236" t="inlineStr">
        <is>
          <t>X</t>
        </is>
      </c>
      <c r="D3054" s="29" t="n">
        <v>99</v>
      </c>
      <c r="E3054" s="237">
        <f>B3054*D3054/10000</f>
        <v/>
      </c>
      <c r="F3054" s="238">
        <f>B3054/30.48</f>
        <v/>
      </c>
      <c r="G3054" s="238">
        <f>D3054/30.48</f>
        <v/>
      </c>
      <c r="H3054" s="614" t="inlineStr">
        <is>
          <t>WLR</t>
        </is>
      </c>
      <c r="I3054" s="534" t="inlineStr">
        <is>
          <t>Karen Pawlyk</t>
        </is>
      </c>
      <c r="J3054" s="557" t="n"/>
    </row>
    <row r="3055" ht="18" customHeight="1" s="305">
      <c r="A3055" s="8" t="inlineStr">
        <is>
          <t>E-81</t>
        </is>
      </c>
      <c r="B3055" s="5" t="n"/>
      <c r="C3055" s="72" t="inlineStr">
        <is>
          <t>X</t>
        </is>
      </c>
      <c r="D3055" s="5" t="n"/>
      <c r="E3055" s="73">
        <f>B3055*D3055/10000</f>
        <v/>
      </c>
      <c r="F3055" s="74">
        <f>B3055/30.48</f>
        <v/>
      </c>
      <c r="G3055" s="74">
        <f>D3055/30.48</f>
        <v/>
      </c>
      <c r="H3055" s="694" t="n"/>
      <c r="I3055" s="693" t="n"/>
      <c r="J3055" s="545" t="n"/>
      <c r="S3055" s="1" t="n"/>
    </row>
    <row r="3056" ht="18" customHeight="1" s="305">
      <c r="A3056" s="28" t="inlineStr">
        <is>
          <t>D 530</t>
        </is>
      </c>
      <c r="B3056" s="29" t="n">
        <v>44</v>
      </c>
      <c r="C3056" s="236" t="inlineStr">
        <is>
          <t>X</t>
        </is>
      </c>
      <c r="D3056" s="29" t="n">
        <v>83</v>
      </c>
      <c r="E3056" s="237">
        <f>B3056*D3056/10000</f>
        <v/>
      </c>
      <c r="F3056" s="238">
        <f>B3056/30.48</f>
        <v/>
      </c>
      <c r="G3056" s="238">
        <f>D3056/30.48</f>
        <v/>
      </c>
      <c r="H3056" s="37" t="inlineStr">
        <is>
          <t>WLR</t>
        </is>
      </c>
      <c r="I3056" s="570" t="inlineStr">
        <is>
          <t>Olivia Ciotti</t>
        </is>
      </c>
      <c r="J3056" s="557" t="inlineStr">
        <is>
          <t>+1 440 396 52 55</t>
        </is>
      </c>
    </row>
    <row r="3057" ht="18" customHeight="1" s="305">
      <c r="A3057" s="28" t="inlineStr">
        <is>
          <t>D 689</t>
        </is>
      </c>
      <c r="B3057" s="29" t="n">
        <v>50</v>
      </c>
      <c r="C3057" s="236" t="inlineStr">
        <is>
          <t>X</t>
        </is>
      </c>
      <c r="D3057" s="29" t="n">
        <v>82</v>
      </c>
      <c r="E3057" s="237">
        <f>B3057*D3057/10000</f>
        <v/>
      </c>
      <c r="F3057" s="238">
        <f>B3057/30.48</f>
        <v/>
      </c>
      <c r="G3057" s="238">
        <f>D3057/30.48</f>
        <v/>
      </c>
      <c r="H3057" s="37" t="inlineStr">
        <is>
          <t>WLR</t>
        </is>
      </c>
      <c r="I3057" s="570" t="inlineStr">
        <is>
          <t>Bonnie Markel</t>
        </is>
      </c>
      <c r="J3057" s="557" t="n"/>
    </row>
    <row r="3058" ht="18" customHeight="1" s="305">
      <c r="A3058" s="28" t="inlineStr">
        <is>
          <t>D 662</t>
        </is>
      </c>
      <c r="B3058" s="29" t="n">
        <v>37</v>
      </c>
      <c r="C3058" s="236" t="inlineStr">
        <is>
          <t>X</t>
        </is>
      </c>
      <c r="D3058" s="29" t="n">
        <v>85</v>
      </c>
      <c r="E3058" s="237">
        <f>B3058*D3058/10000</f>
        <v/>
      </c>
      <c r="F3058" s="238">
        <f>B3058/30.48</f>
        <v/>
      </c>
      <c r="G3058" s="238">
        <f>D3058/30.48</f>
        <v/>
      </c>
      <c r="H3058" s="37" t="inlineStr">
        <is>
          <t>BHR</t>
        </is>
      </c>
      <c r="I3058" s="570" t="inlineStr">
        <is>
          <t>Madeline Elledge</t>
        </is>
      </c>
      <c r="J3058" s="557" t="n"/>
    </row>
    <row r="3059" ht="18" customHeight="1" s="305">
      <c r="A3059" s="8" t="n">
        <v>2790</v>
      </c>
      <c r="B3059" s="5" t="n">
        <v>106</v>
      </c>
      <c r="C3059" s="72" t="inlineStr">
        <is>
          <t>X</t>
        </is>
      </c>
      <c r="D3059" s="5" t="n">
        <v>198</v>
      </c>
      <c r="E3059" s="73">
        <f>B3059*D3059/10000</f>
        <v/>
      </c>
      <c r="F3059" s="74">
        <f>B3059/30.48</f>
        <v/>
      </c>
      <c r="G3059" s="74">
        <f>D3059/30.48</f>
        <v/>
      </c>
      <c r="H3059" s="359" t="inlineStr">
        <is>
          <t>MCHD-TR</t>
        </is>
      </c>
      <c r="I3059" s="557" t="n"/>
      <c r="J3059" s="557" t="n"/>
    </row>
    <row r="3060" ht="18" customHeight="1" s="305">
      <c r="A3060" s="8" t="inlineStr">
        <is>
          <t>H 57</t>
        </is>
      </c>
      <c r="B3060" s="5" t="n">
        <v>84</v>
      </c>
      <c r="C3060" s="72" t="inlineStr">
        <is>
          <t>X</t>
        </is>
      </c>
      <c r="D3060" s="5" t="n">
        <v>295</v>
      </c>
      <c r="E3060" s="73">
        <f>B3060*D3060/10000</f>
        <v/>
      </c>
      <c r="F3060" s="74">
        <f>B3060/30.48</f>
        <v/>
      </c>
      <c r="G3060" s="74">
        <f>D3060/30.48</f>
        <v/>
      </c>
      <c r="H3060" s="592" t="inlineStr">
        <is>
          <t>LMX</t>
        </is>
      </c>
      <c r="I3060" s="570" t="inlineStr">
        <is>
          <t>Fiona Gooley</t>
        </is>
      </c>
      <c r="J3060" s="557" t="n"/>
    </row>
    <row r="3061" ht="18" customHeight="1" s="305">
      <c r="A3061" s="28" t="inlineStr">
        <is>
          <t>D 692</t>
        </is>
      </c>
      <c r="B3061" s="29" t="n">
        <v>55</v>
      </c>
      <c r="C3061" s="236" t="inlineStr">
        <is>
          <t>X</t>
        </is>
      </c>
      <c r="D3061" s="29" t="n">
        <v>98</v>
      </c>
      <c r="E3061" s="237">
        <f>B3061*D3061/10000</f>
        <v/>
      </c>
      <c r="F3061" s="238">
        <f>B3061/30.48</f>
        <v/>
      </c>
      <c r="G3061" s="238">
        <f>D3061/30.48</f>
        <v/>
      </c>
      <c r="H3061" s="37" t="inlineStr">
        <is>
          <t>LR</t>
        </is>
      </c>
      <c r="I3061" s="315" t="inlineStr">
        <is>
          <t>Rose Minchey</t>
        </is>
      </c>
      <c r="J3061" s="557" t="n"/>
    </row>
    <row r="3062" ht="18" customHeight="1" s="305">
      <c r="A3062" s="8" t="n">
        <v>3127</v>
      </c>
      <c r="B3062" s="5" t="n">
        <v>84</v>
      </c>
      <c r="C3062" s="72" t="inlineStr">
        <is>
          <t>X</t>
        </is>
      </c>
      <c r="D3062" s="5" t="n">
        <v>131</v>
      </c>
      <c r="E3062" s="73">
        <f>B3062*D3062/10000</f>
        <v/>
      </c>
      <c r="F3062" s="74">
        <f>B3062/30.48</f>
        <v/>
      </c>
      <c r="G3062" s="74">
        <f>D3062/30.48</f>
        <v/>
      </c>
      <c r="H3062" s="554" t="inlineStr">
        <is>
          <t>LLC</t>
        </is>
      </c>
      <c r="I3062" s="367" t="inlineStr">
        <is>
          <t>Corryne Jackson</t>
        </is>
      </c>
      <c r="J3062" s="557" t="n"/>
    </row>
    <row r="3063" ht="18" customHeight="1" s="305">
      <c r="A3063" s="8" t="n">
        <v>1506</v>
      </c>
      <c r="B3063" s="5" t="n">
        <v>122</v>
      </c>
      <c r="C3063" s="72" t="inlineStr">
        <is>
          <t>X</t>
        </is>
      </c>
      <c r="D3063" s="5" t="n">
        <v>440</v>
      </c>
      <c r="E3063" s="73">
        <f>B3063*D3063/10000</f>
        <v/>
      </c>
      <c r="F3063" s="74">
        <f>B3063/30.48</f>
        <v/>
      </c>
      <c r="G3063" s="74">
        <f>D3063/30.48</f>
        <v/>
      </c>
      <c r="H3063" s="37" t="inlineStr">
        <is>
          <t>PAC</t>
        </is>
      </c>
      <c r="I3063" s="367" t="inlineStr">
        <is>
          <t>Jessica Troupe</t>
        </is>
      </c>
      <c r="J3063" s="557" t="n"/>
    </row>
    <row r="3064" ht="18" customHeight="1" s="305">
      <c r="A3064" s="8" t="n">
        <v>1559</v>
      </c>
      <c r="B3064" s="5" t="n">
        <v>338</v>
      </c>
      <c r="C3064" s="72" t="inlineStr">
        <is>
          <t>X</t>
        </is>
      </c>
      <c r="D3064" s="5" t="n">
        <v>125</v>
      </c>
      <c r="E3064" s="73">
        <f>B3064*D3064/10000</f>
        <v/>
      </c>
      <c r="F3064" s="74">
        <f>B3064/30.48</f>
        <v/>
      </c>
      <c r="G3064" s="74">
        <f>D3064/30.48</f>
        <v/>
      </c>
      <c r="H3064" s="37" t="inlineStr">
        <is>
          <t>PAC</t>
        </is>
      </c>
      <c r="I3064" s="367" t="inlineStr">
        <is>
          <t>Ami Patel</t>
        </is>
      </c>
      <c r="J3064" s="557" t="inlineStr">
        <is>
          <t>+1512 744 7112</t>
        </is>
      </c>
    </row>
    <row r="3065" ht="18" customHeight="1" s="305">
      <c r="A3065" s="28" t="inlineStr">
        <is>
          <t>D 819</t>
        </is>
      </c>
      <c r="B3065" s="29" t="n">
        <v>49</v>
      </c>
      <c r="C3065" s="236" t="inlineStr">
        <is>
          <t>X</t>
        </is>
      </c>
      <c r="D3065" s="29" t="n">
        <v>98</v>
      </c>
      <c r="E3065" s="237">
        <f>B3065*D3065/10000</f>
        <v/>
      </c>
      <c r="F3065" s="238">
        <f>B3065/30.48</f>
        <v/>
      </c>
      <c r="G3065" s="238">
        <f>D3065/30.48</f>
        <v/>
      </c>
      <c r="H3065" s="37" t="inlineStr">
        <is>
          <t>WLC</t>
        </is>
      </c>
      <c r="I3065" s="315" t="inlineStr">
        <is>
          <t>MARINA BROSCHOFSKY</t>
        </is>
      </c>
      <c r="J3065" s="545" t="n"/>
    </row>
    <row r="3066" ht="18" customHeight="1" s="305">
      <c r="A3066" s="8" t="n">
        <v>3176</v>
      </c>
      <c r="B3066" s="5" t="n">
        <v>79</v>
      </c>
      <c r="C3066" s="72" t="inlineStr">
        <is>
          <t>X</t>
        </is>
      </c>
      <c r="D3066" s="5" t="n">
        <v>138</v>
      </c>
      <c r="E3066" s="73">
        <f>B3066*D3066/10000</f>
        <v/>
      </c>
      <c r="F3066" s="74">
        <f>B3066/30.48</f>
        <v/>
      </c>
      <c r="G3066" s="74">
        <f>D3066/30.48</f>
        <v/>
      </c>
      <c r="H3066" s="554" t="inlineStr">
        <is>
          <t>LLC</t>
        </is>
      </c>
      <c r="I3066" s="570" t="inlineStr">
        <is>
          <t>Christy Harpring</t>
        </is>
      </c>
      <c r="J3066" s="557" t="n"/>
    </row>
    <row r="3067" ht="18" customHeight="1" s="305">
      <c r="A3067" s="28" t="inlineStr">
        <is>
          <t>D 639</t>
        </is>
      </c>
      <c r="B3067" s="29" t="n">
        <v>49</v>
      </c>
      <c r="C3067" s="236" t="inlineStr">
        <is>
          <t>X</t>
        </is>
      </c>
      <c r="D3067" s="29" t="n">
        <v>100</v>
      </c>
      <c r="E3067" s="237">
        <f>B3067*D3067/10000</f>
        <v/>
      </c>
      <c r="F3067" s="238">
        <f>B3067/30.48</f>
        <v/>
      </c>
      <c r="G3067" s="238">
        <f>D3067/30.48</f>
        <v/>
      </c>
      <c r="H3067" s="37" t="inlineStr">
        <is>
          <t>WLR</t>
        </is>
      </c>
      <c r="I3067" s="570" t="inlineStr">
        <is>
          <t>Vanessa Larkin</t>
        </is>
      </c>
      <c r="J3067" s="557" t="n"/>
    </row>
    <row r="3068" ht="18" customHeight="1" s="305">
      <c r="A3068" s="28" t="inlineStr">
        <is>
          <t>D 1008</t>
        </is>
      </c>
      <c r="B3068" s="29" t="n">
        <v>46</v>
      </c>
      <c r="C3068" s="236" t="inlineStr">
        <is>
          <t>X</t>
        </is>
      </c>
      <c r="D3068" s="29" t="n">
        <v>68</v>
      </c>
      <c r="E3068" s="237">
        <f>B3068*D3068/10000</f>
        <v/>
      </c>
      <c r="F3068" s="238">
        <f>B3068/30.48</f>
        <v/>
      </c>
      <c r="G3068" s="238">
        <f>D3068/30.48</f>
        <v/>
      </c>
      <c r="H3068" s="37" t="inlineStr">
        <is>
          <t>LR</t>
        </is>
      </c>
      <c r="I3068" s="570" t="inlineStr">
        <is>
          <t>noelle darling</t>
        </is>
      </c>
      <c r="J3068" s="545" t="n"/>
    </row>
    <row r="3069" ht="18" customHeight="1" s="305">
      <c r="A3069" s="28" t="inlineStr">
        <is>
          <t>D 698</t>
        </is>
      </c>
      <c r="B3069" s="29" t="n">
        <v>51</v>
      </c>
      <c r="C3069" s="236" t="inlineStr">
        <is>
          <t>X</t>
        </is>
      </c>
      <c r="D3069" s="29" t="n">
        <v>105</v>
      </c>
      <c r="E3069" s="237">
        <f>B3069*D3069/10000</f>
        <v/>
      </c>
      <c r="F3069" s="238">
        <f>B3069/30.48</f>
        <v/>
      </c>
      <c r="G3069" s="238">
        <f>D3069/30.48</f>
        <v/>
      </c>
      <c r="H3069" s="357" t="inlineStr">
        <is>
          <t>RST</t>
        </is>
      </c>
      <c r="I3069" s="315" t="inlineStr">
        <is>
          <t>Alexandra Perry</t>
        </is>
      </c>
      <c r="J3069" s="557" t="n"/>
    </row>
    <row r="3070" ht="18" customHeight="1" s="305">
      <c r="A3070" s="28" t="inlineStr">
        <is>
          <t>D 661</t>
        </is>
      </c>
      <c r="B3070" s="29" t="n">
        <v>40</v>
      </c>
      <c r="C3070" s="236" t="inlineStr">
        <is>
          <t>X</t>
        </is>
      </c>
      <c r="D3070" s="29" t="n">
        <v>85</v>
      </c>
      <c r="E3070" s="237">
        <f>B3070*D3070/10000</f>
        <v/>
      </c>
      <c r="F3070" s="238">
        <f>B3070/30.48</f>
        <v/>
      </c>
      <c r="G3070" s="238">
        <f>D3070/30.48</f>
        <v/>
      </c>
      <c r="H3070" s="37" t="inlineStr">
        <is>
          <t>LMX</t>
        </is>
      </c>
      <c r="I3070" s="315" t="inlineStr">
        <is>
          <t>Kathryn E Anlyan</t>
        </is>
      </c>
      <c r="J3070" s="557" t="inlineStr">
        <is>
          <t>+1 919 413 02 33</t>
        </is>
      </c>
    </row>
    <row r="3071" ht="18" customHeight="1" s="305">
      <c r="A3071" s="8" t="n">
        <v>3539</v>
      </c>
      <c r="B3071" s="5" t="n">
        <v>95</v>
      </c>
      <c r="C3071" s="72" t="inlineStr">
        <is>
          <t>X</t>
        </is>
      </c>
      <c r="D3071" s="5" t="n">
        <v>387</v>
      </c>
      <c r="E3071" s="73">
        <f>B3071*D3071/10000</f>
        <v/>
      </c>
      <c r="F3071" s="74">
        <f>B3071/30.48</f>
        <v/>
      </c>
      <c r="G3071" s="74">
        <f>D3071/30.48</f>
        <v/>
      </c>
      <c r="H3071" s="359" t="inlineStr">
        <is>
          <t>MCHD-TR</t>
        </is>
      </c>
      <c r="I3071" s="366" t="n"/>
      <c r="J3071" s="545" t="n"/>
    </row>
    <row r="3072" ht="18" customHeight="1" s="305">
      <c r="A3072" s="8" t="n">
        <v>3044</v>
      </c>
      <c r="B3072" s="5" t="n">
        <v>124</v>
      </c>
      <c r="C3072" s="72" t="inlineStr">
        <is>
          <t>X</t>
        </is>
      </c>
      <c r="D3072" s="5" t="n">
        <v>190</v>
      </c>
      <c r="E3072" s="73">
        <f>B3072*D3072/10000</f>
        <v/>
      </c>
      <c r="F3072" s="74">
        <f>B3072/30.48</f>
        <v/>
      </c>
      <c r="G3072" s="74">
        <f>D3072/30.48</f>
        <v/>
      </c>
      <c r="H3072" s="553" t="inlineStr">
        <is>
          <t>WTR</t>
        </is>
      </c>
      <c r="I3072" s="570" t="inlineStr">
        <is>
          <t>Patricia Pate</t>
        </is>
      </c>
      <c r="J3072" s="557" t="n"/>
    </row>
    <row r="3073" ht="18" customHeight="1" s="305">
      <c r="A3073" s="8" t="n">
        <v>1481</v>
      </c>
      <c r="B3073" s="5" t="n">
        <v>100</v>
      </c>
      <c r="C3073" s="72" t="inlineStr">
        <is>
          <t>X</t>
        </is>
      </c>
      <c r="D3073" s="5" t="n">
        <v>382</v>
      </c>
      <c r="E3073" s="73">
        <f>B3073*D3073/10000</f>
        <v/>
      </c>
      <c r="F3073" s="74">
        <f>B3073/30.48</f>
        <v/>
      </c>
      <c r="G3073" s="74">
        <f>D3073/30.48</f>
        <v/>
      </c>
      <c r="H3073" s="357" t="inlineStr">
        <is>
          <t>RST</t>
        </is>
      </c>
      <c r="I3073" s="570" t="inlineStr">
        <is>
          <t>Keya Dannenbaum</t>
        </is>
      </c>
      <c r="J3073" s="557" t="inlineStr">
        <is>
          <t>+1 857 829 74 38</t>
        </is>
      </c>
    </row>
    <row r="3074" ht="18" customHeight="1" s="305">
      <c r="A3074" s="28" t="inlineStr">
        <is>
          <t>D 1064</t>
        </is>
      </c>
      <c r="B3074" s="29" t="n">
        <v>41</v>
      </c>
      <c r="C3074" s="236" t="inlineStr">
        <is>
          <t>X</t>
        </is>
      </c>
      <c r="D3074" s="29" t="n">
        <v>91</v>
      </c>
      <c r="E3074" s="237">
        <f>B3074*D3074/10000</f>
        <v/>
      </c>
      <c r="F3074" s="238">
        <f>B3074/30.48</f>
        <v/>
      </c>
      <c r="G3074" s="238">
        <f>D3074/30.48</f>
        <v/>
      </c>
      <c r="H3074" s="37" t="inlineStr">
        <is>
          <t>WLR</t>
        </is>
      </c>
      <c r="I3074" s="570" t="inlineStr">
        <is>
          <t>Madison Harmon</t>
        </is>
      </c>
      <c r="J3074" s="557" t="inlineStr">
        <is>
          <t>+1 423 827 6549</t>
        </is>
      </c>
    </row>
    <row r="3075" ht="18" customHeight="1" s="305">
      <c r="A3075" s="8" t="inlineStr">
        <is>
          <t>D 160</t>
        </is>
      </c>
      <c r="B3075" s="5" t="n">
        <v>50</v>
      </c>
      <c r="C3075" s="72" t="inlineStr">
        <is>
          <t>X</t>
        </is>
      </c>
      <c r="D3075" s="5" t="n">
        <v>83</v>
      </c>
      <c r="E3075" s="73">
        <f>B3075*D3075/10000</f>
        <v/>
      </c>
      <c r="F3075" s="74">
        <f>B3075/30.48</f>
        <v/>
      </c>
      <c r="G3075" s="74">
        <f>D3075/30.48</f>
        <v/>
      </c>
      <c r="H3075" s="37" t="inlineStr">
        <is>
          <t>LMX</t>
        </is>
      </c>
      <c r="I3075" s="570" t="inlineStr">
        <is>
          <t>Katie Grieco</t>
        </is>
      </c>
      <c r="J3075" s="557" t="n"/>
    </row>
    <row r="3076" ht="18" customHeight="1" s="305">
      <c r="A3076" s="8" t="inlineStr">
        <is>
          <t>İ-80</t>
        </is>
      </c>
      <c r="B3076" s="5" t="n">
        <v>283</v>
      </c>
      <c r="C3076" s="72" t="inlineStr">
        <is>
          <t>X</t>
        </is>
      </c>
      <c r="D3076" s="5" t="n">
        <v>360</v>
      </c>
      <c r="E3076" s="73">
        <f>B3076*D3076/10000</f>
        <v/>
      </c>
      <c r="F3076" s="74">
        <f>B3076/30.48</f>
        <v/>
      </c>
      <c r="G3076" s="74">
        <f>D3076/30.48</f>
        <v/>
      </c>
      <c r="H3076" s="364" t="inlineStr">
        <is>
          <t>OLD</t>
        </is>
      </c>
      <c r="I3076" s="534" t="inlineStr">
        <is>
          <t>Lauren Wymore</t>
        </is>
      </c>
      <c r="J3076" s="545" t="n"/>
      <c r="S3076" s="1" t="n"/>
    </row>
    <row r="3077" ht="18" customHeight="1" s="305">
      <c r="A3077" s="28" t="inlineStr">
        <is>
          <t>D 813</t>
        </is>
      </c>
      <c r="B3077" s="29" t="n">
        <v>51</v>
      </c>
      <c r="C3077" s="236" t="inlineStr">
        <is>
          <t>X</t>
        </is>
      </c>
      <c r="D3077" s="29" t="n">
        <v>77</v>
      </c>
      <c r="E3077" s="237">
        <f>B3077*D3077/10000</f>
        <v/>
      </c>
      <c r="F3077" s="238">
        <f>B3077/30.48</f>
        <v/>
      </c>
      <c r="G3077" s="238">
        <f>D3077/30.48</f>
        <v/>
      </c>
      <c r="H3077" s="37" t="inlineStr">
        <is>
          <t>LR</t>
        </is>
      </c>
      <c r="I3077" s="534" t="inlineStr">
        <is>
          <t>Lauren Wymore</t>
        </is>
      </c>
      <c r="J3077" s="557" t="n"/>
    </row>
    <row r="3078" ht="18" customHeight="1" s="305">
      <c r="A3078" s="8" t="n">
        <v>1555</v>
      </c>
      <c r="B3078" s="5" t="n">
        <v>233</v>
      </c>
      <c r="C3078" s="72" t="inlineStr">
        <is>
          <t>X</t>
        </is>
      </c>
      <c r="D3078" s="5" t="n">
        <v>140</v>
      </c>
      <c r="E3078" s="73">
        <f>B3078*D3078/10000</f>
        <v/>
      </c>
      <c r="F3078" s="74">
        <f>B3078/30.48</f>
        <v/>
      </c>
      <c r="G3078" s="74">
        <f>D3078/30.48</f>
        <v/>
      </c>
      <c r="H3078" s="357" t="inlineStr">
        <is>
          <t>RST</t>
        </is>
      </c>
      <c r="I3078" s="534" t="inlineStr">
        <is>
          <t>Caroline O’Connor</t>
        </is>
      </c>
      <c r="J3078" s="545" t="n"/>
    </row>
    <row r="3079" ht="18" customHeight="1" s="305">
      <c r="A3079" s="8" t="n">
        <v>1525</v>
      </c>
      <c r="B3079" s="5" t="n">
        <v>303</v>
      </c>
      <c r="C3079" s="72" t="inlineStr">
        <is>
          <t>X</t>
        </is>
      </c>
      <c r="D3079" s="5" t="n">
        <v>117</v>
      </c>
      <c r="E3079" s="73">
        <f>B3079*D3079/10000</f>
        <v/>
      </c>
      <c r="F3079" s="74">
        <f>B3079/30.48</f>
        <v/>
      </c>
      <c r="G3079" s="74">
        <f>D3079/30.48</f>
        <v/>
      </c>
      <c r="H3079" s="357" t="inlineStr">
        <is>
          <t>RST</t>
        </is>
      </c>
      <c r="I3079" s="570" t="inlineStr">
        <is>
          <t>Alex Cohen</t>
        </is>
      </c>
      <c r="J3079" s="557" t="inlineStr">
        <is>
          <t>+1 203 858 09 14</t>
        </is>
      </c>
    </row>
    <row r="3080" ht="18" customHeight="1" s="305">
      <c r="A3080" s="8" t="n">
        <v>3552</v>
      </c>
      <c r="B3080" s="5" t="n">
        <v>96</v>
      </c>
      <c r="C3080" s="72" t="inlineStr">
        <is>
          <t>X</t>
        </is>
      </c>
      <c r="D3080" s="5" t="n">
        <v>205</v>
      </c>
      <c r="E3080" s="73">
        <f>B3080*D3080/10000</f>
        <v/>
      </c>
      <c r="F3080" s="74">
        <f>B3080/30.48</f>
        <v/>
      </c>
      <c r="G3080" s="74">
        <f>D3080/30.48</f>
        <v/>
      </c>
      <c r="H3080" s="37" t="inlineStr">
        <is>
          <t>LMX</t>
        </is>
      </c>
      <c r="I3080" s="570" t="inlineStr">
        <is>
          <t>Lindsay Williamson Kindschy</t>
        </is>
      </c>
      <c r="J3080" s="557" t="n"/>
      <c r="S3080" s="1" t="n"/>
    </row>
    <row r="3081" ht="18" customHeight="1" s="305">
      <c r="A3081" s="8" t="n">
        <v>3900</v>
      </c>
      <c r="B3081" s="5" t="n">
        <v>86</v>
      </c>
      <c r="C3081" s="72" t="inlineStr">
        <is>
          <t>X</t>
        </is>
      </c>
      <c r="D3081" s="5" t="n">
        <v>304</v>
      </c>
      <c r="E3081" s="73">
        <f>B3081*D3081/10000</f>
        <v/>
      </c>
      <c r="F3081" s="74">
        <f>B3081/30.48</f>
        <v/>
      </c>
      <c r="G3081" s="74">
        <f>D3081/30.48</f>
        <v/>
      </c>
      <c r="H3081" s="554" t="inlineStr">
        <is>
          <t>LLC</t>
        </is>
      </c>
      <c r="I3081" s="534" t="inlineStr">
        <is>
          <t>Carly Hyslop</t>
        </is>
      </c>
      <c r="J3081" s="545" t="n"/>
      <c r="S3081" s="1" t="n"/>
    </row>
    <row r="3082" ht="18" customHeight="1" s="305">
      <c r="A3082" s="8" t="n">
        <v>2660</v>
      </c>
      <c r="B3082" s="5" t="n">
        <v>101</v>
      </c>
      <c r="C3082" s="72" t="inlineStr">
        <is>
          <t>X</t>
        </is>
      </c>
      <c r="D3082" s="5" t="n">
        <v>389</v>
      </c>
      <c r="E3082" s="73">
        <f>B3082*D3082/10000</f>
        <v/>
      </c>
      <c r="F3082" s="74">
        <f>B3082/30.48</f>
        <v/>
      </c>
      <c r="G3082" s="74">
        <f>D3082/30.48</f>
        <v/>
      </c>
      <c r="H3082" s="553" t="inlineStr">
        <is>
          <t>WTR</t>
        </is>
      </c>
      <c r="I3082" s="570" t="inlineStr">
        <is>
          <t>Mark McKnight</t>
        </is>
      </c>
      <c r="J3082" s="557" t="n"/>
    </row>
    <row r="3083" ht="18" customHeight="1" s="305">
      <c r="A3083" s="8" t="inlineStr">
        <is>
          <t>İ-40</t>
        </is>
      </c>
      <c r="B3083" s="5" t="n">
        <v>280</v>
      </c>
      <c r="C3083" s="72" t="inlineStr">
        <is>
          <t>X</t>
        </is>
      </c>
      <c r="D3083" s="5" t="n">
        <v>370</v>
      </c>
      <c r="E3083" s="73">
        <f>B3083*D3083/10000</f>
        <v/>
      </c>
      <c r="F3083" s="74">
        <f>B3083/30.48</f>
        <v/>
      </c>
      <c r="G3083" s="74">
        <f>D3083/30.48</f>
        <v/>
      </c>
      <c r="H3083" s="614" t="inlineStr">
        <is>
          <t>LMX</t>
        </is>
      </c>
      <c r="I3083" s="557" t="inlineStr">
        <is>
          <t>Lydia Franklin</t>
        </is>
      </c>
      <c r="J3083" s="557" t="n"/>
      <c r="S3083" s="1" t="n"/>
    </row>
    <row r="3084" ht="18" customHeight="1" s="305">
      <c r="A3084" s="8" t="inlineStr">
        <is>
          <t>İ-74</t>
        </is>
      </c>
      <c r="B3084" s="5" t="n">
        <v>283</v>
      </c>
      <c r="C3084" s="72" t="inlineStr">
        <is>
          <t>X</t>
        </is>
      </c>
      <c r="D3084" s="5" t="n">
        <v>382</v>
      </c>
      <c r="E3084" s="73">
        <f>B3084*D3084/10000</f>
        <v/>
      </c>
      <c r="F3084" s="74">
        <f>B3084/30.48</f>
        <v/>
      </c>
      <c r="G3084" s="74">
        <f>D3084/30.48</f>
        <v/>
      </c>
      <c r="H3084" s="694" t="n"/>
      <c r="I3084" s="694" t="n"/>
      <c r="J3084" s="557" t="n"/>
      <c r="S3084" s="1" t="n"/>
    </row>
    <row r="3085" ht="18" customHeight="1" s="305">
      <c r="A3085" s="8" t="n">
        <v>4058</v>
      </c>
      <c r="B3085" s="5" t="n">
        <v>64</v>
      </c>
      <c r="C3085" s="72" t="inlineStr">
        <is>
          <t>X</t>
        </is>
      </c>
      <c r="D3085" s="5" t="n">
        <v>157</v>
      </c>
      <c r="E3085" s="73">
        <f>B3085*D3085/10000</f>
        <v/>
      </c>
      <c r="F3085" s="74">
        <f>B3085/30.48</f>
        <v/>
      </c>
      <c r="G3085" s="74">
        <f>D3085/30.48</f>
        <v/>
      </c>
      <c r="H3085" s="359" t="inlineStr">
        <is>
          <t>MCHD-TR</t>
        </is>
      </c>
      <c r="I3085" s="557" t="n"/>
      <c r="J3085" s="545" t="n"/>
      <c r="S3085" s="1" t="n"/>
    </row>
    <row r="3086" ht="18" customHeight="1" s="305">
      <c r="A3086" s="8" t="inlineStr">
        <is>
          <t>İ-1</t>
        </is>
      </c>
      <c r="B3086" s="5" t="n">
        <v>244</v>
      </c>
      <c r="C3086" s="72" t="inlineStr">
        <is>
          <t>X</t>
        </is>
      </c>
      <c r="D3086" s="5" t="n">
        <v>337</v>
      </c>
      <c r="E3086" s="73">
        <f>B3086*D3086/10000</f>
        <v/>
      </c>
      <c r="F3086" s="74">
        <f>B3086/30.48</f>
        <v/>
      </c>
      <c r="G3086" s="74">
        <f>D3086/30.48</f>
        <v/>
      </c>
      <c r="H3086" s="364" t="inlineStr">
        <is>
          <t>OLD</t>
        </is>
      </c>
      <c r="I3086" s="315" t="inlineStr">
        <is>
          <t>Pervez Randelia II</t>
        </is>
      </c>
      <c r="J3086" s="557" t="n"/>
    </row>
    <row r="3087" ht="18" customHeight="1" s="305">
      <c r="A3087" s="28" t="inlineStr">
        <is>
          <t>D 622</t>
        </is>
      </c>
      <c r="B3087" s="29" t="n">
        <v>47</v>
      </c>
      <c r="C3087" s="236" t="inlineStr">
        <is>
          <t>X</t>
        </is>
      </c>
      <c r="D3087" s="29" t="n">
        <v>94</v>
      </c>
      <c r="E3087" s="237">
        <f>B3087*D3087/10000</f>
        <v/>
      </c>
      <c r="F3087" s="238">
        <f>B3087/30.48</f>
        <v/>
      </c>
      <c r="G3087" s="238">
        <f>D3087/30.48</f>
        <v/>
      </c>
      <c r="H3087" s="364" t="inlineStr">
        <is>
          <t>OLD</t>
        </is>
      </c>
      <c r="I3087" s="570" t="inlineStr">
        <is>
          <t>Molly Kail</t>
        </is>
      </c>
      <c r="J3087" s="552" t="n"/>
    </row>
    <row r="3088" ht="18" customHeight="1" s="305">
      <c r="A3088" s="8" t="n">
        <v>1411</v>
      </c>
      <c r="B3088" s="5" t="n">
        <v>79</v>
      </c>
      <c r="C3088" s="72" t="inlineStr">
        <is>
          <t>X</t>
        </is>
      </c>
      <c r="D3088" s="5" t="n">
        <v>300</v>
      </c>
      <c r="E3088" s="73">
        <f>B3088*D3088/10000</f>
        <v/>
      </c>
      <c r="F3088" s="74">
        <f>B3088/30.48</f>
        <v/>
      </c>
      <c r="G3088" s="74">
        <f>D3088/30.48</f>
        <v/>
      </c>
      <c r="H3088" s="364" t="inlineStr">
        <is>
          <t>OLD</t>
        </is>
      </c>
      <c r="I3088" s="570" t="inlineStr">
        <is>
          <t>Janet Lindsay</t>
        </is>
      </c>
      <c r="J3088" s="557" t="n"/>
    </row>
    <row r="3089" ht="18" customHeight="1" s="305">
      <c r="A3089" s="8" t="n">
        <v>3535</v>
      </c>
      <c r="B3089" s="5" t="n">
        <v>75</v>
      </c>
      <c r="C3089" s="72" t="inlineStr">
        <is>
          <t>X</t>
        </is>
      </c>
      <c r="D3089" s="5" t="n">
        <v>146</v>
      </c>
      <c r="E3089" s="73">
        <f>B3089*D3089/10000</f>
        <v/>
      </c>
      <c r="F3089" s="74">
        <f>B3089/30.48</f>
        <v/>
      </c>
      <c r="G3089" s="74">
        <f>D3089/30.48</f>
        <v/>
      </c>
      <c r="H3089" s="359" t="inlineStr">
        <is>
          <t>MCHD-TR</t>
        </is>
      </c>
      <c r="I3089" s="545" t="n"/>
      <c r="J3089" s="545" t="n"/>
      <c r="S3089" s="1" t="n"/>
    </row>
    <row r="3090" ht="18" customHeight="1" s="305">
      <c r="A3090" s="8" t="n">
        <v>3447</v>
      </c>
      <c r="B3090" s="5" t="n">
        <v>91</v>
      </c>
      <c r="C3090" s="72" t="inlineStr">
        <is>
          <t>X</t>
        </is>
      </c>
      <c r="D3090" s="5" t="n">
        <v>163</v>
      </c>
      <c r="E3090" s="73">
        <f>B3090*D3090/10000</f>
        <v/>
      </c>
      <c r="F3090" s="74">
        <f>B3090/30.48</f>
        <v/>
      </c>
      <c r="G3090" s="74">
        <f>D3090/30.48</f>
        <v/>
      </c>
      <c r="H3090" s="359" t="inlineStr">
        <is>
          <t>FRD-NR</t>
        </is>
      </c>
      <c r="I3090" s="534" t="inlineStr">
        <is>
          <t>Carmen Stephens</t>
        </is>
      </c>
      <c r="J3090" s="545" t="n"/>
    </row>
    <row r="3091">
      <c r="A3091" s="536" t="inlineStr">
        <is>
          <t>-2025 KASIM-</t>
        </is>
      </c>
      <c r="H3091" s="104" t="inlineStr">
        <is>
          <t>SATAN-SİTE</t>
        </is>
      </c>
      <c r="I3091" s="98" t="inlineStr">
        <is>
          <t>MÜŞTERİ ADI</t>
        </is>
      </c>
      <c r="J3091" s="63" t="inlineStr">
        <is>
          <t>MÜŞTERİ İLETİŞİM &amp; ÜLKE</t>
        </is>
      </c>
    </row>
    <row r="3092" ht="18" customHeight="1" s="305">
      <c r="A3092" s="28" t="inlineStr">
        <is>
          <t>D 498</t>
        </is>
      </c>
      <c r="B3092" s="29" t="n">
        <v>48</v>
      </c>
      <c r="C3092" s="236" t="inlineStr">
        <is>
          <t>X</t>
        </is>
      </c>
      <c r="D3092" s="29" t="n">
        <v>96</v>
      </c>
      <c r="E3092" s="237">
        <f>B3092*D3092/10000</f>
        <v/>
      </c>
      <c r="F3092" s="238">
        <f>B3092/30.48</f>
        <v/>
      </c>
      <c r="G3092" s="238">
        <f>D3092/30.48</f>
        <v/>
      </c>
      <c r="H3092" s="37" t="inlineStr">
        <is>
          <t>WLR</t>
        </is>
      </c>
      <c r="I3092" s="570" t="inlineStr">
        <is>
          <t>Kim Clary</t>
        </is>
      </c>
      <c r="J3092" s="557" t="n"/>
    </row>
    <row r="3093" ht="18" customHeight="1" s="305">
      <c r="A3093" s="8" t="n">
        <v>3446</v>
      </c>
      <c r="B3093" s="5" t="n">
        <v>90</v>
      </c>
      <c r="C3093" s="72" t="inlineStr">
        <is>
          <t>X</t>
        </is>
      </c>
      <c r="D3093" s="5" t="n">
        <v>254</v>
      </c>
      <c r="E3093" s="73">
        <f>B3093*D3093/10000</f>
        <v/>
      </c>
      <c r="F3093" s="74">
        <f>B3093/30.48</f>
        <v/>
      </c>
      <c r="G3093" s="74">
        <f>D3093/30.48</f>
        <v/>
      </c>
      <c r="H3093" s="614" t="inlineStr">
        <is>
          <t>LLC</t>
        </is>
      </c>
      <c r="I3093" s="570" t="inlineStr">
        <is>
          <t>Brian Seibolt</t>
        </is>
      </c>
      <c r="J3093" s="557" t="n"/>
    </row>
    <row r="3094" ht="18" customHeight="1" s="305">
      <c r="A3094" s="8" t="n">
        <v>3432</v>
      </c>
      <c r="B3094" s="5" t="n">
        <v>97</v>
      </c>
      <c r="C3094" s="72" t="inlineStr">
        <is>
          <t>X</t>
        </is>
      </c>
      <c r="D3094" s="5" t="n">
        <v>279</v>
      </c>
      <c r="E3094" s="73">
        <f>B3094*D3094/10000</f>
        <v/>
      </c>
      <c r="F3094" s="74">
        <f>B3094/30.48</f>
        <v/>
      </c>
      <c r="G3094" s="74">
        <f>D3094/30.48</f>
        <v/>
      </c>
      <c r="H3094" s="694" t="n"/>
      <c r="I3094" s="694" t="n"/>
      <c r="J3094" s="557" t="n"/>
    </row>
    <row r="3095" ht="18" customHeight="1" s="305">
      <c r="A3095" s="8" t="inlineStr">
        <is>
          <t>İ-90</t>
        </is>
      </c>
      <c r="B3095" s="5" t="n">
        <v>283</v>
      </c>
      <c r="C3095" s="72" t="inlineStr">
        <is>
          <t>X</t>
        </is>
      </c>
      <c r="D3095" s="5" t="n">
        <v>380</v>
      </c>
      <c r="E3095" s="73">
        <f>B3095*D3095/10000</f>
        <v/>
      </c>
      <c r="F3095" s="74">
        <f>B3095/30.48</f>
        <v/>
      </c>
      <c r="G3095" s="74">
        <f>D3095/30.48</f>
        <v/>
      </c>
      <c r="H3095" s="37" t="inlineStr">
        <is>
          <t>LMX</t>
        </is>
      </c>
      <c r="I3095" s="534" t="inlineStr">
        <is>
          <t>Chenoa Kollman</t>
        </is>
      </c>
      <c r="J3095" s="545" t="n"/>
      <c r="S3095" s="1" t="n"/>
    </row>
    <row r="3096" ht="18" customHeight="1" s="305">
      <c r="A3096" s="8" t="inlineStr">
        <is>
          <t>İ-15</t>
        </is>
      </c>
      <c r="B3096" s="5" t="n">
        <v>252</v>
      </c>
      <c r="C3096" s="72" t="inlineStr">
        <is>
          <t>X</t>
        </is>
      </c>
      <c r="D3096" s="5" t="n">
        <v>338</v>
      </c>
      <c r="E3096" s="73">
        <f>B3096*D3096/10000</f>
        <v/>
      </c>
      <c r="F3096" s="74">
        <f>B3096/30.48</f>
        <v/>
      </c>
      <c r="G3096" s="74">
        <f>D3096/30.48</f>
        <v/>
      </c>
      <c r="H3096" s="37" t="inlineStr">
        <is>
          <t>LR</t>
        </is>
      </c>
      <c r="I3096" s="570" t="inlineStr">
        <is>
          <t>GREG JOHNSON</t>
        </is>
      </c>
      <c r="J3096" s="557" t="n"/>
    </row>
    <row r="3097" ht="18" customHeight="1" s="305">
      <c r="A3097" s="8" t="inlineStr">
        <is>
          <t>İ-36</t>
        </is>
      </c>
      <c r="B3097" s="5" t="n">
        <v>294</v>
      </c>
      <c r="C3097" s="72" t="inlineStr">
        <is>
          <t>X</t>
        </is>
      </c>
      <c r="D3097" s="5" t="n">
        <v>372</v>
      </c>
      <c r="E3097" s="73">
        <f>B3097*D3097/10000</f>
        <v/>
      </c>
      <c r="F3097" s="74">
        <f>B3097/30.48</f>
        <v/>
      </c>
      <c r="G3097" s="74">
        <f>D3097/30.48</f>
        <v/>
      </c>
      <c r="H3097" s="364" t="inlineStr">
        <is>
          <t>OLD</t>
        </is>
      </c>
      <c r="I3097" s="570" t="inlineStr">
        <is>
          <t>Gerilee Pope</t>
        </is>
      </c>
      <c r="J3097" s="557" t="n"/>
      <c r="S3097" s="1" t="n"/>
    </row>
    <row r="3098" ht="18" customHeight="1" s="305">
      <c r="A3098" s="8" t="n">
        <v>2378</v>
      </c>
      <c r="B3098" s="5" t="n">
        <v>93</v>
      </c>
      <c r="C3098" s="72" t="inlineStr">
        <is>
          <t>X</t>
        </is>
      </c>
      <c r="D3098" s="5" t="n">
        <v>225</v>
      </c>
      <c r="E3098" s="73">
        <f>B3098*D3098/10000</f>
        <v/>
      </c>
      <c r="F3098" s="74">
        <f>B3098/30.48</f>
        <v/>
      </c>
      <c r="G3098" s="74">
        <f>D3098/30.48</f>
        <v/>
      </c>
      <c r="H3098" s="37" t="inlineStr">
        <is>
          <t>PAC</t>
        </is>
      </c>
      <c r="I3098" s="570" t="inlineStr">
        <is>
          <t>Ashley Wier</t>
        </is>
      </c>
      <c r="J3098" s="557" t="n"/>
    </row>
    <row r="3099" ht="18" customHeight="1" s="305">
      <c r="A3099" s="28" t="inlineStr">
        <is>
          <t>D 1110</t>
        </is>
      </c>
      <c r="B3099" s="29" t="n">
        <v>60</v>
      </c>
      <c r="C3099" s="236" t="inlineStr">
        <is>
          <t>X</t>
        </is>
      </c>
      <c r="D3099" s="29" t="n">
        <v>110</v>
      </c>
      <c r="E3099" s="237">
        <f>B3099*D3099/10000</f>
        <v/>
      </c>
      <c r="F3099" s="238">
        <f>B3099/30.48</f>
        <v/>
      </c>
      <c r="G3099" s="238">
        <f>D3099/30.48</f>
        <v/>
      </c>
      <c r="H3099" s="614" t="inlineStr">
        <is>
          <t>LMX</t>
        </is>
      </c>
      <c r="I3099" s="570" t="inlineStr">
        <is>
          <t>Katharine H</t>
        </is>
      </c>
      <c r="J3099" s="557" t="n"/>
    </row>
    <row r="3100" ht="18" customHeight="1" s="305">
      <c r="A3100" s="8" t="n">
        <v>4807</v>
      </c>
      <c r="B3100" s="5" t="n">
        <v>98</v>
      </c>
      <c r="C3100" s="72" t="inlineStr">
        <is>
          <t>X</t>
        </is>
      </c>
      <c r="D3100" s="5" t="n">
        <v>266</v>
      </c>
      <c r="E3100" s="73">
        <f>B3100*D3100/10000</f>
        <v/>
      </c>
      <c r="F3100" s="74">
        <f>B3100/30.48</f>
        <v/>
      </c>
      <c r="G3100" s="74">
        <f>D3100/30.48</f>
        <v/>
      </c>
      <c r="H3100" s="694" t="n"/>
      <c r="I3100" s="694" t="n"/>
      <c r="J3100" s="557" t="n"/>
      <c r="S3100" s="1" t="n"/>
    </row>
    <row r="3101" ht="18" customHeight="1" s="305">
      <c r="A3101" s="8" t="n">
        <v>3872</v>
      </c>
      <c r="B3101" s="5" t="n">
        <v>197</v>
      </c>
      <c r="C3101" s="72" t="inlineStr">
        <is>
          <t>X</t>
        </is>
      </c>
      <c r="D3101" s="5" t="n">
        <v>291</v>
      </c>
      <c r="E3101" s="73">
        <f>B3101*D3101/10000</f>
        <v/>
      </c>
      <c r="F3101" s="74">
        <f>B3101/30.48</f>
        <v/>
      </c>
      <c r="G3101" s="74">
        <f>D3101/30.48</f>
        <v/>
      </c>
      <c r="H3101" s="553" t="inlineStr">
        <is>
          <t>WTR</t>
        </is>
      </c>
      <c r="I3101" s="570" t="inlineStr">
        <is>
          <t>Robert Leak</t>
        </is>
      </c>
      <c r="J3101" s="557" t="n"/>
      <c r="S3101" s="1" t="n"/>
    </row>
    <row r="3102" ht="18" customHeight="1" s="305">
      <c r="A3102" s="8" t="inlineStr">
        <is>
          <t>C 939</t>
        </is>
      </c>
      <c r="B3102" s="5" t="n">
        <v>89</v>
      </c>
      <c r="C3102" s="6" t="inlineStr">
        <is>
          <t>X</t>
        </is>
      </c>
      <c r="D3102" s="5" t="n">
        <v>330</v>
      </c>
      <c r="E3102" s="2">
        <f>B3102*D3102/10000</f>
        <v/>
      </c>
      <c r="F3102" s="3">
        <f>B3102/30.48</f>
        <v/>
      </c>
      <c r="G3102" s="3">
        <f>D3102/30.48</f>
        <v/>
      </c>
      <c r="H3102" s="359" t="inlineStr">
        <is>
          <t>MCHD-TR</t>
        </is>
      </c>
      <c r="I3102" s="545" t="n"/>
      <c r="J3102" s="545" t="n"/>
    </row>
    <row r="3103" ht="18" customHeight="1" s="305">
      <c r="A3103" s="28" t="inlineStr">
        <is>
          <t>D 670</t>
        </is>
      </c>
      <c r="B3103" s="29" t="n">
        <v>46</v>
      </c>
      <c r="C3103" s="236" t="inlineStr">
        <is>
          <t>X</t>
        </is>
      </c>
      <c r="D3103" s="29" t="n">
        <v>89</v>
      </c>
      <c r="E3103" s="237">
        <f>B3103*D3103/10000</f>
        <v/>
      </c>
      <c r="F3103" s="238">
        <f>B3103/30.48</f>
        <v/>
      </c>
      <c r="G3103" s="238">
        <f>D3103/30.48</f>
        <v/>
      </c>
      <c r="H3103" s="37" t="inlineStr">
        <is>
          <t>BHR</t>
        </is>
      </c>
      <c r="I3103" s="534" t="inlineStr">
        <is>
          <t>Amanda Louise Campbell</t>
        </is>
      </c>
      <c r="J3103" s="545" t="n"/>
    </row>
    <row r="3104" ht="18" customHeight="1" s="305">
      <c r="A3104" s="8" t="n">
        <v>2925</v>
      </c>
      <c r="B3104" s="5" t="n">
        <v>96</v>
      </c>
      <c r="C3104" s="72" t="inlineStr">
        <is>
          <t>X</t>
        </is>
      </c>
      <c r="D3104" s="5" t="n">
        <v>188</v>
      </c>
      <c r="E3104" s="73">
        <f>B3104*D3104/10000</f>
        <v/>
      </c>
      <c r="F3104" s="74">
        <f>B3104/30.48</f>
        <v/>
      </c>
      <c r="G3104" s="74">
        <f>D3104/30.48</f>
        <v/>
      </c>
      <c r="H3104" s="553" t="inlineStr">
        <is>
          <t>WTR</t>
        </is>
      </c>
      <c r="I3104" s="570" t="inlineStr">
        <is>
          <t>Katie Barker</t>
        </is>
      </c>
      <c r="J3104" s="557" t="n"/>
    </row>
    <row r="3105" ht="18" customHeight="1" s="305">
      <c r="A3105" s="8" t="inlineStr">
        <is>
          <t>İ-73</t>
        </is>
      </c>
      <c r="B3105" s="5" t="n">
        <v>267</v>
      </c>
      <c r="C3105" s="72" t="inlineStr">
        <is>
          <t>X</t>
        </is>
      </c>
      <c r="D3105" s="5" t="n">
        <v>370</v>
      </c>
      <c r="E3105" s="73">
        <f>B3105*D3105/10000</f>
        <v/>
      </c>
      <c r="F3105" s="74">
        <f>B3105/30.48</f>
        <v/>
      </c>
      <c r="G3105" s="74">
        <f>D3105/30.48</f>
        <v/>
      </c>
      <c r="H3105" s="553" t="inlineStr">
        <is>
          <t>WTR</t>
        </is>
      </c>
      <c r="I3105" s="570" t="inlineStr">
        <is>
          <t>Samantha Holst</t>
        </is>
      </c>
      <c r="J3105" s="557" t="inlineStr">
        <is>
          <t>+1 310 864 3244</t>
        </is>
      </c>
      <c r="S3105" s="1" t="n"/>
    </row>
    <row r="3106" ht="18" customHeight="1" s="305">
      <c r="A3106" s="8" t="n">
        <v>1501</v>
      </c>
      <c r="B3106" s="5" t="n">
        <v>113</v>
      </c>
      <c r="C3106" s="72" t="inlineStr">
        <is>
          <t>X</t>
        </is>
      </c>
      <c r="D3106" s="5" t="n">
        <v>172</v>
      </c>
      <c r="E3106" s="73">
        <f>B3106*D3106/10000</f>
        <v/>
      </c>
      <c r="F3106" s="74">
        <f>B3106/30.48</f>
        <v/>
      </c>
      <c r="G3106" s="74">
        <f>D3106/30.48</f>
        <v/>
      </c>
      <c r="H3106" s="357" t="inlineStr">
        <is>
          <t>RST</t>
        </is>
      </c>
      <c r="I3106" s="534" t="inlineStr">
        <is>
          <t>Kelly Solomon</t>
        </is>
      </c>
      <c r="J3106" s="545" t="n"/>
    </row>
    <row r="3107" ht="18" customHeight="1" s="305">
      <c r="A3107" s="8" t="n">
        <v>2233</v>
      </c>
      <c r="B3107" s="5" t="n">
        <v>80</v>
      </c>
      <c r="C3107" s="72" t="inlineStr">
        <is>
          <t>X</t>
        </is>
      </c>
      <c r="D3107" s="5" t="n">
        <v>128</v>
      </c>
      <c r="E3107" s="73">
        <f>B3107*D3107/10000</f>
        <v/>
      </c>
      <c r="F3107" s="74">
        <f>B3107/30.48</f>
        <v/>
      </c>
      <c r="G3107" s="74">
        <f>D3107/30.48</f>
        <v/>
      </c>
      <c r="H3107" s="553" t="inlineStr">
        <is>
          <t>WTR</t>
        </is>
      </c>
      <c r="I3107" s="570" t="inlineStr">
        <is>
          <t>BARCLAY BUTERA BWD MARTIN</t>
        </is>
      </c>
      <c r="J3107" s="557" t="inlineStr">
        <is>
          <t xml:space="preserve"> +1 949 612 27 16</t>
        </is>
      </c>
    </row>
    <row r="3108" ht="18" customHeight="1" s="305">
      <c r="A3108" s="8" t="n">
        <v>2552</v>
      </c>
      <c r="B3108" s="5" t="n">
        <v>185</v>
      </c>
      <c r="C3108" s="72" t="inlineStr">
        <is>
          <t>X</t>
        </is>
      </c>
      <c r="D3108" s="5" t="n">
        <v>362</v>
      </c>
      <c r="E3108" s="73">
        <f>B3108*D3108/10000</f>
        <v/>
      </c>
      <c r="F3108" s="74">
        <f>B3108/30.48</f>
        <v/>
      </c>
      <c r="G3108" s="74">
        <f>D3108/30.48</f>
        <v/>
      </c>
      <c r="H3108" s="37" t="inlineStr">
        <is>
          <t>LMX</t>
        </is>
      </c>
      <c r="I3108" s="534" t="inlineStr">
        <is>
          <t>Jason Beach</t>
        </is>
      </c>
      <c r="J3108" s="545" t="n"/>
      <c r="S3108" s="1" t="n"/>
      <c r="Y3108" t="n">
        <v>720</v>
      </c>
    </row>
    <row r="3109" ht="18" customHeight="1" s="305">
      <c r="A3109" s="8" t="n">
        <v>4163</v>
      </c>
      <c r="B3109" s="5" t="n">
        <v>81</v>
      </c>
      <c r="C3109" s="72" t="inlineStr">
        <is>
          <t>X</t>
        </is>
      </c>
      <c r="D3109" s="5" t="n">
        <v>142</v>
      </c>
      <c r="E3109" s="73">
        <f>B3109*D3109/10000</f>
        <v/>
      </c>
      <c r="F3109" s="74">
        <f>B3109/30.48</f>
        <v/>
      </c>
      <c r="G3109" s="74">
        <f>D3109/30.48</f>
        <v/>
      </c>
      <c r="H3109" s="364" t="inlineStr">
        <is>
          <t>OLD</t>
        </is>
      </c>
      <c r="I3109" s="534" t="inlineStr">
        <is>
          <t>M Rossi</t>
        </is>
      </c>
      <c r="J3109" s="545" t="n"/>
    </row>
    <row r="3110" ht="18" customHeight="1" s="305">
      <c r="A3110" s="8" t="inlineStr">
        <is>
          <t>D 413</t>
        </is>
      </c>
      <c r="B3110" s="5" t="n">
        <v>42</v>
      </c>
      <c r="C3110" s="72" t="inlineStr">
        <is>
          <t>X</t>
        </is>
      </c>
      <c r="D3110" s="5" t="n">
        <v>88</v>
      </c>
      <c r="E3110" s="73">
        <f>B3110*D3110/10000</f>
        <v/>
      </c>
      <c r="F3110" s="74">
        <f>B3110/30.48</f>
        <v/>
      </c>
      <c r="G3110" s="74">
        <f>D3110/30.48</f>
        <v/>
      </c>
      <c r="H3110" s="553" t="inlineStr">
        <is>
          <t>WTR</t>
        </is>
      </c>
      <c r="I3110" s="570" t="inlineStr">
        <is>
          <t>Kelli howard</t>
        </is>
      </c>
      <c r="J3110" s="557" t="n"/>
    </row>
    <row r="3111" ht="18" customHeight="1" s="305">
      <c r="A3111" s="8" t="n">
        <v>4014</v>
      </c>
      <c r="B3111" s="5" t="n">
        <v>63</v>
      </c>
      <c r="C3111" s="72" t="inlineStr">
        <is>
          <t>X</t>
        </is>
      </c>
      <c r="D3111" s="5" t="n">
        <v>157</v>
      </c>
      <c r="E3111" s="73">
        <f>B3111*D3111/10000</f>
        <v/>
      </c>
      <c r="F3111" s="74">
        <f>B3111/30.48</f>
        <v/>
      </c>
      <c r="G3111" s="74">
        <f>D3111/30.48</f>
        <v/>
      </c>
      <c r="H3111" s="37" t="inlineStr">
        <is>
          <t>WTR</t>
        </is>
      </c>
      <c r="I3111" s="341" t="inlineStr">
        <is>
          <t>Heidi M Waldusky</t>
        </is>
      </c>
      <c r="J3111" s="557" t="inlineStr">
        <is>
          <t>+1 832 483 3009</t>
        </is>
      </c>
    </row>
    <row r="3112" ht="18" customHeight="1" s="305">
      <c r="A3112" s="28" t="inlineStr">
        <is>
          <t>D 881</t>
        </is>
      </c>
      <c r="B3112" s="29" t="n">
        <v>53</v>
      </c>
      <c r="C3112" s="236" t="inlineStr">
        <is>
          <t>X</t>
        </is>
      </c>
      <c r="D3112" s="29" t="n">
        <v>97</v>
      </c>
      <c r="E3112" s="237">
        <f>B3112*D3112/10000</f>
        <v/>
      </c>
      <c r="F3112" s="238">
        <f>B3112/30.48</f>
        <v/>
      </c>
      <c r="G3112" s="238">
        <f>D3112/30.48</f>
        <v/>
      </c>
      <c r="H3112" s="290" t="inlineStr">
        <is>
          <t>WCR</t>
        </is>
      </c>
      <c r="I3112" s="341" t="inlineStr">
        <is>
          <t>Eleanor Kasper</t>
        </is>
      </c>
      <c r="J3112" s="557" t="inlineStr">
        <is>
          <t>+1 912 223 2966</t>
        </is>
      </c>
    </row>
    <row r="3113" ht="18" customHeight="1" s="305">
      <c r="A3113" s="8" t="n">
        <v>1948</v>
      </c>
      <c r="B3113" s="5" t="n">
        <v>70</v>
      </c>
      <c r="C3113" s="72" t="inlineStr">
        <is>
          <t>X</t>
        </is>
      </c>
      <c r="D3113" s="5" t="n">
        <v>112</v>
      </c>
      <c r="E3113" s="73">
        <f>B3113*D3113/10000</f>
        <v/>
      </c>
      <c r="F3113" s="74">
        <f>B3113/30.48</f>
        <v/>
      </c>
      <c r="G3113" s="74">
        <f>D3113/30.48</f>
        <v/>
      </c>
      <c r="H3113" s="554" t="inlineStr">
        <is>
          <t>PAC</t>
        </is>
      </c>
      <c r="I3113" s="570" t="inlineStr">
        <is>
          <t>Kelley Wood</t>
        </is>
      </c>
      <c r="J3113" s="557" t="inlineStr">
        <is>
          <t>+1 3038099410</t>
        </is>
      </c>
    </row>
    <row r="3114" ht="18" customHeight="1" s="305">
      <c r="A3114" s="8" t="n">
        <v>3462</v>
      </c>
      <c r="B3114" s="5" t="n">
        <v>180</v>
      </c>
      <c r="C3114" s="72" t="inlineStr">
        <is>
          <t>X</t>
        </is>
      </c>
      <c r="D3114" s="5" t="n">
        <v>279</v>
      </c>
      <c r="E3114" s="73">
        <f>B3114*D3114/10000</f>
        <v/>
      </c>
      <c r="F3114" s="74">
        <f>B3114/30.48</f>
        <v/>
      </c>
      <c r="G3114" s="74">
        <f>D3114/30.48</f>
        <v/>
      </c>
      <c r="H3114" s="37" t="inlineStr">
        <is>
          <t>LMX</t>
        </is>
      </c>
      <c r="I3114" s="534" t="inlineStr">
        <is>
          <t>Yvonne Crawford</t>
        </is>
      </c>
      <c r="J3114" s="545" t="inlineStr">
        <is>
          <t>+61 0414 988 963</t>
        </is>
      </c>
      <c r="S3114" s="1" t="n"/>
    </row>
    <row r="3115" ht="18" customHeight="1" s="305">
      <c r="A3115" s="8" t="n">
        <v>4341</v>
      </c>
      <c r="B3115" s="5" t="n">
        <v>83</v>
      </c>
      <c r="C3115" s="72" t="inlineStr">
        <is>
          <t>X</t>
        </is>
      </c>
      <c r="D3115" s="5" t="n">
        <v>298</v>
      </c>
      <c r="E3115" s="73">
        <f>B3115*D3115/10000</f>
        <v/>
      </c>
      <c r="F3115" s="74">
        <f>B3115/30.48</f>
        <v/>
      </c>
      <c r="G3115" s="74">
        <f>D3115/30.48</f>
        <v/>
      </c>
      <c r="H3115" s="359" t="inlineStr">
        <is>
          <t>MCHD-TR</t>
        </is>
      </c>
      <c r="I3115" s="545" t="n"/>
      <c r="J3115" s="545" t="n"/>
      <c r="S3115" s="1" t="n"/>
    </row>
    <row r="3116" ht="18" customHeight="1" s="305">
      <c r="A3116" s="8" t="n">
        <v>1460</v>
      </c>
      <c r="B3116" s="5" t="n">
        <v>81</v>
      </c>
      <c r="C3116" s="72" t="inlineStr">
        <is>
          <t>X</t>
        </is>
      </c>
      <c r="D3116" s="5" t="n">
        <v>360</v>
      </c>
      <c r="E3116" s="73">
        <f>B3116*D3116/10000</f>
        <v/>
      </c>
      <c r="F3116" s="74">
        <f>B3116/30.48</f>
        <v/>
      </c>
      <c r="G3116" s="74">
        <f>D3116/30.48</f>
        <v/>
      </c>
      <c r="H3116" s="364" t="inlineStr">
        <is>
          <t>OLD</t>
        </is>
      </c>
      <c r="I3116" s="545" t="inlineStr">
        <is>
          <t>Elixabeth Alexander</t>
        </is>
      </c>
      <c r="J3116" s="545" t="n"/>
      <c r="S3116" s="1" t="n"/>
    </row>
    <row r="3117" ht="18" customHeight="1" s="305">
      <c r="A3117" s="28" t="inlineStr">
        <is>
          <t>D 483</t>
        </is>
      </c>
      <c r="B3117" s="29" t="n">
        <v>64</v>
      </c>
      <c r="C3117" s="236" t="inlineStr">
        <is>
          <t>X</t>
        </is>
      </c>
      <c r="D3117" s="29" t="n">
        <v>91</v>
      </c>
      <c r="E3117" s="237">
        <f>B3117*D3117/10000</f>
        <v/>
      </c>
      <c r="F3117" s="238">
        <f>B3117/30.48</f>
        <v/>
      </c>
      <c r="G3117" s="238">
        <f>D3117/30.48</f>
        <v/>
      </c>
      <c r="H3117" s="37" t="inlineStr">
        <is>
          <t>WLR</t>
        </is>
      </c>
      <c r="I3117" s="570" t="inlineStr">
        <is>
          <t>Melissa Cunningham</t>
        </is>
      </c>
      <c r="J3117" s="557" t="n"/>
      <c r="S3117" s="1" t="n"/>
    </row>
    <row r="3118" ht="18" customHeight="1" s="305">
      <c r="A3118" s="8" t="n">
        <v>4819</v>
      </c>
      <c r="B3118" s="5" t="n">
        <v>95</v>
      </c>
      <c r="C3118" s="72" t="inlineStr">
        <is>
          <t>X</t>
        </is>
      </c>
      <c r="D3118" s="5" t="n">
        <v>302</v>
      </c>
      <c r="E3118" s="73">
        <f>B3118*D3118/10000</f>
        <v/>
      </c>
      <c r="F3118" s="74">
        <f>B3118/30.48</f>
        <v/>
      </c>
      <c r="G3118" s="74">
        <f>D3118/30.48</f>
        <v/>
      </c>
      <c r="H3118" s="37" t="inlineStr">
        <is>
          <t>WLR</t>
        </is>
      </c>
      <c r="I3118" s="570" t="inlineStr">
        <is>
          <t>Amy Porter</t>
        </is>
      </c>
      <c r="J3118" s="557" t="n"/>
      <c r="S3118" s="1" t="n"/>
    </row>
    <row r="3119" ht="18" customHeight="1" s="305">
      <c r="A3119" s="8" t="n">
        <v>3380</v>
      </c>
      <c r="B3119" s="5" t="n">
        <v>95</v>
      </c>
      <c r="C3119" s="72" t="inlineStr">
        <is>
          <t>X</t>
        </is>
      </c>
      <c r="D3119" s="5" t="n">
        <v>361</v>
      </c>
      <c r="E3119" s="73">
        <f>B3119*D3119/10000</f>
        <v/>
      </c>
      <c r="F3119" s="74">
        <f>B3119/30.48</f>
        <v/>
      </c>
      <c r="G3119" s="74">
        <f>D3119/30.48</f>
        <v/>
      </c>
      <c r="H3119" s="357" t="inlineStr">
        <is>
          <t>RST</t>
        </is>
      </c>
      <c r="I3119" s="545" t="inlineStr">
        <is>
          <t>Jami Wightman</t>
        </is>
      </c>
      <c r="J3119" s="545" t="n"/>
      <c r="S3119" s="1" t="n"/>
    </row>
    <row r="3120" ht="18" customHeight="1" s="305">
      <c r="A3120" s="8" t="n">
        <v>4097</v>
      </c>
      <c r="B3120" s="5" t="n">
        <v>215</v>
      </c>
      <c r="C3120" s="72" t="inlineStr">
        <is>
          <t>X</t>
        </is>
      </c>
      <c r="D3120" s="5" t="n">
        <v>285</v>
      </c>
      <c r="E3120" s="73">
        <f>B3120*D3120/10000</f>
        <v/>
      </c>
      <c r="F3120" s="74">
        <f>B3120/30.48</f>
        <v/>
      </c>
      <c r="G3120" s="74">
        <f>D3120/30.48</f>
        <v/>
      </c>
      <c r="H3120" s="37" t="inlineStr">
        <is>
          <t>LMX</t>
        </is>
      </c>
      <c r="I3120" s="557" t="inlineStr">
        <is>
          <t>Portia Brown</t>
        </is>
      </c>
      <c r="J3120" s="557" t="n"/>
      <c r="S3120" s="1" t="n"/>
    </row>
    <row r="3121" ht="18" customHeight="1" s="305">
      <c r="A3121" s="8" t="n">
        <v>2456</v>
      </c>
      <c r="B3121" s="5" t="n">
        <v>88</v>
      </c>
      <c r="C3121" s="72" t="inlineStr">
        <is>
          <t>X</t>
        </is>
      </c>
      <c r="D3121" s="5" t="n">
        <v>335</v>
      </c>
      <c r="E3121" s="73">
        <f>B3121*D3121/10000</f>
        <v/>
      </c>
      <c r="F3121" s="74">
        <f>B3121/30.48</f>
        <v/>
      </c>
      <c r="G3121" s="74">
        <f>D3121/30.48</f>
        <v/>
      </c>
      <c r="H3121" s="554" t="inlineStr">
        <is>
          <t>LLC</t>
        </is>
      </c>
      <c r="I3121" s="557" t="inlineStr">
        <is>
          <t>Brittany Miles</t>
        </is>
      </c>
      <c r="J3121" s="557" t="inlineStr">
        <is>
          <t>+1 208 680 12 69</t>
        </is>
      </c>
      <c r="S3121" s="1" t="n"/>
    </row>
    <row r="3122" ht="18" customHeight="1" s="305">
      <c r="A3122" s="8" t="inlineStr">
        <is>
          <t>C 147</t>
        </is>
      </c>
      <c r="B3122" s="5" t="n">
        <v>89</v>
      </c>
      <c r="C3122" s="6" t="inlineStr">
        <is>
          <t>X</t>
        </is>
      </c>
      <c r="D3122" s="5" t="n">
        <v>78</v>
      </c>
      <c r="E3122" s="2">
        <f>B3122*D3122/10000</f>
        <v/>
      </c>
      <c r="F3122" s="3">
        <f>B3122/30.48</f>
        <v/>
      </c>
      <c r="G3122" s="3">
        <f>D3122/30.48</f>
        <v/>
      </c>
      <c r="H3122" s="364" t="inlineStr">
        <is>
          <t>OLD</t>
        </is>
      </c>
      <c r="I3122" s="545" t="inlineStr">
        <is>
          <t>Jennifer Hamilton</t>
        </is>
      </c>
      <c r="J3122" s="545" t="n"/>
      <c r="S3122" s="1" t="n"/>
    </row>
    <row r="3123" ht="18" customHeight="1" s="305">
      <c r="A3123" s="8" t="n">
        <v>3323</v>
      </c>
      <c r="B3123" s="5" t="n">
        <v>78</v>
      </c>
      <c r="C3123" s="72" t="inlineStr">
        <is>
          <t>X</t>
        </is>
      </c>
      <c r="D3123" s="5" t="n">
        <v>361</v>
      </c>
      <c r="E3123" s="73">
        <f>B3123*D3123/10000</f>
        <v/>
      </c>
      <c r="F3123" s="74">
        <f>B3123/30.48</f>
        <v/>
      </c>
      <c r="G3123" s="74">
        <f>D3123/30.48</f>
        <v/>
      </c>
      <c r="H3123" s="37" t="inlineStr">
        <is>
          <t>BHR</t>
        </is>
      </c>
      <c r="I3123" s="545" t="inlineStr">
        <is>
          <t>Amy Terry</t>
        </is>
      </c>
      <c r="J3123" s="545" t="n"/>
      <c r="S3123" s="1" t="n"/>
    </row>
    <row r="3124" ht="18" customHeight="1" s="305">
      <c r="A3124" s="28" t="inlineStr">
        <is>
          <t>D 720</t>
        </is>
      </c>
      <c r="B3124" s="29" t="n">
        <v>45</v>
      </c>
      <c r="C3124" s="236" t="inlineStr">
        <is>
          <t>X</t>
        </is>
      </c>
      <c r="D3124" s="29" t="n">
        <v>120</v>
      </c>
      <c r="E3124" s="237">
        <f>B3124*D3124/10000</f>
        <v/>
      </c>
      <c r="F3124" s="238">
        <f>B3124/30.48</f>
        <v/>
      </c>
      <c r="G3124" s="238">
        <f>D3124/30.48</f>
        <v/>
      </c>
      <c r="H3124" s="37" t="inlineStr">
        <is>
          <t>LR</t>
        </is>
      </c>
      <c r="I3124" s="557" t="inlineStr">
        <is>
          <t>Macy Kelso</t>
        </is>
      </c>
      <c r="J3124" s="557" t="inlineStr">
        <is>
          <t>+1 859 394 71 72</t>
        </is>
      </c>
    </row>
    <row r="3125" ht="18" customHeight="1" s="305">
      <c r="A3125" s="8" t="n">
        <v>4814</v>
      </c>
      <c r="B3125" s="5" t="n">
        <v>95</v>
      </c>
      <c r="C3125" s="72" t="inlineStr">
        <is>
          <t>X</t>
        </is>
      </c>
      <c r="D3125" s="5" t="n">
        <v>265</v>
      </c>
      <c r="E3125" s="73">
        <f>B3125*D3125/10000</f>
        <v/>
      </c>
      <c r="F3125" s="74">
        <f>B3125/30.48</f>
        <v/>
      </c>
      <c r="G3125" s="74">
        <f>D3125/30.48</f>
        <v/>
      </c>
      <c r="H3125" s="37" t="inlineStr">
        <is>
          <t>LMX</t>
        </is>
      </c>
      <c r="I3125" s="557" t="inlineStr">
        <is>
          <t>Louise Walston</t>
        </is>
      </c>
      <c r="J3125" s="557" t="n"/>
      <c r="S3125" s="1" t="n"/>
    </row>
    <row r="3126" ht="18" customHeight="1" s="305">
      <c r="A3126" s="8" t="inlineStr">
        <is>
          <t>İ-28</t>
        </is>
      </c>
      <c r="B3126" s="5" t="n">
        <v>290</v>
      </c>
      <c r="C3126" s="72" t="inlineStr">
        <is>
          <t>X</t>
        </is>
      </c>
      <c r="D3126" s="5" t="n">
        <v>377</v>
      </c>
      <c r="E3126" s="73">
        <f>B3126*D3126/10000</f>
        <v/>
      </c>
      <c r="F3126" s="74">
        <f>B3126/30.48</f>
        <v/>
      </c>
      <c r="G3126" s="74">
        <f>D3126/30.48</f>
        <v/>
      </c>
      <c r="H3126" s="554" t="inlineStr">
        <is>
          <t>LLC</t>
        </is>
      </c>
      <c r="I3126" s="557" t="inlineStr">
        <is>
          <t>Kelly Sweat</t>
        </is>
      </c>
      <c r="J3126" s="557" t="n"/>
      <c r="S3126" s="1" t="n"/>
    </row>
    <row r="3127" ht="18" customHeight="1" s="305">
      <c r="A3127" s="8" t="n">
        <v>342</v>
      </c>
      <c r="B3127" s="5" t="n">
        <v>220</v>
      </c>
      <c r="C3127" s="6" t="inlineStr">
        <is>
          <t>X</t>
        </is>
      </c>
      <c r="D3127" s="5" t="n">
        <v>83</v>
      </c>
      <c r="E3127" s="2">
        <f>B3127*D3127/10000</f>
        <v/>
      </c>
      <c r="F3127" s="3">
        <f>B3127/30.48</f>
        <v/>
      </c>
      <c r="G3127" s="3">
        <f>D3127/30.48</f>
        <v/>
      </c>
      <c r="H3127" s="359" t="inlineStr">
        <is>
          <t>MCHD-TR</t>
        </is>
      </c>
      <c r="I3127" s="545" t="n"/>
      <c r="J3127" s="545" t="n"/>
      <c r="S3127" s="1" t="n"/>
    </row>
    <row r="3128" ht="18" customHeight="1" s="305">
      <c r="A3128" s="8" t="n">
        <v>3537</v>
      </c>
      <c r="B3128" s="5" t="n">
        <v>89</v>
      </c>
      <c r="C3128" s="72" t="inlineStr">
        <is>
          <t>X</t>
        </is>
      </c>
      <c r="D3128" s="5" t="n">
        <v>221</v>
      </c>
      <c r="E3128" s="73">
        <f>B3128*D3128/10000</f>
        <v/>
      </c>
      <c r="F3128" s="74">
        <f>B3128/30.48</f>
        <v/>
      </c>
      <c r="G3128" s="74">
        <f>D3128/30.48</f>
        <v/>
      </c>
      <c r="H3128" s="290" t="inlineStr">
        <is>
          <t>WCR</t>
        </is>
      </c>
      <c r="I3128" s="557" t="inlineStr">
        <is>
          <t>Emily Helena</t>
        </is>
      </c>
      <c r="J3128" s="557" t="n"/>
    </row>
    <row r="3129" ht="18" customHeight="1" s="305">
      <c r="A3129" s="28" t="inlineStr">
        <is>
          <t>D 756</t>
        </is>
      </c>
      <c r="B3129" s="29" t="n">
        <v>48</v>
      </c>
      <c r="C3129" s="236" t="inlineStr">
        <is>
          <t>X</t>
        </is>
      </c>
      <c r="D3129" s="29" t="n">
        <v>86</v>
      </c>
      <c r="E3129" s="237">
        <f>B3129*D3129/10000</f>
        <v/>
      </c>
      <c r="F3129" s="238">
        <f>B3129/30.48</f>
        <v/>
      </c>
      <c r="G3129" s="238">
        <f>D3129/30.48</f>
        <v/>
      </c>
      <c r="H3129" s="290" t="inlineStr">
        <is>
          <t>WCR</t>
        </is>
      </c>
      <c r="I3129" s="557" t="inlineStr">
        <is>
          <t>Margaret Wallace</t>
        </is>
      </c>
      <c r="J3129" s="557" t="n"/>
    </row>
    <row r="3130" ht="18" customHeight="1" s="305">
      <c r="A3130" s="8" t="inlineStr">
        <is>
          <t>İ-35</t>
        </is>
      </c>
      <c r="B3130" s="5" t="n">
        <v>293</v>
      </c>
      <c r="C3130" s="72" t="inlineStr">
        <is>
          <t>X</t>
        </is>
      </c>
      <c r="D3130" s="5" t="n">
        <v>370</v>
      </c>
      <c r="E3130" s="73">
        <f>B3130*D3130/10000</f>
        <v/>
      </c>
      <c r="F3130" s="74">
        <f>B3130/30.48</f>
        <v/>
      </c>
      <c r="G3130" s="74">
        <f>D3130/30.48</f>
        <v/>
      </c>
      <c r="H3130" s="37" t="inlineStr">
        <is>
          <t>WLR</t>
        </is>
      </c>
      <c r="I3130" s="557" t="inlineStr">
        <is>
          <t>Kasandra Rafter</t>
        </is>
      </c>
      <c r="J3130" s="557" t="n"/>
      <c r="S3130" s="1" t="n"/>
    </row>
    <row r="3131" ht="18" customHeight="1" s="305">
      <c r="A3131" s="8" t="n">
        <v>3852</v>
      </c>
      <c r="B3131" s="5" t="n">
        <v>83</v>
      </c>
      <c r="C3131" s="72" t="inlineStr">
        <is>
          <t>X</t>
        </is>
      </c>
      <c r="D3131" s="5" t="n">
        <v>293</v>
      </c>
      <c r="E3131" s="73">
        <f>B3131*D3131/10000</f>
        <v/>
      </c>
      <c r="F3131" s="74">
        <f>B3131/30.48</f>
        <v/>
      </c>
      <c r="G3131" s="74">
        <f>D3131/30.48</f>
        <v/>
      </c>
      <c r="H3131" s="37" t="inlineStr">
        <is>
          <t>WLR</t>
        </is>
      </c>
      <c r="I3131" s="557" t="inlineStr">
        <is>
          <t>Rebecca Dresser</t>
        </is>
      </c>
      <c r="J3131" s="557" t="n"/>
      <c r="S3131" s="1" t="n"/>
    </row>
    <row r="3132" ht="18" customHeight="1" s="305">
      <c r="A3132" s="28" t="inlineStr">
        <is>
          <t>D 1096</t>
        </is>
      </c>
      <c r="B3132" s="29" t="n">
        <v>51</v>
      </c>
      <c r="C3132" s="236" t="inlineStr">
        <is>
          <t>X</t>
        </is>
      </c>
      <c r="D3132" s="29" t="n">
        <v>88</v>
      </c>
      <c r="E3132" s="237">
        <f>B3132*D3132/10000</f>
        <v/>
      </c>
      <c r="F3132" s="238">
        <f>B3132/30.48</f>
        <v/>
      </c>
      <c r="G3132" s="238">
        <f>D3132/30.48</f>
        <v/>
      </c>
      <c r="H3132" s="37" t="inlineStr">
        <is>
          <t>WLR</t>
        </is>
      </c>
      <c r="I3132" s="557" t="inlineStr">
        <is>
          <t>Randi Brasher</t>
        </is>
      </c>
      <c r="J3132" s="557" t="n"/>
    </row>
    <row r="3133" ht="18" customHeight="1" s="305">
      <c r="A3133" s="28" t="inlineStr">
        <is>
          <t>D 974</t>
        </is>
      </c>
      <c r="B3133" s="29" t="n">
        <v>53</v>
      </c>
      <c r="C3133" s="236" t="inlineStr">
        <is>
          <t>X</t>
        </is>
      </c>
      <c r="D3133" s="29" t="n">
        <v>106</v>
      </c>
      <c r="E3133" s="237">
        <f>B3133*D3133/10000</f>
        <v/>
      </c>
      <c r="F3133" s="238">
        <f>B3133/30.48</f>
        <v/>
      </c>
      <c r="G3133" s="238">
        <f>D3133/30.48</f>
        <v/>
      </c>
      <c r="H3133" s="37" t="inlineStr">
        <is>
          <t>LR</t>
        </is>
      </c>
      <c r="I3133" s="557" t="inlineStr">
        <is>
          <t>Tiffany Robbins</t>
        </is>
      </c>
      <c r="J3133" s="557" t="n"/>
    </row>
    <row r="3134" ht="18" customHeight="1" s="305">
      <c r="A3134" s="8" t="n">
        <v>2773</v>
      </c>
      <c r="B3134" s="5" t="n">
        <v>78</v>
      </c>
      <c r="C3134" s="72" t="inlineStr">
        <is>
          <t>X</t>
        </is>
      </c>
      <c r="D3134" s="5" t="n">
        <v>303</v>
      </c>
      <c r="E3134" s="73">
        <f>B3134*D3134/10000</f>
        <v/>
      </c>
      <c r="F3134" s="74">
        <f>B3134/30.48</f>
        <v/>
      </c>
      <c r="G3134" s="74">
        <f>D3134/30.48</f>
        <v/>
      </c>
      <c r="H3134" s="359" t="inlineStr">
        <is>
          <t>MCHD-TR</t>
        </is>
      </c>
      <c r="I3134" s="557" t="n"/>
      <c r="J3134" s="557" t="n"/>
    </row>
    <row r="3135" ht="18" customHeight="1" s="305">
      <c r="A3135" s="8" t="n">
        <v>1034</v>
      </c>
      <c r="B3135" s="5" t="n">
        <v>122</v>
      </c>
      <c r="C3135" s="72" t="inlineStr">
        <is>
          <t>X</t>
        </is>
      </c>
      <c r="D3135" s="5" t="n">
        <v>216</v>
      </c>
      <c r="E3135" s="73">
        <f>B3135*D3135/10000</f>
        <v/>
      </c>
      <c r="F3135" s="74">
        <f>B3135/30.48</f>
        <v/>
      </c>
      <c r="G3135" s="74">
        <f>D3135/30.48</f>
        <v/>
      </c>
      <c r="H3135" s="359" t="inlineStr">
        <is>
          <t>MCHD-TR</t>
        </is>
      </c>
      <c r="I3135" s="557" t="n"/>
      <c r="J3135" s="557" t="n"/>
    </row>
    <row r="3136" ht="18" customHeight="1" s="305">
      <c r="A3136" s="28" t="inlineStr">
        <is>
          <t>D 1076</t>
        </is>
      </c>
      <c r="B3136" s="29" t="n">
        <v>47</v>
      </c>
      <c r="C3136" s="236" t="inlineStr">
        <is>
          <t>X</t>
        </is>
      </c>
      <c r="D3136" s="29" t="n">
        <v>79</v>
      </c>
      <c r="E3136" s="237">
        <f>B3136*D3136/10000</f>
        <v/>
      </c>
      <c r="F3136" s="238">
        <f>B3136/30.48</f>
        <v/>
      </c>
      <c r="G3136" s="238">
        <f>D3136/30.48</f>
        <v/>
      </c>
      <c r="H3136" s="525" t="inlineStr">
        <is>
          <t>WCR</t>
        </is>
      </c>
      <c r="I3136" s="545" t="inlineStr">
        <is>
          <t>Margaret Wallace</t>
        </is>
      </c>
      <c r="J3136" s="545" t="n"/>
    </row>
    <row r="3137" ht="18" customHeight="1" s="305">
      <c r="A3137" s="28" t="inlineStr">
        <is>
          <t>D 471</t>
        </is>
      </c>
      <c r="B3137" s="29" t="n">
        <v>41</v>
      </c>
      <c r="C3137" s="236" t="inlineStr">
        <is>
          <t>X</t>
        </is>
      </c>
      <c r="D3137" s="29" t="n">
        <v>89</v>
      </c>
      <c r="E3137" s="237">
        <f>B3137*D3137/10000</f>
        <v/>
      </c>
      <c r="F3137" s="238">
        <f>B3137/30.48</f>
        <v/>
      </c>
      <c r="G3137" s="238">
        <f>D3137/30.48</f>
        <v/>
      </c>
      <c r="H3137" s="720" t="inlineStr">
        <is>
          <t>MRT</t>
        </is>
      </c>
      <c r="I3137" s="620" t="inlineStr">
        <is>
          <t>MRT</t>
        </is>
      </c>
      <c r="J3137" s="557" t="n"/>
    </row>
    <row r="3138" ht="18" customHeight="1" s="305">
      <c r="A3138" s="28" t="inlineStr">
        <is>
          <t>D 667</t>
        </is>
      </c>
      <c r="B3138" s="29" t="n">
        <v>48</v>
      </c>
      <c r="C3138" s="236" t="inlineStr">
        <is>
          <t>X</t>
        </is>
      </c>
      <c r="D3138" s="29" t="n">
        <v>99</v>
      </c>
      <c r="E3138" s="237">
        <f>B3138*D3138/10000</f>
        <v/>
      </c>
      <c r="F3138" s="238">
        <f>B3138/30.48</f>
        <v/>
      </c>
      <c r="G3138" s="238">
        <f>D3138/30.48</f>
        <v/>
      </c>
      <c r="H3138" s="693" t="n"/>
      <c r="I3138" s="693" t="n"/>
      <c r="J3138" s="557" t="n"/>
    </row>
    <row r="3139" ht="18" customHeight="1" s="305">
      <c r="A3139" s="28" t="inlineStr">
        <is>
          <t>D 954</t>
        </is>
      </c>
      <c r="B3139" s="29" t="n">
        <v>82</v>
      </c>
      <c r="C3139" s="236" t="inlineStr">
        <is>
          <t>X</t>
        </is>
      </c>
      <c r="D3139" s="29" t="n">
        <v>51</v>
      </c>
      <c r="E3139" s="237">
        <f>B3139*D3139/10000</f>
        <v/>
      </c>
      <c r="F3139" s="238">
        <f>B3139/30.48</f>
        <v/>
      </c>
      <c r="G3139" s="238">
        <f>D3139/30.48</f>
        <v/>
      </c>
      <c r="H3139" s="693" t="n"/>
      <c r="I3139" s="693" t="n"/>
      <c r="J3139" s="557" t="n"/>
    </row>
    <row r="3140" ht="18" customHeight="1" s="305">
      <c r="A3140" s="28" t="inlineStr">
        <is>
          <t>D 656</t>
        </is>
      </c>
      <c r="B3140" s="29" t="n">
        <v>37</v>
      </c>
      <c r="C3140" s="236" t="inlineStr">
        <is>
          <t>X</t>
        </is>
      </c>
      <c r="D3140" s="29" t="n">
        <v>89</v>
      </c>
      <c r="E3140" s="237">
        <f>B3140*D3140/10000</f>
        <v/>
      </c>
      <c r="F3140" s="238">
        <f>B3140/30.48</f>
        <v/>
      </c>
      <c r="G3140" s="238">
        <f>D3140/30.48</f>
        <v/>
      </c>
      <c r="H3140" s="693" t="n"/>
      <c r="I3140" s="693" t="n"/>
      <c r="J3140" s="557" t="n"/>
    </row>
    <row r="3141" ht="18" customHeight="1" s="305">
      <c r="A3141" s="28" t="inlineStr">
        <is>
          <t>D 711</t>
        </is>
      </c>
      <c r="B3141" s="29" t="n">
        <v>59</v>
      </c>
      <c r="C3141" s="236" t="inlineStr">
        <is>
          <t>X</t>
        </is>
      </c>
      <c r="D3141" s="29" t="n">
        <v>101</v>
      </c>
      <c r="E3141" s="237">
        <f>B3141*D3141/10000</f>
        <v/>
      </c>
      <c r="F3141" s="238">
        <f>B3141/30.48</f>
        <v/>
      </c>
      <c r="G3141" s="238">
        <f>D3141/30.48</f>
        <v/>
      </c>
      <c r="H3141" s="693" t="n"/>
      <c r="I3141" s="693" t="n"/>
      <c r="J3141" s="557" t="n"/>
    </row>
    <row r="3142" ht="18" customHeight="1" s="305">
      <c r="A3142" s="28" t="inlineStr">
        <is>
          <t>D 716</t>
        </is>
      </c>
      <c r="B3142" s="29" t="n">
        <v>49</v>
      </c>
      <c r="C3142" s="236" t="inlineStr">
        <is>
          <t>X</t>
        </is>
      </c>
      <c r="D3142" s="29" t="n">
        <v>93</v>
      </c>
      <c r="E3142" s="237">
        <f>B3142*D3142/10000</f>
        <v/>
      </c>
      <c r="F3142" s="238">
        <f>B3142/30.48</f>
        <v/>
      </c>
      <c r="G3142" s="238">
        <f>D3142/30.48</f>
        <v/>
      </c>
      <c r="H3142" s="693" t="n"/>
      <c r="I3142" s="693" t="n"/>
      <c r="J3142" s="557" t="n"/>
    </row>
    <row r="3143" ht="18" customHeight="1" s="305">
      <c r="A3143" s="28" t="inlineStr">
        <is>
          <t>D 756</t>
        </is>
      </c>
      <c r="B3143" s="29" t="n">
        <v>48</v>
      </c>
      <c r="C3143" s="236" t="inlineStr">
        <is>
          <t>X</t>
        </is>
      </c>
      <c r="D3143" s="29" t="n">
        <v>86</v>
      </c>
      <c r="E3143" s="237">
        <f>B3143*D3143/10000</f>
        <v/>
      </c>
      <c r="F3143" s="238">
        <f>B3143/30.48</f>
        <v/>
      </c>
      <c r="G3143" s="238">
        <f>D3143/30.48</f>
        <v/>
      </c>
      <c r="H3143" s="693" t="n"/>
      <c r="I3143" s="693" t="n"/>
      <c r="J3143" s="557" t="n"/>
    </row>
    <row r="3144" ht="18" customHeight="1" s="305">
      <c r="A3144" s="28" t="inlineStr">
        <is>
          <t>D 819</t>
        </is>
      </c>
      <c r="B3144" s="29" t="n">
        <v>49</v>
      </c>
      <c r="C3144" s="236" t="inlineStr">
        <is>
          <t>X</t>
        </is>
      </c>
      <c r="D3144" s="29" t="n">
        <v>98</v>
      </c>
      <c r="E3144" s="237">
        <f>B3144*D3144/10000</f>
        <v/>
      </c>
      <c r="F3144" s="238">
        <f>B3144/30.48</f>
        <v/>
      </c>
      <c r="G3144" s="238">
        <f>D3144/30.48</f>
        <v/>
      </c>
      <c r="H3144" s="693" t="n"/>
      <c r="I3144" s="693" t="n"/>
      <c r="J3144" s="557" t="n"/>
    </row>
    <row r="3145" ht="18" customHeight="1" s="305">
      <c r="A3145" s="28" t="inlineStr">
        <is>
          <t>D 856</t>
        </is>
      </c>
      <c r="B3145" s="29" t="n">
        <v>45</v>
      </c>
      <c r="C3145" s="236" t="inlineStr">
        <is>
          <t>X</t>
        </is>
      </c>
      <c r="D3145" s="29" t="n">
        <v>84</v>
      </c>
      <c r="E3145" s="237">
        <f>B3145*D3145/10000</f>
        <v/>
      </c>
      <c r="F3145" s="238">
        <f>B3145/30.48</f>
        <v/>
      </c>
      <c r="G3145" s="238">
        <f>D3145/30.48</f>
        <v/>
      </c>
      <c r="H3145" s="693" t="n"/>
      <c r="I3145" s="693" t="n"/>
      <c r="J3145" s="557" t="n"/>
    </row>
    <row r="3146" ht="18" customHeight="1" s="305">
      <c r="A3146" s="28" t="inlineStr">
        <is>
          <t>D 915</t>
        </is>
      </c>
      <c r="B3146" s="29" t="n">
        <v>56</v>
      </c>
      <c r="C3146" s="236" t="inlineStr">
        <is>
          <t>X</t>
        </is>
      </c>
      <c r="D3146" s="29" t="n">
        <v>79</v>
      </c>
      <c r="E3146" s="237">
        <f>B3146*D3146/10000</f>
        <v/>
      </c>
      <c r="F3146" s="238">
        <f>B3146/30.48</f>
        <v/>
      </c>
      <c r="G3146" s="238">
        <f>D3146/30.48</f>
        <v/>
      </c>
      <c r="H3146" s="693" t="n"/>
      <c r="I3146" s="693" t="n"/>
      <c r="J3146" s="557" t="n"/>
    </row>
    <row r="3147" ht="18" customHeight="1" s="305">
      <c r="A3147" s="28" t="inlineStr">
        <is>
          <t>D 958</t>
        </is>
      </c>
      <c r="B3147" s="29" t="n">
        <v>53</v>
      </c>
      <c r="C3147" s="236" t="inlineStr">
        <is>
          <t>X</t>
        </is>
      </c>
      <c r="D3147" s="29" t="n">
        <v>102</v>
      </c>
      <c r="E3147" s="237">
        <f>B3147*D3147/10000</f>
        <v/>
      </c>
      <c r="F3147" s="238">
        <f>B3147/30.48</f>
        <v/>
      </c>
      <c r="G3147" s="238">
        <f>D3147/30.48</f>
        <v/>
      </c>
      <c r="H3147" s="693" t="n"/>
      <c r="I3147" s="693" t="n"/>
      <c r="J3147" s="557" t="n"/>
    </row>
    <row r="3148" ht="18" customHeight="1" s="305">
      <c r="A3148" s="28" t="inlineStr">
        <is>
          <t>D 969</t>
        </is>
      </c>
      <c r="B3148" s="29" t="n">
        <v>54</v>
      </c>
      <c r="C3148" s="236" t="inlineStr">
        <is>
          <t>X</t>
        </is>
      </c>
      <c r="D3148" s="29" t="n">
        <v>94</v>
      </c>
      <c r="E3148" s="237">
        <f>B3148*D3148/10000</f>
        <v/>
      </c>
      <c r="F3148" s="238">
        <f>B3148/30.48</f>
        <v/>
      </c>
      <c r="G3148" s="238">
        <f>D3148/30.48</f>
        <v/>
      </c>
      <c r="H3148" s="693" t="n"/>
      <c r="I3148" s="693" t="n"/>
      <c r="J3148" s="557" t="n"/>
    </row>
    <row r="3149" ht="18" customHeight="1" s="305">
      <c r="A3149" s="28" t="inlineStr">
        <is>
          <t>D 976</t>
        </is>
      </c>
      <c r="B3149" s="29" t="n">
        <v>48</v>
      </c>
      <c r="C3149" s="236" t="inlineStr">
        <is>
          <t>X</t>
        </is>
      </c>
      <c r="D3149" s="29" t="n">
        <v>91</v>
      </c>
      <c r="E3149" s="237">
        <f>B3149*D3149/10000</f>
        <v/>
      </c>
      <c r="F3149" s="238">
        <f>B3149/30.48</f>
        <v/>
      </c>
      <c r="G3149" s="238">
        <f>D3149/30.48</f>
        <v/>
      </c>
      <c r="H3149" s="693" t="n"/>
      <c r="I3149" s="693" t="n"/>
      <c r="J3149" s="557" t="n"/>
    </row>
    <row r="3150" ht="18" customHeight="1" s="305">
      <c r="A3150" s="28" t="inlineStr">
        <is>
          <t>D 988</t>
        </is>
      </c>
      <c r="B3150" s="29" t="n">
        <v>43</v>
      </c>
      <c r="C3150" s="236" t="inlineStr">
        <is>
          <t>X</t>
        </is>
      </c>
      <c r="D3150" s="29" t="n">
        <v>91</v>
      </c>
      <c r="E3150" s="237">
        <f>B3150*D3150/10000</f>
        <v/>
      </c>
      <c r="F3150" s="238">
        <f>B3150/30.48</f>
        <v/>
      </c>
      <c r="G3150" s="238">
        <f>D3150/30.48</f>
        <v/>
      </c>
      <c r="H3150" s="693" t="n"/>
      <c r="I3150" s="693" t="n"/>
      <c r="J3150" s="557" t="n"/>
    </row>
    <row r="3151" ht="18" customHeight="1" s="305">
      <c r="A3151" s="28" t="inlineStr">
        <is>
          <t>D 1009</t>
        </is>
      </c>
      <c r="B3151" s="29" t="n">
        <v>50</v>
      </c>
      <c r="C3151" s="236" t="inlineStr">
        <is>
          <t>X</t>
        </is>
      </c>
      <c r="D3151" s="29" t="n">
        <v>88</v>
      </c>
      <c r="E3151" s="237">
        <f>B3151*D3151/10000</f>
        <v/>
      </c>
      <c r="F3151" s="238">
        <f>B3151/30.48</f>
        <v/>
      </c>
      <c r="G3151" s="238">
        <f>D3151/30.48</f>
        <v/>
      </c>
      <c r="H3151" s="693" t="n"/>
      <c r="I3151" s="693" t="n"/>
      <c r="J3151" s="557" t="n"/>
    </row>
    <row r="3152" ht="18" customHeight="1" s="305">
      <c r="A3152" s="28" t="inlineStr">
        <is>
          <t>D 1068</t>
        </is>
      </c>
      <c r="B3152" s="29" t="n">
        <v>52</v>
      </c>
      <c r="C3152" s="236" t="inlineStr">
        <is>
          <t>X</t>
        </is>
      </c>
      <c r="D3152" s="29" t="n">
        <v>85</v>
      </c>
      <c r="E3152" s="237">
        <f>B3152*D3152/10000</f>
        <v/>
      </c>
      <c r="F3152" s="238">
        <f>B3152/30.48</f>
        <v/>
      </c>
      <c r="G3152" s="238">
        <f>D3152/30.48</f>
        <v/>
      </c>
      <c r="H3152" s="693" t="n"/>
      <c r="I3152" s="693" t="n"/>
      <c r="J3152" s="557" t="n"/>
    </row>
    <row r="3153" ht="18" customHeight="1" s="305">
      <c r="A3153" s="28" t="inlineStr">
        <is>
          <t>D 1069</t>
        </is>
      </c>
      <c r="B3153" s="29" t="n">
        <v>46</v>
      </c>
      <c r="C3153" s="236" t="inlineStr">
        <is>
          <t>X</t>
        </is>
      </c>
      <c r="D3153" s="29" t="n">
        <v>86</v>
      </c>
      <c r="E3153" s="237">
        <f>B3153*D3153/10000</f>
        <v/>
      </c>
      <c r="F3153" s="238">
        <f>B3153/30.48</f>
        <v/>
      </c>
      <c r="G3153" s="238">
        <f>D3153/30.48</f>
        <v/>
      </c>
      <c r="H3153" s="693" t="n"/>
      <c r="I3153" s="693" t="n"/>
      <c r="J3153" s="557" t="n"/>
    </row>
    <row r="3154" ht="18" customHeight="1" s="305">
      <c r="A3154" s="28" t="inlineStr">
        <is>
          <t>D 1070</t>
        </is>
      </c>
      <c r="B3154" s="29" t="n">
        <v>46</v>
      </c>
      <c r="C3154" s="236" t="inlineStr">
        <is>
          <t>X</t>
        </is>
      </c>
      <c r="D3154" s="29" t="n">
        <v>90</v>
      </c>
      <c r="E3154" s="237">
        <f>B3154*D3154/10000</f>
        <v/>
      </c>
      <c r="F3154" s="238">
        <f>B3154/30.48</f>
        <v/>
      </c>
      <c r="G3154" s="238">
        <f>D3154/30.48</f>
        <v/>
      </c>
      <c r="H3154" s="694" t="n"/>
      <c r="I3154" s="693" t="n"/>
      <c r="J3154" s="545" t="n"/>
    </row>
    <row r="3155" ht="18" customHeight="1" s="305">
      <c r="A3155" s="28" t="inlineStr">
        <is>
          <t>D 759</t>
        </is>
      </c>
      <c r="B3155" s="29" t="n">
        <v>52</v>
      </c>
      <c r="C3155" s="236" t="inlineStr">
        <is>
          <t>X</t>
        </is>
      </c>
      <c r="D3155" s="29" t="n">
        <v>114</v>
      </c>
      <c r="E3155" s="237">
        <f>B3155*D3155/10000</f>
        <v/>
      </c>
      <c r="F3155" s="238">
        <f>B3155/30.48</f>
        <v/>
      </c>
      <c r="G3155" s="238">
        <f>D3155/30.48</f>
        <v/>
      </c>
      <c r="H3155" s="359" t="inlineStr">
        <is>
          <t>FRD-NR</t>
        </is>
      </c>
      <c r="I3155" s="545" t="inlineStr">
        <is>
          <t>melissa lyman</t>
        </is>
      </c>
      <c r="J3155" s="545" t="n"/>
    </row>
    <row r="3156" ht="18" customHeight="1" s="305">
      <c r="A3156" s="8" t="n">
        <v>2952</v>
      </c>
      <c r="B3156" s="5" t="n">
        <v>85</v>
      </c>
      <c r="C3156" s="72" t="inlineStr">
        <is>
          <t>X</t>
        </is>
      </c>
      <c r="D3156" s="5" t="n">
        <v>370</v>
      </c>
      <c r="E3156" s="73">
        <f>B3156*D3156/10000</f>
        <v/>
      </c>
      <c r="F3156" s="74">
        <f>B3156/30.48</f>
        <v/>
      </c>
      <c r="G3156" s="74">
        <f>D3156/30.48</f>
        <v/>
      </c>
      <c r="H3156" s="37" t="inlineStr">
        <is>
          <t>LMX</t>
        </is>
      </c>
      <c r="I3156" s="557" t="inlineStr">
        <is>
          <t>Kate Lucy</t>
        </is>
      </c>
      <c r="J3156" s="557" t="n"/>
    </row>
    <row r="3157" ht="18" customHeight="1" s="305">
      <c r="A3157" s="8" t="n">
        <v>2846</v>
      </c>
      <c r="B3157" s="5" t="n">
        <v>87</v>
      </c>
      <c r="C3157" s="72" t="inlineStr">
        <is>
          <t>X</t>
        </is>
      </c>
      <c r="D3157" s="5" t="n">
        <v>392</v>
      </c>
      <c r="E3157" s="73">
        <f>B3157*D3157/10000</f>
        <v/>
      </c>
      <c r="F3157" s="74">
        <f>B3157/30.48</f>
        <v/>
      </c>
      <c r="G3157" s="74">
        <f>D3157/30.48</f>
        <v/>
      </c>
      <c r="H3157" s="554" t="inlineStr">
        <is>
          <t>LLC</t>
        </is>
      </c>
      <c r="I3157" s="545" t="inlineStr">
        <is>
          <t>Peter Alwast</t>
        </is>
      </c>
      <c r="J3157" s="545" t="n"/>
    </row>
    <row r="3158" ht="18" customHeight="1" s="305">
      <c r="A3158" s="28" t="inlineStr">
        <is>
          <t>D 1015</t>
        </is>
      </c>
      <c r="B3158" s="29" t="n">
        <v>47</v>
      </c>
      <c r="C3158" s="236" t="inlineStr">
        <is>
          <t>X</t>
        </is>
      </c>
      <c r="D3158" s="29" t="n">
        <v>94</v>
      </c>
      <c r="E3158" s="237">
        <f>B3158*D3158/10000</f>
        <v/>
      </c>
      <c r="F3158" s="238">
        <f>B3158/30.48</f>
        <v/>
      </c>
      <c r="G3158" s="238">
        <f>D3158/30.48</f>
        <v/>
      </c>
      <c r="H3158" s="357" t="inlineStr">
        <is>
          <t>RST</t>
        </is>
      </c>
      <c r="I3158" s="287" t="inlineStr">
        <is>
          <t>Arielle O’Shea</t>
        </is>
      </c>
      <c r="J3158" s="287" t="n">
        <v>14157358438</v>
      </c>
    </row>
    <row r="3159" ht="18" customHeight="1" s="305">
      <c r="A3159" s="8" t="inlineStr">
        <is>
          <t>İ-70</t>
        </is>
      </c>
      <c r="B3159" s="5" t="n">
        <v>289</v>
      </c>
      <c r="C3159" s="72" t="inlineStr">
        <is>
          <t>X</t>
        </is>
      </c>
      <c r="D3159" s="5" t="n">
        <v>362</v>
      </c>
      <c r="E3159" s="73">
        <f>B3159*D3159/10000</f>
        <v/>
      </c>
      <c r="F3159" s="74">
        <f>B3159/30.48</f>
        <v/>
      </c>
      <c r="G3159" s="74">
        <f>D3159/30.48</f>
        <v/>
      </c>
      <c r="H3159" s="364" t="inlineStr">
        <is>
          <t>OLD</t>
        </is>
      </c>
      <c r="I3159" s="287" t="inlineStr">
        <is>
          <t>Shannon Plante</t>
        </is>
      </c>
      <c r="J3159" s="287" t="n"/>
    </row>
    <row r="3160" ht="18" customHeight="1" s="305">
      <c r="A3160" s="8" t="n">
        <v>3728</v>
      </c>
      <c r="B3160" s="5" t="n">
        <v>100</v>
      </c>
      <c r="C3160" s="72" t="inlineStr">
        <is>
          <t>X</t>
        </is>
      </c>
      <c r="D3160" s="5" t="n">
        <v>345</v>
      </c>
      <c r="E3160" s="73">
        <f>B3160*D3160/10000</f>
        <v/>
      </c>
      <c r="F3160" s="74">
        <f>B3160/30.48</f>
        <v/>
      </c>
      <c r="G3160" s="74">
        <f>D3160/30.48</f>
        <v/>
      </c>
      <c r="H3160" s="37" t="inlineStr">
        <is>
          <t>LR</t>
        </is>
      </c>
      <c r="I3160" s="102" t="inlineStr">
        <is>
          <t>Becky Miller</t>
        </is>
      </c>
      <c r="J3160" s="102" t="inlineStr">
        <is>
          <t>+1 8067897697</t>
        </is>
      </c>
    </row>
    <row r="3161" ht="18" customHeight="1" s="305">
      <c r="A3161" s="8" t="inlineStr">
        <is>
          <t>H 58</t>
        </is>
      </c>
      <c r="B3161" s="5" t="n">
        <v>87</v>
      </c>
      <c r="C3161" s="72" t="inlineStr">
        <is>
          <t>X</t>
        </is>
      </c>
      <c r="D3161" s="5" t="n">
        <v>398</v>
      </c>
      <c r="E3161" s="73">
        <f>B3161*D3161/10000</f>
        <v/>
      </c>
      <c r="F3161" s="74">
        <f>B3161/30.48</f>
        <v/>
      </c>
      <c r="G3161" s="74">
        <f>D3161/30.48</f>
        <v/>
      </c>
      <c r="H3161" s="553" t="inlineStr">
        <is>
          <t>WTR</t>
        </is>
      </c>
      <c r="I3161" s="287" t="inlineStr">
        <is>
          <t>Sharlene Doherty</t>
        </is>
      </c>
      <c r="J3161" s="287" t="n"/>
    </row>
    <row r="3162" ht="18" customHeight="1" s="305">
      <c r="A3162" s="8" t="n">
        <v>2155</v>
      </c>
      <c r="B3162" s="5" t="n">
        <v>135</v>
      </c>
      <c r="C3162" s="72" t="inlineStr">
        <is>
          <t>X</t>
        </is>
      </c>
      <c r="D3162" s="5" t="n">
        <v>198</v>
      </c>
      <c r="E3162" s="73">
        <f>B3162*D3162/10000</f>
        <v/>
      </c>
      <c r="F3162" s="74">
        <f>B3162/30.48</f>
        <v/>
      </c>
      <c r="G3162" s="74">
        <f>D3162/30.48</f>
        <v/>
      </c>
      <c r="H3162" s="359" t="inlineStr">
        <is>
          <t>MCHD-TR</t>
        </is>
      </c>
      <c r="I3162" s="287" t="n"/>
      <c r="J3162" s="287" t="n"/>
      <c r="S3162" s="1" t="n"/>
    </row>
    <row r="3163" ht="18" customHeight="1" s="305">
      <c r="A3163" s="8" t="n">
        <v>3426</v>
      </c>
      <c r="B3163" s="5" t="n">
        <v>80</v>
      </c>
      <c r="C3163" s="72" t="inlineStr">
        <is>
          <t>X</t>
        </is>
      </c>
      <c r="D3163" s="5" t="n">
        <v>253</v>
      </c>
      <c r="E3163" s="73">
        <f>B3163*D3163/10000</f>
        <v/>
      </c>
      <c r="F3163" s="74">
        <f>B3163/30.48</f>
        <v/>
      </c>
      <c r="G3163" s="74">
        <f>D3163/30.48</f>
        <v/>
      </c>
      <c r="H3163" s="614" t="inlineStr">
        <is>
          <t>LMX</t>
        </is>
      </c>
      <c r="I3163" s="557" t="inlineStr">
        <is>
          <t>Kelsey Summers</t>
        </is>
      </c>
      <c r="J3163" s="557" t="n"/>
    </row>
    <row r="3164" ht="18" customHeight="1" s="305">
      <c r="A3164" s="8" t="inlineStr">
        <is>
          <t>H 296</t>
        </is>
      </c>
      <c r="B3164" s="5" t="n">
        <v>85</v>
      </c>
      <c r="C3164" s="72" t="inlineStr">
        <is>
          <t>X</t>
        </is>
      </c>
      <c r="D3164" s="5" t="n">
        <v>410</v>
      </c>
      <c r="E3164" s="73">
        <f>B3164*D3164/10000</f>
        <v/>
      </c>
      <c r="F3164" s="74">
        <f>B3164/30.48</f>
        <v/>
      </c>
      <c r="G3164" s="74">
        <f>D3164/30.48</f>
        <v/>
      </c>
      <c r="H3164" s="694" t="n"/>
      <c r="I3164" s="694" t="n"/>
      <c r="J3164" s="557" t="n"/>
    </row>
    <row r="3165" ht="18" customHeight="1" s="305">
      <c r="A3165" s="8" t="n">
        <v>3566</v>
      </c>
      <c r="B3165" s="5" t="n">
        <v>173</v>
      </c>
      <c r="C3165" s="72" t="inlineStr">
        <is>
          <t>X</t>
        </is>
      </c>
      <c r="D3165" s="5" t="n">
        <v>260</v>
      </c>
      <c r="E3165" s="73">
        <f>B3165*D3165/10000</f>
        <v/>
      </c>
      <c r="F3165" s="74">
        <f>B3165/30.48</f>
        <v/>
      </c>
      <c r="G3165" s="74">
        <f>D3165/30.48</f>
        <v/>
      </c>
      <c r="H3165" s="381" t="inlineStr">
        <is>
          <t>LLC</t>
        </is>
      </c>
      <c r="I3165" s="436" t="inlineStr">
        <is>
          <t>Chase Tafoya</t>
        </is>
      </c>
      <c r="J3165" s="557" t="n"/>
    </row>
    <row r="3166" ht="18" customHeight="1" s="305">
      <c r="A3166" s="8" t="n">
        <v>2171</v>
      </c>
      <c r="B3166" s="5" t="n">
        <v>87</v>
      </c>
      <c r="C3166" s="72" t="inlineStr">
        <is>
          <t>X</t>
        </is>
      </c>
      <c r="D3166" s="5" t="n">
        <v>367</v>
      </c>
      <c r="E3166" s="73">
        <f>B3166*D3166/10000</f>
        <v/>
      </c>
      <c r="F3166" s="74">
        <f>B3166/30.48</f>
        <v/>
      </c>
      <c r="G3166" s="74">
        <f>D3166/30.48</f>
        <v/>
      </c>
      <c r="H3166" s="16" t="inlineStr">
        <is>
          <t>WTR</t>
        </is>
      </c>
      <c r="I3166" s="294" t="inlineStr">
        <is>
          <t>Kelly Hartigan</t>
        </is>
      </c>
    </row>
    <row r="3167" ht="18" customHeight="1" s="305">
      <c r="A3167" s="8" t="n">
        <v>4487</v>
      </c>
      <c r="B3167" s="5" t="n">
        <v>179</v>
      </c>
      <c r="C3167" s="72" t="inlineStr">
        <is>
          <t>X</t>
        </is>
      </c>
      <c r="D3167" s="5" t="n">
        <v>316</v>
      </c>
      <c r="E3167" s="73">
        <f>B3167*D3167/10000</f>
        <v/>
      </c>
      <c r="F3167" s="74">
        <f>B3167/30.48</f>
        <v/>
      </c>
      <c r="G3167" s="74">
        <f>D3167/30.48</f>
        <v/>
      </c>
      <c r="H3167" s="16" t="inlineStr">
        <is>
          <t>WTR</t>
        </is>
      </c>
      <c r="I3167" s="294" t="inlineStr">
        <is>
          <t>kristina johnson</t>
        </is>
      </c>
    </row>
    <row r="3168">
      <c r="A3168" s="301" t="n">
        <v>653</v>
      </c>
      <c r="B3168" s="300" t="n">
        <v>230</v>
      </c>
      <c r="C3168" s="300" t="inlineStr">
        <is>
          <t>X</t>
        </is>
      </c>
      <c r="D3168" s="300" t="n">
        <v>300</v>
      </c>
      <c r="E3168" s="300" t="n"/>
      <c r="F3168" s="71" t="n"/>
      <c r="G3168" s="71" t="n"/>
      <c r="H3168" s="16" t="inlineStr">
        <is>
          <t>RKS</t>
        </is>
      </c>
      <c r="I3168" s="294" t="inlineStr">
        <is>
          <t>Lesley Lee</t>
        </is>
      </c>
    </row>
    <row r="3169" ht="18" customHeight="1" s="305">
      <c r="A3169" s="8" t="n">
        <v>2777</v>
      </c>
      <c r="B3169" s="5" t="n">
        <v>65</v>
      </c>
      <c r="C3169" s="72" t="inlineStr">
        <is>
          <t>X</t>
        </is>
      </c>
      <c r="D3169" s="5" t="n">
        <v>282</v>
      </c>
      <c r="E3169" s="73">
        <f>B3169*D3169/10000</f>
        <v/>
      </c>
      <c r="F3169" s="74">
        <f>B3169/30.48</f>
        <v/>
      </c>
      <c r="G3169" s="74">
        <f>D3169/30.48</f>
        <v/>
      </c>
      <c r="H3169" s="37" t="inlineStr">
        <is>
          <t>WLR</t>
        </is>
      </c>
      <c r="I3169" s="294" t="inlineStr">
        <is>
          <t>Alexandra Rose</t>
        </is>
      </c>
    </row>
    <row r="3170" ht="18" customHeight="1" s="305">
      <c r="A3170" s="8" t="n">
        <v>3507</v>
      </c>
      <c r="B3170" s="5" t="n">
        <v>85</v>
      </c>
      <c r="C3170" s="72" t="inlineStr">
        <is>
          <t>X</t>
        </is>
      </c>
      <c r="D3170" s="5" t="n">
        <v>336</v>
      </c>
      <c r="E3170" s="73">
        <f>B3170*D3170/10000</f>
        <v/>
      </c>
      <c r="F3170" s="74">
        <f>B3170/30.48</f>
        <v/>
      </c>
      <c r="G3170" s="74">
        <f>D3170/30.48</f>
        <v/>
      </c>
      <c r="H3170" s="16" t="inlineStr">
        <is>
          <t>WTR</t>
        </is>
      </c>
      <c r="I3170" s="570" t="inlineStr">
        <is>
          <t>MARYLOU M DAVIS</t>
        </is>
      </c>
    </row>
    <row r="3171" ht="18" customHeight="1" s="305">
      <c r="A3171" s="8" t="n">
        <v>2735</v>
      </c>
      <c r="B3171" s="5" t="n">
        <v>86</v>
      </c>
      <c r="C3171" s="72" t="inlineStr">
        <is>
          <t>X</t>
        </is>
      </c>
      <c r="D3171" s="5" t="n">
        <v>439</v>
      </c>
      <c r="E3171" s="73">
        <f>B3171*D3171/10000</f>
        <v/>
      </c>
      <c r="F3171" s="74">
        <f>B3171/30.48</f>
        <v/>
      </c>
      <c r="G3171" s="74">
        <f>D3171/30.48</f>
        <v/>
      </c>
      <c r="H3171" s="16" t="inlineStr">
        <is>
          <t>MCHD-TR</t>
        </is>
      </c>
      <c r="I3171" s="37" t="n"/>
    </row>
    <row r="3172" ht="18" customHeight="1" s="305">
      <c r="A3172" s="8" t="n">
        <v>3546</v>
      </c>
      <c r="B3172" s="5" t="n">
        <v>90</v>
      </c>
      <c r="C3172" s="72" t="inlineStr">
        <is>
          <t>X</t>
        </is>
      </c>
      <c r="D3172" s="5" t="n">
        <v>464</v>
      </c>
      <c r="E3172" s="73">
        <f>B3172*D3172/10000</f>
        <v/>
      </c>
      <c r="F3172" s="74">
        <f>B3172/30.48</f>
        <v/>
      </c>
      <c r="G3172" s="74">
        <f>D3172/30.48</f>
        <v/>
      </c>
      <c r="H3172" s="16" t="inlineStr">
        <is>
          <t>LR</t>
        </is>
      </c>
      <c r="I3172" s="294" t="inlineStr">
        <is>
          <t>Icon Logistics and Storage // BANDD Design</t>
        </is>
      </c>
    </row>
    <row r="3173" ht="18" customHeight="1" s="305">
      <c r="A3173" s="28" t="inlineStr">
        <is>
          <t>D 617</t>
        </is>
      </c>
      <c r="B3173" s="29" t="n">
        <v>50</v>
      </c>
      <c r="C3173" s="236" t="inlineStr">
        <is>
          <t>X</t>
        </is>
      </c>
      <c r="D3173" s="29" t="n">
        <v>98</v>
      </c>
      <c r="E3173" s="237">
        <f>B3173*D3173/10000</f>
        <v/>
      </c>
      <c r="F3173" s="238">
        <f>SATILANLAR!B3173/30.48</f>
        <v/>
      </c>
      <c r="G3173" s="238">
        <f>SATILANLAR!D3173/30.48</f>
        <v/>
      </c>
      <c r="H3173" s="16" t="inlineStr">
        <is>
          <t>LMX</t>
        </is>
      </c>
      <c r="I3173" s="294" t="inlineStr">
        <is>
          <t>Ro House c/o WG Moving L481304</t>
        </is>
      </c>
    </row>
    <row r="3174" ht="18" customHeight="1" s="305">
      <c r="A3174" s="8" t="n">
        <v>4820</v>
      </c>
      <c r="B3174" s="5" t="n">
        <v>116</v>
      </c>
      <c r="C3174" s="72" t="inlineStr">
        <is>
          <t>X</t>
        </is>
      </c>
      <c r="D3174" s="5" t="n">
        <v>301</v>
      </c>
      <c r="E3174" s="73">
        <f>B3174*D3174/10000</f>
        <v/>
      </c>
      <c r="F3174" s="74">
        <f>B3174/30.48</f>
        <v/>
      </c>
      <c r="G3174" s="74">
        <f>D3174/30.48</f>
        <v/>
      </c>
      <c r="H3174" s="16" t="inlineStr">
        <is>
          <t>WLR</t>
        </is>
      </c>
      <c r="I3174" s="294" t="inlineStr">
        <is>
          <t>Lisa Davis</t>
        </is>
      </c>
    </row>
    <row r="3175" ht="18" customHeight="1" s="305">
      <c r="A3175" s="8" t="inlineStr">
        <is>
          <t>D 199</t>
        </is>
      </c>
      <c r="B3175" s="5" t="n">
        <v>49</v>
      </c>
      <c r="C3175" s="72" t="inlineStr">
        <is>
          <t>X</t>
        </is>
      </c>
      <c r="D3175" s="5" t="n">
        <v>84</v>
      </c>
      <c r="E3175" s="73">
        <f>B3175*D3175/10000</f>
        <v/>
      </c>
      <c r="F3175" s="74">
        <f>B3175/30.48</f>
        <v/>
      </c>
      <c r="G3175" s="74">
        <f>D3175/30.48</f>
        <v/>
      </c>
      <c r="H3175" s="16" t="inlineStr">
        <is>
          <t>OLD</t>
        </is>
      </c>
      <c r="I3175" s="435" t="inlineStr">
        <is>
          <t>Caitlin Strasser</t>
        </is>
      </c>
    </row>
    <row r="3176" ht="18" customHeight="1" s="305">
      <c r="A3176" s="28" t="inlineStr">
        <is>
          <t>D 650</t>
        </is>
      </c>
      <c r="B3176" s="29" t="n">
        <v>43</v>
      </c>
      <c r="C3176" s="236" t="inlineStr">
        <is>
          <t>X</t>
        </is>
      </c>
      <c r="D3176" s="29" t="n">
        <v>84</v>
      </c>
      <c r="E3176" s="237">
        <f>B3176*D3176/10000</f>
        <v/>
      </c>
      <c r="F3176" s="238">
        <f>B3176/30.48</f>
        <v/>
      </c>
      <c r="G3176" s="238">
        <f>D3176/30.48</f>
        <v/>
      </c>
      <c r="H3176" s="16" t="inlineStr">
        <is>
          <t>OLD</t>
        </is>
      </c>
      <c r="I3176" s="294" t="inlineStr">
        <is>
          <t>BRIAN K WOODFIN</t>
        </is>
      </c>
      <c r="J3176" s="9" t="inlineStr">
        <is>
          <t>+1 2563107300</t>
        </is>
      </c>
    </row>
    <row r="3177" ht="18" customHeight="1" s="305">
      <c r="A3177" s="8" t="n">
        <v>3624</v>
      </c>
      <c r="B3177" s="5" t="n">
        <v>104</v>
      </c>
      <c r="C3177" s="72" t="inlineStr">
        <is>
          <t>X</t>
        </is>
      </c>
      <c r="D3177" s="5" t="n">
        <v>93</v>
      </c>
      <c r="E3177" s="73">
        <f>B3177*D3177/10000</f>
        <v/>
      </c>
      <c r="F3177" s="74">
        <f>B3177/30.48</f>
        <v/>
      </c>
      <c r="G3177" s="74">
        <f>D3177/30.48</f>
        <v/>
      </c>
      <c r="H3177" s="503" t="inlineStr">
        <is>
          <t>OLD</t>
        </is>
      </c>
      <c r="I3177" s="432" t="inlineStr">
        <is>
          <t>Kathleen Filanowski</t>
        </is>
      </c>
      <c r="J3177" s="9" t="inlineStr">
        <is>
          <t>+1 4132075188</t>
        </is>
      </c>
    </row>
    <row r="3178" ht="18" customHeight="1" s="305">
      <c r="A3178" s="8" t="n">
        <v>4040</v>
      </c>
      <c r="B3178" s="5" t="n">
        <v>68</v>
      </c>
      <c r="C3178" s="72" t="inlineStr">
        <is>
          <t>X</t>
        </is>
      </c>
      <c r="D3178" s="5" t="n">
        <v>148</v>
      </c>
      <c r="E3178" s="73">
        <f>B3178*D3178/10000</f>
        <v/>
      </c>
      <c r="F3178" s="74">
        <f>B3178/30.48</f>
        <v/>
      </c>
      <c r="G3178" s="74">
        <f>D3178/30.48</f>
        <v/>
      </c>
      <c r="H3178" s="400" t="inlineStr">
        <is>
          <t>MCHD-TR</t>
        </is>
      </c>
      <c r="I3178" s="398" t="n"/>
      <c r="J3178" s="396" t="n"/>
    </row>
    <row r="3179" ht="18" customHeight="1" s="305">
      <c r="A3179" s="8" t="n">
        <v>4118</v>
      </c>
      <c r="B3179" s="5" t="n">
        <v>60</v>
      </c>
      <c r="C3179" s="72" t="inlineStr">
        <is>
          <t>X</t>
        </is>
      </c>
      <c r="D3179" s="5" t="n">
        <v>130</v>
      </c>
      <c r="E3179" s="73">
        <f>B3179*D3179/10000</f>
        <v/>
      </c>
      <c r="F3179" s="74">
        <f>B3179/30.48</f>
        <v/>
      </c>
      <c r="G3179" s="74">
        <f>D3179/30.48</f>
        <v/>
      </c>
      <c r="H3179" s="399" t="n"/>
      <c r="I3179" s="433" t="n"/>
      <c r="J3179" s="396" t="n"/>
    </row>
    <row r="3180" ht="18" customHeight="1" s="305">
      <c r="A3180" s="28" t="inlineStr">
        <is>
          <t>D 632</t>
        </is>
      </c>
      <c r="B3180" s="29" t="n">
        <v>51</v>
      </c>
      <c r="C3180" s="236" t="inlineStr">
        <is>
          <t>X</t>
        </is>
      </c>
      <c r="D3180" s="29" t="n">
        <v>106</v>
      </c>
      <c r="E3180" s="237">
        <f>B3180*D3180/10000</f>
        <v/>
      </c>
      <c r="F3180" s="238">
        <f>B3180/30.48</f>
        <v/>
      </c>
      <c r="G3180" s="238">
        <f>D3180/30.48</f>
        <v/>
      </c>
      <c r="H3180" s="397" t="inlineStr">
        <is>
          <t>OLD</t>
        </is>
      </c>
      <c r="I3180" s="433" t="inlineStr">
        <is>
          <t>Zoe Nelson</t>
        </is>
      </c>
      <c r="J3180" s="396" t="n"/>
    </row>
    <row r="3181" ht="18" customHeight="1" s="305">
      <c r="A3181" s="8" t="n">
        <v>3887</v>
      </c>
      <c r="B3181" s="5" t="n">
        <v>71</v>
      </c>
      <c r="C3181" s="72" t="inlineStr">
        <is>
          <t>X</t>
        </is>
      </c>
      <c r="D3181" s="5" t="n">
        <v>198</v>
      </c>
      <c r="E3181" s="73">
        <f>B3181*D3181/10000</f>
        <v/>
      </c>
      <c r="F3181" s="74">
        <f>B3181/30.48</f>
        <v/>
      </c>
      <c r="G3181" s="74">
        <f>D3181/30.48</f>
        <v/>
      </c>
      <c r="H3181" s="397" t="n"/>
      <c r="I3181" s="434" t="n"/>
      <c r="J3181" s="396" t="n"/>
    </row>
    <row r="3182" ht="18" customHeight="1" s="305">
      <c r="A3182" s="8" t="n">
        <v>2314</v>
      </c>
      <c r="B3182" s="5" t="n">
        <v>86</v>
      </c>
      <c r="C3182" s="72" t="inlineStr">
        <is>
          <t>X</t>
        </is>
      </c>
      <c r="D3182" s="5" t="n">
        <v>341</v>
      </c>
      <c r="E3182" s="73">
        <f>B3182*D3182/10000</f>
        <v/>
      </c>
      <c r="F3182" s="74">
        <f>B3182/30.48</f>
        <v/>
      </c>
      <c r="G3182" s="74">
        <f>D3182/30.48</f>
        <v/>
      </c>
      <c r="H3182" s="16" t="inlineStr">
        <is>
          <t>LLC</t>
        </is>
      </c>
      <c r="I3182" s="430" t="inlineStr">
        <is>
          <t>Janine Gabel</t>
        </is>
      </c>
    </row>
    <row r="3183">
      <c r="A3183" s="536" t="inlineStr">
        <is>
          <t>-2025 ARALIK-</t>
        </is>
      </c>
      <c r="H3183" s="104" t="inlineStr">
        <is>
          <t>SATAN-SİTE</t>
        </is>
      </c>
      <c r="I3183" s="98" t="inlineStr">
        <is>
          <t>MÜŞTERİ ADI</t>
        </is>
      </c>
      <c r="J3183" s="63" t="inlineStr">
        <is>
          <t>MÜŞTERİ İLETİŞİM &amp; ÜLKE</t>
        </is>
      </c>
    </row>
    <row r="3184" ht="18" customHeight="1" s="305">
      <c r="A3184" s="8" t="inlineStr">
        <is>
          <t>H 83</t>
        </is>
      </c>
      <c r="B3184" s="5" t="n">
        <v>89</v>
      </c>
      <c r="C3184" s="72" t="inlineStr">
        <is>
          <t>X</t>
        </is>
      </c>
      <c r="D3184" s="5" t="n">
        <v>398</v>
      </c>
      <c r="E3184" s="73">
        <f>B3184*D3184/10000</f>
        <v/>
      </c>
      <c r="F3184" s="74">
        <f>B3184/30.48</f>
        <v/>
      </c>
      <c r="G3184" s="74">
        <f>D3184/30.48</f>
        <v/>
      </c>
      <c r="H3184" s="503" t="inlineStr">
        <is>
          <t>OLD</t>
        </is>
      </c>
      <c r="I3184" s="432" t="inlineStr">
        <is>
          <t>Sara Young</t>
        </is>
      </c>
    </row>
    <row r="3185" ht="18" customHeight="1" s="305">
      <c r="A3185" s="8" t="n">
        <v>3165</v>
      </c>
      <c r="B3185" s="5" t="n">
        <v>173</v>
      </c>
      <c r="C3185" s="72" t="inlineStr">
        <is>
          <t>X</t>
        </is>
      </c>
      <c r="D3185" s="5" t="n">
        <v>264</v>
      </c>
      <c r="E3185" s="73">
        <f>B3185*D3185/10000</f>
        <v/>
      </c>
      <c r="F3185" s="74">
        <f>B3185/30.48</f>
        <v/>
      </c>
      <c r="G3185" s="74">
        <f>D3185/30.48</f>
        <v/>
      </c>
      <c r="H3185" s="16" t="inlineStr">
        <is>
          <t>LLC</t>
        </is>
      </c>
      <c r="I3185" s="431" t="inlineStr">
        <is>
          <t>Julia Harmon</t>
        </is>
      </c>
      <c r="J3185" s="396" t="n"/>
    </row>
    <row r="3186" ht="18" customHeight="1" s="305">
      <c r="A3186" s="8" t="n">
        <v>3376</v>
      </c>
      <c r="B3186" s="5" t="n">
        <v>85</v>
      </c>
      <c r="C3186" s="72" t="inlineStr">
        <is>
          <t>X</t>
        </is>
      </c>
      <c r="D3186" s="5" t="n">
        <v>322</v>
      </c>
      <c r="E3186" s="73">
        <f>B3186*D3186/10000</f>
        <v/>
      </c>
      <c r="F3186" s="74">
        <f>B3186/30.48</f>
        <v/>
      </c>
      <c r="G3186" s="74">
        <f>D3186/30.48</f>
        <v/>
      </c>
      <c r="H3186" s="504" t="inlineStr">
        <is>
          <t>OLD</t>
        </is>
      </c>
      <c r="I3186" s="430" t="inlineStr">
        <is>
          <t>Lisa Walker</t>
        </is>
      </c>
    </row>
    <row r="3187" ht="18" customHeight="1" s="305">
      <c r="A3187" s="8" t="inlineStr">
        <is>
          <t>İ-4</t>
        </is>
      </c>
      <c r="B3187" s="5" t="n">
        <v>246</v>
      </c>
      <c r="C3187" s="72" t="inlineStr">
        <is>
          <t>X</t>
        </is>
      </c>
      <c r="D3187" s="5" t="n">
        <v>335</v>
      </c>
      <c r="E3187" s="73">
        <f>B3187*D3187/10000</f>
        <v/>
      </c>
      <c r="F3187" s="74" t="inlineStr">
        <is>
          <t>*8</t>
        </is>
      </c>
      <c r="G3187" s="74">
        <f>D3187/30.48</f>
        <v/>
      </c>
      <c r="H3187" s="16" t="inlineStr">
        <is>
          <t>OLD</t>
        </is>
      </c>
      <c r="I3187" s="294" t="inlineStr">
        <is>
          <t>Suzan Gillespie</t>
        </is>
      </c>
    </row>
    <row r="3188" ht="18" customHeight="1" s="305">
      <c r="A3188" s="8" t="n">
        <v>2421</v>
      </c>
      <c r="B3188" s="5" t="n">
        <v>73</v>
      </c>
      <c r="C3188" s="72" t="inlineStr">
        <is>
          <t>X</t>
        </is>
      </c>
      <c r="D3188" s="5" t="n">
        <v>399</v>
      </c>
      <c r="E3188" s="73">
        <f>B3188*D3188/10000</f>
        <v/>
      </c>
      <c r="F3188" s="74">
        <f>B3188/30.48</f>
        <v/>
      </c>
      <c r="G3188" s="74">
        <f>D3188/30.48</f>
        <v/>
      </c>
      <c r="H3188" s="16" t="inlineStr">
        <is>
          <t>WTR</t>
        </is>
      </c>
      <c r="I3188" s="294" t="inlineStr">
        <is>
          <t>Amy Amsterdam</t>
        </is>
      </c>
    </row>
    <row r="3189" ht="18" customHeight="1" s="305">
      <c r="A3189" s="28" t="inlineStr">
        <is>
          <t>D 943</t>
        </is>
      </c>
      <c r="B3189" s="29" t="n">
        <v>53</v>
      </c>
      <c r="C3189" s="236" t="inlineStr">
        <is>
          <t>X</t>
        </is>
      </c>
      <c r="D3189" s="29" t="n">
        <v>108</v>
      </c>
      <c r="E3189" s="237">
        <f>B3189*D3189/10000</f>
        <v/>
      </c>
      <c r="F3189" s="238">
        <f>B3189/30.48</f>
        <v/>
      </c>
      <c r="G3189" s="238">
        <f>D3189/30.48</f>
        <v/>
      </c>
      <c r="H3189" s="16" t="inlineStr">
        <is>
          <t>RST</t>
        </is>
      </c>
      <c r="I3189" s="294" t="inlineStr">
        <is>
          <t>Suzanne Wallace</t>
        </is>
      </c>
    </row>
    <row r="3190" ht="18" customHeight="1" s="305">
      <c r="A3190" s="8" t="n">
        <v>3996</v>
      </c>
      <c r="B3190" s="5" t="n">
        <v>74</v>
      </c>
      <c r="C3190" s="72" t="inlineStr">
        <is>
          <t>X</t>
        </is>
      </c>
      <c r="D3190" s="5" t="n">
        <v>120</v>
      </c>
      <c r="E3190" s="73">
        <f>B3190*D3190/10000</f>
        <v/>
      </c>
      <c r="F3190" s="74">
        <f>B3190/30.48</f>
        <v/>
      </c>
      <c r="G3190" s="74">
        <f>D3190/30.48</f>
        <v/>
      </c>
      <c r="H3190" s="16" t="inlineStr">
        <is>
          <t>LR</t>
        </is>
      </c>
      <c r="I3190" s="294" t="inlineStr">
        <is>
          <t>Ginny Musante Erickson</t>
        </is>
      </c>
      <c r="J3190" s="9" t="inlineStr">
        <is>
          <t>(206)250-5144</t>
        </is>
      </c>
    </row>
    <row r="3191" ht="18" customHeight="1" s="305">
      <c r="A3191" s="8" t="n">
        <v>3947</v>
      </c>
      <c r="B3191" s="5" t="n">
        <v>80</v>
      </c>
      <c r="C3191" s="72" t="inlineStr">
        <is>
          <t>X</t>
        </is>
      </c>
      <c r="D3191" s="5" t="n">
        <v>303</v>
      </c>
      <c r="E3191" s="73">
        <f>B3191*D3191/10000</f>
        <v/>
      </c>
      <c r="F3191" s="74">
        <f>B3191/30.48</f>
        <v/>
      </c>
      <c r="G3191" s="74">
        <f>D3191/30.48</f>
        <v/>
      </c>
      <c r="H3191" s="16" t="inlineStr">
        <is>
          <t>LMX</t>
        </is>
      </c>
      <c r="I3191" s="294" t="inlineStr">
        <is>
          <t>ERICA GRENCI</t>
        </is>
      </c>
    </row>
    <row r="3192" ht="18" customHeight="1" s="305">
      <c r="A3192" s="8" t="n">
        <v>4090</v>
      </c>
      <c r="B3192" s="5" t="n">
        <v>88</v>
      </c>
      <c r="C3192" s="72" t="inlineStr">
        <is>
          <t>X</t>
        </is>
      </c>
      <c r="D3192" s="5" t="n">
        <v>376</v>
      </c>
      <c r="E3192" s="73">
        <f>B3192*D3192/10000</f>
        <v/>
      </c>
      <c r="F3192" s="74">
        <f>B3192/30.48</f>
        <v/>
      </c>
      <c r="G3192" s="74">
        <f>D3192/30.48</f>
        <v/>
      </c>
      <c r="H3192" s="16" t="inlineStr">
        <is>
          <t>WLR</t>
        </is>
      </c>
      <c r="I3192" s="294" t="inlineStr">
        <is>
          <t>Sarah Drabick</t>
        </is>
      </c>
    </row>
    <row r="3193" ht="18" customHeight="1" s="305">
      <c r="A3193" s="8" t="n">
        <v>3999</v>
      </c>
      <c r="B3193" s="5" t="n">
        <v>89</v>
      </c>
      <c r="C3193" s="72" t="inlineStr">
        <is>
          <t>X</t>
        </is>
      </c>
      <c r="D3193" s="5" t="n">
        <v>180</v>
      </c>
      <c r="E3193" s="73">
        <f>B3193*D3193/10000</f>
        <v/>
      </c>
      <c r="F3193" s="74">
        <f>B3193/30.48</f>
        <v/>
      </c>
      <c r="G3193" s="74">
        <f>D3193/30.48</f>
        <v/>
      </c>
      <c r="H3193" s="16" t="inlineStr">
        <is>
          <t>WLR</t>
        </is>
      </c>
      <c r="I3193" s="294" t="inlineStr">
        <is>
          <t>Julie Watson</t>
        </is>
      </c>
    </row>
    <row r="3194" ht="18" customHeight="1" s="305">
      <c r="A3194" s="8" t="n">
        <v>1977</v>
      </c>
      <c r="B3194" s="5" t="n">
        <v>206</v>
      </c>
      <c r="C3194" s="72" t="inlineStr">
        <is>
          <t>X</t>
        </is>
      </c>
      <c r="D3194" s="5" t="n">
        <v>287</v>
      </c>
      <c r="E3194" s="73">
        <f>B3194*D3194/10000</f>
        <v/>
      </c>
      <c r="F3194" s="74">
        <f>B3194/30.48</f>
        <v/>
      </c>
      <c r="G3194" s="74">
        <f>D3194/30.48</f>
        <v/>
      </c>
      <c r="H3194" s="16" t="inlineStr">
        <is>
          <t>RST</t>
        </is>
      </c>
      <c r="I3194" s="294" t="inlineStr">
        <is>
          <t>Brice Waldron</t>
        </is>
      </c>
      <c r="J3194" s="9" t="inlineStr">
        <is>
          <t>(979)574-5939</t>
        </is>
      </c>
    </row>
    <row r="3195" ht="18" customHeight="1" s="305">
      <c r="A3195" s="8" t="n">
        <v>2682</v>
      </c>
      <c r="B3195" s="5" t="n">
        <v>107</v>
      </c>
      <c r="C3195" s="72" t="inlineStr">
        <is>
          <t>X</t>
        </is>
      </c>
      <c r="D3195" s="5" t="n">
        <v>312</v>
      </c>
      <c r="E3195" s="73">
        <f>B3195*D3195/10000</f>
        <v/>
      </c>
      <c r="F3195" s="74">
        <f>B3195/30.48</f>
        <v/>
      </c>
      <c r="G3195" s="74">
        <f>D3195/30.48</f>
        <v/>
      </c>
      <c r="H3195" s="16" t="inlineStr">
        <is>
          <t>WTR</t>
        </is>
      </c>
      <c r="I3195" s="294" t="inlineStr">
        <is>
          <t>Cristina B Olmo</t>
        </is>
      </c>
    </row>
    <row r="3196" ht="18" customHeight="1" s="305">
      <c r="A3196" s="8" t="n">
        <v>3676</v>
      </c>
      <c r="B3196" s="5" t="n">
        <v>255</v>
      </c>
      <c r="C3196" s="72" t="inlineStr">
        <is>
          <t>X</t>
        </is>
      </c>
      <c r="D3196" s="5" t="n">
        <v>354</v>
      </c>
      <c r="E3196" s="73">
        <f>B3196*D3196/10000</f>
        <v/>
      </c>
      <c r="F3196" s="74">
        <f>B3196/30.48</f>
        <v/>
      </c>
      <c r="G3196" s="74">
        <f>D3196/30.48</f>
        <v/>
      </c>
      <c r="H3196" s="16" t="inlineStr">
        <is>
          <t>LR</t>
        </is>
      </c>
      <c r="I3196" s="294" t="inlineStr">
        <is>
          <t>ASHLEY MONTGOMERY</t>
        </is>
      </c>
      <c r="J3196" s="9" t="inlineStr">
        <is>
          <t>+1 416-418-5428</t>
        </is>
      </c>
    </row>
    <row r="3197" ht="18" customHeight="1" s="305">
      <c r="A3197" s="28" t="inlineStr">
        <is>
          <t>D 1234</t>
        </is>
      </c>
      <c r="B3197" s="29" t="n">
        <v>60</v>
      </c>
      <c r="C3197" s="236" t="inlineStr">
        <is>
          <t>X</t>
        </is>
      </c>
      <c r="D3197" s="29" t="n">
        <v>91</v>
      </c>
      <c r="E3197" s="237">
        <f>B3197*D3197/10000</f>
        <v/>
      </c>
      <c r="F3197" s="238">
        <f>B3197/30.48</f>
        <v/>
      </c>
      <c r="G3197" s="238">
        <f>D3197/30.48</f>
        <v/>
      </c>
      <c r="H3197" s="16" t="inlineStr">
        <is>
          <t>WLR</t>
        </is>
      </c>
      <c r="I3197" s="294" t="inlineStr">
        <is>
          <t>Brian Deck</t>
        </is>
      </c>
    </row>
    <row r="3198" ht="18" customHeight="1" s="305">
      <c r="A3198" s="28" t="inlineStr">
        <is>
          <t>D 786</t>
        </is>
      </c>
      <c r="B3198" s="29" t="n">
        <v>52</v>
      </c>
      <c r="C3198" s="236" t="inlineStr">
        <is>
          <t>X</t>
        </is>
      </c>
      <c r="D3198" s="29" t="n">
        <v>84</v>
      </c>
      <c r="E3198" s="237">
        <f>B3198*D3198/10000</f>
        <v/>
      </c>
      <c r="F3198" s="238">
        <f>B3198/30.48</f>
        <v/>
      </c>
      <c r="G3198" s="238">
        <f>D3198/30.48</f>
        <v/>
      </c>
      <c r="H3198" s="16" t="inlineStr">
        <is>
          <t>İLMEK</t>
        </is>
      </c>
      <c r="I3198" s="294" t="inlineStr">
        <is>
          <t>Gwen Buchanan</t>
        </is>
      </c>
    </row>
    <row r="3199" ht="18" customHeight="1" s="305">
      <c r="A3199" s="8" t="n">
        <v>4055</v>
      </c>
      <c r="B3199" s="5" t="n">
        <v>59</v>
      </c>
      <c r="C3199" s="72" t="inlineStr">
        <is>
          <t>X</t>
        </is>
      </c>
      <c r="D3199" s="5" t="n">
        <v>168</v>
      </c>
      <c r="E3199" s="73">
        <f>B3199*D3199/10000</f>
        <v/>
      </c>
      <c r="F3199" s="74">
        <f>B3199/30.48</f>
        <v/>
      </c>
      <c r="G3199" s="74">
        <f>D3199/30.48</f>
        <v/>
      </c>
      <c r="H3199" s="16" t="inlineStr">
        <is>
          <t>MCHD-TR</t>
        </is>
      </c>
    </row>
    <row r="3200" ht="18" customHeight="1" s="305">
      <c r="A3200" s="8" t="n">
        <v>3267</v>
      </c>
      <c r="B3200" s="5" t="n">
        <v>71</v>
      </c>
      <c r="C3200" s="72" t="inlineStr">
        <is>
          <t>X</t>
        </is>
      </c>
      <c r="D3200" s="5" t="n">
        <v>138</v>
      </c>
      <c r="E3200" s="73">
        <f>B3200*D3200/10000</f>
        <v/>
      </c>
      <c r="F3200" s="74">
        <f>B3200/30.48</f>
        <v/>
      </c>
      <c r="G3200" s="74">
        <f>D3200/30.48</f>
        <v/>
      </c>
      <c r="H3200" s="16" t="inlineStr">
        <is>
          <t>MCHD-TR</t>
        </is>
      </c>
    </row>
    <row r="3201" ht="18" customHeight="1" s="305">
      <c r="A3201" s="8" t="n">
        <v>4486</v>
      </c>
      <c r="B3201" s="5" t="n">
        <v>90</v>
      </c>
      <c r="C3201" s="72" t="inlineStr">
        <is>
          <t>X</t>
        </is>
      </c>
      <c r="D3201" s="5" t="n">
        <v>442</v>
      </c>
      <c r="E3201" s="73">
        <f>B3201*D3201/10000</f>
        <v/>
      </c>
      <c r="F3201" s="74">
        <f>B3201/30.48</f>
        <v/>
      </c>
      <c r="G3201" s="74">
        <f>D3201/30.48</f>
        <v/>
      </c>
      <c r="H3201" s="16" t="inlineStr">
        <is>
          <t>MCHD-TR</t>
        </is>
      </c>
    </row>
    <row r="3202" ht="18" customHeight="1" s="305">
      <c r="A3202" s="28" t="inlineStr">
        <is>
          <t>D 1217</t>
        </is>
      </c>
      <c r="B3202" s="29" t="n">
        <v>52</v>
      </c>
      <c r="C3202" s="236" t="inlineStr">
        <is>
          <t>X</t>
        </is>
      </c>
      <c r="D3202" s="29" t="n">
        <v>101</v>
      </c>
      <c r="E3202" s="237">
        <f>B3202*D3202/10000</f>
        <v/>
      </c>
      <c r="F3202" s="238">
        <f>B3202/30.48</f>
        <v/>
      </c>
      <c r="G3202" s="238">
        <f>D3202/30.48</f>
        <v/>
      </c>
      <c r="H3202" s="16" t="inlineStr">
        <is>
          <t>WLR</t>
        </is>
      </c>
      <c r="I3202" s="294" t="inlineStr">
        <is>
          <t>Mary Wyborney</t>
        </is>
      </c>
    </row>
    <row r="3203" ht="18" customHeight="1" s="305">
      <c r="A3203" s="8" t="n">
        <v>2297</v>
      </c>
      <c r="B3203" s="5" t="n">
        <v>107</v>
      </c>
      <c r="C3203" s="72" t="inlineStr">
        <is>
          <t>X</t>
        </is>
      </c>
      <c r="D3203" s="5" t="n">
        <v>365</v>
      </c>
      <c r="E3203" s="73">
        <f>B3203*D3203/10000</f>
        <v/>
      </c>
      <c r="F3203" s="74">
        <f>B3203/30.48</f>
        <v/>
      </c>
      <c r="G3203" s="74">
        <f>D3203/30.48</f>
        <v/>
      </c>
      <c r="H3203" s="16" t="inlineStr">
        <is>
          <t>LLC</t>
        </is>
      </c>
      <c r="I3203" s="294" t="inlineStr">
        <is>
          <t>Shannon Pronger</t>
        </is>
      </c>
    </row>
    <row r="3204" ht="18" customHeight="1" s="305">
      <c r="A3204" s="8" t="n">
        <v>1583</v>
      </c>
      <c r="B3204" s="5" t="n">
        <v>358</v>
      </c>
      <c r="C3204" s="72" t="inlineStr">
        <is>
          <t>X</t>
        </is>
      </c>
      <c r="D3204" s="5" t="n">
        <v>92</v>
      </c>
      <c r="E3204" s="73">
        <f>B3204*D3204/10000</f>
        <v/>
      </c>
      <c r="F3204" s="74">
        <f>B3204/30.48</f>
        <v/>
      </c>
      <c r="G3204" s="74">
        <f>D3204/30.48</f>
        <v/>
      </c>
      <c r="H3204" s="16" t="inlineStr">
        <is>
          <t>OLD</t>
        </is>
      </c>
      <c r="I3204" s="294" t="inlineStr">
        <is>
          <t>Sunshine Brooks</t>
        </is>
      </c>
    </row>
    <row r="3205" ht="18" customHeight="1" s="305">
      <c r="A3205" s="8" t="n">
        <v>3840</v>
      </c>
      <c r="B3205" s="5" t="n">
        <v>168</v>
      </c>
      <c r="C3205" s="72" t="inlineStr">
        <is>
          <t>X</t>
        </is>
      </c>
      <c r="D3205" s="5" t="n">
        <v>273</v>
      </c>
      <c r="E3205" s="73">
        <f>B3205*D3205/10000</f>
        <v/>
      </c>
      <c r="F3205" s="74">
        <f>B3205/30.48</f>
        <v/>
      </c>
      <c r="G3205" s="74">
        <f>D3205/30.48</f>
        <v/>
      </c>
      <c r="H3205" s="16" t="inlineStr">
        <is>
          <t>OLD</t>
        </is>
      </c>
      <c r="I3205" s="294" t="inlineStr">
        <is>
          <t>Krista Moskowitz</t>
        </is>
      </c>
    </row>
    <row r="3206" ht="18" customHeight="1" s="305">
      <c r="A3206" s="8" t="n">
        <v>2859</v>
      </c>
      <c r="B3206" s="5" t="n">
        <v>175</v>
      </c>
      <c r="C3206" s="72" t="inlineStr">
        <is>
          <t>X</t>
        </is>
      </c>
      <c r="D3206" s="5" t="n">
        <v>257</v>
      </c>
      <c r="E3206" s="73">
        <f>B3206*D3206/10000</f>
        <v/>
      </c>
      <c r="F3206" s="74">
        <f>B3206/30.48</f>
        <v/>
      </c>
      <c r="G3206" s="74">
        <f>D3206/30.48</f>
        <v/>
      </c>
      <c r="H3206" s="16" t="inlineStr">
        <is>
          <t>WTR</t>
        </is>
      </c>
      <c r="I3206" s="294" t="inlineStr">
        <is>
          <t>Sally Shay</t>
        </is>
      </c>
      <c r="J3206" s="9" t="inlineStr">
        <is>
          <t>(912)313-0157</t>
        </is>
      </c>
    </row>
    <row r="3207" ht="18" customHeight="1" s="305">
      <c r="A3207" s="28" t="inlineStr">
        <is>
          <t>D 794</t>
        </is>
      </c>
      <c r="B3207" s="29" t="n">
        <v>55</v>
      </c>
      <c r="C3207" s="236" t="inlineStr">
        <is>
          <t>X</t>
        </is>
      </c>
      <c r="D3207" s="29" t="n">
        <v>89</v>
      </c>
      <c r="E3207" s="237">
        <f>B3207*D3207/10000</f>
        <v/>
      </c>
      <c r="F3207" s="238">
        <f>B3207/30.48</f>
        <v/>
      </c>
      <c r="G3207" s="238">
        <f>D3207/30.48</f>
        <v/>
      </c>
      <c r="H3207" s="16" t="inlineStr">
        <is>
          <t>İLMEK</t>
        </is>
      </c>
      <c r="I3207" s="294" t="inlineStr">
        <is>
          <t>Kelsey Ellis</t>
        </is>
      </c>
    </row>
    <row r="3208" ht="18" customHeight="1" s="305">
      <c r="A3208" s="8" t="n">
        <v>2179</v>
      </c>
      <c r="B3208" s="5" t="n">
        <v>64</v>
      </c>
      <c r="C3208" s="72" t="inlineStr">
        <is>
          <t>X</t>
        </is>
      </c>
      <c r="D3208" s="5" t="n">
        <v>126</v>
      </c>
      <c r="E3208" s="73">
        <f>B3208*D3208/10000</f>
        <v/>
      </c>
      <c r="F3208" s="74">
        <f>B3208/30.48</f>
        <v/>
      </c>
      <c r="G3208" s="74">
        <f>D3208/30.48</f>
        <v/>
      </c>
      <c r="H3208" s="16" t="inlineStr">
        <is>
          <t>LLC</t>
        </is>
      </c>
      <c r="I3208" s="294" t="inlineStr">
        <is>
          <t>Kelly Sweat</t>
        </is>
      </c>
    </row>
    <row r="3209" ht="18" customHeight="1" s="305">
      <c r="A3209" s="28" t="inlineStr">
        <is>
          <t>D 1251</t>
        </is>
      </c>
      <c r="B3209" s="29" t="n">
        <v>44</v>
      </c>
      <c r="C3209" s="236" t="inlineStr">
        <is>
          <t>X</t>
        </is>
      </c>
      <c r="D3209" s="29" t="n">
        <v>78</v>
      </c>
      <c r="E3209" s="237">
        <f>B3209*D3209/10000</f>
        <v/>
      </c>
      <c r="F3209" s="238">
        <f>B3209/30.48</f>
        <v/>
      </c>
      <c r="G3209" s="238">
        <f>D3209/30.48</f>
        <v/>
      </c>
      <c r="H3209" s="16" t="inlineStr">
        <is>
          <t>WLR</t>
        </is>
      </c>
      <c r="I3209" s="294" t="inlineStr">
        <is>
          <t>Mauriel Ainsworth</t>
        </is>
      </c>
    </row>
    <row r="3210" ht="18" customHeight="1" s="305">
      <c r="A3210" s="8" t="n">
        <v>4248</v>
      </c>
      <c r="B3210" s="5" t="n">
        <v>106</v>
      </c>
      <c r="C3210" s="72" t="inlineStr">
        <is>
          <t>X</t>
        </is>
      </c>
      <c r="D3210" s="5" t="n">
        <v>139</v>
      </c>
      <c r="E3210" s="73">
        <f>B3210*D3210/10000</f>
        <v/>
      </c>
      <c r="F3210" s="74">
        <f>B3210/30.48</f>
        <v/>
      </c>
      <c r="G3210" s="74">
        <f>D3210/30.48</f>
        <v/>
      </c>
      <c r="H3210" s="16" t="inlineStr">
        <is>
          <t>WTR</t>
        </is>
      </c>
      <c r="I3210" s="294" t="inlineStr">
        <is>
          <t>Virginia I Linzee</t>
        </is>
      </c>
      <c r="J3210" s="9" t="inlineStr">
        <is>
          <t>(205)601-5642</t>
        </is>
      </c>
    </row>
    <row r="3211" ht="18" customHeight="1" s="305">
      <c r="A3211" s="8" t="n">
        <v>2227</v>
      </c>
      <c r="B3211" s="5" t="n">
        <v>98</v>
      </c>
      <c r="C3211" s="72" t="inlineStr">
        <is>
          <t>X</t>
        </is>
      </c>
      <c r="D3211" s="5" t="n">
        <v>178</v>
      </c>
      <c r="E3211" s="73">
        <f>B3211*D3211/10000</f>
        <v/>
      </c>
      <c r="F3211" s="74">
        <f>B3211/30.48</f>
        <v/>
      </c>
      <c r="G3211" s="74">
        <f>D3211/30.48</f>
        <v/>
      </c>
      <c r="H3211" s="16" t="inlineStr">
        <is>
          <t>LLC</t>
        </is>
      </c>
      <c r="I3211" s="294" t="inlineStr">
        <is>
          <t>Amy Thomsen</t>
        </is>
      </c>
    </row>
    <row r="3212" ht="18" customHeight="1" s="305">
      <c r="A3212" s="8" t="n">
        <v>2</v>
      </c>
      <c r="B3212" s="5" t="n">
        <v>281</v>
      </c>
      <c r="C3212" s="72" t="inlineStr">
        <is>
          <t>X</t>
        </is>
      </c>
      <c r="D3212" s="5" t="n">
        <v>390</v>
      </c>
      <c r="E3212" s="73">
        <f>B3212*D3212/10000</f>
        <v/>
      </c>
      <c r="F3212" s="74">
        <f>B3212/30.48</f>
        <v/>
      </c>
      <c r="G3212" s="74">
        <f>D3212/30.48</f>
        <v/>
      </c>
      <c r="H3212" s="503" t="inlineStr">
        <is>
          <t>WTR</t>
        </is>
      </c>
      <c r="I3212" s="294" t="inlineStr">
        <is>
          <t>Lana Landis</t>
        </is>
      </c>
    </row>
    <row r="3213" ht="18" customHeight="1" s="305">
      <c r="A3213" s="28" t="inlineStr">
        <is>
          <t>D 684</t>
        </is>
      </c>
      <c r="B3213" s="29" t="n">
        <v>51</v>
      </c>
      <c r="C3213" s="236" t="inlineStr">
        <is>
          <t>X</t>
        </is>
      </c>
      <c r="D3213" s="29" t="n">
        <v>104</v>
      </c>
      <c r="E3213" s="237">
        <f>B3213*D3213/10000</f>
        <v/>
      </c>
      <c r="F3213" s="238">
        <f>B3213/30.48</f>
        <v/>
      </c>
      <c r="G3213" s="238">
        <f>D3213/30.48</f>
        <v/>
      </c>
      <c r="H3213" s="614" t="inlineStr">
        <is>
          <t>İLMEK</t>
        </is>
      </c>
      <c r="I3213" s="721" t="inlineStr">
        <is>
          <t xml:space="preserve">Rebecca Smith
</t>
        </is>
      </c>
      <c r="J3213" s="722" t="inlineStr">
        <is>
          <t>(814) 226-7100</t>
        </is>
      </c>
    </row>
    <row r="3214" ht="18" customHeight="1" s="305">
      <c r="A3214" s="28" t="inlineStr">
        <is>
          <t>D 1039</t>
        </is>
      </c>
      <c r="B3214" s="29" t="n">
        <v>49</v>
      </c>
      <c r="C3214" s="236" t="inlineStr">
        <is>
          <t>X</t>
        </is>
      </c>
      <c r="D3214" s="29" t="n">
        <v>94</v>
      </c>
      <c r="E3214" s="237">
        <f>B3214*D3214/10000</f>
        <v/>
      </c>
      <c r="F3214" s="238">
        <f>B3214/30.48</f>
        <v/>
      </c>
      <c r="G3214" s="238">
        <f>D3214/30.48</f>
        <v/>
      </c>
      <c r="H3214" s="693" t="n"/>
      <c r="I3214" s="693" t="n"/>
      <c r="J3214" s="693" t="n"/>
    </row>
    <row r="3215" ht="18" customHeight="1" s="305">
      <c r="A3215" s="28" t="inlineStr">
        <is>
          <t>D 664</t>
        </is>
      </c>
      <c r="B3215" s="29" t="n">
        <v>53</v>
      </c>
      <c r="C3215" s="236" t="inlineStr">
        <is>
          <t>X</t>
        </is>
      </c>
      <c r="D3215" s="29" t="n">
        <v>78</v>
      </c>
      <c r="E3215" s="237">
        <f>B3215*D3215/10000</f>
        <v/>
      </c>
      <c r="F3215" s="238">
        <f>B3215/30.48</f>
        <v/>
      </c>
      <c r="G3215" s="238">
        <f>D3215/30.48</f>
        <v/>
      </c>
      <c r="H3215" s="693" t="n"/>
      <c r="I3215" s="693" t="n"/>
      <c r="J3215" s="693" t="n"/>
    </row>
    <row r="3216" ht="18" customHeight="1" s="305">
      <c r="A3216" s="28" t="inlineStr">
        <is>
          <t>D 1057</t>
        </is>
      </c>
      <c r="B3216" s="29" t="n">
        <v>48</v>
      </c>
      <c r="C3216" s="236" t="inlineStr">
        <is>
          <t>X</t>
        </is>
      </c>
      <c r="D3216" s="29" t="n">
        <v>79</v>
      </c>
      <c r="E3216" s="237">
        <f>B3216*D3216/10000</f>
        <v/>
      </c>
      <c r="F3216" s="238">
        <f>B3216/30.48</f>
        <v/>
      </c>
      <c r="G3216" s="238">
        <f>D3216/30.48</f>
        <v/>
      </c>
      <c r="H3216" s="694" t="n"/>
      <c r="I3216" s="694" t="n"/>
      <c r="J3216" s="694" t="n"/>
    </row>
    <row r="3217" ht="18" customHeight="1" s="305">
      <c r="A3217" s="28" t="inlineStr">
        <is>
          <t>D 1075</t>
        </is>
      </c>
      <c r="B3217" s="29" t="n">
        <v>52</v>
      </c>
      <c r="C3217" s="236" t="inlineStr">
        <is>
          <t>X</t>
        </is>
      </c>
      <c r="D3217" s="29" t="n">
        <v>88</v>
      </c>
      <c r="E3217" s="237">
        <f>B3217*D3217/10000</f>
        <v/>
      </c>
      <c r="F3217" s="238">
        <f>B3217/30.48</f>
        <v/>
      </c>
      <c r="G3217" s="238">
        <f>D3217/30.48</f>
        <v/>
      </c>
      <c r="H3217" s="504" t="inlineStr">
        <is>
          <t>LR</t>
        </is>
      </c>
      <c r="I3217" s="294" t="inlineStr">
        <is>
          <t>AG INTERIORS KLEINHEINZ</t>
        </is>
      </c>
      <c r="J3217" s="9" t="inlineStr">
        <is>
          <t>(307) 699-3623</t>
        </is>
      </c>
    </row>
    <row r="3218" ht="18" customHeight="1" s="305">
      <c r="A3218" s="8" t="n">
        <v>3324</v>
      </c>
      <c r="B3218" s="5" t="n">
        <v>80</v>
      </c>
      <c r="C3218" s="72" t="inlineStr">
        <is>
          <t>X</t>
        </is>
      </c>
      <c r="D3218" s="5" t="n">
        <v>393</v>
      </c>
      <c r="E3218" s="73">
        <f>B3218*D3218/10000</f>
        <v/>
      </c>
      <c r="F3218" s="74">
        <f>B3218/30.48</f>
        <v/>
      </c>
      <c r="G3218" s="74">
        <f>D3218/30.48</f>
        <v/>
      </c>
      <c r="H3218" s="16" t="inlineStr">
        <is>
          <t>lmx</t>
        </is>
      </c>
      <c r="I3218" s="294" t="inlineStr">
        <is>
          <t>Savannah Starring</t>
        </is>
      </c>
    </row>
    <row r="3219" ht="18" customHeight="1" s="305">
      <c r="A3219" s="8" t="n">
        <v>3918</v>
      </c>
      <c r="B3219" s="5" t="n">
        <v>70</v>
      </c>
      <c r="C3219" s="72" t="inlineStr">
        <is>
          <t>X</t>
        </is>
      </c>
      <c r="D3219" s="5" t="n">
        <v>243</v>
      </c>
      <c r="E3219" s="73">
        <f>B3219*D3219/10000</f>
        <v/>
      </c>
      <c r="F3219" s="74">
        <f>B3219/30.48</f>
        <v/>
      </c>
      <c r="G3219" s="74">
        <f>D3219/30.48</f>
        <v/>
      </c>
      <c r="H3219" s="16" t="inlineStr">
        <is>
          <t>llc</t>
        </is>
      </c>
      <c r="I3219" s="294" t="inlineStr">
        <is>
          <t>Megan E Reece</t>
        </is>
      </c>
    </row>
    <row r="3220" ht="18" customHeight="1" s="305">
      <c r="A3220" s="8" t="n">
        <v>3485</v>
      </c>
      <c r="B3220" s="5" t="n">
        <v>105</v>
      </c>
      <c r="C3220" s="72" t="inlineStr">
        <is>
          <t>X</t>
        </is>
      </c>
      <c r="D3220" s="5" t="n">
        <v>361</v>
      </c>
      <c r="E3220" s="73">
        <f>B3220*D3220/10000</f>
        <v/>
      </c>
      <c r="F3220" s="74">
        <f>B3220/30.48</f>
        <v/>
      </c>
      <c r="G3220" s="74">
        <f>D3220/30.48</f>
        <v/>
      </c>
      <c r="H3220" s="614" t="inlineStr">
        <is>
          <t>OLD</t>
        </is>
      </c>
      <c r="I3220" s="723" t="inlineStr">
        <is>
          <t>Anne Sandman</t>
        </is>
      </c>
      <c r="J3220" s="614" t="n"/>
    </row>
    <row r="3221" ht="18" customHeight="1" s="305">
      <c r="A3221" s="8" t="n">
        <v>1645</v>
      </c>
      <c r="B3221" s="5" t="n">
        <v>336</v>
      </c>
      <c r="C3221" s="72" t="inlineStr">
        <is>
          <t>X</t>
        </is>
      </c>
      <c r="D3221" s="5" t="n">
        <v>72</v>
      </c>
      <c r="E3221" s="73">
        <f>B3221*D3221/10000</f>
        <v/>
      </c>
      <c r="F3221" s="74">
        <f>B3221/30.48</f>
        <v/>
      </c>
      <c r="G3221" s="74">
        <f>D3221/30.48</f>
        <v/>
      </c>
      <c r="H3221" s="694" t="n"/>
      <c r="I3221" s="694" t="n"/>
      <c r="J3221" s="694" t="n"/>
    </row>
    <row r="3222" ht="18" customHeight="1" s="305">
      <c r="A3222" s="8" t="inlineStr">
        <is>
          <t>İ-78</t>
        </is>
      </c>
      <c r="B3222" s="5" t="n">
        <v>298</v>
      </c>
      <c r="C3222" s="72" t="inlineStr">
        <is>
          <t>X</t>
        </is>
      </c>
      <c r="D3222" s="5" t="n">
        <v>386</v>
      </c>
      <c r="E3222" s="73">
        <f>B3222*D3222/10000</f>
        <v/>
      </c>
      <c r="F3222" s="74">
        <f>B3222/30.48</f>
        <v/>
      </c>
      <c r="G3222" s="74">
        <f>D3222/30.48</f>
        <v/>
      </c>
      <c r="H3222" s="16" t="inlineStr">
        <is>
          <t>OLD</t>
        </is>
      </c>
      <c r="I3222" s="294" t="inlineStr">
        <is>
          <t>Lauren Key</t>
        </is>
      </c>
    </row>
    <row r="3223" ht="18" customHeight="1" s="305">
      <c r="A3223" s="8" t="n">
        <v>2354</v>
      </c>
      <c r="B3223" s="5" t="n">
        <v>85</v>
      </c>
      <c r="C3223" s="72" t="inlineStr">
        <is>
          <t>X</t>
        </is>
      </c>
      <c r="D3223" s="5" t="n">
        <v>338</v>
      </c>
      <c r="E3223" s="73">
        <f>B3223*D3223/10000</f>
        <v/>
      </c>
      <c r="F3223" s="74">
        <f>B3223/30.48</f>
        <v/>
      </c>
      <c r="G3223" s="74">
        <f>D3223/30.48</f>
        <v/>
      </c>
      <c r="H3223" s="16" t="inlineStr">
        <is>
          <t>WTR</t>
        </is>
      </c>
      <c r="I3223" s="294" t="inlineStr">
        <is>
          <t>Amanda Garbrecht</t>
        </is>
      </c>
    </row>
    <row r="3224" ht="18" customHeight="1" s="305">
      <c r="A3224" s="8" t="inlineStr">
        <is>
          <t>İ-14</t>
        </is>
      </c>
      <c r="B3224" s="5" t="n">
        <v>245</v>
      </c>
      <c r="C3224" s="72" t="inlineStr">
        <is>
          <t>X</t>
        </is>
      </c>
      <c r="D3224" s="5" t="n">
        <v>336</v>
      </c>
      <c r="E3224" s="73">
        <f>B3224*D3224/10000</f>
        <v/>
      </c>
      <c r="F3224" s="74">
        <f>B3224/30.48</f>
        <v/>
      </c>
      <c r="G3224" s="74">
        <f>D3224/30.48</f>
        <v/>
      </c>
      <c r="H3224" s="16" t="inlineStr">
        <is>
          <t>WLR</t>
        </is>
      </c>
      <c r="I3224" s="294" t="inlineStr">
        <is>
          <t>Kate Cacciatore</t>
        </is>
      </c>
    </row>
    <row r="3225" ht="18" customHeight="1" s="305">
      <c r="A3225" s="8" t="n">
        <v>2573</v>
      </c>
      <c r="B3225" s="5" t="n">
        <v>137</v>
      </c>
      <c r="C3225" s="72" t="inlineStr">
        <is>
          <t>X</t>
        </is>
      </c>
      <c r="D3225" s="5" t="n">
        <v>215</v>
      </c>
      <c r="E3225" s="73">
        <f>B3225*D3225/10000</f>
        <v/>
      </c>
      <c r="F3225" s="74">
        <f>B3225/30.48</f>
        <v/>
      </c>
      <c r="G3225" s="74">
        <f>D3225/30.48</f>
        <v/>
      </c>
      <c r="H3225" s="16" t="inlineStr">
        <is>
          <t>WTR</t>
        </is>
      </c>
      <c r="I3225" s="294" t="inlineStr">
        <is>
          <t>Matthew Zingale</t>
        </is>
      </c>
      <c r="J3225" s="9" t="n">
        <v>4145508512</v>
      </c>
    </row>
    <row r="3226" ht="18" customHeight="1" s="305">
      <c r="A3226" s="8" t="n">
        <v>3461</v>
      </c>
      <c r="B3226" s="5" t="n">
        <v>102</v>
      </c>
      <c r="C3226" s="72" t="inlineStr">
        <is>
          <t>X</t>
        </is>
      </c>
      <c r="D3226" s="5" t="n">
        <v>441</v>
      </c>
      <c r="E3226" s="73">
        <f>B3226*D3226/10000</f>
        <v/>
      </c>
      <c r="F3226" s="74">
        <f>B3226/30.48</f>
        <v/>
      </c>
      <c r="G3226" s="74">
        <f>D3226/30.48</f>
        <v/>
      </c>
      <c r="H3226" s="16" t="inlineStr">
        <is>
          <t>WTR</t>
        </is>
      </c>
      <c r="I3226" s="294" t="inlineStr">
        <is>
          <t>Camryn Shifflet</t>
        </is>
      </c>
      <c r="J3226" s="9" t="n">
        <v>5672039750</v>
      </c>
    </row>
    <row r="3227" ht="18" customHeight="1" s="305">
      <c r="A3227" s="8" t="n">
        <v>4017</v>
      </c>
      <c r="B3227" s="5" t="n">
        <v>63</v>
      </c>
      <c r="C3227" s="72" t="inlineStr">
        <is>
          <t>X</t>
        </is>
      </c>
      <c r="D3227" s="5" t="n">
        <v>356</v>
      </c>
      <c r="E3227" s="73">
        <f>B3227*D3227/10000</f>
        <v/>
      </c>
      <c r="F3227" s="74">
        <f>B3227/30.48</f>
        <v/>
      </c>
      <c r="G3227" s="74">
        <f>D3227/30.48</f>
        <v/>
      </c>
      <c r="H3227" s="16" t="inlineStr">
        <is>
          <t>WTR</t>
        </is>
      </c>
      <c r="I3227" s="294" t="inlineStr">
        <is>
          <t>Shunda Threat</t>
        </is>
      </c>
    </row>
    <row r="3228" ht="18" customHeight="1" s="305">
      <c r="A3228" s="8" t="n">
        <v>2976</v>
      </c>
      <c r="B3228" s="5" t="n">
        <v>86</v>
      </c>
      <c r="C3228" s="72" t="inlineStr">
        <is>
          <t>X</t>
        </is>
      </c>
      <c r="D3228" s="5" t="n">
        <v>336</v>
      </c>
      <c r="E3228" s="73">
        <f>B3228*D3228/10000</f>
        <v/>
      </c>
      <c r="F3228" s="74">
        <f>B3228/30.48</f>
        <v/>
      </c>
      <c r="G3228" s="74">
        <f>D3228/30.48</f>
        <v/>
      </c>
      <c r="H3228" s="16" t="inlineStr">
        <is>
          <t>LLC</t>
        </is>
      </c>
      <c r="I3228" s="294" t="inlineStr">
        <is>
          <t>Chelsea Allred</t>
        </is>
      </c>
    </row>
    <row r="3229" ht="18" customHeight="1" s="305">
      <c r="A3229" s="8" t="n">
        <v>4334</v>
      </c>
      <c r="B3229" s="5" t="n">
        <v>94</v>
      </c>
      <c r="C3229" s="72" t="inlineStr">
        <is>
          <t>X</t>
        </is>
      </c>
      <c r="D3229" s="5" t="n">
        <v>206</v>
      </c>
      <c r="E3229" s="73">
        <f>B3229*D3229/10000</f>
        <v/>
      </c>
      <c r="F3229" s="74">
        <f>B3229/30.48</f>
        <v/>
      </c>
      <c r="G3229" s="74">
        <f>D3229/30.48</f>
        <v/>
      </c>
      <c r="H3229" s="16" t="inlineStr">
        <is>
          <t>LMX</t>
        </is>
      </c>
      <c r="I3229" s="294" t="inlineStr">
        <is>
          <t>Lydia Berry</t>
        </is>
      </c>
    </row>
    <row r="3230" ht="18" customHeight="1" s="305">
      <c r="A3230" s="8" t="inlineStr">
        <is>
          <t>İ-26</t>
        </is>
      </c>
      <c r="B3230" s="5" t="n">
        <v>274</v>
      </c>
      <c r="C3230" s="72" t="inlineStr">
        <is>
          <t>X</t>
        </is>
      </c>
      <c r="D3230" s="5" t="n">
        <v>384</v>
      </c>
      <c r="E3230" s="73">
        <f>B3230*D3230/10000</f>
        <v/>
      </c>
      <c r="F3230" s="74">
        <f>B3230/30.48</f>
        <v/>
      </c>
      <c r="G3230" s="74">
        <f>D3230/30.48</f>
        <v/>
      </c>
      <c r="H3230" s="16" t="inlineStr">
        <is>
          <t>OLD</t>
        </is>
      </c>
      <c r="I3230" s="294" t="inlineStr">
        <is>
          <t>Taylor Margolis</t>
        </is>
      </c>
    </row>
    <row r="3231" ht="18" customHeight="1" s="305">
      <c r="A3231" s="28" t="inlineStr">
        <is>
          <t>D 702</t>
        </is>
      </c>
      <c r="B3231" s="29" t="n">
        <v>42</v>
      </c>
      <c r="C3231" s="236" t="inlineStr">
        <is>
          <t>X</t>
        </is>
      </c>
      <c r="D3231" s="29" t="n">
        <v>86</v>
      </c>
      <c r="E3231" s="237">
        <f>B3231*D3231/10000</f>
        <v/>
      </c>
      <c r="F3231" s="238">
        <f>B3231/30.48</f>
        <v/>
      </c>
      <c r="G3231" s="238">
        <f>D3231/30.48</f>
        <v/>
      </c>
      <c r="H3231" s="16" t="inlineStr">
        <is>
          <t>İLMEK</t>
        </is>
      </c>
      <c r="I3231" s="294" t="inlineStr">
        <is>
          <t>Carol Grant</t>
        </is>
      </c>
    </row>
    <row r="3232" ht="18" customHeight="1" s="305">
      <c r="A3232" s="8" t="n">
        <v>4818</v>
      </c>
      <c r="B3232" s="5" t="n">
        <v>75</v>
      </c>
      <c r="C3232" s="72" t="inlineStr">
        <is>
          <t>X</t>
        </is>
      </c>
      <c r="D3232" s="5" t="n">
        <v>330</v>
      </c>
      <c r="E3232" s="73">
        <f>B3232*D3232/10000</f>
        <v/>
      </c>
      <c r="F3232" s="74">
        <f>B3232/30.48</f>
        <v/>
      </c>
      <c r="G3232" s="74">
        <f>D3232/30.48</f>
        <v/>
      </c>
      <c r="H3232" s="16" t="inlineStr">
        <is>
          <t>WLR</t>
        </is>
      </c>
      <c r="I3232" s="294" t="inlineStr">
        <is>
          <t>marisa little</t>
        </is>
      </c>
    </row>
    <row r="3233" ht="18" customHeight="1" s="305">
      <c r="A3233" s="8" t="n">
        <v>4261</v>
      </c>
      <c r="B3233" s="5" t="n">
        <v>70</v>
      </c>
      <c r="C3233" s="72" t="inlineStr">
        <is>
          <t>X</t>
        </is>
      </c>
      <c r="D3233" s="5" t="n">
        <v>338</v>
      </c>
      <c r="E3233" s="73">
        <f>B3233*D3233/10000</f>
        <v/>
      </c>
      <c r="F3233" s="74">
        <f>B3233/30.48</f>
        <v/>
      </c>
      <c r="G3233" s="74">
        <f>D3233/30.48</f>
        <v/>
      </c>
      <c r="H3233" s="16" t="inlineStr">
        <is>
          <t>WLR</t>
        </is>
      </c>
      <c r="I3233" s="294" t="inlineStr">
        <is>
          <t>Merrick Porcheddu</t>
        </is>
      </c>
    </row>
    <row r="3234" ht="18" customHeight="1" s="305">
      <c r="A3234" s="8" t="n">
        <v>4803</v>
      </c>
      <c r="B3234" s="5" t="n">
        <v>107</v>
      </c>
      <c r="C3234" s="72" t="inlineStr">
        <is>
          <t>X</t>
        </is>
      </c>
      <c r="D3234" s="5" t="n">
        <v>295</v>
      </c>
      <c r="E3234" s="73">
        <f>B3234*D3234/10000</f>
        <v/>
      </c>
      <c r="F3234" s="74">
        <f>B3234/30.48</f>
        <v/>
      </c>
      <c r="G3234" s="74">
        <f>D3234/30.48</f>
        <v/>
      </c>
      <c r="H3234" s="16" t="inlineStr">
        <is>
          <t>WLR</t>
        </is>
      </c>
      <c r="I3234" s="294" t="inlineStr">
        <is>
          <t>mollye bell</t>
        </is>
      </c>
    </row>
    <row r="3235" ht="18" customHeight="1" s="305">
      <c r="A3235" s="28" t="inlineStr">
        <is>
          <t>D 1131</t>
        </is>
      </c>
      <c r="B3235" s="29" t="n">
        <v>55</v>
      </c>
      <c r="C3235" s="236" t="inlineStr">
        <is>
          <t>X</t>
        </is>
      </c>
      <c r="D3235" s="29" t="n">
        <v>102</v>
      </c>
      <c r="E3235" s="237">
        <f>B3235*D3235/10000</f>
        <v/>
      </c>
      <c r="F3235" s="238">
        <f>B3235/30.48</f>
        <v/>
      </c>
      <c r="G3235" s="238">
        <f>D3235/30.48</f>
        <v/>
      </c>
      <c r="H3235" s="16" t="inlineStr">
        <is>
          <t>WLR</t>
        </is>
      </c>
      <c r="I3235" s="294" t="inlineStr">
        <is>
          <t>alicia Araki</t>
        </is>
      </c>
    </row>
    <row r="3236" ht="18" customHeight="1" s="305">
      <c r="A3236" s="8" t="n">
        <v>3626</v>
      </c>
      <c r="B3236" s="5" t="n">
        <v>193</v>
      </c>
      <c r="C3236" s="72" t="inlineStr">
        <is>
          <t>X</t>
        </is>
      </c>
      <c r="D3236" s="5" t="n">
        <v>322</v>
      </c>
      <c r="E3236" s="73">
        <f>B3236*D3236/10000</f>
        <v/>
      </c>
      <c r="F3236" s="74">
        <f>B3236/30.48</f>
        <v/>
      </c>
      <c r="G3236" s="74">
        <f>D3236/30.48</f>
        <v/>
      </c>
      <c r="H3236" s="16" t="inlineStr">
        <is>
          <t>LLC</t>
        </is>
      </c>
      <c r="I3236" s="294" t="inlineStr">
        <is>
          <t>The Mix Interiors/INV</t>
        </is>
      </c>
    </row>
    <row r="3237" ht="18" customHeight="1" s="305">
      <c r="A3237" s="8" t="n">
        <v>4170</v>
      </c>
      <c r="B3237" s="5" t="n">
        <v>89</v>
      </c>
      <c r="C3237" s="72" t="inlineStr">
        <is>
          <t>X</t>
        </is>
      </c>
      <c r="D3237" s="5" t="n">
        <v>168</v>
      </c>
      <c r="E3237" s="73">
        <f>B3237*D3237/10000</f>
        <v/>
      </c>
      <c r="F3237" s="74">
        <f>B3237/30.48</f>
        <v/>
      </c>
      <c r="G3237" s="74">
        <f>D3237/30.48</f>
        <v/>
      </c>
      <c r="H3237" s="16" t="inlineStr">
        <is>
          <t>LMX</t>
        </is>
      </c>
      <c r="I3237" s="294" t="inlineStr">
        <is>
          <t>Janet McIlhon</t>
        </is>
      </c>
    </row>
    <row r="3238" ht="18" customHeight="1" s="305">
      <c r="A3238" s="8" t="n">
        <v>53</v>
      </c>
      <c r="B3238" s="5" t="n">
        <v>51</v>
      </c>
      <c r="C3238" s="72" t="inlineStr">
        <is>
          <t>X</t>
        </is>
      </c>
      <c r="D3238" s="5" t="n">
        <v>103</v>
      </c>
      <c r="E3238" s="73">
        <f>B3238*D3238/10000</f>
        <v/>
      </c>
      <c r="F3238" s="74">
        <f>B3238/30.48</f>
        <v/>
      </c>
      <c r="G3238" s="74">
        <f>D3238/30.48</f>
        <v/>
      </c>
      <c r="H3238" s="16" t="inlineStr">
        <is>
          <t>LMX</t>
        </is>
      </c>
      <c r="I3238" s="294" t="inlineStr">
        <is>
          <t>Susannah Hubbell</t>
        </is>
      </c>
    </row>
    <row r="3239" ht="18" customHeight="1" s="305">
      <c r="A3239" s="8" t="n">
        <v>2853</v>
      </c>
      <c r="B3239" s="5" t="n">
        <v>81</v>
      </c>
      <c r="C3239" s="72" t="inlineStr">
        <is>
          <t>X</t>
        </is>
      </c>
      <c r="D3239" s="5" t="n">
        <v>290</v>
      </c>
      <c r="E3239" s="73">
        <f>B3239*D3239/10000</f>
        <v/>
      </c>
      <c r="F3239" s="74">
        <f>B3239/30.48</f>
        <v/>
      </c>
      <c r="G3239" s="74">
        <f>D3239/30.48</f>
        <v/>
      </c>
      <c r="H3239" s="16" t="inlineStr">
        <is>
          <t>LLC</t>
        </is>
      </c>
      <c r="I3239" s="294" t="inlineStr">
        <is>
          <t>Madeline Rex</t>
        </is>
      </c>
    </row>
    <row r="3240">
      <c r="A3240" s="536" t="inlineStr">
        <is>
          <t>-2026 OCAK-</t>
        </is>
      </c>
      <c r="H3240" s="104" t="inlineStr">
        <is>
          <t>SATAN-SİTE</t>
        </is>
      </c>
      <c r="I3240" s="98" t="inlineStr">
        <is>
          <t>MÜŞTERİ ADI</t>
        </is>
      </c>
      <c r="J3240" s="63" t="inlineStr">
        <is>
          <t>MÜŞTERİ İLETİŞİM &amp; ÜLKE</t>
        </is>
      </c>
    </row>
    <row r="3241" ht="18" customHeight="1" s="305">
      <c r="A3241" s="8" t="inlineStr">
        <is>
          <t>İ-3</t>
        </is>
      </c>
      <c r="B3241" s="5" t="n">
        <v>241</v>
      </c>
      <c r="C3241" s="72" t="inlineStr">
        <is>
          <t>X</t>
        </is>
      </c>
      <c r="D3241" s="5" t="n">
        <v>330</v>
      </c>
      <c r="E3241" s="73">
        <f>B3241*D3241/10000</f>
        <v/>
      </c>
      <c r="F3241" s="74">
        <f>B3241/30.48</f>
        <v/>
      </c>
      <c r="G3241" s="74">
        <f>D3241/30.48</f>
        <v/>
      </c>
      <c r="H3241" s="16" t="inlineStr">
        <is>
          <t>OLD</t>
        </is>
      </c>
      <c r="I3241" s="294" t="inlineStr">
        <is>
          <t>Brianna Halverson</t>
        </is>
      </c>
    </row>
    <row r="3242" ht="18" customHeight="1" s="305">
      <c r="A3242" s="28" t="inlineStr">
        <is>
          <t>D 1115</t>
        </is>
      </c>
      <c r="B3242" s="29" t="n">
        <v>56</v>
      </c>
      <c r="C3242" s="236" t="inlineStr">
        <is>
          <t>X</t>
        </is>
      </c>
      <c r="D3242" s="29" t="n">
        <v>108</v>
      </c>
      <c r="E3242" s="237">
        <f>B3242*D3242/10000</f>
        <v/>
      </c>
      <c r="F3242" s="238">
        <f>B3242/30.48</f>
        <v/>
      </c>
      <c r="G3242" s="238">
        <f>D3242/30.48</f>
        <v/>
      </c>
      <c r="H3242" s="16" t="inlineStr">
        <is>
          <t>WLR</t>
        </is>
      </c>
      <c r="I3242" s="294" t="inlineStr">
        <is>
          <t>Brooke Lindsey</t>
        </is>
      </c>
      <c r="J3242" s="9" t="n">
        <v>2054277710</v>
      </c>
    </row>
    <row r="3243" ht="18" customHeight="1" s="305">
      <c r="A3243" s="28" t="inlineStr">
        <is>
          <t>D 1223</t>
        </is>
      </c>
      <c r="B3243" s="29" t="n">
        <v>48</v>
      </c>
      <c r="C3243" s="236" t="inlineStr">
        <is>
          <t>X</t>
        </is>
      </c>
      <c r="D3243" s="29" t="n">
        <v>74</v>
      </c>
      <c r="E3243" s="237">
        <f>B3243*D3243/10000</f>
        <v/>
      </c>
      <c r="F3243" s="238">
        <f>B3243/30.48</f>
        <v/>
      </c>
      <c r="G3243" s="238">
        <f>D3243/30.48</f>
        <v/>
      </c>
      <c r="H3243" s="16" t="inlineStr">
        <is>
          <t>WLR</t>
        </is>
      </c>
      <c r="I3243" s="294" t="inlineStr">
        <is>
          <t>Melissa Cunningham</t>
        </is>
      </c>
      <c r="J3243" s="9" t="inlineStr">
        <is>
          <t>+1 (716) 583-2411</t>
        </is>
      </c>
    </row>
    <row r="3244" ht="18" customHeight="1" s="305">
      <c r="A3244" s="8" t="inlineStr">
        <is>
          <t>E 95</t>
        </is>
      </c>
      <c r="B3244" s="5" t="n">
        <v>66</v>
      </c>
      <c r="C3244" s="72" t="inlineStr">
        <is>
          <t>X</t>
        </is>
      </c>
      <c r="D3244" s="5" t="n">
        <v>137</v>
      </c>
      <c r="E3244" s="73">
        <f>B3244*D3244/10000</f>
        <v/>
      </c>
      <c r="F3244" s="74">
        <f>B3244/30.48</f>
        <v/>
      </c>
      <c r="G3244" s="74">
        <f>D3244/30.48</f>
        <v/>
      </c>
      <c r="H3244" s="16" t="inlineStr">
        <is>
          <t>WLR</t>
        </is>
      </c>
      <c r="I3244" s="294" t="inlineStr">
        <is>
          <t>Maggie Crowe</t>
        </is>
      </c>
    </row>
    <row r="3245" ht="18" customHeight="1" s="305">
      <c r="A3245" s="8" t="n">
        <v>4136</v>
      </c>
      <c r="B3245" s="5" t="n">
        <v>76</v>
      </c>
      <c r="C3245" s="72" t="inlineStr">
        <is>
          <t>X</t>
        </is>
      </c>
      <c r="D3245" s="5" t="n">
        <v>127</v>
      </c>
      <c r="E3245" s="73">
        <f>B3245*D3245/10000</f>
        <v/>
      </c>
      <c r="F3245" s="74">
        <f>B3245/30.48</f>
        <v/>
      </c>
      <c r="G3245" s="74">
        <f>D3245/30.48</f>
        <v/>
      </c>
      <c r="H3245" s="16" t="inlineStr">
        <is>
          <t>WTR</t>
        </is>
      </c>
      <c r="I3245" s="294" t="inlineStr">
        <is>
          <t>Katherine Gatward</t>
        </is>
      </c>
    </row>
    <row r="3246" ht="18" customHeight="1" s="305">
      <c r="A3246" s="8" t="n">
        <v>4085</v>
      </c>
      <c r="B3246" s="5" t="n">
        <v>172</v>
      </c>
      <c r="C3246" s="72" t="inlineStr">
        <is>
          <t>X</t>
        </is>
      </c>
      <c r="D3246" s="5" t="n">
        <v>266</v>
      </c>
      <c r="E3246" s="73">
        <f>B3246*D3246/10000</f>
        <v/>
      </c>
      <c r="F3246" s="74">
        <f>B3246/30.48</f>
        <v/>
      </c>
      <c r="G3246" s="74">
        <f>D3246/30.48</f>
        <v/>
      </c>
      <c r="H3246" s="16" t="inlineStr">
        <is>
          <t>İLMEK</t>
        </is>
      </c>
      <c r="I3246" s="294" t="inlineStr">
        <is>
          <t>Andrea Wantz</t>
        </is>
      </c>
    </row>
    <row r="3247" ht="18" customHeight="1" s="305">
      <c r="A3247" s="28" t="inlineStr">
        <is>
          <t>D 924</t>
        </is>
      </c>
      <c r="B3247" s="29" t="n">
        <v>55</v>
      </c>
      <c r="C3247" s="236" t="inlineStr">
        <is>
          <t>X</t>
        </is>
      </c>
      <c r="D3247" s="29" t="n">
        <v>102</v>
      </c>
      <c r="E3247" s="237">
        <f>B3247*D3247/10000</f>
        <v/>
      </c>
      <c r="F3247" s="238">
        <f>B3247/30.48</f>
        <v/>
      </c>
      <c r="G3247" s="238">
        <f>D3247/30.48</f>
        <v/>
      </c>
      <c r="H3247" s="16" t="inlineStr">
        <is>
          <t>LR</t>
        </is>
      </c>
      <c r="I3247" s="294" t="inlineStr">
        <is>
          <t>Tirzah Seaford</t>
        </is>
      </c>
    </row>
    <row r="3248" ht="18" customHeight="1" s="305">
      <c r="A3248" s="8" t="n">
        <v>4087</v>
      </c>
      <c r="B3248" s="5" t="n">
        <v>180</v>
      </c>
      <c r="C3248" s="72" t="inlineStr">
        <is>
          <t>X</t>
        </is>
      </c>
      <c r="D3248" s="5" t="n">
        <v>244</v>
      </c>
      <c r="E3248" s="73">
        <f>B3248*D3248/10000</f>
        <v/>
      </c>
      <c r="F3248" s="74">
        <f>B3248/30.48</f>
        <v/>
      </c>
      <c r="G3248" s="74">
        <f>D3248/30.48</f>
        <v/>
      </c>
      <c r="H3248" s="16" t="inlineStr">
        <is>
          <t>LMX</t>
        </is>
      </c>
      <c r="I3248" s="436" t="inlineStr">
        <is>
          <t>Monet Lane</t>
        </is>
      </c>
    </row>
    <row r="3249" ht="18" customHeight="1" s="305">
      <c r="A3249" s="8" t="n">
        <v>3862</v>
      </c>
      <c r="B3249" s="5" t="n">
        <v>138</v>
      </c>
      <c r="C3249" s="72" t="inlineStr">
        <is>
          <t>X</t>
        </is>
      </c>
      <c r="D3249" s="5" t="n">
        <v>221</v>
      </c>
      <c r="E3249" s="73">
        <f>B3249*D3249/10000</f>
        <v/>
      </c>
      <c r="F3249" s="74">
        <f>B3249/30.48</f>
        <v/>
      </c>
      <c r="G3249" s="74">
        <f>D3249/30.48</f>
        <v/>
      </c>
      <c r="H3249" s="16" t="inlineStr">
        <is>
          <t>LMX</t>
        </is>
      </c>
      <c r="I3249" s="294" t="inlineStr">
        <is>
          <t>Patrice Samuels</t>
        </is>
      </c>
    </row>
    <row r="3250" ht="18" customHeight="1" s="305">
      <c r="A3250" s="8" t="n">
        <v>3220</v>
      </c>
      <c r="B3250" s="5" t="n">
        <v>129</v>
      </c>
      <c r="C3250" s="72" t="inlineStr">
        <is>
          <t>X</t>
        </is>
      </c>
      <c r="D3250" s="5" t="n">
        <v>177</v>
      </c>
      <c r="E3250" s="73">
        <f>B3250*D3250/10000</f>
        <v/>
      </c>
      <c r="F3250" s="74">
        <f>B3250/30.48</f>
        <v/>
      </c>
      <c r="G3250" s="74">
        <f>D3250/30.48</f>
        <v/>
      </c>
      <c r="H3250" s="16" t="inlineStr">
        <is>
          <t>LLC</t>
        </is>
      </c>
      <c r="I3250" s="294" t="inlineStr">
        <is>
          <t>Stacy Martin</t>
        </is>
      </c>
    </row>
    <row r="3251" ht="18" customHeight="1" s="305">
      <c r="A3251" s="8" t="inlineStr">
        <is>
          <t>İ-39</t>
        </is>
      </c>
      <c r="B3251" s="5" t="n">
        <v>294</v>
      </c>
      <c r="C3251" s="72" t="inlineStr">
        <is>
          <t>X</t>
        </is>
      </c>
      <c r="D3251" s="5" t="n">
        <v>365</v>
      </c>
      <c r="E3251" s="73">
        <f>B3251*D3251/10000</f>
        <v/>
      </c>
      <c r="F3251" s="74">
        <f>B3251/30.48</f>
        <v/>
      </c>
      <c r="G3251" s="74">
        <f>D3251/30.48</f>
        <v/>
      </c>
      <c r="H3251" s="16" t="inlineStr">
        <is>
          <t>BHR</t>
        </is>
      </c>
      <c r="I3251" s="294" t="inlineStr">
        <is>
          <t>Annie Lindsley</t>
        </is>
      </c>
    </row>
    <row r="3252" ht="18" customHeight="1" s="305">
      <c r="A3252" s="8" t="inlineStr">
        <is>
          <t>İ-75</t>
        </is>
      </c>
      <c r="B3252" s="5" t="n">
        <v>292</v>
      </c>
      <c r="C3252" s="72" t="inlineStr">
        <is>
          <t>X</t>
        </is>
      </c>
      <c r="D3252" s="5" t="n">
        <v>367</v>
      </c>
      <c r="E3252" s="73">
        <f>B3252*D3252/10000</f>
        <v/>
      </c>
      <c r="F3252" s="74">
        <f>B3252/30.48</f>
        <v/>
      </c>
      <c r="G3252" s="74">
        <f>D3252/30.48</f>
        <v/>
      </c>
      <c r="H3252" s="16" t="inlineStr">
        <is>
          <t>WCR</t>
        </is>
      </c>
      <c r="I3252" s="294" t="inlineStr">
        <is>
          <t>Gavin Godfrey</t>
        </is>
      </c>
    </row>
    <row r="3253" ht="18" customHeight="1" s="305">
      <c r="A3253" s="28" t="inlineStr">
        <is>
          <t>D 1040</t>
        </is>
      </c>
      <c r="B3253" s="29" t="n">
        <v>56</v>
      </c>
      <c r="C3253" s="236" t="inlineStr">
        <is>
          <t>X</t>
        </is>
      </c>
      <c r="D3253" s="29" t="n">
        <v>91</v>
      </c>
      <c r="E3253" s="237">
        <f>B3253*D3253/10000</f>
        <v/>
      </c>
      <c r="F3253" s="238">
        <f>B3253/30.48</f>
        <v/>
      </c>
      <c r="G3253" s="238">
        <f>D3253/30.48</f>
        <v/>
      </c>
      <c r="H3253" s="16" t="inlineStr">
        <is>
          <t>İLMEK</t>
        </is>
      </c>
      <c r="I3253" s="294" t="inlineStr">
        <is>
          <t>Chelsea Granger</t>
        </is>
      </c>
    </row>
    <row r="3254" ht="18" customHeight="1" s="305">
      <c r="A3254" s="8" t="n">
        <v>4018</v>
      </c>
      <c r="B3254" s="5" t="n">
        <v>77</v>
      </c>
      <c r="C3254" s="72" t="inlineStr">
        <is>
          <t>X</t>
        </is>
      </c>
      <c r="D3254" s="5" t="n">
        <v>353</v>
      </c>
      <c r="E3254" s="73">
        <f>B3254*D3254/10000</f>
        <v/>
      </c>
      <c r="F3254" s="74">
        <f>B3254/30.48</f>
        <v/>
      </c>
      <c r="G3254" s="74">
        <f>D3254/30.48</f>
        <v/>
      </c>
      <c r="H3254" s="16" t="inlineStr">
        <is>
          <t>WTR</t>
        </is>
      </c>
      <c r="I3254" s="294" t="inlineStr">
        <is>
          <t>Alisa Morkides</t>
        </is>
      </c>
    </row>
    <row r="3255" ht="18" customHeight="1" s="305">
      <c r="A3255" s="8" t="inlineStr">
        <is>
          <t>E-10</t>
        </is>
      </c>
      <c r="B3255" s="5" t="n">
        <v>49</v>
      </c>
      <c r="C3255" s="72" t="inlineStr">
        <is>
          <t>X</t>
        </is>
      </c>
      <c r="D3255" s="5" t="n">
        <v>89</v>
      </c>
      <c r="E3255" s="73">
        <f>B3255*D3255/10000</f>
        <v/>
      </c>
      <c r="F3255" s="74">
        <f>B3255/30.48</f>
        <v/>
      </c>
      <c r="G3255" s="74">
        <f>D3255/30.48</f>
        <v/>
      </c>
      <c r="H3255" s="614" t="inlineStr">
        <is>
          <t>WLR</t>
        </is>
      </c>
      <c r="I3255" s="721" t="inlineStr">
        <is>
          <t>Anne Sandman</t>
        </is>
      </c>
    </row>
    <row r="3256" ht="18" customHeight="1" s="305">
      <c r="A3256" s="28" t="inlineStr">
        <is>
          <t>D 1123</t>
        </is>
      </c>
      <c r="B3256" s="29" t="n">
        <v>55</v>
      </c>
      <c r="C3256" s="236" t="inlineStr">
        <is>
          <t>X</t>
        </is>
      </c>
      <c r="D3256" s="29" t="n">
        <v>98</v>
      </c>
      <c r="E3256" s="237">
        <f>B3256*D3256/10000</f>
        <v/>
      </c>
      <c r="F3256" s="238">
        <f>B3256/30.48</f>
        <v/>
      </c>
      <c r="G3256" s="238">
        <f>D3256/30.48</f>
        <v/>
      </c>
      <c r="H3256" s="694" t="n"/>
      <c r="I3256" s="694" t="n"/>
    </row>
    <row r="3257" ht="18" customHeight="1" s="305">
      <c r="A3257" s="8" t="n">
        <v>3883</v>
      </c>
      <c r="B3257" s="5" t="n">
        <v>137</v>
      </c>
      <c r="C3257" s="72" t="inlineStr">
        <is>
          <t>X</t>
        </is>
      </c>
      <c r="D3257" s="5" t="n">
        <v>219</v>
      </c>
      <c r="E3257" s="73">
        <f>B3257*D3257/10000</f>
        <v/>
      </c>
      <c r="F3257" s="74">
        <f>B3257/30.48</f>
        <v/>
      </c>
      <c r="G3257" s="74">
        <f>D3257/30.48</f>
        <v/>
      </c>
      <c r="H3257" s="16" t="inlineStr">
        <is>
          <t>WLR</t>
        </is>
      </c>
      <c r="I3257" s="294" t="inlineStr">
        <is>
          <t>Lindsey Black</t>
        </is>
      </c>
    </row>
    <row r="3258" ht="18" customHeight="1" s="305">
      <c r="A3258" s="28" t="inlineStr">
        <is>
          <t>D 1247</t>
        </is>
      </c>
      <c r="B3258" s="29" t="n">
        <v>56</v>
      </c>
      <c r="C3258" s="236" t="inlineStr">
        <is>
          <t>X</t>
        </is>
      </c>
      <c r="D3258" s="29" t="n">
        <v>92</v>
      </c>
      <c r="E3258" s="237">
        <f>B3258*D3258/10000</f>
        <v/>
      </c>
      <c r="F3258" s="238">
        <f>B3258/30.48</f>
        <v/>
      </c>
      <c r="G3258" s="238">
        <f>D3258/30.48</f>
        <v/>
      </c>
      <c r="H3258" s="16" t="inlineStr">
        <is>
          <t>WLR</t>
        </is>
      </c>
      <c r="I3258" s="294" t="inlineStr">
        <is>
          <t>Kathryn Tonseth</t>
        </is>
      </c>
    </row>
    <row r="3259" ht="18" customHeight="1" s="305">
      <c r="A3259" s="8" t="inlineStr">
        <is>
          <t>İ-79</t>
        </is>
      </c>
      <c r="B3259" s="5" t="n">
        <v>247</v>
      </c>
      <c r="C3259" s="72" t="inlineStr">
        <is>
          <t>X</t>
        </is>
      </c>
      <c r="D3259" s="5" t="n">
        <v>334</v>
      </c>
      <c r="E3259" s="73">
        <f>B3259*D3259/10000</f>
        <v/>
      </c>
      <c r="F3259" s="74">
        <f>B3259/30.48</f>
        <v/>
      </c>
      <c r="G3259" s="74">
        <f>D3259/30.48</f>
        <v/>
      </c>
      <c r="H3259" s="16" t="inlineStr">
        <is>
          <t>WCR</t>
        </is>
      </c>
      <c r="I3259" s="294" t="inlineStr">
        <is>
          <t>Monique Miklovic</t>
        </is>
      </c>
    </row>
    <row r="3260" ht="18" customHeight="1" s="305">
      <c r="A3260" s="28" t="inlineStr">
        <is>
          <t>D 1056</t>
        </is>
      </c>
      <c r="B3260" s="29" t="n">
        <v>51</v>
      </c>
      <c r="C3260" s="236" t="inlineStr">
        <is>
          <t>X</t>
        </is>
      </c>
      <c r="D3260" s="29" t="n">
        <v>100</v>
      </c>
      <c r="E3260" s="237">
        <f>B3260*D3260/10000</f>
        <v/>
      </c>
      <c r="F3260" s="238">
        <f>B3260/30.48</f>
        <v/>
      </c>
      <c r="G3260" s="238">
        <f>D3260/30.48</f>
        <v/>
      </c>
      <c r="H3260" s="16" t="inlineStr">
        <is>
          <t>RST</t>
        </is>
      </c>
      <c r="I3260" s="294" t="inlineStr">
        <is>
          <t>Megan Freckelton</t>
        </is>
      </c>
    </row>
    <row r="3261" ht="18" customHeight="1" s="305">
      <c r="A3261" s="8" t="n">
        <v>2222</v>
      </c>
      <c r="B3261" s="5" t="n">
        <v>110</v>
      </c>
      <c r="C3261" s="72" t="inlineStr">
        <is>
          <t>X</t>
        </is>
      </c>
      <c r="D3261" s="5" t="n">
        <v>190</v>
      </c>
      <c r="E3261" s="73">
        <f>B3261*D3261/10000</f>
        <v/>
      </c>
      <c r="F3261" s="74">
        <f>B3261/30.48</f>
        <v/>
      </c>
      <c r="G3261" s="74">
        <f>D3261/30.48</f>
        <v/>
      </c>
      <c r="H3261" s="16" t="inlineStr">
        <is>
          <t>WTR</t>
        </is>
      </c>
      <c r="I3261" s="294" t="inlineStr">
        <is>
          <t>Arianna Kousari</t>
        </is>
      </c>
    </row>
    <row r="3262" ht="18" customHeight="1" s="305">
      <c r="A3262" s="8" t="inlineStr">
        <is>
          <t>D 397</t>
        </is>
      </c>
      <c r="B3262" s="5" t="n">
        <v>60</v>
      </c>
      <c r="C3262" s="72" t="inlineStr">
        <is>
          <t>X</t>
        </is>
      </c>
      <c r="D3262" s="5" t="n">
        <v>91</v>
      </c>
      <c r="E3262" s="73">
        <f>B3262*D3262/10000</f>
        <v/>
      </c>
      <c r="F3262" s="74">
        <f>B3262/30.48</f>
        <v/>
      </c>
      <c r="G3262" s="74">
        <f>D3262/30.48</f>
        <v/>
      </c>
      <c r="H3262" s="16" t="inlineStr">
        <is>
          <t>WTR</t>
        </is>
      </c>
      <c r="I3262" s="294" t="inlineStr">
        <is>
          <t>lori Durrough</t>
        </is>
      </c>
      <c r="J3262" s="9" t="inlineStr">
        <is>
          <t>(615)479-7603</t>
        </is>
      </c>
    </row>
    <row r="3263" ht="18" customHeight="1" s="305">
      <c r="A3263" s="8" t="n">
        <v>3575</v>
      </c>
      <c r="B3263" s="5" t="n">
        <v>90</v>
      </c>
      <c r="C3263" s="72" t="inlineStr">
        <is>
          <t>X</t>
        </is>
      </c>
      <c r="D3263" s="5" t="n">
        <v>314</v>
      </c>
      <c r="E3263" s="73">
        <f>B3263*D3263/10000</f>
        <v/>
      </c>
      <c r="F3263" s="74">
        <f>B3263/30.48</f>
        <v/>
      </c>
      <c r="G3263" s="74">
        <f>D3263/30.48</f>
        <v/>
      </c>
      <c r="H3263" s="16" t="inlineStr">
        <is>
          <t>LLC</t>
        </is>
      </c>
      <c r="I3263" s="294" t="inlineStr">
        <is>
          <t>Susan Glover</t>
        </is>
      </c>
    </row>
    <row r="3264" ht="18" customHeight="1" s="305">
      <c r="A3264" s="8" t="n">
        <v>3724</v>
      </c>
      <c r="B3264" s="5" t="n">
        <v>110</v>
      </c>
      <c r="C3264" s="72" t="inlineStr">
        <is>
          <t>X</t>
        </is>
      </c>
      <c r="D3264" s="5" t="n">
        <v>195</v>
      </c>
      <c r="E3264" s="73">
        <f>B3264*D3264/10000</f>
        <v/>
      </c>
      <c r="F3264" s="74">
        <f>B3264/30.48</f>
        <v/>
      </c>
      <c r="G3264" s="74">
        <f>D3264/30.48</f>
        <v/>
      </c>
      <c r="H3264" s="16" t="inlineStr">
        <is>
          <t>LLC</t>
        </is>
      </c>
      <c r="I3264" s="294" t="inlineStr">
        <is>
          <t>Schuyler Sher</t>
        </is>
      </c>
    </row>
    <row r="3265" ht="18" customHeight="1" s="305">
      <c r="A3265" s="8" t="n">
        <v>3456</v>
      </c>
      <c r="B3265" s="5" t="n">
        <v>67</v>
      </c>
      <c r="C3265" s="72" t="inlineStr">
        <is>
          <t>X</t>
        </is>
      </c>
      <c r="D3265" s="5" t="n">
        <v>146</v>
      </c>
      <c r="E3265" s="73">
        <f>B3265*D3265/10000</f>
        <v/>
      </c>
      <c r="F3265" s="74">
        <f>B3265/30.48</f>
        <v/>
      </c>
      <c r="G3265" s="74">
        <f>D3265/30.48</f>
        <v/>
      </c>
      <c r="H3265" s="16" t="inlineStr">
        <is>
          <t>LLC</t>
        </is>
      </c>
      <c r="I3265" s="294" t="inlineStr">
        <is>
          <t>robert m krapohl</t>
        </is>
      </c>
    </row>
    <row r="3266" ht="18" customHeight="1" s="305">
      <c r="A3266" s="8" t="n">
        <v>4745</v>
      </c>
      <c r="B3266" s="5" t="n">
        <v>84</v>
      </c>
      <c r="C3266" s="72" t="inlineStr">
        <is>
          <t>X</t>
        </is>
      </c>
      <c r="D3266" s="5" t="n">
        <v>298</v>
      </c>
      <c r="E3266" s="73">
        <f>B3266*D3266/10000</f>
        <v/>
      </c>
      <c r="F3266" s="74">
        <f>B3266/30.48</f>
        <v/>
      </c>
      <c r="G3266" s="74">
        <f>D3266/30.48</f>
        <v/>
      </c>
      <c r="H3266" s="16" t="inlineStr">
        <is>
          <t>WCR</t>
        </is>
      </c>
      <c r="I3266" s="294" t="inlineStr">
        <is>
          <t>julia Janssen</t>
        </is>
      </c>
    </row>
    <row r="3267" ht="18" customHeight="1" s="305">
      <c r="A3267" s="28" t="inlineStr">
        <is>
          <t>D 718</t>
        </is>
      </c>
      <c r="B3267" s="29" t="n">
        <v>52</v>
      </c>
      <c r="C3267" s="236" t="inlineStr">
        <is>
          <t>X</t>
        </is>
      </c>
      <c r="D3267" s="29" t="n">
        <v>79</v>
      </c>
      <c r="E3267" s="237">
        <f>B3267*D3267/10000</f>
        <v/>
      </c>
      <c r="F3267" s="238">
        <f>B3267/30.48</f>
        <v/>
      </c>
      <c r="G3267" s="238">
        <f>D3267/30.48</f>
        <v/>
      </c>
      <c r="H3267" s="16" t="inlineStr">
        <is>
          <t>OLD</t>
        </is>
      </c>
      <c r="I3267" s="294" t="inlineStr">
        <is>
          <t>Maggie Wallace</t>
        </is>
      </c>
    </row>
    <row r="3268" ht="18" customHeight="1" s="305">
      <c r="A3268" s="28" t="n">
        <v>2358</v>
      </c>
      <c r="B3268" s="5" t="n">
        <v>47</v>
      </c>
      <c r="C3268" s="72" t="inlineStr">
        <is>
          <t>X</t>
        </is>
      </c>
      <c r="D3268" s="5" t="n">
        <v>84</v>
      </c>
      <c r="E3268" s="73">
        <f>B3268*D3268/10000</f>
        <v/>
      </c>
      <c r="F3268" s="74">
        <f>B3268/30.48</f>
        <v/>
      </c>
      <c r="G3268" s="74">
        <f>D3268/30.48</f>
        <v/>
      </c>
      <c r="H3268" s="16" t="inlineStr">
        <is>
          <t>LLC</t>
        </is>
      </c>
      <c r="I3268" s="294" t="inlineStr">
        <is>
          <t>Laura Genovese</t>
        </is>
      </c>
    </row>
    <row r="3269" ht="18" customHeight="1" s="305">
      <c r="A3269" s="8" t="inlineStr">
        <is>
          <t>D 373</t>
        </is>
      </c>
      <c r="B3269" s="5" t="n">
        <v>112</v>
      </c>
      <c r="C3269" s="72" t="inlineStr">
        <is>
          <t>X</t>
        </is>
      </c>
      <c r="D3269" s="5" t="n">
        <v>296</v>
      </c>
      <c r="E3269" s="73">
        <f>B3269*D3269/10000</f>
        <v/>
      </c>
      <c r="F3269" s="74">
        <f>B3269/30.48</f>
        <v/>
      </c>
      <c r="G3269" s="74">
        <f>D3269/30.48</f>
        <v/>
      </c>
      <c r="H3269" s="16" t="inlineStr">
        <is>
          <t>WTR</t>
        </is>
      </c>
      <c r="I3269" s="294" t="inlineStr">
        <is>
          <t>Libby Mintz</t>
        </is>
      </c>
    </row>
    <row r="3270" ht="18" customHeight="1" s="305">
      <c r="A3270" s="28" t="inlineStr">
        <is>
          <t>D 1240</t>
        </is>
      </c>
      <c r="B3270" s="29" t="n">
        <v>45</v>
      </c>
      <c r="C3270" s="236" t="inlineStr">
        <is>
          <t>X</t>
        </is>
      </c>
      <c r="D3270" s="29" t="n">
        <v>60</v>
      </c>
      <c r="E3270" s="237">
        <f>B3270*D3270/10000</f>
        <v/>
      </c>
      <c r="F3270" s="238">
        <f>B3270/30.48</f>
        <v/>
      </c>
      <c r="G3270" s="238">
        <f>D3270/30.48</f>
        <v/>
      </c>
      <c r="H3270" s="16" t="inlineStr">
        <is>
          <t>WLR</t>
        </is>
      </c>
      <c r="I3270" s="294" t="inlineStr">
        <is>
          <t>Jen Tully</t>
        </is>
      </c>
    </row>
    <row r="3271" ht="18" customHeight="1" s="305">
      <c r="A3271" s="8" t="inlineStr">
        <is>
          <t>İ-33</t>
        </is>
      </c>
      <c r="B3271" s="5" t="n">
        <v>298</v>
      </c>
      <c r="C3271" s="72" t="inlineStr">
        <is>
          <t>X</t>
        </is>
      </c>
      <c r="D3271" s="5" t="n">
        <v>404</v>
      </c>
      <c r="E3271" s="73">
        <f>B3271*D3271/10000</f>
        <v/>
      </c>
      <c r="F3271" s="74">
        <f>B3271/30.48</f>
        <v/>
      </c>
      <c r="G3271" s="74">
        <f>D3271/30.48</f>
        <v/>
      </c>
      <c r="H3271" s="16" t="inlineStr">
        <is>
          <t>LMX</t>
        </is>
      </c>
      <c r="I3271" s="294" t="inlineStr">
        <is>
          <t>Victoria Ellis</t>
        </is>
      </c>
      <c r="J3271" s="9" t="inlineStr">
        <is>
          <t>(214) 535-8081</t>
        </is>
      </c>
    </row>
    <row r="3272" ht="18" customHeight="1" s="305">
      <c r="A3272" s="8" t="inlineStr">
        <is>
          <t>İ-65</t>
        </is>
      </c>
      <c r="B3272" s="5" t="n">
        <v>290</v>
      </c>
      <c r="C3272" s="72" t="inlineStr">
        <is>
          <t>X</t>
        </is>
      </c>
      <c r="D3272" s="5" t="n">
        <v>367</v>
      </c>
      <c r="E3272" s="73">
        <f>B3272*D3272/10000</f>
        <v/>
      </c>
      <c r="F3272" s="74">
        <f>B3272/30.48</f>
        <v/>
      </c>
      <c r="G3272" s="74">
        <f>D3272/30.48</f>
        <v/>
      </c>
      <c r="H3272" s="16" t="inlineStr">
        <is>
          <t>WLR</t>
        </is>
      </c>
      <c r="I3272" s="294" t="inlineStr">
        <is>
          <t>mollye bell</t>
        </is>
      </c>
    </row>
    <row r="3273" ht="18" customHeight="1" s="305">
      <c r="A3273" s="8" t="n">
        <v>4730</v>
      </c>
      <c r="B3273" s="5" t="n">
        <v>95</v>
      </c>
      <c r="C3273" s="72" t="inlineStr">
        <is>
          <t>X</t>
        </is>
      </c>
      <c r="D3273" s="5" t="n">
        <v>281</v>
      </c>
      <c r="E3273" s="73">
        <f>B3273*D3273/10000</f>
        <v/>
      </c>
      <c r="F3273" s="74">
        <f>B3273/30.48</f>
        <v/>
      </c>
      <c r="G3273" s="74">
        <f>D3273/30.48</f>
        <v/>
      </c>
      <c r="I3273" s="294" t="inlineStr">
        <is>
          <t>Samantha Stein</t>
        </is>
      </c>
    </row>
    <row r="3274" ht="18" customHeight="1" s="305">
      <c r="A3274" s="8" t="inlineStr">
        <is>
          <t>D 348</t>
        </is>
      </c>
      <c r="B3274" s="5" t="n">
        <v>54</v>
      </c>
      <c r="C3274" s="72" t="inlineStr">
        <is>
          <t>X</t>
        </is>
      </c>
      <c r="D3274" s="5" t="n">
        <v>100</v>
      </c>
      <c r="E3274" s="73">
        <f>B3274*D3274/10000</f>
        <v/>
      </c>
      <c r="F3274" s="74">
        <f>B3274/30.48</f>
        <v/>
      </c>
      <c r="G3274" s="74">
        <f>D3274/30.48</f>
        <v/>
      </c>
      <c r="H3274" s="16" t="inlineStr">
        <is>
          <t>WTR</t>
        </is>
      </c>
      <c r="I3274" s="294" t="inlineStr">
        <is>
          <t>Lee Hansen</t>
        </is>
      </c>
      <c r="J3274" s="9" t="n">
        <v>6233267175</v>
      </c>
    </row>
    <row r="3275" ht="18" customHeight="1" s="305">
      <c r="A3275" s="28" t="inlineStr">
        <is>
          <t>D 1044</t>
        </is>
      </c>
      <c r="B3275" s="29" t="n">
        <v>57</v>
      </c>
      <c r="C3275" s="236" t="inlineStr">
        <is>
          <t>X</t>
        </is>
      </c>
      <c r="D3275" s="29" t="n">
        <v>102</v>
      </c>
      <c r="E3275" s="237">
        <f>B3275*D3275/10000</f>
        <v/>
      </c>
      <c r="F3275" s="238">
        <f>B3275/30.48</f>
        <v/>
      </c>
      <c r="G3275" s="238">
        <f>D3275/30.48</f>
        <v/>
      </c>
      <c r="H3275" s="16" t="inlineStr">
        <is>
          <t>WLR</t>
        </is>
      </c>
      <c r="I3275" s="294" t="inlineStr">
        <is>
          <t>mary neustadter</t>
        </is>
      </c>
    </row>
    <row r="3276" ht="18" customHeight="1" s="305">
      <c r="A3276" s="28" t="inlineStr">
        <is>
          <t>D 1122</t>
        </is>
      </c>
      <c r="B3276" s="29" t="n">
        <v>56</v>
      </c>
      <c r="C3276" s="236" t="inlineStr">
        <is>
          <t>X</t>
        </is>
      </c>
      <c r="D3276" s="29" t="n">
        <v>117</v>
      </c>
      <c r="E3276" s="237">
        <f>B3276*D3276/10000</f>
        <v/>
      </c>
      <c r="F3276" s="238">
        <f>B3276/30.48</f>
        <v/>
      </c>
      <c r="G3276" s="238">
        <f>D3276/30.48</f>
        <v/>
      </c>
      <c r="H3276" s="16" t="inlineStr">
        <is>
          <t>WLR</t>
        </is>
      </c>
      <c r="I3276" s="294" t="inlineStr">
        <is>
          <t>Sarah Berry</t>
        </is>
      </c>
    </row>
    <row r="3277" ht="18" customHeight="1" s="305">
      <c r="A3277" s="8" t="n">
        <v>4789</v>
      </c>
      <c r="B3277" s="5" t="n">
        <v>106</v>
      </c>
      <c r="C3277" s="72" t="inlineStr">
        <is>
          <t>X</t>
        </is>
      </c>
      <c r="D3277" s="5" t="n">
        <v>300</v>
      </c>
      <c r="E3277" s="73">
        <f>B3277*D3277/10000</f>
        <v/>
      </c>
      <c r="F3277" s="74">
        <f>B3277/30.48</f>
        <v/>
      </c>
      <c r="G3277" s="74">
        <f>D3277/30.48</f>
        <v/>
      </c>
      <c r="H3277" s="16" t="inlineStr">
        <is>
          <t>WTR</t>
        </is>
      </c>
      <c r="I3277" s="294" t="inlineStr">
        <is>
          <t>Christina Conkle</t>
        </is>
      </c>
    </row>
    <row r="3278" ht="18" customHeight="1" s="305">
      <c r="A3278" s="28" t="inlineStr">
        <is>
          <t>D 1128</t>
        </is>
      </c>
      <c r="B3278" s="29" t="n">
        <v>56</v>
      </c>
      <c r="C3278" s="236" t="inlineStr">
        <is>
          <t>X</t>
        </is>
      </c>
      <c r="D3278" s="29" t="n">
        <v>107</v>
      </c>
      <c r="E3278" s="237">
        <f>B3278*D3278/10000</f>
        <v/>
      </c>
      <c r="F3278" s="238">
        <f>B3278/30.48</f>
        <v/>
      </c>
      <c r="G3278" s="238">
        <f>D3278/30.48</f>
        <v/>
      </c>
      <c r="H3278" s="16" t="inlineStr">
        <is>
          <t>LMX</t>
        </is>
      </c>
      <c r="I3278" s="315" t="inlineStr">
        <is>
          <t>Billie D. Husband</t>
        </is>
      </c>
      <c r="K3278" s="427" t="n"/>
      <c r="L3278" s="428" t="n"/>
      <c r="M3278" s="429" t="n"/>
    </row>
    <row r="3279" ht="18" customHeight="1" s="305">
      <c r="A3279" s="28" t="inlineStr">
        <is>
          <t>D 814</t>
        </is>
      </c>
      <c r="B3279" s="29" t="n">
        <v>51</v>
      </c>
      <c r="C3279" s="236" t="inlineStr">
        <is>
          <t>X</t>
        </is>
      </c>
      <c r="D3279" s="29" t="n">
        <v>108</v>
      </c>
      <c r="E3279" s="237">
        <f>B3279*D3279/10000</f>
        <v/>
      </c>
      <c r="F3279" s="238">
        <f>B3279/30.48</f>
        <v/>
      </c>
      <c r="G3279" s="238">
        <f>D3279/30.48</f>
        <v/>
      </c>
      <c r="H3279" s="16" t="inlineStr">
        <is>
          <t>WLR</t>
        </is>
      </c>
      <c r="I3279" s="294" t="inlineStr">
        <is>
          <t>Julia Roseman</t>
        </is>
      </c>
    </row>
    <row r="3280" ht="18" customHeight="1" s="305">
      <c r="A3280" s="28" t="inlineStr">
        <is>
          <t>D 599</t>
        </is>
      </c>
      <c r="B3280" s="29" t="n">
        <v>51</v>
      </c>
      <c r="C3280" s="236" t="inlineStr">
        <is>
          <t>X</t>
        </is>
      </c>
      <c r="D3280" s="29" t="n">
        <v>94</v>
      </c>
      <c r="E3280" s="237">
        <f>B3280*D3280/10000</f>
        <v/>
      </c>
      <c r="F3280" s="238">
        <f>B3280/30.48</f>
        <v/>
      </c>
      <c r="G3280" s="238">
        <f>D3280/30.48</f>
        <v/>
      </c>
      <c r="H3280" s="16" t="inlineStr">
        <is>
          <t>WLR</t>
        </is>
      </c>
      <c r="I3280" s="294" t="inlineStr">
        <is>
          <t>Robert Carter</t>
        </is>
      </c>
    </row>
    <row r="3281" ht="18" customHeight="1" s="305">
      <c r="A3281" s="8" t="inlineStr">
        <is>
          <t>İ-20</t>
        </is>
      </c>
      <c r="B3281" s="5" t="n">
        <v>282</v>
      </c>
      <c r="C3281" s="72" t="inlineStr">
        <is>
          <t>X</t>
        </is>
      </c>
      <c r="D3281" s="5" t="n">
        <v>377</v>
      </c>
      <c r="E3281" s="73">
        <f>B3281*D3281/10000</f>
        <v/>
      </c>
      <c r="F3281" s="74">
        <f>B3281/30.48</f>
        <v/>
      </c>
      <c r="G3281" s="74">
        <f>D3281/30.48</f>
        <v/>
      </c>
      <c r="H3281" s="16" t="inlineStr">
        <is>
          <t>LLC</t>
        </is>
      </c>
      <c r="I3281" s="294" t="inlineStr">
        <is>
          <t>Amanda Lannella</t>
        </is>
      </c>
    </row>
    <row r="3282" ht="18" customHeight="1" s="305">
      <c r="A3282" s="8" t="inlineStr">
        <is>
          <t>İ-3</t>
        </is>
      </c>
      <c r="B3282" s="5" t="n">
        <v>241</v>
      </c>
      <c r="C3282" s="72" t="inlineStr">
        <is>
          <t>X</t>
        </is>
      </c>
      <c r="D3282" s="5" t="n">
        <v>330</v>
      </c>
      <c r="E3282" s="73">
        <f>B3282*D3282/10000</f>
        <v/>
      </c>
      <c r="F3282" s="74">
        <f>B3282/30.48</f>
        <v/>
      </c>
      <c r="G3282" s="74">
        <f>D3282/30.48</f>
        <v/>
      </c>
      <c r="H3282" s="16" t="inlineStr">
        <is>
          <t>OLD</t>
        </is>
      </c>
      <c r="I3282" s="294" t="inlineStr">
        <is>
          <t>Brianna Halverson</t>
        </is>
      </c>
    </row>
    <row r="3283" ht="18" customHeight="1" s="305">
      <c r="A3283" s="8" t="n">
        <v>3950</v>
      </c>
      <c r="B3283" s="5" t="n">
        <v>194</v>
      </c>
      <c r="C3283" s="72" t="inlineStr">
        <is>
          <t>X</t>
        </is>
      </c>
      <c r="D3283" s="5" t="n">
        <v>301</v>
      </c>
      <c r="E3283" s="73">
        <f>B3283*D3283/10000</f>
        <v/>
      </c>
      <c r="F3283" s="74">
        <f>B3283/30.48</f>
        <v/>
      </c>
      <c r="G3283" s="74">
        <f>D3283/30.48</f>
        <v/>
      </c>
      <c r="H3283" s="16" t="inlineStr">
        <is>
          <t>LR</t>
        </is>
      </c>
      <c r="I3283" s="294" t="inlineStr">
        <is>
          <t>Hadley Burnham</t>
        </is>
      </c>
    </row>
    <row r="3284" ht="18" customHeight="1" s="305">
      <c r="A3284" s="8" t="inlineStr">
        <is>
          <t>İ-77</t>
        </is>
      </c>
      <c r="B3284" s="5" t="n">
        <v>286</v>
      </c>
      <c r="C3284" s="72" t="inlineStr">
        <is>
          <t>X</t>
        </is>
      </c>
      <c r="D3284" s="5" t="n">
        <v>380</v>
      </c>
      <c r="E3284" s="73">
        <f>B3284*D3284/10000</f>
        <v/>
      </c>
      <c r="F3284" s="74">
        <f>B3284/30.48</f>
        <v/>
      </c>
      <c r="G3284" s="74">
        <f>D3284/30.48</f>
        <v/>
      </c>
      <c r="H3284" s="16" t="inlineStr">
        <is>
          <t>LR</t>
        </is>
      </c>
      <c r="I3284" s="294" t="inlineStr">
        <is>
          <t>Hadley Burnham</t>
        </is>
      </c>
    </row>
    <row r="3285" ht="18" customHeight="1" s="305">
      <c r="A3285" s="8" t="n">
        <v>1251</v>
      </c>
      <c r="B3285" s="5" t="n">
        <v>206</v>
      </c>
      <c r="C3285" s="72" t="inlineStr">
        <is>
          <t>X</t>
        </is>
      </c>
      <c r="D3285" s="5" t="n">
        <v>277</v>
      </c>
      <c r="E3285" s="73">
        <f>B3285*D3285/10000</f>
        <v/>
      </c>
      <c r="F3285" s="74">
        <f>B3285/30.48</f>
        <v/>
      </c>
      <c r="G3285" s="74">
        <f>D3285/30.48</f>
        <v/>
      </c>
      <c r="H3285" s="16" t="inlineStr">
        <is>
          <t>LR</t>
        </is>
      </c>
      <c r="I3285" s="294" t="inlineStr">
        <is>
          <t>Hadley Burnham</t>
        </is>
      </c>
    </row>
    <row r="3286" ht="18" customHeight="1" s="305">
      <c r="A3286" s="8" t="inlineStr">
        <is>
          <t>D 33</t>
        </is>
      </c>
      <c r="B3286" s="5" t="n">
        <v>49</v>
      </c>
      <c r="C3286" s="72" t="inlineStr">
        <is>
          <t>X</t>
        </is>
      </c>
      <c r="D3286" s="5" t="n">
        <v>91</v>
      </c>
      <c r="E3286" s="73">
        <f>B3286*D3286/10000</f>
        <v/>
      </c>
      <c r="F3286" s="74">
        <f>B3286/30.48</f>
        <v/>
      </c>
      <c r="G3286" s="74">
        <f>D3286/30.48</f>
        <v/>
      </c>
      <c r="H3286" s="16" t="inlineStr">
        <is>
          <t>OLD</t>
        </is>
      </c>
      <c r="I3286" s="294" t="inlineStr">
        <is>
          <t>Jessica murray</t>
        </is>
      </c>
    </row>
    <row r="3287" ht="18" customHeight="1" s="305">
      <c r="A3287" s="8" t="n">
        <v>4142</v>
      </c>
      <c r="B3287" s="5" t="n">
        <v>97</v>
      </c>
      <c r="C3287" s="72" t="inlineStr">
        <is>
          <t>X</t>
        </is>
      </c>
      <c r="D3287" s="5" t="n">
        <v>149</v>
      </c>
      <c r="E3287" s="73">
        <f>B3287*D3287/10000</f>
        <v/>
      </c>
      <c r="F3287" s="74">
        <f>B3287/30.48</f>
        <v/>
      </c>
      <c r="G3287" s="74">
        <f>D3287/30.48</f>
        <v/>
      </c>
      <c r="H3287" s="16" t="inlineStr">
        <is>
          <t>OLD</t>
        </is>
      </c>
      <c r="I3287" s="294" t="inlineStr">
        <is>
          <t>Alfredo J. Sanchez</t>
        </is>
      </c>
    </row>
    <row r="3288" ht="18" customHeight="1" s="305">
      <c r="A3288" s="8" t="n">
        <v>3844</v>
      </c>
      <c r="B3288" s="5" t="n">
        <v>200</v>
      </c>
      <c r="C3288" s="72" t="inlineStr">
        <is>
          <t>X</t>
        </is>
      </c>
      <c r="D3288" s="5" t="n">
        <v>251</v>
      </c>
      <c r="E3288" s="73">
        <f>B3288*D3288/10000</f>
        <v/>
      </c>
      <c r="F3288" s="74">
        <f>B3288/30.48</f>
        <v/>
      </c>
      <c r="G3288" s="74">
        <f>D3288/30.48</f>
        <v/>
      </c>
      <c r="H3288" s="16" t="inlineStr">
        <is>
          <t>OLD</t>
        </is>
      </c>
      <c r="I3288" s="294" t="inlineStr">
        <is>
          <t>Kimberley Simpson</t>
        </is>
      </c>
    </row>
    <row r="3289" ht="18" customHeight="1" s="305">
      <c r="A3289" s="8" t="n">
        <v>3920</v>
      </c>
      <c r="B3289" s="5" t="n">
        <v>80</v>
      </c>
      <c r="C3289" s="72" t="inlineStr">
        <is>
          <t>X</t>
        </is>
      </c>
      <c r="D3289" s="5" t="n">
        <v>319</v>
      </c>
      <c r="E3289" s="73">
        <f>B3289*D3289/10000</f>
        <v/>
      </c>
      <c r="F3289" s="74">
        <f>B3289/30.48</f>
        <v/>
      </c>
      <c r="G3289" s="74">
        <f>D3289/30.48</f>
        <v/>
      </c>
      <c r="H3289" s="16" t="inlineStr">
        <is>
          <t>LLC</t>
        </is>
      </c>
      <c r="I3289" s="294" t="inlineStr">
        <is>
          <t>Sharon Mansell</t>
        </is>
      </c>
    </row>
    <row r="3290" ht="18" customHeight="1" s="305">
      <c r="A3290" s="8" t="inlineStr">
        <is>
          <t>İ-57</t>
        </is>
      </c>
      <c r="B3290" s="5" t="n">
        <v>270</v>
      </c>
      <c r="C3290" s="72" t="inlineStr">
        <is>
          <t>X</t>
        </is>
      </c>
      <c r="D3290" s="5" t="n">
        <v>383</v>
      </c>
      <c r="E3290" s="73">
        <f>B3290*D3290/10000</f>
        <v/>
      </c>
      <c r="F3290" s="74">
        <f>B3290/30.48</f>
        <v/>
      </c>
      <c r="G3290" s="74">
        <f>D3290/30.48</f>
        <v/>
      </c>
      <c r="H3290" s="16" t="inlineStr">
        <is>
          <t>OLD</t>
        </is>
      </c>
      <c r="I3290" s="294" t="inlineStr">
        <is>
          <t>Mary beth mcgaugh</t>
        </is>
      </c>
    </row>
    <row r="3291" ht="18" customHeight="1" s="305">
      <c r="A3291" s="8" t="n">
        <v>4264</v>
      </c>
      <c r="B3291" s="5" t="n">
        <v>132</v>
      </c>
      <c r="C3291" s="72" t="inlineStr">
        <is>
          <t>X</t>
        </is>
      </c>
      <c r="D3291" s="5" t="n">
        <v>311</v>
      </c>
      <c r="E3291" s="73">
        <f>B3291*D3291/10000</f>
        <v/>
      </c>
      <c r="F3291" s="74">
        <f>B3291/30.48</f>
        <v/>
      </c>
      <c r="G3291" s="74">
        <f>D3291/30.48</f>
        <v/>
      </c>
      <c r="H3291" s="16" t="inlineStr">
        <is>
          <t>WCR</t>
        </is>
      </c>
      <c r="I3291" s="294" t="inlineStr">
        <is>
          <t>Madeline Loomis</t>
        </is>
      </c>
    </row>
    <row r="3292" ht="18" customHeight="1" s="305">
      <c r="A3292" s="8" t="n">
        <v>4523</v>
      </c>
      <c r="B3292" s="5" t="n">
        <v>260</v>
      </c>
      <c r="C3292" s="72" t="inlineStr">
        <is>
          <t>X</t>
        </is>
      </c>
      <c r="D3292" s="5" t="n">
        <v>348</v>
      </c>
      <c r="E3292" s="73">
        <f>B3292*D3292/10000</f>
        <v/>
      </c>
      <c r="F3292" s="74">
        <f>B3292/30.48</f>
        <v/>
      </c>
      <c r="G3292" s="74">
        <f>D3292/30.48</f>
        <v/>
      </c>
      <c r="H3292" s="16" t="inlineStr">
        <is>
          <t>WCR</t>
        </is>
      </c>
      <c r="I3292" s="294" t="inlineStr">
        <is>
          <t>Denise Boozer</t>
        </is>
      </c>
    </row>
    <row r="3293" ht="18" customHeight="1" s="305">
      <c r="A3293" s="8" t="inlineStr">
        <is>
          <t>İ-25</t>
        </is>
      </c>
      <c r="B3293" s="5" t="n">
        <v>286</v>
      </c>
      <c r="C3293" s="72" t="inlineStr">
        <is>
          <t>X</t>
        </is>
      </c>
      <c r="D3293" s="5" t="n">
        <v>373</v>
      </c>
      <c r="E3293" s="73">
        <f>B3293*D3293/10000</f>
        <v/>
      </c>
      <c r="F3293" s="74">
        <f>B3293/30.48</f>
        <v/>
      </c>
      <c r="G3293" s="74">
        <f>D3293/30.48</f>
        <v/>
      </c>
      <c r="H3293" s="16" t="inlineStr">
        <is>
          <t>PAC</t>
        </is>
      </c>
      <c r="I3293" s="21" t="inlineStr">
        <is>
          <t>Gaelle Dudley</t>
        </is>
      </c>
    </row>
    <row r="3294" ht="18" customHeight="1" s="305">
      <c r="A3294" s="28" t="inlineStr">
        <is>
          <t>D 490</t>
        </is>
      </c>
      <c r="B3294" s="29" t="n">
        <v>51</v>
      </c>
      <c r="C3294" s="236" t="inlineStr">
        <is>
          <t>X</t>
        </is>
      </c>
      <c r="D3294" s="29" t="n">
        <v>60</v>
      </c>
      <c r="E3294" s="237">
        <f>B3294*D3294/10000</f>
        <v/>
      </c>
      <c r="F3294" s="238">
        <f>B3294/30.48</f>
        <v/>
      </c>
      <c r="G3294" s="238">
        <f>D3294/30.48</f>
        <v/>
      </c>
      <c r="H3294" s="16" t="inlineStr">
        <is>
          <t>LR</t>
        </is>
      </c>
      <c r="I3294" s="294" t="inlineStr">
        <is>
          <t>charmaine oakley</t>
        </is>
      </c>
    </row>
    <row r="3295" ht="18" customHeight="1" s="305">
      <c r="A3295" s="8" t="n">
        <v>3634</v>
      </c>
      <c r="B3295" s="29" t="n">
        <v>89</v>
      </c>
      <c r="C3295" s="236" t="inlineStr">
        <is>
          <t>X</t>
        </is>
      </c>
      <c r="D3295" s="29" t="n">
        <v>398</v>
      </c>
      <c r="E3295" s="237">
        <f>B3295*D3295/10000</f>
        <v/>
      </c>
      <c r="F3295" s="238">
        <f>B3295/30.48</f>
        <v/>
      </c>
      <c r="G3295" s="238">
        <f>D3295/30.48</f>
        <v/>
      </c>
      <c r="H3295" s="16" t="inlineStr">
        <is>
          <t>LR</t>
        </is>
      </c>
      <c r="I3295" s="294" t="inlineStr">
        <is>
          <t>Catlin Kaltschmidt</t>
        </is>
      </c>
    </row>
    <row r="3296" ht="18" customHeight="1" s="305">
      <c r="A3296" s="8" t="n">
        <v>3679</v>
      </c>
      <c r="B3296" s="5" t="n">
        <v>97</v>
      </c>
      <c r="C3296" s="72" t="inlineStr">
        <is>
          <t>X</t>
        </is>
      </c>
      <c r="D3296" s="5" t="n">
        <v>227</v>
      </c>
      <c r="E3296" s="73">
        <f>B3296*D3296/10000</f>
        <v/>
      </c>
      <c r="F3296" s="74">
        <f>B3296/30.48</f>
        <v/>
      </c>
      <c r="G3296" s="74">
        <f>D3296/30.48</f>
        <v/>
      </c>
      <c r="H3296" s="16" t="inlineStr">
        <is>
          <t>LR</t>
        </is>
      </c>
      <c r="I3296" s="294" t="inlineStr">
        <is>
          <t>Julie Richard</t>
        </is>
      </c>
    </row>
    <row r="3297" ht="18" customHeight="1" s="305">
      <c r="A3297" s="8" t="n">
        <v>3817</v>
      </c>
      <c r="B3297" s="5" t="n">
        <v>138</v>
      </c>
      <c r="C3297" s="72" t="inlineStr">
        <is>
          <t>X</t>
        </is>
      </c>
      <c r="D3297" s="5" t="n">
        <v>212</v>
      </c>
      <c r="E3297" s="73">
        <f>B3297*D3297/10000</f>
        <v/>
      </c>
      <c r="F3297" s="74">
        <f>B3297/30.48</f>
        <v/>
      </c>
      <c r="G3297" s="74">
        <f>D3297/30.48</f>
        <v/>
      </c>
      <c r="H3297" s="16" t="inlineStr">
        <is>
          <t>LLC</t>
        </is>
      </c>
      <c r="I3297" s="294" t="inlineStr">
        <is>
          <t>Lindsay S Friberg</t>
        </is>
      </c>
    </row>
    <row r="3298" ht="18" customHeight="1" s="305">
      <c r="A3298" s="8" t="n">
        <v>3615</v>
      </c>
      <c r="B3298" s="5" t="n">
        <v>200</v>
      </c>
      <c r="C3298" s="72" t="inlineStr">
        <is>
          <t>X</t>
        </is>
      </c>
      <c r="D3298" s="5" t="n">
        <v>302</v>
      </c>
      <c r="E3298" s="73">
        <f>B3298*D3298/10000</f>
        <v/>
      </c>
      <c r="F3298" s="74">
        <f>B3298/30.48</f>
        <v/>
      </c>
      <c r="G3298" s="74">
        <f>D3298/30.48</f>
        <v/>
      </c>
      <c r="H3298" s="16" t="inlineStr">
        <is>
          <t>BHR</t>
        </is>
      </c>
      <c r="I3298" s="432" t="inlineStr">
        <is>
          <t>Alexa Turner</t>
        </is>
      </c>
    </row>
    <row r="3299" ht="18" customHeight="1" s="305">
      <c r="A3299" s="8" t="n">
        <v>1304</v>
      </c>
      <c r="B3299" s="5" t="n">
        <v>170</v>
      </c>
      <c r="C3299" s="72" t="inlineStr">
        <is>
          <t>X</t>
        </is>
      </c>
      <c r="D3299" s="5" t="n">
        <v>272</v>
      </c>
      <c r="E3299" s="73">
        <f>B3299*D3299/10000</f>
        <v/>
      </c>
      <c r="F3299" s="74">
        <f>B3299/30.48</f>
        <v/>
      </c>
      <c r="G3299" s="74">
        <f>D3299/30.48</f>
        <v/>
      </c>
      <c r="H3299" s="399" t="n"/>
      <c r="I3299" s="724" t="inlineStr">
        <is>
          <t>Alexa Turner</t>
        </is>
      </c>
      <c r="J3299" s="396" t="n"/>
    </row>
    <row r="3300" ht="18" customHeight="1" s="305">
      <c r="A3300" s="8" t="n">
        <v>1584</v>
      </c>
      <c r="B3300" s="5" t="n">
        <v>277</v>
      </c>
      <c r="C3300" s="72" t="inlineStr">
        <is>
          <t>X</t>
        </is>
      </c>
      <c r="D3300" s="5" t="n">
        <v>173</v>
      </c>
      <c r="E3300" s="73">
        <f>B3300*D3300/10000</f>
        <v/>
      </c>
      <c r="F3300" s="74">
        <f>B3300/30.48</f>
        <v/>
      </c>
      <c r="G3300" s="74">
        <f>D3300/30.48</f>
        <v/>
      </c>
      <c r="H3300" s="397" t="inlineStr">
        <is>
          <t>OLD</t>
        </is>
      </c>
      <c r="I3300" s="697" t="n"/>
      <c r="J3300" s="396" t="n"/>
    </row>
    <row r="3301" ht="18" customHeight="1" s="305">
      <c r="A3301" s="8" t="n">
        <v>1798</v>
      </c>
      <c r="B3301" s="5" t="n">
        <v>223</v>
      </c>
      <c r="C3301" s="72" t="inlineStr">
        <is>
          <t>X</t>
        </is>
      </c>
      <c r="D3301" s="5" t="n">
        <v>322</v>
      </c>
      <c r="E3301" s="73">
        <f>B3301*D3301/10000</f>
        <v/>
      </c>
      <c r="F3301" s="74">
        <f>B3301/30.48</f>
        <v/>
      </c>
      <c r="G3301" s="74">
        <f>D3301/30.48</f>
        <v/>
      </c>
      <c r="H3301" s="397" t="n"/>
      <c r="I3301" s="698" t="n"/>
    </row>
    <row r="3302" ht="18" customHeight="1" s="305">
      <c r="A3302" s="8" t="n">
        <v>1712</v>
      </c>
      <c r="B3302" s="5" t="n">
        <v>297</v>
      </c>
      <c r="C3302" s="72" t="inlineStr">
        <is>
          <t>X</t>
        </is>
      </c>
      <c r="D3302" s="5" t="n">
        <v>383</v>
      </c>
      <c r="E3302" s="73">
        <f>B3302*D3302/10000</f>
        <v/>
      </c>
      <c r="F3302" s="74">
        <f>B3302/30.48</f>
        <v/>
      </c>
      <c r="G3302" s="74">
        <f>D3302/30.48</f>
        <v/>
      </c>
      <c r="H3302" s="16" t="inlineStr">
        <is>
          <t>WTR</t>
        </is>
      </c>
      <c r="I3302" s="21" t="inlineStr">
        <is>
          <t>Brittany Pulliam</t>
        </is>
      </c>
    </row>
    <row r="3303" ht="18" customHeight="1" s="305">
      <c r="A3303" s="28" t="inlineStr">
        <is>
          <t>D 666</t>
        </is>
      </c>
      <c r="B3303" s="29" t="n">
        <v>55</v>
      </c>
      <c r="C3303" s="236" t="inlineStr">
        <is>
          <t>X</t>
        </is>
      </c>
      <c r="D3303" s="29" t="n">
        <v>97</v>
      </c>
      <c r="E3303" s="237">
        <f>B3303*D3303/10000</f>
        <v/>
      </c>
      <c r="F3303" s="238">
        <f>B3303/30.48</f>
        <v/>
      </c>
      <c r="G3303" s="238">
        <f>D3303/30.48</f>
        <v/>
      </c>
      <c r="H3303" s="16" t="inlineStr">
        <is>
          <t>LMX</t>
        </is>
      </c>
      <c r="I3303" s="432" t="inlineStr">
        <is>
          <t>Susan Nichols</t>
        </is>
      </c>
    </row>
    <row r="3304" ht="18" customHeight="1" s="305">
      <c r="A3304" s="8" t="inlineStr">
        <is>
          <t>H 164</t>
        </is>
      </c>
      <c r="B3304" s="5" t="n">
        <v>341</v>
      </c>
      <c r="C3304" s="6" t="inlineStr">
        <is>
          <t>X</t>
        </is>
      </c>
      <c r="D3304" s="5" t="n">
        <v>93</v>
      </c>
      <c r="E3304" s="2">
        <f>B3304*D3304/10000</f>
        <v/>
      </c>
      <c r="F3304" s="3">
        <f>B3304/30.48</f>
        <v/>
      </c>
      <c r="G3304" s="3">
        <f>D3304/30.48</f>
        <v/>
      </c>
      <c r="H3304" s="397" t="n"/>
      <c r="I3304" s="80" t="inlineStr">
        <is>
          <t>Ocotillo Services</t>
        </is>
      </c>
      <c r="J3304" s="396" t="n"/>
    </row>
    <row r="3305" ht="18" customHeight="1" s="305">
      <c r="A3305" s="8" t="n">
        <v>1118</v>
      </c>
      <c r="B3305" s="5" t="n">
        <v>102</v>
      </c>
      <c r="C3305" s="72" t="inlineStr">
        <is>
          <t>X</t>
        </is>
      </c>
      <c r="D3305" s="5" t="n">
        <v>376</v>
      </c>
      <c r="E3305" s="73">
        <f>B3305*D3305/10000</f>
        <v/>
      </c>
      <c r="F3305" s="74">
        <f>B3305/30.48</f>
        <v/>
      </c>
      <c r="G3305" s="74">
        <f>D3305/30.48</f>
        <v/>
      </c>
      <c r="H3305" s="397" t="inlineStr">
        <is>
          <t>OLD</t>
        </is>
      </c>
      <c r="I3305" s="693" t="n"/>
      <c r="J3305" s="396" t="n"/>
    </row>
    <row r="3306" ht="18" customHeight="1" s="305">
      <c r="A3306" s="8" t="inlineStr">
        <is>
          <t>H 173</t>
        </is>
      </c>
      <c r="B3306" s="5" t="n">
        <v>328</v>
      </c>
      <c r="C3306" s="6" t="inlineStr">
        <is>
          <t>X</t>
        </is>
      </c>
      <c r="D3306" s="5" t="n">
        <v>92</v>
      </c>
      <c r="E3306" s="2">
        <f>B3306*D3306/10000</f>
        <v/>
      </c>
      <c r="F3306" s="3">
        <f>B3306/30.48</f>
        <v/>
      </c>
      <c r="G3306" s="3">
        <f>D3306/30.48</f>
        <v/>
      </c>
      <c r="H3306" s="397" t="n"/>
      <c r="I3306" s="694" t="n"/>
      <c r="J3306" s="396" t="n"/>
    </row>
    <row r="3307" ht="18" customHeight="1" s="305">
      <c r="A3307" s="28" t="inlineStr">
        <is>
          <t>D 997</t>
        </is>
      </c>
      <c r="B3307" s="29" t="n">
        <v>46</v>
      </c>
      <c r="C3307" s="236" t="inlineStr">
        <is>
          <t>X</t>
        </is>
      </c>
      <c r="D3307" s="29" t="n">
        <v>75</v>
      </c>
      <c r="E3307" s="237">
        <f>B3307*D3307/10000</f>
        <v/>
      </c>
      <c r="F3307" s="238">
        <f>B3307/30.48</f>
        <v/>
      </c>
      <c r="G3307" s="238">
        <f>D3307/30.48</f>
        <v/>
      </c>
      <c r="H3307" s="16" t="inlineStr">
        <is>
          <t>İLMEK</t>
        </is>
      </c>
      <c r="I3307" s="430" t="inlineStr">
        <is>
          <t>Susan Nichols</t>
        </is>
      </c>
    </row>
    <row r="3308" ht="18" customHeight="1" s="305">
      <c r="A3308" s="28" t="inlineStr">
        <is>
          <t>D 1050</t>
        </is>
      </c>
      <c r="B3308" s="29" t="n">
        <v>52</v>
      </c>
      <c r="C3308" s="236" t="inlineStr">
        <is>
          <t>X</t>
        </is>
      </c>
      <c r="D3308" s="29" t="n">
        <v>85</v>
      </c>
      <c r="E3308" s="237">
        <f>B3308*D3308/10000</f>
        <v/>
      </c>
      <c r="F3308" s="238">
        <f>B3308/30.48</f>
        <v/>
      </c>
      <c r="G3308" s="238">
        <f>D3308/30.48</f>
        <v/>
      </c>
      <c r="H3308" s="16" t="inlineStr">
        <is>
          <t>LR</t>
        </is>
      </c>
      <c r="I3308" s="294" t="inlineStr">
        <is>
          <t>Daniel Palacios</t>
        </is>
      </c>
    </row>
    <row r="3309" ht="18" customHeight="1" s="305">
      <c r="A3309" s="8" t="inlineStr">
        <is>
          <t>D 14</t>
        </is>
      </c>
      <c r="B3309" s="5" t="n">
        <v>53</v>
      </c>
      <c r="C3309" s="72" t="inlineStr">
        <is>
          <t>X</t>
        </is>
      </c>
      <c r="D3309" s="5" t="n">
        <v>104</v>
      </c>
      <c r="E3309" s="73">
        <f>B3309*D3309/10000</f>
        <v/>
      </c>
      <c r="F3309" s="74">
        <f>B3309/30.48</f>
        <v/>
      </c>
      <c r="G3309" s="74">
        <f>D3309/30.48</f>
        <v/>
      </c>
      <c r="H3309" s="503" t="inlineStr">
        <is>
          <t>BHR</t>
        </is>
      </c>
      <c r="I3309" s="294" t="inlineStr">
        <is>
          <t>Sarah Paciocco</t>
        </is>
      </c>
    </row>
    <row r="3310" ht="18" customHeight="1" s="305">
      <c r="A3310" s="28" t="inlineStr">
        <is>
          <t>D 565</t>
        </is>
      </c>
      <c r="B3310" s="29" t="n">
        <v>62</v>
      </c>
      <c r="C3310" s="236" t="inlineStr">
        <is>
          <t>X</t>
        </is>
      </c>
      <c r="D3310" s="29" t="n">
        <v>135</v>
      </c>
      <c r="E3310" s="237">
        <f>B3310*D3310/10000</f>
        <v/>
      </c>
      <c r="F3310" s="238">
        <f>B3310/30.48</f>
        <v/>
      </c>
      <c r="G3310" s="238">
        <f>D3310/30.48</f>
        <v/>
      </c>
      <c r="H3310" s="614" t="inlineStr">
        <is>
          <t>FRDİ</t>
        </is>
      </c>
      <c r="I3310" s="723" t="inlineStr">
        <is>
          <t>Lauren Bell</t>
        </is>
      </c>
    </row>
    <row r="3311" ht="18" customHeight="1" s="305">
      <c r="A3311" s="28" t="inlineStr">
        <is>
          <t>D 556</t>
        </is>
      </c>
      <c r="B3311" s="29" t="n">
        <v>46</v>
      </c>
      <c r="C3311" s="236" t="inlineStr">
        <is>
          <t>X</t>
        </is>
      </c>
      <c r="D3311" s="29" t="n">
        <v>98</v>
      </c>
      <c r="E3311" s="237">
        <f>B3311*D3311/10000</f>
        <v/>
      </c>
      <c r="F3311" s="238">
        <f>B3311/30.48</f>
        <v/>
      </c>
      <c r="G3311" s="238">
        <f>D3311/30.48</f>
        <v/>
      </c>
      <c r="H3311" s="694" t="n"/>
      <c r="I3311" s="694" t="n"/>
    </row>
    <row r="3312" ht="18" customHeight="1" s="305">
      <c r="A3312" s="28" t="inlineStr">
        <is>
          <t>D 580</t>
        </is>
      </c>
      <c r="B3312" s="29" t="n">
        <v>44</v>
      </c>
      <c r="C3312" s="236" t="inlineStr">
        <is>
          <t>X</t>
        </is>
      </c>
      <c r="D3312" s="29" t="n">
        <v>83</v>
      </c>
      <c r="E3312" s="237">
        <f>B3312*D3312/10000</f>
        <v/>
      </c>
      <c r="F3312" s="238">
        <f>B3312/30.48</f>
        <v/>
      </c>
      <c r="G3312" s="238">
        <f>D3312/30.48</f>
        <v/>
      </c>
      <c r="H3312" s="504" t="inlineStr">
        <is>
          <t>OLD</t>
        </is>
      </c>
      <c r="I3312" s="294" t="inlineStr">
        <is>
          <t>Shannon Hettinger</t>
        </is>
      </c>
    </row>
    <row r="3313" ht="18" customHeight="1" s="305">
      <c r="A3313" s="28" t="inlineStr">
        <is>
          <t>D 641</t>
        </is>
      </c>
      <c r="B3313" s="29" t="n">
        <v>49</v>
      </c>
      <c r="C3313" s="236" t="inlineStr">
        <is>
          <t>X</t>
        </is>
      </c>
      <c r="D3313" s="29" t="n">
        <v>94</v>
      </c>
      <c r="E3313" s="237">
        <f>B3313*D3313/10000</f>
        <v/>
      </c>
      <c r="F3313" s="238">
        <f>B3313/30.48</f>
        <v/>
      </c>
      <c r="G3313" s="238">
        <f>D3313/30.48</f>
        <v/>
      </c>
      <c r="H3313" s="16" t="inlineStr">
        <is>
          <t>OLD</t>
        </is>
      </c>
      <c r="I3313" s="294" t="inlineStr">
        <is>
          <t>Kate Newman</t>
        </is>
      </c>
    </row>
    <row r="3314" ht="18" customHeight="1" s="305">
      <c r="A3314" s="28" t="inlineStr">
        <is>
          <t>D 760</t>
        </is>
      </c>
      <c r="B3314" s="29" t="n">
        <v>57</v>
      </c>
      <c r="C3314" s="236" t="inlineStr">
        <is>
          <t>X</t>
        </is>
      </c>
      <c r="D3314" s="29" t="n">
        <v>118</v>
      </c>
      <c r="E3314" s="237">
        <f>B3314*D3314/10000</f>
        <v/>
      </c>
      <c r="F3314" s="238">
        <f>B3314/30.48</f>
        <v/>
      </c>
      <c r="G3314" s="238">
        <f>D3314/30.48</f>
        <v/>
      </c>
      <c r="H3314" s="16" t="inlineStr">
        <is>
          <t>LMX</t>
        </is>
      </c>
      <c r="I3314" s="294" t="inlineStr">
        <is>
          <t>John W. Pfeiffer</t>
        </is>
      </c>
    </row>
    <row r="3315" ht="18" customHeight="1" s="305">
      <c r="A3315" s="8" t="n">
        <v>4247</v>
      </c>
      <c r="B3315" s="5" t="n">
        <v>93</v>
      </c>
      <c r="C3315" s="72" t="inlineStr">
        <is>
          <t>X</t>
        </is>
      </c>
      <c r="D3315" s="5" t="n">
        <v>261</v>
      </c>
      <c r="E3315" s="73">
        <f>B3315*D3315/10000</f>
        <v/>
      </c>
      <c r="F3315" s="74">
        <f>B3315/30.48</f>
        <v/>
      </c>
      <c r="G3315" s="74">
        <f>D3315/30.48</f>
        <v/>
      </c>
      <c r="H3315" s="16" t="inlineStr">
        <is>
          <t>WTR</t>
        </is>
      </c>
      <c r="I3315" s="294" t="inlineStr">
        <is>
          <t>Erin Hill-Derkowski</t>
        </is>
      </c>
    </row>
    <row r="3316" ht="18" customHeight="1" s="305">
      <c r="A3316" s="8" t="n">
        <v>3473</v>
      </c>
      <c r="B3316" s="5" t="n">
        <v>99</v>
      </c>
      <c r="C3316" s="72" t="inlineStr">
        <is>
          <t>X</t>
        </is>
      </c>
      <c r="D3316" s="5" t="n">
        <v>334</v>
      </c>
      <c r="E3316" s="73">
        <f>B3316*D3316/10000</f>
        <v/>
      </c>
      <c r="F3316" s="74">
        <f>B3316/30.48</f>
        <v/>
      </c>
      <c r="G3316" s="74">
        <f>D3316/30.48</f>
        <v/>
      </c>
      <c r="H3316" s="16" t="inlineStr">
        <is>
          <t>İLMEK</t>
        </is>
      </c>
      <c r="I3316" s="294" t="inlineStr">
        <is>
          <t>Elizabeth Leifer</t>
        </is>
      </c>
    </row>
    <row r="3317" ht="18" customHeight="1" s="305">
      <c r="A3317" s="8" t="n">
        <v>4076</v>
      </c>
      <c r="B3317" s="5" t="n">
        <v>63</v>
      </c>
      <c r="C3317" s="72" t="inlineStr">
        <is>
          <t>X</t>
        </is>
      </c>
      <c r="D3317" s="5" t="n">
        <v>198</v>
      </c>
      <c r="E3317" s="73">
        <f>B3317*D3317/10000</f>
        <v/>
      </c>
      <c r="F3317" s="74">
        <f>B3317/30.48</f>
        <v/>
      </c>
      <c r="G3317" s="74">
        <f>D3317/30.48</f>
        <v/>
      </c>
      <c r="H3317" s="16" t="inlineStr">
        <is>
          <t>LLC</t>
        </is>
      </c>
      <c r="I3317" s="294" t="inlineStr">
        <is>
          <t>Andrea Dell&amp;#39;Olio</t>
        </is>
      </c>
    </row>
    <row r="3318" ht="18" customHeight="1" s="305">
      <c r="A3318" s="28" t="inlineStr">
        <is>
          <t>D 1127</t>
        </is>
      </c>
      <c r="B3318" s="29" t="n">
        <v>54</v>
      </c>
      <c r="C3318" s="236" t="inlineStr">
        <is>
          <t>X</t>
        </is>
      </c>
      <c r="D3318" s="29" t="n">
        <v>104</v>
      </c>
      <c r="E3318" s="237">
        <f>B3318*D3318/10000</f>
        <v/>
      </c>
      <c r="F3318" s="238">
        <f>B3318/30.48</f>
        <v/>
      </c>
      <c r="G3318" s="238">
        <f>D3318/30.48</f>
        <v/>
      </c>
      <c r="H3318" s="16" t="inlineStr">
        <is>
          <t>WLR</t>
        </is>
      </c>
      <c r="I3318" s="294" t="inlineStr">
        <is>
          <t>Claire Nathel</t>
        </is>
      </c>
    </row>
    <row r="3319" ht="18" customHeight="1" s="305">
      <c r="A3319" s="28" t="inlineStr">
        <is>
          <t>D 1113</t>
        </is>
      </c>
      <c r="B3319" s="29" t="n">
        <v>54</v>
      </c>
      <c r="C3319" s="236" t="inlineStr">
        <is>
          <t>X</t>
        </is>
      </c>
      <c r="D3319" s="29" t="n">
        <v>91</v>
      </c>
      <c r="E3319" s="237">
        <f>B3319*D3319/10000</f>
        <v/>
      </c>
      <c r="F3319" s="238">
        <f>B3319/30.48</f>
        <v/>
      </c>
      <c r="G3319" s="238">
        <f>D3319/30.48</f>
        <v/>
      </c>
      <c r="H3319" s="16" t="inlineStr">
        <is>
          <t>WLR</t>
        </is>
      </c>
      <c r="I3319" s="294" t="inlineStr">
        <is>
          <t>Robert Carter</t>
        </is>
      </c>
    </row>
    <row r="3320" ht="18" customHeight="1" s="305">
      <c r="A3320" s="8" t="n">
        <v>2164</v>
      </c>
      <c r="B3320" s="5" t="n">
        <v>78</v>
      </c>
      <c r="C3320" s="72" t="inlineStr">
        <is>
          <t>X</t>
        </is>
      </c>
      <c r="D3320" s="5" t="n">
        <v>287</v>
      </c>
      <c r="E3320" s="73">
        <f>B3320*D3320/10000</f>
        <v/>
      </c>
      <c r="F3320" s="74">
        <f>B3320/30.48</f>
        <v/>
      </c>
      <c r="G3320" s="74">
        <f>D3320/30.48</f>
        <v/>
      </c>
      <c r="H3320" s="16" t="inlineStr">
        <is>
          <t>WTR</t>
        </is>
      </c>
      <c r="I3320" s="294" t="inlineStr">
        <is>
          <t>Vanessa Buch</t>
        </is>
      </c>
    </row>
    <row r="3321" ht="18" customHeight="1" s="305">
      <c r="A3321" s="8" t="n">
        <v>3405</v>
      </c>
      <c r="B3321" s="5" t="n">
        <v>93</v>
      </c>
      <c r="C3321" s="72" t="inlineStr">
        <is>
          <t>X</t>
        </is>
      </c>
      <c r="D3321" s="5" t="n">
        <v>240</v>
      </c>
      <c r="E3321" s="73">
        <f>B3321*D3321/10000</f>
        <v/>
      </c>
      <c r="F3321" s="74">
        <f>B3321/30.48</f>
        <v/>
      </c>
      <c r="G3321" s="74">
        <f>D3321/30.48</f>
        <v/>
      </c>
      <c r="H3321" s="16" t="inlineStr">
        <is>
          <t>BHR</t>
        </is>
      </c>
      <c r="I3321" s="294" t="inlineStr">
        <is>
          <t>Bridgette Cassell</t>
        </is>
      </c>
    </row>
    <row r="3322" ht="18" customHeight="1" s="305">
      <c r="A3322" s="28" t="inlineStr">
        <is>
          <t>D 970</t>
        </is>
      </c>
      <c r="B3322" s="29" t="n">
        <v>48</v>
      </c>
      <c r="C3322" s="236" t="inlineStr">
        <is>
          <t>X</t>
        </is>
      </c>
      <c r="D3322" s="29" t="n">
        <v>100</v>
      </c>
      <c r="E3322" s="237">
        <f>B3322*D3322/10000</f>
        <v/>
      </c>
      <c r="F3322" s="238">
        <f>B3322/30.48</f>
        <v/>
      </c>
      <c r="G3322" s="238">
        <f>D3322/30.48</f>
        <v/>
      </c>
      <c r="H3322" s="16" t="inlineStr">
        <is>
          <t>WCR</t>
        </is>
      </c>
      <c r="I3322" s="294" t="inlineStr">
        <is>
          <t>stefanie mingel</t>
        </is>
      </c>
    </row>
    <row r="3323" ht="18" customHeight="1" s="305">
      <c r="A3323" s="28" t="inlineStr">
        <is>
          <t>D 586</t>
        </is>
      </c>
      <c r="B3323" s="29" t="n">
        <v>47</v>
      </c>
      <c r="C3323" s="236" t="inlineStr">
        <is>
          <t>X</t>
        </is>
      </c>
      <c r="D3323" s="29" t="n">
        <v>97</v>
      </c>
      <c r="E3323" s="237">
        <f>B3323*D3323/10000</f>
        <v/>
      </c>
      <c r="F3323" s="238">
        <f>B3323/30.48</f>
        <v/>
      </c>
      <c r="G3323" s="238">
        <f>D3323/30.48</f>
        <v/>
      </c>
      <c r="H3323" s="16" t="inlineStr">
        <is>
          <t>OLD</t>
        </is>
      </c>
      <c r="I3323" s="294" t="inlineStr">
        <is>
          <t>Ashlee Burba</t>
        </is>
      </c>
    </row>
    <row r="3324" ht="18" customHeight="1" s="305">
      <c r="A3324" s="8" t="n">
        <v>3487</v>
      </c>
      <c r="B3324" s="5" t="n">
        <v>92</v>
      </c>
      <c r="C3324" s="72" t="inlineStr">
        <is>
          <t>X</t>
        </is>
      </c>
      <c r="D3324" s="5" t="n">
        <v>280</v>
      </c>
      <c r="E3324" s="73">
        <f>B3324*D3324/10000</f>
        <v/>
      </c>
      <c r="F3324" s="74">
        <f>B3324/30.48</f>
        <v/>
      </c>
      <c r="G3324" s="74">
        <f>D3324/30.48</f>
        <v/>
      </c>
      <c r="H3324" s="16" t="inlineStr">
        <is>
          <t>WTR</t>
        </is>
      </c>
      <c r="I3324" s="294" t="inlineStr">
        <is>
          <t>Lisa Idnani</t>
        </is>
      </c>
    </row>
    <row r="3325" ht="18" customHeight="1" s="305">
      <c r="A3325" s="28" t="inlineStr">
        <is>
          <t>D 808</t>
        </is>
      </c>
      <c r="B3325" s="29" t="n">
        <v>64</v>
      </c>
      <c r="C3325" s="236" t="inlineStr">
        <is>
          <t>X</t>
        </is>
      </c>
      <c r="D3325" s="29" t="n">
        <v>97</v>
      </c>
      <c r="E3325" s="237">
        <f>B3325*D3325/10000</f>
        <v/>
      </c>
      <c r="F3325" s="238">
        <f>B3325/30.48</f>
        <v/>
      </c>
      <c r="G3325" s="238">
        <f>D3325/30.48</f>
        <v/>
      </c>
      <c r="H3325" s="16" t="inlineStr">
        <is>
          <t>İLMEK</t>
        </is>
      </c>
      <c r="I3325" s="294" t="inlineStr">
        <is>
          <t>jan broad</t>
        </is>
      </c>
    </row>
    <row r="3326" ht="18" customHeight="1" s="305">
      <c r="A3326" s="8" t="n">
        <v>2205</v>
      </c>
      <c r="B3326" s="5" t="n">
        <v>80</v>
      </c>
      <c r="C3326" s="72" t="inlineStr">
        <is>
          <t>X</t>
        </is>
      </c>
      <c r="D3326" s="5" t="n">
        <v>411</v>
      </c>
      <c r="E3326" s="73">
        <f>B3326*D3326/10000</f>
        <v/>
      </c>
      <c r="F3326" s="74">
        <f>B3326/30.48</f>
        <v/>
      </c>
      <c r="G3326" s="74">
        <f>D3326/30.48</f>
        <v/>
      </c>
      <c r="H3326" s="16" t="inlineStr">
        <is>
          <t>LLC</t>
        </is>
      </c>
      <c r="I3326" s="294" t="inlineStr">
        <is>
          <t>Pamela m. Lyons</t>
        </is>
      </c>
    </row>
    <row r="3327" ht="18" customHeight="1" s="305">
      <c r="A3327" s="8" t="n">
        <v>3396</v>
      </c>
      <c r="B3327" s="5" t="n">
        <v>77</v>
      </c>
      <c r="C3327" s="72" t="inlineStr">
        <is>
          <t>X</t>
        </is>
      </c>
      <c r="D3327" s="5" t="n">
        <v>291</v>
      </c>
      <c r="E3327" s="73">
        <f>B3327*D3327/10000</f>
        <v/>
      </c>
      <c r="F3327" s="74">
        <f>B3327/30.48</f>
        <v/>
      </c>
      <c r="G3327" s="74">
        <f>D3327/30.48</f>
        <v/>
      </c>
      <c r="H3327" s="16" t="inlineStr">
        <is>
          <t>PAC</t>
        </is>
      </c>
      <c r="I3327" s="294" t="inlineStr">
        <is>
          <t>Alexia Verwee</t>
        </is>
      </c>
    </row>
    <row r="3328" ht="18" customHeight="1" s="305">
      <c r="A3328" s="28" t="inlineStr">
        <is>
          <t>D 634</t>
        </is>
      </c>
      <c r="B3328" s="29" t="n">
        <v>40</v>
      </c>
      <c r="C3328" s="236" t="inlineStr">
        <is>
          <t>X</t>
        </is>
      </c>
      <c r="D3328" s="29" t="n">
        <v>86</v>
      </c>
      <c r="E3328" s="237">
        <f>B3328*D3328/10000</f>
        <v/>
      </c>
      <c r="F3328" s="238">
        <f>B3328/30.48</f>
        <v/>
      </c>
      <c r="G3328" s="238">
        <f>D3328/30.48</f>
        <v/>
      </c>
      <c r="H3328" s="16" t="inlineStr">
        <is>
          <t>LMX</t>
        </is>
      </c>
      <c r="I3328" s="294" t="inlineStr">
        <is>
          <t>Jennifer Nielsen</t>
        </is>
      </c>
    </row>
    <row r="3329" ht="18" customHeight="1" s="305">
      <c r="A3329" s="28" t="inlineStr">
        <is>
          <t>D 691</t>
        </is>
      </c>
      <c r="B3329" s="29" t="n">
        <v>63</v>
      </c>
      <c r="C3329" s="236" t="inlineStr">
        <is>
          <t>X</t>
        </is>
      </c>
      <c r="D3329" s="29" t="n">
        <v>83</v>
      </c>
      <c r="E3329" s="237">
        <f>B3329*D3329/10000</f>
        <v/>
      </c>
      <c r="F3329" s="238">
        <f>B3329/30.48</f>
        <v/>
      </c>
      <c r="G3329" s="238">
        <f>D3329/30.48</f>
        <v/>
      </c>
      <c r="H3329" s="614" t="inlineStr">
        <is>
          <t>WCR</t>
        </is>
      </c>
      <c r="I3329" s="721" t="inlineStr">
        <is>
          <t>Thomas Rouse</t>
        </is>
      </c>
    </row>
    <row r="3330" ht="18" customHeight="1" s="305">
      <c r="A3330" s="28" t="inlineStr">
        <is>
          <t>D 688</t>
        </is>
      </c>
      <c r="B3330" s="29" t="n">
        <v>56</v>
      </c>
      <c r="C3330" s="236" t="inlineStr">
        <is>
          <t>X</t>
        </is>
      </c>
      <c r="D3330" s="29" t="n">
        <v>70</v>
      </c>
      <c r="E3330" s="237">
        <f>B3330*D3330/10000</f>
        <v/>
      </c>
      <c r="F3330" s="238">
        <f>B3330/30.48</f>
        <v/>
      </c>
      <c r="G3330" s="238">
        <f>D3330/30.48</f>
        <v/>
      </c>
      <c r="H3330" s="694" t="n"/>
      <c r="I3330" s="694" t="n"/>
    </row>
    <row r="3331">
      <c r="A3331" s="536" t="inlineStr">
        <is>
          <t>-2026 ŞUBAT-</t>
        </is>
      </c>
      <c r="H3331" s="104" t="inlineStr">
        <is>
          <t>SATAN-SİTE</t>
        </is>
      </c>
      <c r="I3331" s="98" t="inlineStr">
        <is>
          <t>MÜŞTERİ ADI</t>
        </is>
      </c>
      <c r="J3331" s="63" t="inlineStr">
        <is>
          <t>MÜŞTERİ İLETİŞİM &amp; ÜLKE</t>
        </is>
      </c>
    </row>
    <row r="3332" ht="18" customHeight="1" s="305">
      <c r="A3332" s="28" t="inlineStr">
        <is>
          <t>D 971</t>
        </is>
      </c>
      <c r="B3332" s="29" t="n">
        <v>50</v>
      </c>
      <c r="C3332" s="236" t="inlineStr">
        <is>
          <t>X</t>
        </is>
      </c>
      <c r="D3332" s="29" t="n">
        <v>68</v>
      </c>
      <c r="E3332" s="237">
        <f>B3332*D3332/10000</f>
        <v/>
      </c>
      <c r="F3332" s="238">
        <f>B3332/30.48</f>
        <v/>
      </c>
      <c r="G3332" s="238">
        <f>D3332/30.48</f>
        <v/>
      </c>
      <c r="H3332" s="16" t="inlineStr">
        <is>
          <t>LR</t>
        </is>
      </c>
      <c r="I3332" s="294" t="inlineStr">
        <is>
          <t>Laura Guinn</t>
        </is>
      </c>
      <c r="J3332" s="9" t="n">
        <v>3373683325</v>
      </c>
    </row>
    <row r="3333" ht="18" customHeight="1" s="305">
      <c r="A3333" s="28" t="inlineStr">
        <is>
          <t>D 966</t>
        </is>
      </c>
      <c r="B3333" s="29" t="n">
        <v>49</v>
      </c>
      <c r="C3333" s="236" t="inlineStr">
        <is>
          <t>X</t>
        </is>
      </c>
      <c r="D3333" s="29" t="n">
        <v>108</v>
      </c>
      <c r="E3333" s="237">
        <f>B3333*D3333/10000</f>
        <v/>
      </c>
      <c r="F3333" s="238">
        <f>B3333/30.48</f>
        <v/>
      </c>
      <c r="G3333" s="238">
        <f>D3333/30.48</f>
        <v/>
      </c>
      <c r="H3333" s="16" t="inlineStr">
        <is>
          <t>LR</t>
        </is>
      </c>
      <c r="I3333" s="294" t="inlineStr">
        <is>
          <t>ILONKA HARRIS</t>
        </is>
      </c>
    </row>
    <row r="3334" ht="18" customHeight="1" s="305">
      <c r="A3334" s="28" t="inlineStr">
        <is>
          <t>D 840</t>
        </is>
      </c>
      <c r="B3334" s="29" t="n">
        <v>41</v>
      </c>
      <c r="C3334" s="236" t="inlineStr">
        <is>
          <t>X</t>
        </is>
      </c>
      <c r="D3334" s="29" t="n">
        <v>63</v>
      </c>
      <c r="E3334" s="237">
        <f>B3334*D3334/10000</f>
        <v/>
      </c>
      <c r="F3334" s="238">
        <f>B3334/30.48</f>
        <v/>
      </c>
      <c r="G3334" s="238">
        <f>D3334/30.48</f>
        <v/>
      </c>
      <c r="H3334" s="16" t="inlineStr">
        <is>
          <t>WCR</t>
        </is>
      </c>
      <c r="I3334" s="294" t="inlineStr">
        <is>
          <t>Alexandria Lutley</t>
        </is>
      </c>
    </row>
    <row r="3335" ht="18" customHeight="1" s="305">
      <c r="A3335" s="28" t="inlineStr">
        <is>
          <t>D 747</t>
        </is>
      </c>
      <c r="B3335" s="29" t="n">
        <v>42</v>
      </c>
      <c r="C3335" s="236" t="inlineStr">
        <is>
          <t>X</t>
        </is>
      </c>
      <c r="D3335" s="29" t="n">
        <v>73</v>
      </c>
      <c r="E3335" s="237">
        <f>B3335*D3335/10000</f>
        <v/>
      </c>
      <c r="F3335" s="238">
        <f>B3335/30.48</f>
        <v/>
      </c>
      <c r="G3335" s="238">
        <f>D3335/30.48</f>
        <v/>
      </c>
      <c r="H3335" s="16" t="inlineStr">
        <is>
          <t>WCR</t>
        </is>
      </c>
      <c r="I3335" s="294" t="inlineStr">
        <is>
          <t>Alayna Thomas</t>
        </is>
      </c>
    </row>
    <row r="3336" ht="18" customHeight="1" s="305">
      <c r="A3336" s="28" t="inlineStr">
        <is>
          <t>D 470</t>
        </is>
      </c>
      <c r="B3336" s="29" t="n">
        <v>38</v>
      </c>
      <c r="C3336" s="236" t="inlineStr">
        <is>
          <t>X</t>
        </is>
      </c>
      <c r="D3336" s="29" t="n">
        <v>74</v>
      </c>
      <c r="E3336" s="237">
        <f>B3336*D3336/10000</f>
        <v/>
      </c>
      <c r="F3336" s="238">
        <f>B3336/30.48</f>
        <v/>
      </c>
      <c r="G3336" s="238">
        <f>D3336/30.48</f>
        <v/>
      </c>
      <c r="H3336" s="16" t="inlineStr">
        <is>
          <t>WTR</t>
        </is>
      </c>
      <c r="I3336" s="294" t="inlineStr">
        <is>
          <t>ALLISON BROWN</t>
        </is>
      </c>
    </row>
    <row r="3337" ht="18" customHeight="1" s="305">
      <c r="A3337" s="8" t="inlineStr">
        <is>
          <t>D 442</t>
        </is>
      </c>
      <c r="B3337" s="5" t="n">
        <v>50</v>
      </c>
      <c r="C3337" s="72" t="inlineStr">
        <is>
          <t>X</t>
        </is>
      </c>
      <c r="D3337" s="5" t="n">
        <v>88</v>
      </c>
      <c r="E3337" s="73">
        <f>B3337*D3337/10000</f>
        <v/>
      </c>
      <c r="F3337" s="74">
        <f>B3337/30.48</f>
        <v/>
      </c>
      <c r="G3337" s="74">
        <f>D3337/30.48</f>
        <v/>
      </c>
      <c r="H3337" s="16" t="inlineStr">
        <is>
          <t>WTR</t>
        </is>
      </c>
      <c r="I3337" s="294" t="inlineStr">
        <is>
          <t>Pam Lagger</t>
        </is>
      </c>
    </row>
    <row r="3338" ht="18" customHeight="1" s="305">
      <c r="A3338" s="8" t="n">
        <v>3664</v>
      </c>
      <c r="B3338" s="5" t="n">
        <v>90</v>
      </c>
      <c r="C3338" s="72" t="inlineStr">
        <is>
          <t>X</t>
        </is>
      </c>
      <c r="D3338" s="5" t="n">
        <v>298</v>
      </c>
      <c r="E3338" s="73">
        <f>B3338*D3338/10000</f>
        <v/>
      </c>
      <c r="F3338" s="74">
        <f>B3338/30.48</f>
        <v/>
      </c>
      <c r="G3338" s="74">
        <f>D3338/30.48</f>
        <v/>
      </c>
      <c r="H3338" s="16" t="inlineStr">
        <is>
          <t>WLR</t>
        </is>
      </c>
      <c r="I3338" s="294" t="inlineStr">
        <is>
          <t>Terri Balbach</t>
        </is>
      </c>
    </row>
    <row r="3339" ht="18" customHeight="1" s="305">
      <c r="A3339" s="28" t="inlineStr">
        <is>
          <t>D 902</t>
        </is>
      </c>
      <c r="B3339" s="29" t="n">
        <v>51</v>
      </c>
      <c r="C3339" s="236" t="inlineStr">
        <is>
          <t>X</t>
        </is>
      </c>
      <c r="D3339" s="29" t="n">
        <v>80</v>
      </c>
      <c r="E3339" s="237">
        <f>B3339*D3339/10000</f>
        <v/>
      </c>
      <c r="F3339" s="238">
        <f>B3339/30.48</f>
        <v/>
      </c>
      <c r="G3339" s="238">
        <f>D3339/30.48</f>
        <v/>
      </c>
      <c r="H3339" s="16" t="inlineStr">
        <is>
          <t>WLR</t>
        </is>
      </c>
      <c r="I3339" s="294" t="inlineStr">
        <is>
          <t>Heather White</t>
        </is>
      </c>
    </row>
    <row r="3340" ht="18" customHeight="1" s="305">
      <c r="A3340" s="28" t="inlineStr">
        <is>
          <t>D 508</t>
        </is>
      </c>
      <c r="B3340" s="29" t="n">
        <v>56</v>
      </c>
      <c r="C3340" s="236" t="inlineStr">
        <is>
          <t>X</t>
        </is>
      </c>
      <c r="D3340" s="29" t="n">
        <v>58</v>
      </c>
      <c r="E3340" s="237">
        <f>B3340*D3340/10000</f>
        <v/>
      </c>
      <c r="F3340" s="238">
        <f>B3340/30.48</f>
        <v/>
      </c>
      <c r="G3340" s="238">
        <f>D3340/30.48</f>
        <v/>
      </c>
      <c r="H3340" s="16" t="inlineStr">
        <is>
          <t>LMX</t>
        </is>
      </c>
      <c r="I3340" s="294" t="inlineStr">
        <is>
          <t>Mady Tyler</t>
        </is>
      </c>
    </row>
    <row r="3341" ht="18" customHeight="1" s="305">
      <c r="A3341" s="28" t="inlineStr">
        <is>
          <t>D 797</t>
        </is>
      </c>
      <c r="B3341" s="29" t="n">
        <v>50</v>
      </c>
      <c r="C3341" s="236" t="inlineStr">
        <is>
          <t>X</t>
        </is>
      </c>
      <c r="D3341" s="29" t="n">
        <v>79</v>
      </c>
      <c r="E3341" s="237">
        <f>B3341*D3341/10000</f>
        <v/>
      </c>
      <c r="F3341" s="238">
        <f>B3341/30.48</f>
        <v/>
      </c>
      <c r="G3341" s="238">
        <f>D3341/30.48</f>
        <v/>
      </c>
      <c r="H3341" s="16" t="inlineStr">
        <is>
          <t>FRDİ</t>
        </is>
      </c>
      <c r="I3341" s="294" t="inlineStr">
        <is>
          <t>Amanda Keith</t>
        </is>
      </c>
    </row>
    <row r="3342" ht="18" customHeight="1" s="305">
      <c r="A3342" s="8" t="n">
        <v>4787</v>
      </c>
      <c r="B3342" s="5" t="n">
        <v>95</v>
      </c>
      <c r="C3342" s="72" t="inlineStr">
        <is>
          <t>X</t>
        </is>
      </c>
      <c r="D3342" s="5" t="n">
        <v>310</v>
      </c>
      <c r="E3342" s="73">
        <f>B3342*D3342/10000</f>
        <v/>
      </c>
      <c r="F3342" s="74">
        <f>B3342/30.48</f>
        <v/>
      </c>
      <c r="G3342" s="74">
        <f>D3342/30.48</f>
        <v/>
      </c>
      <c r="H3342" s="16" t="inlineStr">
        <is>
          <t>WLR</t>
        </is>
      </c>
      <c r="I3342" s="294" t="inlineStr">
        <is>
          <t>Branan White Design</t>
        </is>
      </c>
    </row>
    <row r="3343" ht="18" customHeight="1" s="305">
      <c r="A3343" s="8" t="n">
        <v>3743</v>
      </c>
      <c r="B3343" s="5" t="n">
        <v>294</v>
      </c>
      <c r="C3343" s="72" t="inlineStr">
        <is>
          <t>X</t>
        </is>
      </c>
      <c r="D3343" s="5" t="n">
        <v>398</v>
      </c>
      <c r="E3343" s="73">
        <f>B3343*D3343/10000</f>
        <v/>
      </c>
      <c r="F3343" s="74">
        <f>B3343/30.48</f>
        <v/>
      </c>
      <c r="G3343" s="74">
        <f>D3343/30.48</f>
        <v/>
      </c>
      <c r="H3343" s="16" t="inlineStr">
        <is>
          <t>BHR</t>
        </is>
      </c>
      <c r="I3343" s="294" t="inlineStr">
        <is>
          <t>Teresa Parrish</t>
        </is>
      </c>
    </row>
    <row r="3344" ht="18" customHeight="1" s="305">
      <c r="A3344" s="8" t="n">
        <v>3951</v>
      </c>
      <c r="B3344" s="5" t="n">
        <v>201</v>
      </c>
      <c r="C3344" s="72" t="inlineStr">
        <is>
          <t>X</t>
        </is>
      </c>
      <c r="D3344" s="5" t="n">
        <v>291</v>
      </c>
      <c r="E3344" s="73">
        <f>B3344*D3344/10000</f>
        <v/>
      </c>
      <c r="F3344" s="74">
        <f>B3344/30.48</f>
        <v/>
      </c>
      <c r="G3344" s="74">
        <f>D3344/30.48</f>
        <v/>
      </c>
      <c r="H3344" s="16" t="inlineStr">
        <is>
          <t>LLC</t>
        </is>
      </c>
      <c r="I3344" s="294" t="inlineStr">
        <is>
          <t>Charlotte Gannon</t>
        </is>
      </c>
    </row>
    <row r="3345" ht="18" customHeight="1" s="305">
      <c r="A3345" s="8" t="n">
        <v>2764</v>
      </c>
      <c r="B3345" s="5" t="n">
        <v>111</v>
      </c>
      <c r="C3345" s="72" t="inlineStr">
        <is>
          <t>X</t>
        </is>
      </c>
      <c r="D3345" s="5" t="n">
        <v>377</v>
      </c>
      <c r="E3345" s="73">
        <f>B3345*D3345/10000</f>
        <v/>
      </c>
      <c r="F3345" s="74">
        <f>B3345/30.48</f>
        <v/>
      </c>
      <c r="G3345" s="74">
        <f>D3345/30.48</f>
        <v/>
      </c>
      <c r="H3345" s="16" t="inlineStr">
        <is>
          <t>WTR</t>
        </is>
      </c>
      <c r="I3345" s="294" t="inlineStr">
        <is>
          <t>Karen Watson</t>
        </is>
      </c>
    </row>
    <row r="3346" ht="18" customHeight="1" s="305">
      <c r="A3346" s="8" t="inlineStr">
        <is>
          <t>İ-58</t>
        </is>
      </c>
      <c r="B3346" s="5" t="n">
        <v>281</v>
      </c>
      <c r="C3346" s="72" t="inlineStr">
        <is>
          <t>X</t>
        </is>
      </c>
      <c r="D3346" s="5" t="n">
        <v>379</v>
      </c>
      <c r="E3346" s="73">
        <f>B3346*D3346/10000</f>
        <v/>
      </c>
      <c r="F3346" s="74">
        <f>B3346/30.48</f>
        <v/>
      </c>
      <c r="G3346" s="74">
        <f>D3346/30.48</f>
        <v/>
      </c>
      <c r="H3346" s="16" t="inlineStr">
        <is>
          <t>WTR</t>
        </is>
      </c>
      <c r="I3346" s="21" t="inlineStr">
        <is>
          <t>Melanie Micozzi</t>
        </is>
      </c>
    </row>
    <row r="3347" ht="18" customHeight="1" s="305">
      <c r="A3347" s="8" t="inlineStr">
        <is>
          <t>C 999</t>
        </is>
      </c>
      <c r="B3347" s="5" t="n">
        <v>286</v>
      </c>
      <c r="C3347" s="6" t="inlineStr">
        <is>
          <t>X</t>
        </is>
      </c>
      <c r="D3347" s="5" t="n">
        <v>385</v>
      </c>
      <c r="E3347" s="2">
        <f>B3347*D3347/10000</f>
        <v/>
      </c>
      <c r="F3347" s="3">
        <f>B3347/30.48</f>
        <v/>
      </c>
      <c r="G3347" s="3">
        <f>D3347/30.48</f>
        <v/>
      </c>
      <c r="H3347" s="16" t="inlineStr">
        <is>
          <t>WTR</t>
        </is>
      </c>
      <c r="I3347" s="294" t="inlineStr">
        <is>
          <t>John Cole</t>
        </is>
      </c>
    </row>
    <row r="3348" ht="18" customHeight="1" s="305">
      <c r="A3348" s="8" t="inlineStr">
        <is>
          <t>B 58</t>
        </is>
      </c>
      <c r="B3348" s="5" t="n">
        <v>100</v>
      </c>
      <c r="C3348" s="6" t="inlineStr">
        <is>
          <t>X</t>
        </is>
      </c>
      <c r="D3348" s="5" t="n">
        <v>337</v>
      </c>
      <c r="E3348" s="2">
        <f>B3348*D3348/10000</f>
        <v/>
      </c>
      <c r="F3348" s="3">
        <f>B3348/30.48</f>
        <v/>
      </c>
      <c r="G3348" s="3">
        <f>D3348/30.48</f>
        <v/>
      </c>
      <c r="H3348" s="16" t="inlineStr">
        <is>
          <t>BHR</t>
        </is>
      </c>
      <c r="I3348" s="294" t="inlineStr">
        <is>
          <t>Alicia Piraka</t>
        </is>
      </c>
    </row>
    <row r="3349" ht="18" customHeight="1" s="305">
      <c r="A3349" s="8" t="inlineStr">
        <is>
          <t>D 80</t>
        </is>
      </c>
      <c r="B3349" s="5" t="n">
        <v>38</v>
      </c>
      <c r="C3349" s="72" t="inlineStr">
        <is>
          <t>X</t>
        </is>
      </c>
      <c r="D3349" s="5" t="n">
        <v>93</v>
      </c>
      <c r="E3349" s="73">
        <f>B3349*D3349/10000</f>
        <v/>
      </c>
      <c r="F3349" s="74">
        <f>B3349/30.48</f>
        <v/>
      </c>
      <c r="G3349" s="74">
        <f>D3349/30.48</f>
        <v/>
      </c>
      <c r="H3349" s="16" t="inlineStr">
        <is>
          <t>LMX</t>
        </is>
      </c>
      <c r="I3349" s="294" t="inlineStr">
        <is>
          <t>Kelsey Eads</t>
        </is>
      </c>
    </row>
    <row r="3350" ht="18" customHeight="1" s="305">
      <c r="A3350" s="8" t="n">
        <v>4811</v>
      </c>
      <c r="B3350" s="5" t="n">
        <v>99</v>
      </c>
      <c r="C3350" s="72" t="inlineStr">
        <is>
          <t>X</t>
        </is>
      </c>
      <c r="D3350" s="5" t="n">
        <v>291</v>
      </c>
      <c r="E3350" s="73">
        <f>B3350*D3350/10000</f>
        <v/>
      </c>
      <c r="F3350" s="74">
        <f>B3350/30.48</f>
        <v/>
      </c>
      <c r="G3350" s="74">
        <f>D3350/30.48</f>
        <v/>
      </c>
      <c r="H3350" s="614" t="inlineStr">
        <is>
          <t>WLR</t>
        </is>
      </c>
      <c r="I3350" s="721" t="inlineStr">
        <is>
          <t>leslie durrance</t>
        </is>
      </c>
    </row>
    <row r="3351" ht="18" customHeight="1" s="305">
      <c r="A3351" s="8" t="n">
        <v>3396</v>
      </c>
      <c r="B3351" s="5" t="n">
        <v>80</v>
      </c>
      <c r="C3351" s="72" t="inlineStr">
        <is>
          <t>X</t>
        </is>
      </c>
      <c r="D3351" s="5" t="n">
        <v>324</v>
      </c>
      <c r="E3351" s="73">
        <f>B3351*D3351/10000</f>
        <v/>
      </c>
      <c r="F3351" s="74">
        <f>B3351/30.48</f>
        <v/>
      </c>
      <c r="G3351" s="74">
        <f>D3351/30.48</f>
        <v/>
      </c>
      <c r="H3351" s="694" t="n"/>
      <c r="I3351" s="694" t="n"/>
    </row>
    <row r="3352" ht="18" customHeight="1" s="305">
      <c r="A3352" s="8" t="n">
        <v>3934</v>
      </c>
      <c r="B3352" s="5" t="n">
        <v>72</v>
      </c>
      <c r="C3352" s="72" t="inlineStr">
        <is>
          <t>X</t>
        </is>
      </c>
      <c r="D3352" s="5" t="n">
        <v>220</v>
      </c>
      <c r="E3352" s="73">
        <f>B3352*D3352/10000</f>
        <v/>
      </c>
      <c r="F3352" s="74">
        <f>B3352/30.48</f>
        <v/>
      </c>
      <c r="G3352" s="74">
        <f>D3352/30.48</f>
        <v/>
      </c>
      <c r="H3352" s="16" t="inlineStr">
        <is>
          <t>LLC</t>
        </is>
      </c>
      <c r="I3352" s="294" t="inlineStr">
        <is>
          <t>Leiah Lincon</t>
        </is>
      </c>
    </row>
    <row r="3353" ht="18" customHeight="1" s="305">
      <c r="A3353" s="8" t="n">
        <v>3853</v>
      </c>
      <c r="B3353" s="5" t="n">
        <v>96</v>
      </c>
      <c r="C3353" s="72" t="inlineStr">
        <is>
          <t>X</t>
        </is>
      </c>
      <c r="D3353" s="5" t="n">
        <v>195</v>
      </c>
      <c r="E3353" s="73">
        <f>B3353*D3353/10000</f>
        <v/>
      </c>
      <c r="F3353" s="74">
        <f>B3353/30.48</f>
        <v/>
      </c>
      <c r="G3353" s="74">
        <f>D3353/30.48</f>
        <v/>
      </c>
      <c r="H3353" s="16" t="inlineStr">
        <is>
          <t>LR</t>
        </is>
      </c>
      <c r="I3353" s="294" t="inlineStr">
        <is>
          <t>Ariel Saldivar</t>
        </is>
      </c>
    </row>
    <row r="3354" ht="18" customHeight="1" s="305">
      <c r="A3354" s="28" t="inlineStr">
        <is>
          <t>D 828</t>
        </is>
      </c>
      <c r="B3354" s="29" t="n">
        <v>45</v>
      </c>
      <c r="C3354" s="236" t="inlineStr">
        <is>
          <t>X</t>
        </is>
      </c>
      <c r="D3354" s="29" t="n">
        <v>99</v>
      </c>
      <c r="E3354" s="237">
        <f>B3354*D3354/10000</f>
        <v/>
      </c>
      <c r="F3354" s="238">
        <f>B3354/30.48</f>
        <v/>
      </c>
      <c r="G3354" s="238">
        <f>D3354/30.48</f>
        <v/>
      </c>
      <c r="H3354" s="16" t="inlineStr">
        <is>
          <t>WCR</t>
        </is>
      </c>
      <c r="I3354" s="294" t="inlineStr">
        <is>
          <t>Renata Martins</t>
        </is>
      </c>
    </row>
    <row r="3355" ht="18" customHeight="1" s="305">
      <c r="A3355" s="8" t="inlineStr">
        <is>
          <t>D 311</t>
        </is>
      </c>
      <c r="B3355" s="5" t="n">
        <v>44</v>
      </c>
      <c r="C3355" s="72" t="inlineStr">
        <is>
          <t>X</t>
        </is>
      </c>
      <c r="D3355" s="5" t="n">
        <v>88</v>
      </c>
      <c r="E3355" s="73">
        <f>B3355*D3355/10000</f>
        <v/>
      </c>
      <c r="F3355" s="74">
        <f>B3355/30.48</f>
        <v/>
      </c>
      <c r="G3355" s="74">
        <f>D3355/30.48</f>
        <v/>
      </c>
      <c r="H3355" s="16" t="inlineStr">
        <is>
          <t>WTR</t>
        </is>
      </c>
      <c r="I3355" s="294" t="inlineStr">
        <is>
          <t>graciela rivero</t>
        </is>
      </c>
    </row>
    <row r="3356" ht="18" customHeight="1" s="305">
      <c r="A3356" s="8" t="n">
        <v>3758</v>
      </c>
      <c r="B3356" s="5" t="n">
        <v>183</v>
      </c>
      <c r="C3356" s="72" t="inlineStr">
        <is>
          <t>X</t>
        </is>
      </c>
      <c r="D3356" s="5" t="n">
        <v>204</v>
      </c>
      <c r="E3356" s="73">
        <f>B3356*D3356/10000</f>
        <v/>
      </c>
      <c r="F3356" s="74">
        <f>B3356/30.48</f>
        <v/>
      </c>
      <c r="G3356" s="74">
        <f>D3356/30.48</f>
        <v/>
      </c>
      <c r="H3356" s="16" t="inlineStr">
        <is>
          <t>BHR</t>
        </is>
      </c>
      <c r="I3356" s="294" t="inlineStr">
        <is>
          <t>Alexandra Vaughan</t>
        </is>
      </c>
    </row>
    <row r="3357" ht="18" customHeight="1" s="305">
      <c r="A3357" s="8" t="n">
        <v>3581</v>
      </c>
      <c r="B3357" s="5" t="n">
        <v>90</v>
      </c>
      <c r="C3357" s="72" t="inlineStr">
        <is>
          <t>X</t>
        </is>
      </c>
      <c r="D3357" s="5" t="n">
        <v>279</v>
      </c>
      <c r="E3357" s="73">
        <f>B3357*D3357/10000</f>
        <v/>
      </c>
      <c r="F3357" s="74">
        <f>B3357/30.48</f>
        <v/>
      </c>
      <c r="G3357" s="74">
        <f>D3357/30.48</f>
        <v/>
      </c>
      <c r="H3357" s="16" t="inlineStr">
        <is>
          <t>LR</t>
        </is>
      </c>
      <c r="I3357" s="294" t="inlineStr">
        <is>
          <t>Rex Corley</t>
        </is>
      </c>
    </row>
    <row r="3358" ht="18" customHeight="1" s="305">
      <c r="A3358" s="8" t="n">
        <v>4276</v>
      </c>
      <c r="B3358" s="5" t="n">
        <v>73</v>
      </c>
      <c r="C3358" s="72" t="inlineStr">
        <is>
          <t>X</t>
        </is>
      </c>
      <c r="D3358" s="5" t="n">
        <v>209</v>
      </c>
      <c r="E3358" s="73">
        <f>B3358*D3358/10000</f>
        <v/>
      </c>
      <c r="F3358" s="74">
        <f>B3358/30.48</f>
        <v/>
      </c>
      <c r="G3358" s="74">
        <f>D3358/30.48</f>
        <v/>
      </c>
      <c r="H3358" s="16" t="inlineStr">
        <is>
          <t>MCHD</t>
        </is>
      </c>
    </row>
    <row r="3359" ht="18" customHeight="1" s="305">
      <c r="A3359" s="8" t="n">
        <v>667</v>
      </c>
      <c r="B3359" s="5" t="n">
        <v>300</v>
      </c>
      <c r="C3359" s="6" t="inlineStr">
        <is>
          <t>X</t>
        </is>
      </c>
      <c r="D3359" s="5" t="n">
        <v>195</v>
      </c>
      <c r="E3359" s="2">
        <f>B3359*D3359/10000</f>
        <v/>
      </c>
      <c r="F3359" s="3">
        <f>B3359/30.48</f>
        <v/>
      </c>
      <c r="G3359" s="3">
        <f>D3359/30.48</f>
        <v/>
      </c>
      <c r="H3359" s="16" t="inlineStr">
        <is>
          <t>HASAN</t>
        </is>
      </c>
      <c r="I3359" s="20" t="inlineStr">
        <is>
          <t>Gaziantep</t>
        </is>
      </c>
    </row>
    <row r="3360" ht="18" customHeight="1" s="305">
      <c r="A3360" s="8" t="n">
        <v>1116</v>
      </c>
      <c r="B3360" s="5" t="n">
        <v>119</v>
      </c>
      <c r="C3360" s="72" t="inlineStr">
        <is>
          <t>X</t>
        </is>
      </c>
      <c r="D3360" s="5" t="n">
        <v>202</v>
      </c>
      <c r="E3360" s="73">
        <f>B3360*D3360/10000</f>
        <v/>
      </c>
      <c r="F3360" s="74">
        <f>B3360/30.48</f>
        <v/>
      </c>
      <c r="G3360" s="74">
        <f>D3360/30.48</f>
        <v/>
      </c>
      <c r="H3360" s="693" t="n"/>
      <c r="I3360" s="693" t="n"/>
    </row>
    <row r="3361" ht="18" customHeight="1" s="305">
      <c r="A3361" s="8" t="n">
        <v>1384</v>
      </c>
      <c r="B3361" s="5" t="n">
        <v>117</v>
      </c>
      <c r="C3361" s="72" t="inlineStr">
        <is>
          <t>X</t>
        </is>
      </c>
      <c r="D3361" s="5" t="n">
        <v>201</v>
      </c>
      <c r="E3361" s="73">
        <f>B3361*D3361/10000</f>
        <v/>
      </c>
      <c r="F3361" s="74">
        <f>B3361/30.48</f>
        <v/>
      </c>
      <c r="G3361" s="74">
        <f>D3361/30.48</f>
        <v/>
      </c>
      <c r="H3361" s="693" t="n"/>
      <c r="I3361" s="693" t="n"/>
    </row>
    <row r="3362" ht="18" customHeight="1" s="305">
      <c r="A3362" s="8" t="n">
        <v>1856</v>
      </c>
      <c r="B3362" s="5" t="n">
        <v>88</v>
      </c>
      <c r="C3362" s="72" t="inlineStr">
        <is>
          <t>X</t>
        </is>
      </c>
      <c r="D3362" s="5" t="n">
        <v>303</v>
      </c>
      <c r="E3362" s="73">
        <f>B3362*D3362/10000</f>
        <v/>
      </c>
      <c r="F3362" s="74">
        <f>B3362/30.48</f>
        <v/>
      </c>
      <c r="G3362" s="74">
        <f>D3362/30.48</f>
        <v/>
      </c>
      <c r="H3362" s="693" t="n"/>
      <c r="I3362" s="693" t="n"/>
    </row>
    <row r="3363" ht="18" customHeight="1" s="305">
      <c r="A3363" s="8" t="n">
        <v>2409</v>
      </c>
      <c r="B3363" s="5" t="n">
        <v>164</v>
      </c>
      <c r="C3363" s="72" t="inlineStr">
        <is>
          <t>X</t>
        </is>
      </c>
      <c r="D3363" s="5" t="n">
        <v>283</v>
      </c>
      <c r="E3363" s="73">
        <f>B3363*D3363/10000</f>
        <v/>
      </c>
      <c r="F3363" s="74">
        <f>B3363/30.48</f>
        <v/>
      </c>
      <c r="G3363" s="74">
        <f>D3363/30.48</f>
        <v/>
      </c>
      <c r="H3363" s="693" t="n"/>
      <c r="I3363" s="693" t="n"/>
    </row>
    <row r="3364" ht="18" customHeight="1" s="305">
      <c r="A3364" s="8" t="n">
        <v>2771</v>
      </c>
      <c r="B3364" s="5" t="n">
        <v>114</v>
      </c>
      <c r="C3364" s="72" t="inlineStr">
        <is>
          <t>X</t>
        </is>
      </c>
      <c r="D3364" s="5" t="n">
        <v>174</v>
      </c>
      <c r="E3364" s="73">
        <f>B3364*D3364/10000</f>
        <v/>
      </c>
      <c r="F3364" s="74">
        <f>B3364/30.48</f>
        <v/>
      </c>
      <c r="G3364" s="74">
        <f>D3364/30.48</f>
        <v/>
      </c>
      <c r="H3364" s="693" t="n"/>
      <c r="I3364" s="693" t="n"/>
    </row>
    <row r="3365" ht="18" customHeight="1" s="305">
      <c r="A3365" s="8" t="n">
        <v>2778</v>
      </c>
      <c r="B3365" s="5" t="n">
        <v>114</v>
      </c>
      <c r="C3365" s="72" t="inlineStr">
        <is>
          <t>X</t>
        </is>
      </c>
      <c r="D3365" s="5" t="n">
        <v>192</v>
      </c>
      <c r="E3365" s="73">
        <f>B3365*D3365/10000</f>
        <v/>
      </c>
      <c r="F3365" s="74">
        <f>B3365/30.48</f>
        <v/>
      </c>
      <c r="G3365" s="74">
        <f>D3365/30.48</f>
        <v/>
      </c>
      <c r="H3365" s="693" t="n"/>
      <c r="I3365" s="693" t="n"/>
    </row>
    <row r="3366" ht="18" customHeight="1" s="305">
      <c r="A3366" s="8" t="n">
        <v>3331</v>
      </c>
      <c r="B3366" s="5" t="n">
        <v>117</v>
      </c>
      <c r="C3366" s="72" t="inlineStr">
        <is>
          <t>X</t>
        </is>
      </c>
      <c r="D3366" s="5" t="n">
        <v>180</v>
      </c>
      <c r="E3366" s="73">
        <f>B3366*D3366/10000</f>
        <v/>
      </c>
      <c r="F3366" s="74">
        <f>B3366/30.48</f>
        <v/>
      </c>
      <c r="G3366" s="74">
        <f>D3366/30.48</f>
        <v/>
      </c>
      <c r="H3366" s="693" t="n"/>
      <c r="I3366" s="693" t="n"/>
    </row>
    <row r="3367" ht="18" customHeight="1" s="305">
      <c r="A3367" s="8" t="inlineStr">
        <is>
          <t>B 1</t>
        </is>
      </c>
      <c r="B3367" s="5" t="n">
        <v>183</v>
      </c>
      <c r="C3367" s="6" t="inlineStr">
        <is>
          <t>X</t>
        </is>
      </c>
      <c r="D3367" s="5" t="n">
        <v>278</v>
      </c>
      <c r="E3367" s="2">
        <f>B3367*D3367/10000</f>
        <v/>
      </c>
      <c r="F3367" s="3">
        <f>B3367/30.48</f>
        <v/>
      </c>
      <c r="G3367" s="3">
        <f>D3367/30.48</f>
        <v/>
      </c>
      <c r="H3367" s="693" t="n"/>
      <c r="I3367" s="693" t="n"/>
    </row>
    <row r="3368" ht="18" customHeight="1" s="305">
      <c r="A3368" s="8" t="inlineStr">
        <is>
          <t>B 17</t>
        </is>
      </c>
      <c r="B3368" s="5" t="n">
        <v>177</v>
      </c>
      <c r="C3368" s="6" t="inlineStr">
        <is>
          <t>X</t>
        </is>
      </c>
      <c r="D3368" s="5" t="n">
        <v>265</v>
      </c>
      <c r="E3368" s="2">
        <f>B3368*D3368/10000</f>
        <v/>
      </c>
      <c r="F3368" s="3">
        <f>B3368/30.48</f>
        <v/>
      </c>
      <c r="G3368" s="3">
        <f>D3368/30.48</f>
        <v/>
      </c>
      <c r="H3368" s="693" t="n"/>
      <c r="I3368" s="693" t="n"/>
    </row>
    <row r="3369" ht="18" customHeight="1" s="305">
      <c r="A3369" s="8" t="inlineStr">
        <is>
          <t>B 37</t>
        </is>
      </c>
      <c r="B3369" s="5" t="n">
        <v>198</v>
      </c>
      <c r="C3369" s="6" t="inlineStr">
        <is>
          <t>X</t>
        </is>
      </c>
      <c r="D3369" s="5" t="n">
        <v>290</v>
      </c>
      <c r="E3369" s="2">
        <f>B3369*D3369/10000</f>
        <v/>
      </c>
      <c r="F3369" s="3">
        <f>B3369/30.48</f>
        <v/>
      </c>
      <c r="G3369" s="3">
        <f>D3369/30.48</f>
        <v/>
      </c>
      <c r="H3369" s="693" t="n"/>
      <c r="I3369" s="693" t="n"/>
    </row>
    <row r="3370" ht="18" customHeight="1" s="305">
      <c r="A3370" s="8" t="inlineStr">
        <is>
          <t>B 41</t>
        </is>
      </c>
      <c r="B3370" s="5" t="n">
        <v>194</v>
      </c>
      <c r="C3370" s="6" t="inlineStr">
        <is>
          <t>X</t>
        </is>
      </c>
      <c r="D3370" s="5" t="n">
        <v>286</v>
      </c>
      <c r="E3370" s="2">
        <f>B3370*D3370/10000</f>
        <v/>
      </c>
      <c r="F3370" s="3">
        <f>B3370/30.48</f>
        <v/>
      </c>
      <c r="G3370" s="3">
        <f>D3370/30.48</f>
        <v/>
      </c>
      <c r="H3370" s="693" t="n"/>
      <c r="I3370" s="693" t="n"/>
    </row>
    <row r="3371" ht="18" customHeight="1" s="305">
      <c r="A3371" s="8" t="inlineStr">
        <is>
          <t>B 47</t>
        </is>
      </c>
      <c r="B3371" s="5" t="n">
        <v>190</v>
      </c>
      <c r="C3371" s="6" t="inlineStr">
        <is>
          <t>X</t>
        </is>
      </c>
      <c r="D3371" s="5" t="n">
        <v>296</v>
      </c>
      <c r="E3371" s="2">
        <f>B3371*D3371/10000</f>
        <v/>
      </c>
      <c r="F3371" s="3">
        <f>B3371/30.48</f>
        <v/>
      </c>
      <c r="G3371" s="3">
        <f>D3371/30.48</f>
        <v/>
      </c>
      <c r="H3371" s="693" t="n"/>
      <c r="I3371" s="693" t="n"/>
    </row>
    <row r="3372" ht="18" customHeight="1" s="305">
      <c r="A3372" s="8" t="inlineStr">
        <is>
          <t>B 52</t>
        </is>
      </c>
      <c r="B3372" s="5" t="n">
        <v>205</v>
      </c>
      <c r="C3372" s="6" t="inlineStr">
        <is>
          <t>X</t>
        </is>
      </c>
      <c r="D3372" s="5" t="n">
        <v>295</v>
      </c>
      <c r="E3372" s="2">
        <f>B3372*D3372/10000</f>
        <v/>
      </c>
      <c r="F3372" s="3">
        <f>B3372/30.48</f>
        <v/>
      </c>
      <c r="G3372" s="3">
        <f>D3372/30.48</f>
        <v/>
      </c>
      <c r="H3372" s="693" t="n"/>
      <c r="I3372" s="693" t="n"/>
    </row>
    <row r="3373" ht="18" customHeight="1" s="305">
      <c r="A3373" s="8" t="inlineStr">
        <is>
          <t>B 70</t>
        </is>
      </c>
      <c r="B3373" s="5" t="n">
        <v>190</v>
      </c>
      <c r="C3373" s="72" t="inlineStr">
        <is>
          <t>X</t>
        </is>
      </c>
      <c r="D3373" s="5" t="n">
        <v>300</v>
      </c>
      <c r="E3373" s="73">
        <f>B3373*D3373/10000</f>
        <v/>
      </c>
      <c r="F3373" s="74">
        <f>B3373/30.48</f>
        <v/>
      </c>
      <c r="G3373" s="74">
        <f>D3373/30.48</f>
        <v/>
      </c>
      <c r="H3373" s="693" t="n"/>
      <c r="I3373" s="693" t="n"/>
    </row>
    <row r="3374" ht="18" customHeight="1" s="305">
      <c r="A3374" s="8" t="inlineStr">
        <is>
          <t>B 74</t>
        </is>
      </c>
      <c r="B3374" s="5" t="n">
        <v>161</v>
      </c>
      <c r="C3374" s="6" t="inlineStr">
        <is>
          <t>X</t>
        </is>
      </c>
      <c r="D3374" s="5" t="n">
        <v>272</v>
      </c>
      <c r="E3374" s="2">
        <f>B3374*D3374/10000</f>
        <v/>
      </c>
      <c r="F3374" s="3">
        <f>B3374/30.48</f>
        <v/>
      </c>
      <c r="G3374" s="3">
        <f>D3374/30.48</f>
        <v/>
      </c>
      <c r="H3374" s="693" t="n"/>
      <c r="I3374" s="693" t="n"/>
    </row>
    <row r="3375" ht="18" customHeight="1" s="305">
      <c r="A3375" s="8" t="inlineStr">
        <is>
          <t>B 84</t>
        </is>
      </c>
      <c r="B3375" s="5" t="n">
        <v>180</v>
      </c>
      <c r="C3375" s="6" t="inlineStr">
        <is>
          <t>X</t>
        </is>
      </c>
      <c r="D3375" s="5" t="n">
        <v>286</v>
      </c>
      <c r="E3375" s="2">
        <f>B3375*D3375/10000</f>
        <v/>
      </c>
      <c r="F3375" s="3">
        <f>B3375/30.48</f>
        <v/>
      </c>
      <c r="G3375" s="3">
        <f>D3375/30.48</f>
        <v/>
      </c>
      <c r="H3375" s="693" t="n"/>
      <c r="I3375" s="693" t="n"/>
    </row>
    <row r="3376" ht="18" customHeight="1" s="305">
      <c r="A3376" s="8" t="inlineStr">
        <is>
          <t>B 85</t>
        </is>
      </c>
      <c r="B3376" s="5" t="n">
        <v>181</v>
      </c>
      <c r="C3376" s="6" t="inlineStr">
        <is>
          <t>X</t>
        </is>
      </c>
      <c r="D3376" s="5" t="n">
        <v>300</v>
      </c>
      <c r="E3376" s="2">
        <f>B3376*D3376/10000</f>
        <v/>
      </c>
      <c r="F3376" s="3">
        <f>B3376/30.48</f>
        <v/>
      </c>
      <c r="G3376" s="3">
        <f>D3376/30.48</f>
        <v/>
      </c>
      <c r="H3376" s="693" t="n"/>
      <c r="I3376" s="693" t="n"/>
    </row>
    <row r="3377" ht="18" customHeight="1" s="305">
      <c r="A3377" s="8" t="inlineStr">
        <is>
          <t>B 163</t>
        </is>
      </c>
      <c r="B3377" s="5" t="n">
        <v>112</v>
      </c>
      <c r="C3377" s="72" t="inlineStr">
        <is>
          <t>X</t>
        </is>
      </c>
      <c r="D3377" s="5" t="n">
        <v>197</v>
      </c>
      <c r="E3377" s="73">
        <f>B3377*D3377/10000</f>
        <v/>
      </c>
      <c r="F3377" s="74">
        <f>B3377/30.48</f>
        <v/>
      </c>
      <c r="G3377" s="74">
        <f>D3377/30.48</f>
        <v/>
      </c>
      <c r="H3377" s="693" t="n"/>
      <c r="I3377" s="693" t="n"/>
    </row>
    <row r="3378" ht="18" customHeight="1" s="305">
      <c r="A3378" s="8" t="inlineStr">
        <is>
          <t>C 425</t>
        </is>
      </c>
      <c r="B3378" s="5" t="n">
        <v>110</v>
      </c>
      <c r="C3378" s="6" t="inlineStr">
        <is>
          <t>X</t>
        </is>
      </c>
      <c r="D3378" s="5" t="n">
        <v>200</v>
      </c>
      <c r="E3378" s="2">
        <f>B3378*D3378/10000</f>
        <v/>
      </c>
      <c r="F3378" s="3">
        <f>B3378/30.48</f>
        <v/>
      </c>
      <c r="G3378" s="3">
        <f>D3378/30.48</f>
        <v/>
      </c>
      <c r="H3378" s="694" t="n"/>
      <c r="I3378" s="694" t="n"/>
    </row>
    <row r="3379" ht="18" customHeight="1" s="305">
      <c r="A3379" s="8" t="n">
        <v>1736</v>
      </c>
      <c r="B3379" s="5" t="n">
        <v>222</v>
      </c>
      <c r="C3379" s="72" t="inlineStr">
        <is>
          <t>X</t>
        </is>
      </c>
      <c r="D3379" s="5" t="n">
        <v>318</v>
      </c>
      <c r="E3379" s="73">
        <f>B3379*D3379/10000</f>
        <v/>
      </c>
      <c r="F3379" s="74">
        <f>B3379/30.48</f>
        <v/>
      </c>
      <c r="G3379" s="74">
        <f>D3379/30.48</f>
        <v/>
      </c>
      <c r="H3379" s="16" t="inlineStr">
        <is>
          <t>WTR</t>
        </is>
      </c>
      <c r="I3379" s="294" t="inlineStr">
        <is>
          <t>nadia kahil</t>
        </is>
      </c>
      <c r="J3379" s="9" t="inlineStr">
        <is>
          <t>+1 951 500 2623</t>
        </is>
      </c>
    </row>
    <row r="3380" ht="18" customHeight="1" s="305">
      <c r="A3380" s="8" t="n">
        <v>2282</v>
      </c>
      <c r="B3380" s="5" t="n">
        <v>139</v>
      </c>
      <c r="C3380" s="72" t="inlineStr">
        <is>
          <t>X</t>
        </is>
      </c>
      <c r="D3380" s="5" t="n">
        <v>239</v>
      </c>
      <c r="E3380" s="73">
        <f>B3380*D3380/10000</f>
        <v/>
      </c>
      <c r="F3380" s="74">
        <f>B3380/30.48</f>
        <v/>
      </c>
      <c r="G3380" s="74">
        <f>D3380/30.48</f>
        <v/>
      </c>
      <c r="H3380" s="16" t="inlineStr">
        <is>
          <t>WLR</t>
        </is>
      </c>
      <c r="I3380" s="294" t="inlineStr">
        <is>
          <t>Rebecca Schultheis</t>
        </is>
      </c>
    </row>
    <row r="3381" ht="18" customHeight="1" s="305">
      <c r="A3381" s="8" t="n">
        <v>4121</v>
      </c>
      <c r="B3381" s="5" t="n">
        <v>85</v>
      </c>
      <c r="C3381" s="72" t="inlineStr">
        <is>
          <t>X</t>
        </is>
      </c>
      <c r="D3381" s="5" t="n">
        <v>225</v>
      </c>
      <c r="E3381" s="73">
        <f>B3381*D3381/10000</f>
        <v/>
      </c>
      <c r="F3381" s="74">
        <f>B3381/30.48</f>
        <v/>
      </c>
      <c r="G3381" s="74">
        <f>D3381/30.48</f>
        <v/>
      </c>
      <c r="H3381" s="16" t="inlineStr">
        <is>
          <t>PATCH</t>
        </is>
      </c>
      <c r="I3381" s="294" t="inlineStr">
        <is>
          <t>Kate Marker Interiors</t>
        </is>
      </c>
    </row>
    <row r="3382" ht="18" customHeight="1" s="305">
      <c r="A3382" s="8" t="n">
        <v>2601</v>
      </c>
      <c r="B3382" s="5" t="n">
        <v>77</v>
      </c>
      <c r="C3382" s="72" t="inlineStr">
        <is>
          <t>X</t>
        </is>
      </c>
      <c r="D3382" s="5" t="n">
        <v>295</v>
      </c>
      <c r="E3382" s="73">
        <f>B3382*D3382/10000</f>
        <v/>
      </c>
      <c r="F3382" s="74">
        <f>B3382/30.48</f>
        <v/>
      </c>
      <c r="G3382" s="74">
        <f>D3382/30.48</f>
        <v/>
      </c>
      <c r="H3382" s="16" t="inlineStr">
        <is>
          <t>WTR</t>
        </is>
      </c>
      <c r="I3382" s="439" t="inlineStr">
        <is>
          <t>Aaron Tanner</t>
        </is>
      </c>
    </row>
    <row r="3383" ht="18" customHeight="1" s="305">
      <c r="A3383" s="8" t="n">
        <v>3387</v>
      </c>
      <c r="B3383" s="5" t="n">
        <v>77</v>
      </c>
      <c r="C3383" s="72" t="inlineStr">
        <is>
          <t>X</t>
        </is>
      </c>
      <c r="D3383" s="5" t="n">
        <v>291</v>
      </c>
      <c r="E3383" s="73">
        <f>B3383*D3383/10000</f>
        <v/>
      </c>
      <c r="F3383" s="74">
        <f>B3383/30.48</f>
        <v/>
      </c>
      <c r="G3383" s="74">
        <f>D3383/30.48</f>
        <v/>
      </c>
      <c r="H3383" s="16" t="inlineStr">
        <is>
          <t>LLC</t>
        </is>
      </c>
      <c r="I3383" s="294" t="inlineStr">
        <is>
          <t>Josie Stern</t>
        </is>
      </c>
    </row>
    <row r="3384" ht="18" customHeight="1" s="305">
      <c r="A3384" s="8" t="n">
        <v>4046</v>
      </c>
      <c r="B3384" s="5" t="n">
        <v>52</v>
      </c>
      <c r="C3384" s="72" t="inlineStr">
        <is>
          <t>X</t>
        </is>
      </c>
      <c r="D3384" s="5" t="n">
        <v>165</v>
      </c>
      <c r="E3384" s="73">
        <f>B3384*D3384/10000</f>
        <v/>
      </c>
      <c r="F3384" s="74">
        <f>B3384/30.48</f>
        <v/>
      </c>
      <c r="G3384" s="74">
        <f>D3384/30.48</f>
        <v/>
      </c>
      <c r="H3384" s="16" t="inlineStr">
        <is>
          <t>WTR</t>
        </is>
      </c>
      <c r="I3384" s="294" t="inlineStr">
        <is>
          <t>Pamela Bailey</t>
        </is>
      </c>
    </row>
    <row r="3385" ht="18" customHeight="1" s="305">
      <c r="A3385" s="28" t="inlineStr">
        <is>
          <t>D 905</t>
        </is>
      </c>
      <c r="B3385" s="29" t="n">
        <v>54</v>
      </c>
      <c r="C3385" s="236" t="inlineStr">
        <is>
          <t>X</t>
        </is>
      </c>
      <c r="D3385" s="29" t="n">
        <v>91</v>
      </c>
      <c r="E3385" s="237">
        <f>B3385*D3385/10000</f>
        <v/>
      </c>
      <c r="F3385" s="238">
        <f>B3385/30.48</f>
        <v/>
      </c>
      <c r="G3385" s="238">
        <f>D3385/30.48</f>
        <v/>
      </c>
      <c r="H3385" s="16" t="inlineStr">
        <is>
          <t>WCR</t>
        </is>
      </c>
      <c r="I3385" s="294" t="inlineStr">
        <is>
          <t>Taylor Jones</t>
        </is>
      </c>
    </row>
    <row r="3386" ht="18" customHeight="1" s="305">
      <c r="A3386" s="28" t="inlineStr">
        <is>
          <t>D 1117</t>
        </is>
      </c>
      <c r="B3386" s="29" t="n">
        <v>53</v>
      </c>
      <c r="C3386" s="236" t="inlineStr">
        <is>
          <t>X</t>
        </is>
      </c>
      <c r="D3386" s="29" t="n">
        <v>100</v>
      </c>
      <c r="E3386" s="237">
        <f>B3386*D3386/10000</f>
        <v/>
      </c>
      <c r="F3386" s="238">
        <f>B3386/30.48</f>
        <v/>
      </c>
      <c r="G3386" s="238">
        <f>D3386/30.48</f>
        <v/>
      </c>
      <c r="H3386" s="16" t="inlineStr">
        <is>
          <t>WLR</t>
        </is>
      </c>
      <c r="I3386" s="702" t="inlineStr">
        <is>
          <t>Hayat Elsamannoudi</t>
        </is>
      </c>
      <c r="J3386" s="9" t="inlineStr">
        <is>
          <t>+1 240 506 7357</t>
        </is>
      </c>
    </row>
    <row r="3387" ht="18" customHeight="1" s="305">
      <c r="A3387" s="28" t="inlineStr">
        <is>
          <t>D 888</t>
        </is>
      </c>
      <c r="B3387" s="29" t="n">
        <v>58</v>
      </c>
      <c r="C3387" s="236" t="inlineStr">
        <is>
          <t>X</t>
        </is>
      </c>
      <c r="D3387" s="29" t="n">
        <v>89</v>
      </c>
      <c r="E3387" s="237">
        <f>B3387*D3387/10000</f>
        <v/>
      </c>
      <c r="F3387" s="238">
        <f>B3387/30.48</f>
        <v/>
      </c>
      <c r="G3387" s="238">
        <f>D3387/30.48</f>
        <v/>
      </c>
      <c r="H3387" s="694" t="n"/>
      <c r="I3387" s="694" t="n"/>
      <c r="J3387" s="694" t="n"/>
    </row>
    <row r="3388" ht="18" customHeight="1" s="305">
      <c r="A3388" s="8" t="n">
        <v>4805</v>
      </c>
      <c r="B3388" s="5" t="n">
        <v>113</v>
      </c>
      <c r="C3388" s="72" t="inlineStr">
        <is>
          <t>X</t>
        </is>
      </c>
      <c r="D3388" s="5" t="n">
        <v>312</v>
      </c>
      <c r="E3388" s="73">
        <f>B3388*D3388/10000</f>
        <v/>
      </c>
      <c r="F3388" s="74">
        <f>B3388/30.48</f>
        <v/>
      </c>
      <c r="G3388" s="74">
        <f>D3388/30.48</f>
        <v/>
      </c>
      <c r="H3388" s="16" t="inlineStr">
        <is>
          <t>WLR</t>
        </is>
      </c>
      <c r="I3388" s="294" t="inlineStr">
        <is>
          <t>Krisja l graves</t>
        </is>
      </c>
    </row>
    <row r="3389" ht="18" customHeight="1" s="305">
      <c r="A3389" s="28" t="inlineStr">
        <is>
          <t>D 500</t>
        </is>
      </c>
      <c r="B3389" s="29" t="n">
        <v>50</v>
      </c>
      <c r="C3389" s="236" t="inlineStr">
        <is>
          <t>X</t>
        </is>
      </c>
      <c r="D3389" s="29" t="n">
        <v>86</v>
      </c>
      <c r="E3389" s="237">
        <f>B3389*D3389/10000</f>
        <v/>
      </c>
      <c r="F3389" s="238">
        <f>B3389/30.48</f>
        <v/>
      </c>
      <c r="G3389" s="238">
        <f>D3389/30.48</f>
        <v/>
      </c>
      <c r="H3389" s="16" t="inlineStr">
        <is>
          <t>LMX</t>
        </is>
      </c>
      <c r="I3389" s="294" t="inlineStr">
        <is>
          <t>Jena Hattendorf</t>
        </is>
      </c>
    </row>
    <row r="3390" ht="18" customHeight="1" s="305">
      <c r="A3390" s="8" t="inlineStr">
        <is>
          <t>D 295</t>
        </is>
      </c>
      <c r="B3390" s="5" t="n">
        <v>49</v>
      </c>
      <c r="C3390" s="72" t="inlineStr">
        <is>
          <t>X</t>
        </is>
      </c>
      <c r="D3390" s="5" t="n">
        <v>88</v>
      </c>
      <c r="E3390" s="73">
        <f>B3390*D3390/10000</f>
        <v/>
      </c>
      <c r="F3390" s="74">
        <f>B3390/30.48</f>
        <v/>
      </c>
      <c r="G3390" s="74">
        <f>D3390/30.48</f>
        <v/>
      </c>
      <c r="H3390" s="16" t="inlineStr">
        <is>
          <t>LMX</t>
        </is>
      </c>
      <c r="I3390" s="294" t="inlineStr">
        <is>
          <t>Courtney Deutsch</t>
        </is>
      </c>
    </row>
    <row r="3391" ht="18" customHeight="1" s="305">
      <c r="A3391" s="8" t="n">
        <v>2068</v>
      </c>
      <c r="B3391" s="5" t="n">
        <v>87</v>
      </c>
      <c r="C3391" s="72" t="inlineStr">
        <is>
          <t>X</t>
        </is>
      </c>
      <c r="D3391" s="5" t="n">
        <v>345</v>
      </c>
      <c r="E3391" s="73">
        <f>B3391*D3391/10000</f>
        <v/>
      </c>
      <c r="F3391" s="74">
        <f>B3391/30.48</f>
        <v/>
      </c>
      <c r="G3391" s="74">
        <f>D3391/30.48</f>
        <v/>
      </c>
      <c r="H3391" s="16" t="inlineStr">
        <is>
          <t>PATCH</t>
        </is>
      </c>
      <c r="I3391" s="435" t="inlineStr">
        <is>
          <t>Kristen Penrod</t>
        </is>
      </c>
    </row>
    <row r="3392" ht="18" customHeight="1" s="305">
      <c r="A3392" s="8" t="inlineStr">
        <is>
          <t>İ-76</t>
        </is>
      </c>
      <c r="B3392" s="5" t="n">
        <v>243</v>
      </c>
      <c r="C3392" s="72" t="inlineStr">
        <is>
          <t>X</t>
        </is>
      </c>
      <c r="D3392" s="5" t="n">
        <v>331</v>
      </c>
      <c r="E3392" s="73">
        <f>B3392*D3392/10000</f>
        <v/>
      </c>
      <c r="F3392" s="74" t="n"/>
      <c r="G3392" s="74">
        <f>D3392/30.48</f>
        <v/>
      </c>
      <c r="H3392" s="16" t="inlineStr">
        <is>
          <t>LLC</t>
        </is>
      </c>
      <c r="I3392" s="21" t="inlineStr">
        <is>
          <t>Monica Brenneman</t>
        </is>
      </c>
    </row>
    <row r="3393" ht="18" customHeight="1" s="305">
      <c r="A3393" s="8" t="n">
        <v>4736</v>
      </c>
      <c r="B3393" s="5" t="n">
        <v>103</v>
      </c>
      <c r="C3393" s="72" t="inlineStr">
        <is>
          <t>X</t>
        </is>
      </c>
      <c r="D3393" s="5" t="n">
        <v>292</v>
      </c>
      <c r="E3393" s="73">
        <f>B3393*D3393/10000</f>
        <v/>
      </c>
      <c r="F3393" s="74">
        <f>B3393/30.48</f>
        <v/>
      </c>
      <c r="G3393" s="74">
        <f>D3393/30.48</f>
        <v/>
      </c>
      <c r="H3393" s="16" t="inlineStr">
        <is>
          <t>WCR</t>
        </is>
      </c>
      <c r="I3393" s="294" t="inlineStr">
        <is>
          <t>ERIN BIRD</t>
        </is>
      </c>
      <c r="J3393" s="9" t="inlineStr">
        <is>
          <t>(780) 983-0163</t>
        </is>
      </c>
    </row>
    <row r="3394" ht="18" customHeight="1" s="305">
      <c r="A3394" s="28" t="inlineStr">
        <is>
          <t>D 851</t>
        </is>
      </c>
      <c r="B3394" s="29" t="n">
        <v>45</v>
      </c>
      <c r="C3394" s="236" t="inlineStr">
        <is>
          <t>X</t>
        </is>
      </c>
      <c r="D3394" s="29" t="n">
        <v>88</v>
      </c>
      <c r="E3394" s="237">
        <f>B3394*D3394/10000</f>
        <v/>
      </c>
      <c r="F3394" s="238">
        <f>B3394/30.48</f>
        <v/>
      </c>
      <c r="G3394" s="238">
        <f>D3394/30.48</f>
        <v/>
      </c>
      <c r="H3394" s="16" t="inlineStr">
        <is>
          <t>WCR</t>
        </is>
      </c>
      <c r="I3394" s="294" t="inlineStr">
        <is>
          <t>Sandy Miller</t>
        </is>
      </c>
    </row>
    <row r="3395" ht="18" customHeight="1" s="305">
      <c r="A3395" s="8" t="n">
        <v>3238</v>
      </c>
      <c r="B3395" s="5" t="n">
        <v>69</v>
      </c>
      <c r="C3395" s="72" t="inlineStr">
        <is>
          <t>X</t>
        </is>
      </c>
      <c r="D3395" s="5" t="n">
        <v>320</v>
      </c>
      <c r="E3395" s="73">
        <f>B3395*D3395/10000</f>
        <v/>
      </c>
      <c r="F3395" s="74">
        <f>B3395/30.48</f>
        <v/>
      </c>
      <c r="G3395" s="74">
        <f>D3395/30.48</f>
        <v/>
      </c>
      <c r="H3395" s="16" t="inlineStr">
        <is>
          <t>LLC</t>
        </is>
      </c>
      <c r="I3395" s="294" t="inlineStr">
        <is>
          <t>Elizabeth Wolff</t>
        </is>
      </c>
    </row>
    <row r="3396" ht="18" customHeight="1" s="305">
      <c r="A3396" s="8" t="n">
        <v>3580</v>
      </c>
      <c r="B3396" s="5" t="n">
        <v>111</v>
      </c>
      <c r="C3396" s="72" t="inlineStr">
        <is>
          <t>X</t>
        </is>
      </c>
      <c r="D3396" s="5" t="n">
        <v>388</v>
      </c>
      <c r="E3396" s="73">
        <f>B3396*D3396/10000</f>
        <v/>
      </c>
      <c r="F3396" s="74">
        <f>B3396/30.48</f>
        <v/>
      </c>
      <c r="G3396" s="74">
        <f>D3396/30.48</f>
        <v/>
      </c>
      <c r="H3396" s="16" t="inlineStr">
        <is>
          <t>LLC</t>
        </is>
      </c>
      <c r="I3396" s="294" t="inlineStr">
        <is>
          <t>Kyle McKean</t>
        </is>
      </c>
    </row>
    <row r="3397" ht="18" customHeight="1" s="305">
      <c r="A3397" s="8" t="inlineStr">
        <is>
          <t>Y 894</t>
        </is>
      </c>
      <c r="B3397" s="5" t="n">
        <v>196</v>
      </c>
      <c r="C3397" s="6" t="inlineStr">
        <is>
          <t>X</t>
        </is>
      </c>
      <c r="D3397" s="5" t="n">
        <v>117</v>
      </c>
      <c r="E3397" s="2">
        <f>B3397*D3397/10000</f>
        <v/>
      </c>
      <c r="F3397" s="3">
        <f>B3397/30.48</f>
        <v/>
      </c>
      <c r="G3397" s="3">
        <f>D3397/30.48</f>
        <v/>
      </c>
      <c r="H3397" s="16" t="inlineStr">
        <is>
          <t>PATCH</t>
        </is>
      </c>
      <c r="I3397" s="294" t="inlineStr">
        <is>
          <t>April McLaurin</t>
        </is>
      </c>
    </row>
    <row r="3398" ht="18" customHeight="1" s="305">
      <c r="A3398" s="28" t="inlineStr">
        <is>
          <t>D 781</t>
        </is>
      </c>
      <c r="B3398" s="29" t="n">
        <v>46</v>
      </c>
      <c r="C3398" s="236" t="inlineStr">
        <is>
          <t>X</t>
        </is>
      </c>
      <c r="D3398" s="29" t="n">
        <v>115</v>
      </c>
      <c r="E3398" s="237">
        <f>B3398*D3398/10000</f>
        <v/>
      </c>
      <c r="F3398" s="238">
        <f>B3398/30.48</f>
        <v/>
      </c>
      <c r="G3398" s="238">
        <f>D3398/30.48</f>
        <v/>
      </c>
      <c r="H3398" s="16" t="inlineStr">
        <is>
          <t>WCR</t>
        </is>
      </c>
      <c r="I3398" s="294" t="inlineStr">
        <is>
          <t>Allison Richards</t>
        </is>
      </c>
    </row>
    <row r="3399" ht="18" customHeight="1" s="305">
      <c r="A3399" s="8" t="n"/>
      <c r="B3399" s="5" t="n">
        <v>245</v>
      </c>
      <c r="C3399" s="72" t="inlineStr">
        <is>
          <t>X</t>
        </is>
      </c>
      <c r="D3399" s="5" t="n">
        <v>355</v>
      </c>
      <c r="E3399" s="73">
        <f>B3399*D3399/10000</f>
        <v/>
      </c>
      <c r="F3399" s="74">
        <f>B3399/30.48</f>
        <v/>
      </c>
      <c r="G3399" s="74">
        <f>D3399/30.48</f>
        <v/>
      </c>
      <c r="H3399" s="16" t="inlineStr">
        <is>
          <t>WTR</t>
        </is>
      </c>
      <c r="I3399" s="294" t="inlineStr">
        <is>
          <t>Connor Lucas</t>
        </is>
      </c>
    </row>
    <row r="3400" ht="18" customHeight="1" s="305">
      <c r="A3400" s="28" t="inlineStr">
        <is>
          <t>D 1025</t>
        </is>
      </c>
      <c r="B3400" s="29" t="n">
        <v>45</v>
      </c>
      <c r="C3400" s="236" t="inlineStr">
        <is>
          <t>X</t>
        </is>
      </c>
      <c r="D3400" s="29" t="n">
        <v>90</v>
      </c>
      <c r="E3400" s="237">
        <f>B3400*D3400/10000</f>
        <v/>
      </c>
      <c r="F3400" s="238">
        <f>B3400/30.48</f>
        <v/>
      </c>
      <c r="G3400" s="238">
        <f>D3400/30.48</f>
        <v/>
      </c>
      <c r="H3400" s="16" t="inlineStr">
        <is>
          <t>BHR</t>
        </is>
      </c>
      <c r="I3400" s="294" t="inlineStr">
        <is>
          <t>Lisa Roina</t>
        </is>
      </c>
    </row>
    <row r="3401" ht="18" customHeight="1" s="305">
      <c r="A3401" s="8" t="n">
        <v>3675</v>
      </c>
      <c r="B3401" s="5" t="n">
        <v>68</v>
      </c>
      <c r="C3401" s="72" t="inlineStr">
        <is>
          <t>X</t>
        </is>
      </c>
      <c r="D3401" s="5" t="n">
        <v>188</v>
      </c>
      <c r="E3401" s="73">
        <f>B3401*D3401/10000</f>
        <v/>
      </c>
      <c r="F3401" s="74">
        <f>B3401/30.48</f>
        <v/>
      </c>
      <c r="G3401" s="74">
        <f>D3401/30.48</f>
        <v/>
      </c>
      <c r="H3401" s="16" t="inlineStr">
        <is>
          <t>LR</t>
        </is>
      </c>
      <c r="I3401" s="294" t="inlineStr">
        <is>
          <t>Susan Brautovich</t>
        </is>
      </c>
    </row>
    <row r="3402" ht="18" customHeight="1" s="305">
      <c r="A3402" s="8" t="inlineStr">
        <is>
          <t>C 199</t>
        </is>
      </c>
      <c r="B3402" s="5" t="n">
        <v>272</v>
      </c>
      <c r="C3402" s="6" t="inlineStr">
        <is>
          <t>X</t>
        </is>
      </c>
      <c r="D3402" s="5" t="n">
        <v>89</v>
      </c>
      <c r="E3402" s="2">
        <f>B3402*D3402/10000</f>
        <v/>
      </c>
      <c r="F3402" s="3">
        <f>B3402/30.48</f>
        <v/>
      </c>
      <c r="G3402" s="3">
        <f>D3402/30.48</f>
        <v/>
      </c>
      <c r="H3402" s="16" t="inlineStr">
        <is>
          <t>BHR</t>
        </is>
      </c>
      <c r="I3402" s="294" t="inlineStr">
        <is>
          <t>Vernita Platt</t>
        </is>
      </c>
    </row>
    <row r="3403" ht="18" customHeight="1" s="305">
      <c r="A3403" s="8" t="n">
        <v>3628</v>
      </c>
      <c r="B3403" s="5" t="n">
        <v>107</v>
      </c>
      <c r="C3403" s="72" t="inlineStr">
        <is>
          <t>X</t>
        </is>
      </c>
      <c r="D3403" s="5" t="n">
        <v>198</v>
      </c>
      <c r="E3403" s="73">
        <f>B3403*D3403/10000</f>
        <v/>
      </c>
      <c r="F3403" s="74">
        <f>B3403/30.48</f>
        <v/>
      </c>
      <c r="G3403" s="74">
        <f>D3403/30.48</f>
        <v/>
      </c>
      <c r="H3403" s="16" t="inlineStr">
        <is>
          <t>ilmek</t>
        </is>
      </c>
      <c r="I3403" s="294" t="inlineStr">
        <is>
          <t>Tracy Bell</t>
        </is>
      </c>
    </row>
    <row r="3404" ht="18" customHeight="1" s="305">
      <c r="A3404" s="8" t="inlineStr">
        <is>
          <t>İ-12</t>
        </is>
      </c>
      <c r="B3404" s="5" t="n">
        <v>288</v>
      </c>
      <c r="C3404" s="72" t="inlineStr">
        <is>
          <t>X</t>
        </is>
      </c>
      <c r="D3404" s="5" t="n">
        <v>378</v>
      </c>
      <c r="E3404" s="73">
        <f>B3404*D3404/10000</f>
        <v/>
      </c>
      <c r="F3404" s="74">
        <f>B3404/30.48</f>
        <v/>
      </c>
      <c r="G3404" s="74">
        <f>D3404/30.48</f>
        <v/>
      </c>
      <c r="H3404" s="16" t="inlineStr">
        <is>
          <t>OLD</t>
        </is>
      </c>
      <c r="I3404" s="294" t="inlineStr">
        <is>
          <t>Elizabeth Sandridge</t>
        </is>
      </c>
      <c r="J3404" s="9" t="inlineStr">
        <is>
          <t>(601) 8740297</t>
        </is>
      </c>
    </row>
    <row r="3405" ht="18" customHeight="1" s="305">
      <c r="A3405" s="8" t="n">
        <v>2715</v>
      </c>
      <c r="B3405" s="5" t="n">
        <v>181</v>
      </c>
      <c r="C3405" s="72" t="inlineStr">
        <is>
          <t>X</t>
        </is>
      </c>
      <c r="D3405" s="5" t="n">
        <v>270</v>
      </c>
      <c r="E3405" s="73">
        <f>B3405*D3405/10000</f>
        <v/>
      </c>
      <c r="F3405" s="74">
        <f>B3405/30.48</f>
        <v/>
      </c>
      <c r="G3405" s="74">
        <f>D3405/30.48</f>
        <v/>
      </c>
      <c r="H3405" s="16" t="inlineStr">
        <is>
          <t>LMX</t>
        </is>
      </c>
      <c r="I3405" s="294" t="inlineStr">
        <is>
          <t>Mark Fillebrown</t>
        </is>
      </c>
    </row>
    <row r="3406" ht="18" customHeight="1" s="305">
      <c r="A3406" s="8" t="n">
        <v>2712</v>
      </c>
      <c r="B3406" s="5" t="n">
        <v>77</v>
      </c>
      <c r="C3406" s="72" t="inlineStr">
        <is>
          <t>X</t>
        </is>
      </c>
      <c r="D3406" s="5" t="n">
        <v>316</v>
      </c>
      <c r="E3406" s="73">
        <f>B3406*D3406/10000</f>
        <v/>
      </c>
      <c r="F3406" s="74">
        <f>B3406/30.48</f>
        <v/>
      </c>
      <c r="G3406" s="74">
        <f>D3406/30.48</f>
        <v/>
      </c>
      <c r="H3406" s="16" t="inlineStr">
        <is>
          <t>WTR</t>
        </is>
      </c>
      <c r="I3406" s="294" t="inlineStr">
        <is>
          <t>Elizabeth Assaf</t>
        </is>
      </c>
      <c r="J3406" s="9" t="inlineStr">
        <is>
          <t>(717)756-3559</t>
        </is>
      </c>
    </row>
    <row r="3407" ht="18" customHeight="1" s="305">
      <c r="A3407" s="8" t="n">
        <v>3798</v>
      </c>
      <c r="B3407" s="5" t="n">
        <v>115</v>
      </c>
      <c r="C3407" s="72" t="inlineStr">
        <is>
          <t>X</t>
        </is>
      </c>
      <c r="D3407" s="5" t="n">
        <v>210</v>
      </c>
      <c r="E3407" s="73">
        <f>B3407*D3407/10000</f>
        <v/>
      </c>
      <c r="F3407" s="74">
        <f>B3407/30.48</f>
        <v/>
      </c>
      <c r="G3407" s="74">
        <f>D3407/30.48</f>
        <v/>
      </c>
      <c r="H3407" s="16" t="inlineStr">
        <is>
          <t>MCHD</t>
        </is>
      </c>
    </row>
    <row r="3408" ht="18" customHeight="1" s="305">
      <c r="A3408" s="8" t="n">
        <v>4275</v>
      </c>
      <c r="B3408" s="5" t="n">
        <v>85</v>
      </c>
      <c r="C3408" s="72" t="inlineStr">
        <is>
          <t>X</t>
        </is>
      </c>
      <c r="D3408" s="5" t="n">
        <v>200</v>
      </c>
      <c r="E3408" s="73">
        <f>B3408*D3408/10000</f>
        <v/>
      </c>
      <c r="F3408" s="74">
        <f>B3408/30.48</f>
        <v/>
      </c>
      <c r="G3408" s="74">
        <f>D3408/30.48</f>
        <v/>
      </c>
      <c r="H3408" s="16" t="inlineStr">
        <is>
          <t>MCHD</t>
        </is>
      </c>
    </row>
    <row r="3409" ht="18" customHeight="1" s="305">
      <c r="A3409" s="8" t="n">
        <v>3053</v>
      </c>
      <c r="B3409" s="5" t="n">
        <v>112</v>
      </c>
      <c r="C3409" s="72" t="inlineStr">
        <is>
          <t>X</t>
        </is>
      </c>
      <c r="D3409" s="5" t="n">
        <v>210</v>
      </c>
      <c r="E3409" s="73">
        <f>B3409*D3409/10000</f>
        <v/>
      </c>
      <c r="F3409" s="74">
        <f>B3409/30.48</f>
        <v/>
      </c>
      <c r="G3409" s="74">
        <f>D3409/30.48</f>
        <v/>
      </c>
      <c r="H3409" s="16" t="inlineStr">
        <is>
          <t>MCHD</t>
        </is>
      </c>
    </row>
    <row r="3410" ht="18" customHeight="1" s="305">
      <c r="A3410" s="8" t="n">
        <v>4312</v>
      </c>
      <c r="B3410" s="5" t="n">
        <v>80</v>
      </c>
      <c r="C3410" s="72" t="inlineStr">
        <is>
          <t>X</t>
        </is>
      </c>
      <c r="D3410" s="5" t="n">
        <v>139</v>
      </c>
      <c r="E3410" s="73">
        <f>B3410*D3410/10000</f>
        <v/>
      </c>
      <c r="F3410" s="74">
        <f>B3410/30.48</f>
        <v/>
      </c>
      <c r="G3410" s="74">
        <f>D3410/30.48</f>
        <v/>
      </c>
      <c r="H3410" s="16" t="inlineStr">
        <is>
          <t>MCHD</t>
        </is>
      </c>
    </row>
    <row r="3411" ht="18" customHeight="1" s="305">
      <c r="A3411" s="8" t="n">
        <v>4408</v>
      </c>
      <c r="B3411" s="5" t="n">
        <v>78</v>
      </c>
      <c r="C3411" s="72" t="inlineStr">
        <is>
          <t>X</t>
        </is>
      </c>
      <c r="D3411" s="5" t="n">
        <v>235</v>
      </c>
      <c r="E3411" s="73">
        <f>B3411*D3411/10000</f>
        <v/>
      </c>
      <c r="F3411" s="74">
        <f>B3411/30.48</f>
        <v/>
      </c>
      <c r="G3411" s="74">
        <f>D3411/30.48</f>
        <v/>
      </c>
      <c r="H3411" s="16" t="inlineStr">
        <is>
          <t>MCHD</t>
        </is>
      </c>
    </row>
    <row r="3412" ht="18" customHeight="1" s="305">
      <c r="A3412" s="8" t="n">
        <v>4053</v>
      </c>
      <c r="B3412" s="5" t="n">
        <v>70</v>
      </c>
      <c r="C3412" s="72" t="inlineStr">
        <is>
          <t>X</t>
        </is>
      </c>
      <c r="D3412" s="5" t="n">
        <v>136</v>
      </c>
      <c r="E3412" s="73">
        <f>B3412*D3412/10000</f>
        <v/>
      </c>
      <c r="F3412" s="74">
        <f>B3412/30.48</f>
        <v/>
      </c>
      <c r="G3412" s="74">
        <f>D3412/30.48</f>
        <v/>
      </c>
      <c r="H3412" s="16" t="inlineStr">
        <is>
          <t>MCHD</t>
        </is>
      </c>
    </row>
    <row r="3413" ht="18" customHeight="1" s="305">
      <c r="A3413" s="8" t="n">
        <v>3592</v>
      </c>
      <c r="B3413" s="5" t="n">
        <v>90</v>
      </c>
      <c r="C3413" s="72" t="inlineStr">
        <is>
          <t>X</t>
        </is>
      </c>
      <c r="D3413" s="5" t="n">
        <v>323</v>
      </c>
      <c r="E3413" s="73">
        <f>B3413*D3413/10000</f>
        <v/>
      </c>
      <c r="F3413" s="74">
        <f>B3413/30.48</f>
        <v/>
      </c>
      <c r="G3413" s="74">
        <f>D3413/30.48</f>
        <v/>
      </c>
      <c r="H3413" s="16" t="inlineStr">
        <is>
          <t>LR</t>
        </is>
      </c>
      <c r="I3413" s="294" t="inlineStr">
        <is>
          <t>RUBY RAI</t>
        </is>
      </c>
    </row>
    <row r="3414" ht="18" customHeight="1" s="305">
      <c r="A3414" s="8" t="n">
        <v>4127</v>
      </c>
      <c r="B3414" s="5" t="n">
        <v>212</v>
      </c>
      <c r="C3414" s="72" t="inlineStr">
        <is>
          <t>X</t>
        </is>
      </c>
      <c r="D3414" s="5" t="n">
        <v>279</v>
      </c>
      <c r="E3414" s="73">
        <f>B3414*D3414/10000</f>
        <v/>
      </c>
      <c r="F3414" s="74">
        <f>B3414/30.48</f>
        <v/>
      </c>
      <c r="G3414" s="74">
        <f>D3414/30.48</f>
        <v/>
      </c>
      <c r="H3414" s="16" t="inlineStr">
        <is>
          <t>LMX</t>
        </is>
      </c>
      <c r="I3414" s="294" t="inlineStr">
        <is>
          <t>Kasandra Rafter</t>
        </is>
      </c>
    </row>
    <row r="3415" ht="18" customHeight="1" s="305">
      <c r="A3415" s="8" t="inlineStr">
        <is>
          <t>D 239</t>
        </is>
      </c>
      <c r="B3415" s="5" t="n">
        <v>53</v>
      </c>
      <c r="C3415" s="72" t="inlineStr">
        <is>
          <t>X</t>
        </is>
      </c>
      <c r="D3415" s="5" t="n">
        <v>80</v>
      </c>
      <c r="E3415" s="73">
        <f>B3415*D3415/10000</f>
        <v/>
      </c>
      <c r="F3415" s="74">
        <f>B3415/30.48</f>
        <v/>
      </c>
      <c r="G3415" s="74">
        <f>D3415/30.48</f>
        <v/>
      </c>
      <c r="H3415" s="16" t="inlineStr">
        <is>
          <t>OLD</t>
        </is>
      </c>
      <c r="I3415" s="80" t="inlineStr">
        <is>
          <t>Candice Miele</t>
        </is>
      </c>
    </row>
    <row r="3416" ht="18" customHeight="1" s="305">
      <c r="A3416" s="8" t="inlineStr">
        <is>
          <t>D 145</t>
        </is>
      </c>
      <c r="B3416" s="5" t="n">
        <v>44</v>
      </c>
      <c r="C3416" s="72" t="inlineStr">
        <is>
          <t>X</t>
        </is>
      </c>
      <c r="D3416" s="5" t="n">
        <v>95</v>
      </c>
      <c r="E3416" s="73">
        <f>B3416*D3416/10000</f>
        <v/>
      </c>
      <c r="F3416" s="74">
        <f>B3416/30.48</f>
        <v/>
      </c>
      <c r="G3416" s="74">
        <f>D3416/30.48</f>
        <v/>
      </c>
      <c r="H3416" s="694" t="n"/>
      <c r="I3416" s="694" t="n"/>
    </row>
    <row r="3417" ht="18" customHeight="1" s="305">
      <c r="A3417" s="28" t="inlineStr">
        <is>
          <t>D 616</t>
        </is>
      </c>
      <c r="B3417" s="29" t="n">
        <v>54</v>
      </c>
      <c r="C3417" s="236" t="inlineStr">
        <is>
          <t>X</t>
        </is>
      </c>
      <c r="D3417" s="29" t="n">
        <v>95</v>
      </c>
      <c r="E3417" s="237">
        <f>B3417*D3417/10000</f>
        <v/>
      </c>
      <c r="F3417" s="238">
        <f>B3417/30.48</f>
        <v/>
      </c>
      <c r="G3417" s="238">
        <f>D3417/30.48</f>
        <v/>
      </c>
      <c r="H3417" s="16" t="inlineStr">
        <is>
          <t>WLR</t>
        </is>
      </c>
      <c r="I3417" s="294" t="inlineStr">
        <is>
          <t>Asem Halawani</t>
        </is>
      </c>
    </row>
    <row r="3418" ht="18" customHeight="1" s="305">
      <c r="A3418" s="28" t="inlineStr">
        <is>
          <t>D 1084</t>
        </is>
      </c>
      <c r="B3418" s="29" t="n">
        <v>48</v>
      </c>
      <c r="C3418" s="236" t="inlineStr">
        <is>
          <t>X</t>
        </is>
      </c>
      <c r="D3418" s="29" t="n">
        <v>94</v>
      </c>
      <c r="E3418" s="237">
        <f>B3418*D3418/10000</f>
        <v/>
      </c>
      <c r="F3418" s="238">
        <f>B3418/30.48</f>
        <v/>
      </c>
      <c r="G3418" s="238">
        <f>D3418/30.48</f>
        <v/>
      </c>
      <c r="H3418" s="16" t="inlineStr">
        <is>
          <t>WLR</t>
        </is>
      </c>
      <c r="I3418" s="725" t="inlineStr">
        <is>
          <t xml:space="preserve">        Unicorn Delivery S/M SamCram/Pease</t>
        </is>
      </c>
    </row>
    <row r="3419" ht="18" customHeight="1" s="305">
      <c r="A3419" s="8" t="n">
        <v>4792</v>
      </c>
      <c r="B3419" s="5" t="n">
        <v>85</v>
      </c>
      <c r="C3419" s="72" t="inlineStr">
        <is>
          <t>X</t>
        </is>
      </c>
      <c r="D3419" s="5" t="n">
        <v>376</v>
      </c>
      <c r="E3419" s="73">
        <f>B3419*D3419/10000</f>
        <v/>
      </c>
      <c r="F3419" s="74">
        <f>B3419/30.48</f>
        <v/>
      </c>
      <c r="G3419" s="74">
        <f>D3419/30.48</f>
        <v/>
      </c>
      <c r="H3419" s="693" t="n"/>
      <c r="I3419" s="693" t="n"/>
    </row>
    <row r="3420" ht="18" customHeight="1" s="305">
      <c r="A3420" s="8" t="n">
        <v>3598</v>
      </c>
      <c r="B3420" s="5" t="n">
        <v>103</v>
      </c>
      <c r="C3420" s="72" t="inlineStr">
        <is>
          <t>X</t>
        </is>
      </c>
      <c r="D3420" s="5" t="n">
        <v>355</v>
      </c>
      <c r="E3420" s="73">
        <f>B3420*D3420/10000</f>
        <v/>
      </c>
      <c r="F3420" s="74">
        <f>B3420/30.48</f>
        <v/>
      </c>
      <c r="G3420" s="74">
        <f>D3420/30.48</f>
        <v/>
      </c>
      <c r="H3420" s="694" t="n"/>
      <c r="I3420" s="694" t="n"/>
    </row>
    <row r="3421" ht="18" customHeight="1" s="305">
      <c r="A3421" s="8" t="n">
        <v>3568</v>
      </c>
      <c r="B3421" s="5" t="n">
        <v>80</v>
      </c>
      <c r="C3421" s="72" t="inlineStr">
        <is>
          <t>X</t>
        </is>
      </c>
      <c r="D3421" s="5" t="n">
        <v>238</v>
      </c>
      <c r="E3421" s="73">
        <f>B3421*D3421/10000</f>
        <v/>
      </c>
      <c r="F3421" s="74">
        <f>B3421/30.48</f>
        <v/>
      </c>
      <c r="G3421" s="74">
        <f>D3421/30.48</f>
        <v/>
      </c>
      <c r="H3421" s="16" t="inlineStr">
        <is>
          <t>WCR</t>
        </is>
      </c>
      <c r="I3421" s="294" t="inlineStr">
        <is>
          <t>Bridgette Cassell</t>
        </is>
      </c>
    </row>
    <row r="3422" ht="18" customHeight="1" s="305">
      <c r="A3422" s="8" t="n">
        <v>4481</v>
      </c>
      <c r="B3422" s="5" t="n">
        <v>67</v>
      </c>
      <c r="C3422" s="72" t="inlineStr">
        <is>
          <t>X</t>
        </is>
      </c>
      <c r="D3422" s="5" t="n">
        <v>90</v>
      </c>
      <c r="E3422" s="73">
        <f>B3422*D3422/10000</f>
        <v/>
      </c>
      <c r="F3422" s="74">
        <f>B3422/30.48</f>
        <v/>
      </c>
      <c r="G3422" s="74">
        <f>D3422/30.48</f>
        <v/>
      </c>
      <c r="H3422" s="16" t="inlineStr">
        <is>
          <t>WTR</t>
        </is>
      </c>
      <c r="I3422" s="294" t="inlineStr">
        <is>
          <t>LAIR K RODDEY</t>
        </is>
      </c>
    </row>
    <row r="3423" ht="18" customHeight="1" s="305">
      <c r="A3423" s="8" t="n">
        <v>4324</v>
      </c>
      <c r="B3423" s="5" t="n">
        <v>100</v>
      </c>
      <c r="C3423" s="72" t="inlineStr">
        <is>
          <t>X</t>
        </is>
      </c>
      <c r="D3423" s="5" t="n">
        <v>150</v>
      </c>
      <c r="E3423" s="73">
        <f>B3423*D3423/10000</f>
        <v/>
      </c>
      <c r="F3423" s="74">
        <f>B3423/30.48</f>
        <v/>
      </c>
      <c r="G3423" s="74">
        <f>D3423/30.48</f>
        <v/>
      </c>
      <c r="H3423" s="16" t="inlineStr">
        <is>
          <t>WTR</t>
        </is>
      </c>
      <c r="I3423" s="294" t="inlineStr">
        <is>
          <t>Meg Bjarnason</t>
        </is>
      </c>
    </row>
    <row r="3424" ht="18" customHeight="1" s="305">
      <c r="A3424" s="8" t="n">
        <v>2762</v>
      </c>
      <c r="B3424" s="5" t="n">
        <v>75</v>
      </c>
      <c r="C3424" s="72" t="inlineStr">
        <is>
          <t>X</t>
        </is>
      </c>
      <c r="D3424" s="5" t="n">
        <v>136</v>
      </c>
      <c r="E3424" s="73">
        <f>B3424*D3424/10000</f>
        <v/>
      </c>
      <c r="F3424" s="74">
        <f>B3424/30.48</f>
        <v/>
      </c>
      <c r="G3424" s="74">
        <f>D3424/30.48</f>
        <v/>
      </c>
      <c r="H3424" s="16" t="inlineStr">
        <is>
          <t>FERDİ</t>
        </is>
      </c>
      <c r="I3424" s="294" t="inlineStr">
        <is>
          <t>Anne Weston Johnson</t>
        </is>
      </c>
    </row>
    <row r="3425" ht="18" customHeight="1" s="305">
      <c r="A3425" s="8" t="inlineStr">
        <is>
          <t>E-226</t>
        </is>
      </c>
      <c r="B3425" s="5" t="n">
        <v>53</v>
      </c>
      <c r="C3425" s="72" t="inlineStr">
        <is>
          <t>X</t>
        </is>
      </c>
      <c r="D3425" s="5" t="n">
        <v>180</v>
      </c>
      <c r="E3425" s="73">
        <f>B3425*D3425/10000</f>
        <v/>
      </c>
      <c r="F3425" s="74">
        <f>B3425/30.48</f>
        <v/>
      </c>
      <c r="G3425" s="74">
        <f>D3425/30.48</f>
        <v/>
      </c>
      <c r="H3425" s="16" t="inlineStr">
        <is>
          <t>MCHD</t>
        </is>
      </c>
    </row>
    <row r="3426" ht="18" customHeight="1" s="305">
      <c r="A3426" s="8" t="n">
        <v>3469</v>
      </c>
      <c r="B3426" s="5" t="n">
        <v>93</v>
      </c>
      <c r="C3426" s="72" t="inlineStr">
        <is>
          <t>X</t>
        </is>
      </c>
      <c r="D3426" s="5" t="n">
        <v>320</v>
      </c>
      <c r="E3426" s="73">
        <f>B3426*D3426/10000</f>
        <v/>
      </c>
      <c r="F3426" s="74">
        <f>B3426/30.48</f>
        <v/>
      </c>
      <c r="G3426" s="74">
        <f>D3426/30.48</f>
        <v/>
      </c>
      <c r="H3426" s="16" t="inlineStr">
        <is>
          <t>LR</t>
        </is>
      </c>
      <c r="I3426" s="294" t="inlineStr">
        <is>
          <t>RUBY RAI</t>
        </is>
      </c>
    </row>
    <row r="3427" ht="18" customHeight="1" s="305">
      <c r="A3427" s="28" t="inlineStr">
        <is>
          <t>D 623</t>
        </is>
      </c>
      <c r="B3427" s="29" t="n">
        <v>40</v>
      </c>
      <c r="C3427" s="236" t="inlineStr">
        <is>
          <t>X</t>
        </is>
      </c>
      <c r="D3427" s="29" t="n">
        <v>92</v>
      </c>
      <c r="E3427" s="237">
        <f>B3427*D3427/10000</f>
        <v/>
      </c>
      <c r="F3427" s="238">
        <f>B3427/30.48</f>
        <v/>
      </c>
      <c r="G3427" s="238">
        <f>D3427/30.48</f>
        <v/>
      </c>
      <c r="H3427" s="16" t="inlineStr">
        <is>
          <t>LMX</t>
        </is>
      </c>
      <c r="I3427" s="294" t="inlineStr">
        <is>
          <t>AMY M CARLİSLE</t>
        </is>
      </c>
    </row>
    <row r="3428" ht="18" customHeight="1" s="305">
      <c r="A3428" s="28" t="inlineStr">
        <is>
          <t>D 517</t>
        </is>
      </c>
      <c r="B3428" s="29" t="n">
        <v>40</v>
      </c>
      <c r="C3428" s="236" t="inlineStr">
        <is>
          <t>X</t>
        </is>
      </c>
      <c r="D3428" s="29" t="n">
        <v>97</v>
      </c>
      <c r="E3428" s="237">
        <f>B3428*D3428/10000</f>
        <v/>
      </c>
      <c r="F3428" s="238">
        <f>B3428/30.48</f>
        <v/>
      </c>
      <c r="G3428" s="238">
        <f>D3428/30.48</f>
        <v/>
      </c>
      <c r="H3428" s="16" t="inlineStr">
        <is>
          <t>OLD</t>
        </is>
      </c>
      <c r="I3428" s="294" t="inlineStr">
        <is>
          <t>Camille Papich</t>
        </is>
      </c>
    </row>
    <row r="3429" ht="18" customHeight="1" s="305">
      <c r="A3429" s="8" t="n">
        <v>3400</v>
      </c>
      <c r="B3429" s="5" t="n">
        <v>104</v>
      </c>
      <c r="C3429" s="72" t="inlineStr">
        <is>
          <t>X</t>
        </is>
      </c>
      <c r="D3429" s="5" t="n">
        <v>328</v>
      </c>
      <c r="E3429" s="73">
        <f>B3429*D3429/10000</f>
        <v/>
      </c>
      <c r="F3429" s="74">
        <f>B3429/30.48</f>
        <v/>
      </c>
      <c r="G3429" s="74">
        <f>D3429/30.48</f>
        <v/>
      </c>
      <c r="H3429" s="16" t="inlineStr">
        <is>
          <t>LLC</t>
        </is>
      </c>
      <c r="I3429" s="294" t="inlineStr">
        <is>
          <t>Robin Hilder</t>
        </is>
      </c>
    </row>
    <row r="3430" ht="18" customHeight="1" s="305">
      <c r="A3430" s="8" t="n">
        <v>4739</v>
      </c>
      <c r="B3430" s="5" t="n">
        <v>86</v>
      </c>
      <c r="C3430" s="72" t="inlineStr">
        <is>
          <t>X</t>
        </is>
      </c>
      <c r="D3430" s="5" t="n">
        <v>252</v>
      </c>
      <c r="E3430" s="73">
        <f>B3430*D3430/10000</f>
        <v/>
      </c>
      <c r="F3430" s="74">
        <f>B3430/30.48</f>
        <v/>
      </c>
      <c r="G3430" s="74">
        <f>D3430/30.48</f>
        <v/>
      </c>
      <c r="H3430" s="16" t="inlineStr">
        <is>
          <t>WLR</t>
        </is>
      </c>
      <c r="I3430" s="294" t="inlineStr">
        <is>
          <t>Jen Reddy</t>
        </is>
      </c>
    </row>
    <row r="3431" ht="18" customHeight="1" s="305">
      <c r="A3431" s="8" t="inlineStr">
        <is>
          <t>H 185</t>
        </is>
      </c>
      <c r="B3431" s="5" t="n">
        <v>93</v>
      </c>
      <c r="C3431" s="6" t="inlineStr">
        <is>
          <t>X</t>
        </is>
      </c>
      <c r="D3431" s="5" t="n">
        <v>350</v>
      </c>
      <c r="E3431" s="2">
        <f>B3431*D3431/10000</f>
        <v/>
      </c>
      <c r="F3431" s="3">
        <f>B3431/30.48</f>
        <v/>
      </c>
      <c r="G3431" s="3">
        <f>D3431/30.48</f>
        <v/>
      </c>
      <c r="H3431" s="16" t="inlineStr">
        <is>
          <t>LMX</t>
        </is>
      </c>
      <c r="I3431" s="294" t="inlineStr">
        <is>
          <t>Erica Worth</t>
        </is>
      </c>
    </row>
    <row r="3432" ht="18" customHeight="1" s="305">
      <c r="A3432" s="28" t="inlineStr">
        <is>
          <t>D 1058</t>
        </is>
      </c>
      <c r="B3432" s="29" t="n">
        <v>48</v>
      </c>
      <c r="C3432" s="236" t="inlineStr">
        <is>
          <t>X</t>
        </is>
      </c>
      <c r="D3432" s="29" t="n">
        <v>79</v>
      </c>
      <c r="E3432" s="237">
        <f>B3432*D3432/10000</f>
        <v/>
      </c>
      <c r="F3432" s="238">
        <f>B3432/30.48</f>
        <v/>
      </c>
      <c r="G3432" s="238">
        <f>D3432/30.48</f>
        <v/>
      </c>
      <c r="H3432" s="16" t="inlineStr">
        <is>
          <t>ilmek</t>
        </is>
      </c>
      <c r="I3432" s="294" t="inlineStr">
        <is>
          <t>Amanda Campbell</t>
        </is>
      </c>
    </row>
    <row r="3433" ht="18" customHeight="1" s="305">
      <c r="A3433" s="28" t="inlineStr">
        <is>
          <t>D 697</t>
        </is>
      </c>
      <c r="B3433" s="29" t="n">
        <v>57</v>
      </c>
      <c r="C3433" s="236" t="inlineStr">
        <is>
          <t>X</t>
        </is>
      </c>
      <c r="D3433" s="29" t="n">
        <v>105</v>
      </c>
      <c r="E3433" s="237">
        <f>B3433*D3433/10000</f>
        <v/>
      </c>
      <c r="F3433" s="238">
        <f>B3433/30.48</f>
        <v/>
      </c>
      <c r="G3433" s="238">
        <f>D3433/30.48</f>
        <v/>
      </c>
      <c r="H3433" s="16" t="inlineStr">
        <is>
          <t>lMX</t>
        </is>
      </c>
      <c r="I3433" s="294" t="inlineStr">
        <is>
          <t>Missy Cornish</t>
        </is>
      </c>
    </row>
    <row r="3434" ht="18" customHeight="1" s="305">
      <c r="A3434" s="28" t="inlineStr">
        <is>
          <t>D 723</t>
        </is>
      </c>
      <c r="B3434" s="29" t="n">
        <v>51</v>
      </c>
      <c r="C3434" s="236" t="inlineStr">
        <is>
          <t>X</t>
        </is>
      </c>
      <c r="D3434" s="29" t="n">
        <v>89</v>
      </c>
      <c r="E3434" s="237">
        <f>B3434*D3434/10000</f>
        <v/>
      </c>
      <c r="F3434" s="238">
        <f>B3434/30.48</f>
        <v/>
      </c>
      <c r="G3434" s="238">
        <f>D3434/30.48</f>
        <v/>
      </c>
      <c r="H3434" s="16" t="inlineStr">
        <is>
          <t>WCR</t>
        </is>
      </c>
      <c r="I3434" s="294" t="inlineStr">
        <is>
          <t>Elizabeth Retivov</t>
        </is>
      </c>
    </row>
    <row r="3435" ht="18" customHeight="1" s="305">
      <c r="A3435" s="8" t="n">
        <v>4362</v>
      </c>
      <c r="B3435" s="5" t="n">
        <v>65</v>
      </c>
      <c r="C3435" s="72" t="inlineStr">
        <is>
          <t>X</t>
        </is>
      </c>
      <c r="D3435" s="5" t="n">
        <v>181</v>
      </c>
      <c r="E3435" s="73">
        <f>B3435*D3435/10000</f>
        <v/>
      </c>
      <c r="F3435" s="74">
        <f>B3435/30.48</f>
        <v/>
      </c>
      <c r="G3435" s="74">
        <f>D3435/30.48</f>
        <v/>
      </c>
      <c r="H3435" s="16" t="inlineStr">
        <is>
          <t>WCR</t>
        </is>
      </c>
      <c r="I3435" s="294" t="inlineStr">
        <is>
          <t>Sarah Stachelski</t>
        </is>
      </c>
    </row>
    <row r="3436" ht="18" customHeight="1" s="305">
      <c r="A3436" s="8" t="n">
        <v>2311</v>
      </c>
      <c r="B3436" s="5" t="n">
        <v>92</v>
      </c>
      <c r="C3436" s="72" t="inlineStr">
        <is>
          <t>X</t>
        </is>
      </c>
      <c r="D3436" s="5" t="n">
        <v>477</v>
      </c>
      <c r="E3436" s="73">
        <f>B3436*D3436/10000</f>
        <v/>
      </c>
      <c r="F3436" s="74">
        <f>B3436/30.48</f>
        <v/>
      </c>
      <c r="G3436" s="74">
        <f>D3436/30.48</f>
        <v/>
      </c>
      <c r="H3436" s="16" t="inlineStr">
        <is>
          <t>LLC</t>
        </is>
      </c>
      <c r="I3436" s="21" t="inlineStr">
        <is>
          <t>Bailey Dulaney</t>
        </is>
      </c>
      <c r="J3436" s="9" t="inlineStr">
        <is>
          <t>ÇIKMADI</t>
        </is>
      </c>
    </row>
    <row r="3437" ht="18" customHeight="1" s="305">
      <c r="A3437" s="8" t="inlineStr">
        <is>
          <t>D 234</t>
        </is>
      </c>
      <c r="B3437" s="5" t="n">
        <v>54</v>
      </c>
      <c r="C3437" s="72" t="inlineStr">
        <is>
          <t>X</t>
        </is>
      </c>
      <c r="D3437" s="5" t="n">
        <v>90</v>
      </c>
      <c r="E3437" s="73">
        <f>B3437*D3437/10000</f>
        <v/>
      </c>
      <c r="F3437" s="74">
        <f>B3437/30.48</f>
        <v/>
      </c>
      <c r="G3437" s="74">
        <f>D3437/30.48</f>
        <v/>
      </c>
      <c r="H3437" s="16" t="inlineStr">
        <is>
          <t>OLD</t>
        </is>
      </c>
      <c r="I3437" s="80" t="inlineStr">
        <is>
          <t>Kerri Michael</t>
        </is>
      </c>
    </row>
    <row r="3438" ht="18" customHeight="1" s="305">
      <c r="A3438" s="28" t="inlineStr">
        <is>
          <t>D 677</t>
        </is>
      </c>
      <c r="B3438" s="29" t="n">
        <v>53</v>
      </c>
      <c r="C3438" s="236" t="inlineStr">
        <is>
          <t>X</t>
        </is>
      </c>
      <c r="D3438" s="29" t="n">
        <v>98</v>
      </c>
      <c r="E3438" s="237">
        <f>B3438*D3438/10000</f>
        <v/>
      </c>
      <c r="F3438" s="238">
        <f>B3438/30.48</f>
        <v/>
      </c>
      <c r="G3438" s="238">
        <f>D3438/30.48</f>
        <v/>
      </c>
      <c r="H3438" s="694" t="n"/>
      <c r="I3438" s="694" t="n"/>
    </row>
    <row r="3439" ht="18" customHeight="1" s="305">
      <c r="A3439" s="8" t="n">
        <v>4048</v>
      </c>
      <c r="B3439" s="5" t="n">
        <v>66</v>
      </c>
      <c r="C3439" s="72" t="inlineStr">
        <is>
          <t>X</t>
        </is>
      </c>
      <c r="D3439" s="5" t="n">
        <v>149</v>
      </c>
      <c r="E3439" s="73">
        <f>B3439*D3439/10000</f>
        <v/>
      </c>
      <c r="F3439" s="74">
        <f>B3439/30.48</f>
        <v/>
      </c>
      <c r="G3439" s="74">
        <f>D3439/30.48</f>
        <v/>
      </c>
      <c r="H3439" s="16" t="inlineStr">
        <is>
          <t>WTR</t>
        </is>
      </c>
      <c r="I3439" s="294" t="inlineStr">
        <is>
          <t>Evelyn Ross</t>
        </is>
      </c>
    </row>
    <row r="3440" ht="18" customHeight="1" s="305">
      <c r="A3440" s="8" t="inlineStr">
        <is>
          <t>E-1</t>
        </is>
      </c>
      <c r="B3440" s="5" t="n">
        <v>61</v>
      </c>
      <c r="C3440" s="72" t="inlineStr">
        <is>
          <t>X</t>
        </is>
      </c>
      <c r="D3440" s="5" t="n">
        <v>151</v>
      </c>
      <c r="E3440" s="73">
        <f>B3440*D3440/10000</f>
        <v/>
      </c>
      <c r="F3440" s="74">
        <f>B3440/30.48</f>
        <v/>
      </c>
      <c r="G3440" s="74">
        <f>D3440/30.48</f>
        <v/>
      </c>
      <c r="H3440" s="16" t="inlineStr">
        <is>
          <t>WLR</t>
        </is>
      </c>
      <c r="I3440" s="21" t="inlineStr">
        <is>
          <t>Pat O'Connor</t>
        </is>
      </c>
    </row>
    <row r="3441" ht="18" customHeight="1" s="305">
      <c r="A3441" s="8" t="n">
        <v>4452</v>
      </c>
      <c r="B3441" s="5" t="n">
        <v>81</v>
      </c>
      <c r="C3441" s="72" t="inlineStr">
        <is>
          <t>X</t>
        </is>
      </c>
      <c r="D3441" s="5" t="n">
        <v>160</v>
      </c>
      <c r="E3441" s="73">
        <f>B3441*D3441/10000</f>
        <v/>
      </c>
      <c r="F3441" s="74">
        <f>B3441/30.48</f>
        <v/>
      </c>
      <c r="G3441" s="74" t="n">
        <v>43</v>
      </c>
      <c r="H3441" s="16" t="inlineStr">
        <is>
          <t>MCHD</t>
        </is>
      </c>
    </row>
    <row r="3442">
      <c r="A3442" s="536" t="inlineStr">
        <is>
          <t>-2026 MART-</t>
        </is>
      </c>
      <c r="H3442" s="104" t="inlineStr">
        <is>
          <t>SATAN-SİTE</t>
        </is>
      </c>
      <c r="I3442" s="98" t="inlineStr">
        <is>
          <t>MÜŞTERİ ADI</t>
        </is>
      </c>
      <c r="J3442" s="63" t="inlineStr">
        <is>
          <t>MÜŞTERİ İLETİŞİM &amp; ÜLKE</t>
        </is>
      </c>
    </row>
    <row r="3443" ht="18" customHeight="1" s="305">
      <c r="A3443" s="8" t="n">
        <v>4340</v>
      </c>
      <c r="B3443" s="5" t="n">
        <v>95</v>
      </c>
      <c r="C3443" s="72" t="inlineStr">
        <is>
          <t>X</t>
        </is>
      </c>
      <c r="D3443" s="5" t="n">
        <v>133</v>
      </c>
      <c r="E3443" s="73">
        <f>B3443*D3443/10000</f>
        <v/>
      </c>
      <c r="F3443" s="74">
        <f>B3443/30.48</f>
        <v/>
      </c>
      <c r="G3443" s="74">
        <f>D3443/30.48</f>
        <v/>
      </c>
      <c r="H3443" s="16" t="inlineStr">
        <is>
          <t>LMX</t>
        </is>
      </c>
      <c r="I3443" s="294" t="inlineStr">
        <is>
          <t>Nikki Geddie</t>
        </is>
      </c>
      <c r="J3443" s="9" t="inlineStr">
        <is>
          <t>(804) 677-5992</t>
        </is>
      </c>
    </row>
    <row r="3444" ht="18" customHeight="1" s="305">
      <c r="A3444" s="8" t="n">
        <v>2613</v>
      </c>
      <c r="B3444" s="5" t="n">
        <v>107</v>
      </c>
      <c r="C3444" s="72" t="inlineStr">
        <is>
          <t>X</t>
        </is>
      </c>
      <c r="D3444" s="5" t="n">
        <v>84</v>
      </c>
      <c r="E3444" s="73">
        <f>B3444*D3444/10000</f>
        <v/>
      </c>
      <c r="F3444" s="74">
        <f>B3444/30.48</f>
        <v/>
      </c>
      <c r="G3444" s="74">
        <f>D3444/30.48</f>
        <v/>
      </c>
      <c r="H3444" s="16" t="inlineStr">
        <is>
          <t>LMX</t>
        </is>
      </c>
      <c r="I3444" s="294" t="inlineStr">
        <is>
          <t>Jill Leach</t>
        </is>
      </c>
    </row>
    <row r="3445" ht="18" customHeight="1" s="305">
      <c r="A3445" s="8" t="n">
        <v>4507</v>
      </c>
      <c r="B3445" s="5" t="n">
        <v>90</v>
      </c>
      <c r="C3445" s="72" t="inlineStr">
        <is>
          <t>X</t>
        </is>
      </c>
      <c r="D3445" s="5" t="n">
        <v>191</v>
      </c>
      <c r="E3445" s="73">
        <f>B3445*D3445/10000</f>
        <v/>
      </c>
      <c r="F3445" s="74">
        <f>B3445/30.48</f>
        <v/>
      </c>
      <c r="G3445" s="74">
        <f>D3445/30.48</f>
        <v/>
      </c>
      <c r="H3445" s="16" t="inlineStr">
        <is>
          <t>WCR</t>
        </is>
      </c>
      <c r="I3445" s="294" t="inlineStr">
        <is>
          <t>Amy Lechter-Siegel</t>
        </is>
      </c>
      <c r="J3445" s="9" t="inlineStr">
        <is>
          <t>(443) 622-6727</t>
        </is>
      </c>
    </row>
    <row r="3446" ht="18" customHeight="1" s="305">
      <c r="A3446" s="8" t="n">
        <v>3858</v>
      </c>
      <c r="B3446" s="5" t="n">
        <v>100</v>
      </c>
      <c r="C3446" s="72" t="inlineStr">
        <is>
          <t>X</t>
        </is>
      </c>
      <c r="D3446" s="5" t="n">
        <v>269</v>
      </c>
      <c r="E3446" s="73">
        <f>B3446*D3446/10000</f>
        <v/>
      </c>
      <c r="F3446" s="74">
        <f>B3446/30.48</f>
        <v/>
      </c>
      <c r="G3446" s="74">
        <f>D3446/30.48</f>
        <v/>
      </c>
      <c r="H3446" s="16" t="inlineStr">
        <is>
          <t>LLC</t>
        </is>
      </c>
      <c r="I3446" s="294" t="inlineStr">
        <is>
          <t>Gretta Sladen</t>
        </is>
      </c>
      <c r="J3446" s="9" t="inlineStr">
        <is>
          <t>(619) 742-8485</t>
        </is>
      </c>
    </row>
    <row r="3447" ht="18" customHeight="1" s="305">
      <c r="A3447" s="8" t="n">
        <v>3793</v>
      </c>
      <c r="B3447" s="5" t="n">
        <v>66</v>
      </c>
      <c r="C3447" s="72" t="inlineStr">
        <is>
          <t>X</t>
        </is>
      </c>
      <c r="D3447" s="5" t="n">
        <v>276</v>
      </c>
      <c r="E3447" s="73">
        <f>B3447*D3447/10000</f>
        <v/>
      </c>
      <c r="F3447" s="74">
        <f>B3447/30.48</f>
        <v/>
      </c>
      <c r="G3447" s="74">
        <f>D3447/30.48</f>
        <v/>
      </c>
      <c r="H3447" s="16" t="inlineStr">
        <is>
          <t>LMX</t>
        </is>
      </c>
      <c r="I3447" s="294" t="inlineStr">
        <is>
          <t>george russell</t>
        </is>
      </c>
    </row>
    <row r="3448" ht="18" customHeight="1" s="305">
      <c r="A3448" s="8" t="n">
        <v>3818</v>
      </c>
      <c r="B3448" s="5" t="n">
        <v>71</v>
      </c>
      <c r="C3448" s="72" t="inlineStr">
        <is>
          <t>X</t>
        </is>
      </c>
      <c r="D3448" s="5" t="n">
        <v>325</v>
      </c>
      <c r="E3448" s="73">
        <f>B3448*D3448/10000</f>
        <v/>
      </c>
      <c r="F3448" s="74">
        <f>B3448/30.48</f>
        <v/>
      </c>
      <c r="G3448" s="74">
        <f>D3448/30.48</f>
        <v/>
      </c>
      <c r="H3448" s="16" t="inlineStr">
        <is>
          <t>LMX</t>
        </is>
      </c>
      <c r="I3448" s="294" t="inlineStr">
        <is>
          <t>Emily Perry</t>
        </is>
      </c>
    </row>
    <row r="3449" ht="18" customHeight="1" s="305">
      <c r="A3449" s="8" t="n">
        <v>4252</v>
      </c>
      <c r="B3449" s="5" t="n">
        <v>138</v>
      </c>
      <c r="C3449" s="72" t="inlineStr">
        <is>
          <t>X</t>
        </is>
      </c>
      <c r="D3449" s="5" t="n">
        <v>258</v>
      </c>
      <c r="E3449" s="73">
        <f>B3449*D3449/10000</f>
        <v/>
      </c>
      <c r="F3449" s="74">
        <f>B3449/30.48</f>
        <v/>
      </c>
      <c r="G3449" s="74">
        <f>D3449/30.48</f>
        <v/>
      </c>
      <c r="H3449" s="16" t="inlineStr">
        <is>
          <t>LMX</t>
        </is>
      </c>
      <c r="I3449" s="294" t="inlineStr">
        <is>
          <t>Chase Russell</t>
        </is>
      </c>
    </row>
    <row r="3450" ht="18" customHeight="1" s="305">
      <c r="A3450" s="8" t="inlineStr">
        <is>
          <t>E-251</t>
        </is>
      </c>
      <c r="B3450" s="5" t="n">
        <v>73</v>
      </c>
      <c r="C3450" s="72" t="inlineStr">
        <is>
          <t>X</t>
        </is>
      </c>
      <c r="D3450" s="5" t="n">
        <v>155</v>
      </c>
      <c r="E3450" s="73">
        <f>B3450*D3450/10000</f>
        <v/>
      </c>
      <c r="F3450" s="74">
        <f>B3450/30.48</f>
        <v/>
      </c>
      <c r="G3450" s="74">
        <f>D3450/30.48</f>
        <v/>
      </c>
      <c r="H3450" s="16" t="inlineStr">
        <is>
          <t>MCHD</t>
        </is>
      </c>
      <c r="I3450" s="20" t="n"/>
    </row>
    <row r="3451" ht="18" customHeight="1" s="305">
      <c r="A3451" s="8" t="n">
        <v>3034</v>
      </c>
      <c r="B3451" s="5" t="n">
        <v>104</v>
      </c>
      <c r="C3451" s="72" t="inlineStr">
        <is>
          <t>X</t>
        </is>
      </c>
      <c r="D3451" s="5" t="n">
        <v>161</v>
      </c>
      <c r="E3451" s="73">
        <f>B3451*D3451/10000</f>
        <v/>
      </c>
      <c r="F3451" s="74">
        <f>B3451/30.48</f>
        <v/>
      </c>
      <c r="G3451" s="74">
        <f>D3451/30.48</f>
        <v/>
      </c>
      <c r="H3451" s="694" t="n"/>
      <c r="I3451" s="694" t="n"/>
    </row>
    <row r="3452" ht="18" customHeight="1" s="305">
      <c r="A3452" s="8" t="n">
        <v>4463</v>
      </c>
      <c r="B3452" s="5" t="n">
        <v>188</v>
      </c>
      <c r="C3452" s="72" t="inlineStr">
        <is>
          <t>X</t>
        </is>
      </c>
      <c r="D3452" s="5" t="n">
        <v>287</v>
      </c>
      <c r="E3452" s="73">
        <f>B3452*D3452/10000</f>
        <v/>
      </c>
      <c r="F3452" s="74">
        <f>B3452/30.48</f>
        <v/>
      </c>
      <c r="G3452" s="74">
        <f>D3452/30.48</f>
        <v/>
      </c>
      <c r="H3452" s="16" t="inlineStr">
        <is>
          <t>WLR</t>
        </is>
      </c>
      <c r="I3452" s="294" t="inlineStr">
        <is>
          <t>Lauren Quiram</t>
        </is>
      </c>
    </row>
    <row r="3453" ht="18" customHeight="1" s="305">
      <c r="A3453" s="8" t="n">
        <v>991</v>
      </c>
      <c r="B3453" s="5" t="n">
        <v>290</v>
      </c>
      <c r="C3453" s="72" t="inlineStr">
        <is>
          <t>X</t>
        </is>
      </c>
      <c r="D3453" s="5" t="n">
        <v>396</v>
      </c>
      <c r="E3453" s="73">
        <f>B3453*D3453/10000</f>
        <v/>
      </c>
      <c r="F3453" s="74">
        <f>B3453/30.48</f>
        <v/>
      </c>
      <c r="G3453" s="74">
        <f>D3453/30.48</f>
        <v/>
      </c>
      <c r="H3453" s="16" t="inlineStr">
        <is>
          <t>RKS</t>
        </is>
      </c>
      <c r="I3453" s="435" t="inlineStr">
        <is>
          <t>Kelley Nance</t>
        </is>
      </c>
    </row>
    <row r="3454" ht="18" customHeight="1" s="305">
      <c r="A3454" s="8" t="n">
        <v>1715</v>
      </c>
      <c r="B3454" s="5" t="n">
        <v>277</v>
      </c>
      <c r="C3454" s="72" t="inlineStr">
        <is>
          <t>X</t>
        </is>
      </c>
      <c r="D3454" s="5" t="n">
        <v>376</v>
      </c>
      <c r="E3454" s="73">
        <f>B3454*D3454/10000</f>
        <v/>
      </c>
      <c r="F3454" s="74">
        <f>B3454/30.48</f>
        <v/>
      </c>
      <c r="G3454" s="74">
        <f>D3454/30.48</f>
        <v/>
      </c>
      <c r="H3454" s="16" t="inlineStr">
        <is>
          <t>WTR</t>
        </is>
      </c>
      <c r="I3454" s="294" t="inlineStr">
        <is>
          <t>Hilary Gallagher</t>
        </is>
      </c>
    </row>
    <row r="3455" ht="18" customHeight="1" s="305">
      <c r="A3455" s="8" t="inlineStr">
        <is>
          <t>İ-41</t>
        </is>
      </c>
      <c r="B3455" s="5" t="n">
        <v>295</v>
      </c>
      <c r="C3455" s="72" t="inlineStr">
        <is>
          <t>X</t>
        </is>
      </c>
      <c r="D3455" s="5" t="n">
        <v>350</v>
      </c>
      <c r="E3455" s="73">
        <f>B3455*D3455/10000</f>
        <v/>
      </c>
      <c r="F3455" s="74">
        <f>B3455/30.48</f>
        <v/>
      </c>
      <c r="G3455" s="74">
        <f>D3455/30.48</f>
        <v/>
      </c>
      <c r="H3455" s="16" t="inlineStr">
        <is>
          <t>LLC</t>
        </is>
      </c>
      <c r="I3455" s="294" t="inlineStr">
        <is>
          <t>Steph Kaufmann</t>
        </is>
      </c>
    </row>
    <row r="3456" ht="18" customHeight="1" s="305">
      <c r="A3456" s="8" t="n">
        <v>3465</v>
      </c>
      <c r="B3456" s="5" t="n">
        <v>89</v>
      </c>
      <c r="C3456" s="72" t="inlineStr">
        <is>
          <t>X</t>
        </is>
      </c>
      <c r="D3456" s="5" t="n">
        <v>413</v>
      </c>
      <c r="E3456" s="73">
        <f>B3456*D3456/10000</f>
        <v/>
      </c>
      <c r="F3456" s="74">
        <f>B3456/30.48</f>
        <v/>
      </c>
      <c r="G3456" s="74">
        <f>D3456/30.48</f>
        <v/>
      </c>
      <c r="H3456" s="16" t="inlineStr">
        <is>
          <t>WCR</t>
        </is>
      </c>
      <c r="I3456" s="294" t="inlineStr">
        <is>
          <t>Jamie Ley</t>
        </is>
      </c>
      <c r="J3456" s="9" t="inlineStr">
        <is>
          <t>(214) 213-9089</t>
        </is>
      </c>
    </row>
    <row r="3457" ht="18" customHeight="1" s="305">
      <c r="A3457" s="8" t="inlineStr">
        <is>
          <t>D 316</t>
        </is>
      </c>
      <c r="B3457" s="5" t="n">
        <v>47</v>
      </c>
      <c r="C3457" s="72" t="inlineStr">
        <is>
          <t>X</t>
        </is>
      </c>
      <c r="D3457" s="5" t="n">
        <v>104</v>
      </c>
      <c r="E3457" s="73">
        <f>B3457*D3457/10000</f>
        <v/>
      </c>
      <c r="F3457" s="74">
        <f>B3457/30.48</f>
        <v/>
      </c>
      <c r="G3457" s="74">
        <f>D3457/30.48</f>
        <v/>
      </c>
      <c r="H3457" s="16" t="inlineStr">
        <is>
          <t>WTR</t>
        </is>
      </c>
      <c r="I3457" s="80" t="inlineStr">
        <is>
          <t>JULIA GRYS</t>
        </is>
      </c>
    </row>
    <row r="3458" ht="18" customHeight="1" s="305">
      <c r="A3458" s="8" t="inlineStr">
        <is>
          <t>D 305</t>
        </is>
      </c>
      <c r="B3458" s="5" t="n">
        <v>47</v>
      </c>
      <c r="C3458" s="72" t="inlineStr">
        <is>
          <t>X</t>
        </is>
      </c>
      <c r="D3458" s="5" t="n">
        <v>85</v>
      </c>
      <c r="E3458" s="73">
        <f>B3458*D3458/10000</f>
        <v/>
      </c>
      <c r="F3458" s="74">
        <f>B3458/30.48</f>
        <v/>
      </c>
      <c r="G3458" s="74">
        <f>D3458/30.48</f>
        <v/>
      </c>
      <c r="H3458" s="694" t="n"/>
      <c r="I3458" s="694" t="n"/>
    </row>
    <row r="3459" ht="18" customHeight="1" s="305">
      <c r="A3459" s="8" t="inlineStr">
        <is>
          <t>C 381</t>
        </is>
      </c>
      <c r="B3459" s="5" t="n">
        <v>84</v>
      </c>
      <c r="C3459" s="6" t="inlineStr">
        <is>
          <t>X</t>
        </is>
      </c>
      <c r="D3459" s="5" t="n">
        <v>276</v>
      </c>
      <c r="E3459" s="2">
        <f>B3459*D3459/10000</f>
        <v/>
      </c>
      <c r="F3459" s="3">
        <f>B3459/30.48</f>
        <v/>
      </c>
      <c r="G3459" s="3">
        <f>D3459/30.48</f>
        <v/>
      </c>
      <c r="H3459" s="16" t="inlineStr">
        <is>
          <t>WTR</t>
        </is>
      </c>
      <c r="I3459" s="80" t="inlineStr">
        <is>
          <t>Katherine Norton</t>
        </is>
      </c>
    </row>
    <row r="3460" ht="18" customHeight="1" s="305">
      <c r="A3460" s="8" t="n">
        <v>3001</v>
      </c>
      <c r="B3460" s="5" t="n">
        <v>79</v>
      </c>
      <c r="C3460" s="72" t="inlineStr">
        <is>
          <t>X</t>
        </is>
      </c>
      <c r="D3460" s="5" t="n">
        <v>263</v>
      </c>
      <c r="E3460" s="73">
        <f>B3460*D3460/10000</f>
        <v/>
      </c>
      <c r="F3460" s="74">
        <f>B3460/30.48</f>
        <v/>
      </c>
      <c r="G3460" s="74">
        <f>D3460/30.48</f>
        <v/>
      </c>
      <c r="H3460" s="693" t="n"/>
      <c r="I3460" s="693" t="n"/>
    </row>
    <row r="3461" ht="18" customHeight="1" s="305">
      <c r="A3461" s="8" t="n">
        <v>3072</v>
      </c>
      <c r="B3461" s="5" t="n">
        <v>222</v>
      </c>
      <c r="C3461" s="72" t="inlineStr">
        <is>
          <t>X</t>
        </is>
      </c>
      <c r="D3461" s="5" t="n">
        <v>304</v>
      </c>
      <c r="E3461" s="73">
        <f>B3461*D3461/10000</f>
        <v/>
      </c>
      <c r="F3461" s="74">
        <f>B3461/30.48</f>
        <v/>
      </c>
      <c r="G3461" s="74">
        <f>D3461/30.48</f>
        <v/>
      </c>
      <c r="H3461" s="694" t="n"/>
      <c r="I3461" s="694" t="n"/>
    </row>
    <row r="3462" ht="18" customHeight="1" s="305">
      <c r="A3462" s="8" t="n">
        <v>4107</v>
      </c>
      <c r="B3462" s="5" t="n">
        <v>145</v>
      </c>
      <c r="C3462" s="72" t="inlineStr">
        <is>
          <t>X</t>
        </is>
      </c>
      <c r="D3462" s="5" t="n">
        <v>242</v>
      </c>
      <c r="E3462" s="73">
        <f>B3462*D3462/10000</f>
        <v/>
      </c>
      <c r="F3462" s="74">
        <f>B3462/30.48</f>
        <v/>
      </c>
      <c r="G3462" s="74">
        <f>SATILANLAR!D3462/30.48</f>
        <v/>
      </c>
      <c r="H3462" s="16" t="inlineStr">
        <is>
          <t>PAC</t>
        </is>
      </c>
      <c r="I3462" s="294" t="inlineStr">
        <is>
          <t>Yuna Rapoport</t>
        </is>
      </c>
    </row>
    <row r="3463" ht="18" customHeight="1" s="305">
      <c r="A3463" s="8" t="inlineStr">
        <is>
          <t>H 231</t>
        </is>
      </c>
      <c r="B3463" s="5" t="n">
        <v>86</v>
      </c>
      <c r="C3463" s="6" t="inlineStr">
        <is>
          <t>X</t>
        </is>
      </c>
      <c r="D3463" s="5" t="n">
        <v>380</v>
      </c>
      <c r="E3463" s="2">
        <f>B3463*D3463/10000</f>
        <v/>
      </c>
      <c r="F3463" s="3">
        <f>B3463/30.48</f>
        <v/>
      </c>
      <c r="G3463" s="3">
        <f>D3463/30.48</f>
        <v/>
      </c>
      <c r="H3463" s="16" t="inlineStr">
        <is>
          <t>LMX</t>
        </is>
      </c>
      <c r="I3463" s="294" t="inlineStr">
        <is>
          <t>Madison Graves</t>
        </is>
      </c>
    </row>
    <row r="3464" ht="18" customHeight="1" s="305">
      <c r="A3464" s="8" t="n">
        <v>2669</v>
      </c>
      <c r="B3464" s="5" t="n">
        <v>85</v>
      </c>
      <c r="C3464" s="72" t="inlineStr">
        <is>
          <t>X</t>
        </is>
      </c>
      <c r="D3464" s="5" t="n">
        <v>348</v>
      </c>
      <c r="E3464" s="73">
        <f>B3464*D3464/10000</f>
        <v/>
      </c>
      <c r="F3464" s="74">
        <f>B3464/30.48</f>
        <v/>
      </c>
      <c r="G3464" s="74">
        <f>D3464/30.48</f>
        <v/>
      </c>
      <c r="H3464" s="16" t="inlineStr">
        <is>
          <t>WTR</t>
        </is>
      </c>
      <c r="I3464" s="294" t="inlineStr">
        <is>
          <t>Lindsay Chudinski</t>
        </is>
      </c>
    </row>
    <row r="3465" ht="18" customHeight="1" s="305">
      <c r="A3465" s="8" t="inlineStr">
        <is>
          <t>İ-8</t>
        </is>
      </c>
      <c r="B3465" s="5" t="n">
        <v>290</v>
      </c>
      <c r="C3465" s="72" t="inlineStr">
        <is>
          <t>X</t>
        </is>
      </c>
      <c r="D3465" s="5" t="n">
        <v>364</v>
      </c>
      <c r="E3465" s="73">
        <f>B3465*D3465/10000</f>
        <v/>
      </c>
      <c r="F3465" s="74">
        <f>B3465/30.48</f>
        <v/>
      </c>
      <c r="G3465" s="74">
        <f>D3465/30.48</f>
        <v/>
      </c>
      <c r="H3465" s="16" t="inlineStr">
        <is>
          <t>LLC</t>
        </is>
      </c>
      <c r="I3465" s="80" t="inlineStr">
        <is>
          <t>Emily Velez</t>
        </is>
      </c>
    </row>
    <row r="3466" ht="18" customHeight="1" s="305">
      <c r="A3466" s="8" t="n">
        <v>3147</v>
      </c>
      <c r="B3466" s="5" t="n">
        <v>198</v>
      </c>
      <c r="C3466" s="72" t="inlineStr">
        <is>
          <t>X</t>
        </is>
      </c>
      <c r="D3466" s="5" t="n">
        <v>292</v>
      </c>
      <c r="E3466" s="73">
        <f>B3466*D3466/10000</f>
        <v/>
      </c>
      <c r="F3466" s="74">
        <f>B3466/30.48</f>
        <v/>
      </c>
      <c r="G3466" s="74">
        <f>D3466/30.48</f>
        <v/>
      </c>
      <c r="H3466" s="694" t="n"/>
      <c r="I3466" s="694" t="n"/>
    </row>
    <row r="3467" ht="18" customHeight="1" s="305">
      <c r="A3467" s="8" t="n">
        <v>4407</v>
      </c>
      <c r="B3467" s="5" t="n">
        <v>80</v>
      </c>
      <c r="C3467" s="72" t="inlineStr">
        <is>
          <t>X</t>
        </is>
      </c>
      <c r="D3467" s="5" t="n">
        <v>125</v>
      </c>
      <c r="E3467" s="73">
        <f>B3467*D3467/10000</f>
        <v/>
      </c>
      <c r="F3467" s="74">
        <f>B3467/30.48</f>
        <v/>
      </c>
      <c r="G3467" s="74">
        <f>D3467/30.48</f>
        <v/>
      </c>
      <c r="H3467" s="16" t="inlineStr">
        <is>
          <t>MCHD</t>
        </is>
      </c>
    </row>
    <row r="3468" ht="18" customHeight="1" s="305">
      <c r="A3468" s="8" t="inlineStr">
        <is>
          <t>D 299</t>
        </is>
      </c>
      <c r="B3468" s="5" t="n">
        <v>45</v>
      </c>
      <c r="C3468" s="72" t="inlineStr">
        <is>
          <t>X</t>
        </is>
      </c>
      <c r="D3468" s="5" t="n">
        <v>83</v>
      </c>
      <c r="E3468" s="73">
        <f>B3468*D3468/10000</f>
        <v/>
      </c>
      <c r="F3468" s="74">
        <f>B3468/30.48</f>
        <v/>
      </c>
      <c r="G3468" s="74">
        <f>D3468/30.48</f>
        <v/>
      </c>
      <c r="H3468" s="16" t="inlineStr">
        <is>
          <t>WTR</t>
        </is>
      </c>
      <c r="I3468" s="294" t="inlineStr">
        <is>
          <t>Naomi Cira</t>
        </is>
      </c>
    </row>
    <row r="3469" ht="18" customHeight="1" s="305">
      <c r="A3469" s="28" t="inlineStr">
        <is>
          <t>D 838</t>
        </is>
      </c>
      <c r="B3469" s="29" t="n">
        <v>49</v>
      </c>
      <c r="C3469" s="236" t="inlineStr">
        <is>
          <t>X</t>
        </is>
      </c>
      <c r="D3469" s="29" t="n">
        <v>95</v>
      </c>
      <c r="E3469" s="237">
        <f>B3469*D3469/10000</f>
        <v/>
      </c>
      <c r="F3469" s="238">
        <f>B3469/30.48</f>
        <v/>
      </c>
      <c r="G3469" s="238">
        <f>D3469/30.48</f>
        <v/>
      </c>
      <c r="H3469" s="16" t="inlineStr">
        <is>
          <t>LMX</t>
        </is>
      </c>
      <c r="I3469" s="294" t="inlineStr">
        <is>
          <t>Victoria Whonsetler</t>
        </is>
      </c>
    </row>
    <row r="3470" ht="18" customHeight="1" s="305">
      <c r="A3470" s="8" t="n">
        <v>3108</v>
      </c>
      <c r="B3470" s="5" t="n">
        <v>103</v>
      </c>
      <c r="C3470" s="72" t="inlineStr">
        <is>
          <t>X</t>
        </is>
      </c>
      <c r="D3470" s="5" t="n">
        <v>173</v>
      </c>
      <c r="E3470" s="73">
        <f>B3470*D3470/10000</f>
        <v/>
      </c>
      <c r="F3470" s="74">
        <f>B3470/30.48</f>
        <v/>
      </c>
      <c r="G3470" s="74">
        <f>D3470/30.48</f>
        <v/>
      </c>
      <c r="H3470" s="16" t="inlineStr">
        <is>
          <t>LLC</t>
        </is>
      </c>
      <c r="I3470" s="294" t="inlineStr">
        <is>
          <t>Samia Alam</t>
        </is>
      </c>
    </row>
    <row r="3471" ht="18" customHeight="1" s="305">
      <c r="A3471" s="8" t="n">
        <v>4369</v>
      </c>
      <c r="B3471" s="5" t="n">
        <v>84</v>
      </c>
      <c r="C3471" s="72" t="inlineStr">
        <is>
          <t>X</t>
        </is>
      </c>
      <c r="D3471" s="5" t="n">
        <v>276</v>
      </c>
      <c r="E3471" s="73">
        <f>B3471*D3471/10000</f>
        <v/>
      </c>
      <c r="F3471" s="74">
        <f>B3471/30.48</f>
        <v/>
      </c>
      <c r="G3471" s="74">
        <f>D3471/30.48</f>
        <v/>
      </c>
      <c r="H3471" s="16" t="inlineStr">
        <is>
          <t>MCHD</t>
        </is>
      </c>
    </row>
    <row r="3472" ht="18" customHeight="1" s="305">
      <c r="A3472" s="8" t="n">
        <v>4846</v>
      </c>
      <c r="B3472" s="5" t="n">
        <v>200</v>
      </c>
      <c r="C3472" s="72" t="inlineStr">
        <is>
          <t>X</t>
        </is>
      </c>
      <c r="D3472" s="5" t="n">
        <v>256</v>
      </c>
      <c r="E3472" s="73">
        <f>B3472*D3472/10000</f>
        <v/>
      </c>
      <c r="F3472" s="74">
        <f>B3472/30.48</f>
        <v/>
      </c>
      <c r="G3472" s="74">
        <f>D3472/30.48</f>
        <v/>
      </c>
      <c r="H3472" s="16" t="inlineStr">
        <is>
          <t>WLR</t>
        </is>
      </c>
      <c r="I3472" s="294" t="inlineStr">
        <is>
          <t>Ella Rubin</t>
        </is>
      </c>
    </row>
    <row r="3473" ht="18" customHeight="1" s="305">
      <c r="A3473" s="8" t="n">
        <v>2855</v>
      </c>
      <c r="B3473" s="5" t="n">
        <v>85</v>
      </c>
      <c r="C3473" s="72" t="inlineStr">
        <is>
          <t>X</t>
        </is>
      </c>
      <c r="D3473" s="5" t="n">
        <v>384</v>
      </c>
      <c r="E3473" s="73">
        <f>B3473*D3473/10000</f>
        <v/>
      </c>
      <c r="F3473" s="74">
        <f>B3473/30.48</f>
        <v/>
      </c>
      <c r="G3473" s="74">
        <f>D3473/30.48</f>
        <v/>
      </c>
      <c r="H3473" s="16" t="inlineStr">
        <is>
          <t>LMX</t>
        </is>
      </c>
      <c r="I3473" s="80" t="inlineStr">
        <is>
          <t>Savannah Young</t>
        </is>
      </c>
      <c r="J3473" s="9" t="inlineStr">
        <is>
          <t>(863)413-6540</t>
        </is>
      </c>
    </row>
    <row r="3474" ht="18" customHeight="1" s="305">
      <c r="A3474" s="8" t="inlineStr">
        <is>
          <t>İ-61</t>
        </is>
      </c>
      <c r="B3474" s="5" t="n">
        <v>290</v>
      </c>
      <c r="C3474" s="72" t="inlineStr">
        <is>
          <t>X</t>
        </is>
      </c>
      <c r="D3474" s="5" t="n">
        <v>376</v>
      </c>
      <c r="E3474" s="73">
        <f>B3474*D3474/10000</f>
        <v/>
      </c>
      <c r="F3474" s="74">
        <f>B3474/30.48</f>
        <v/>
      </c>
      <c r="G3474" s="74">
        <f>D3474/30.48</f>
        <v/>
      </c>
      <c r="H3474" s="694" t="n"/>
      <c r="I3474" s="694" t="n"/>
      <c r="J3474" s="694" t="n"/>
    </row>
    <row r="3475" ht="18" customHeight="1" s="305">
      <c r="A3475" s="28" t="inlineStr">
        <is>
          <t>D 841</t>
        </is>
      </c>
      <c r="B3475" s="29" t="n">
        <v>45</v>
      </c>
      <c r="C3475" s="236" t="inlineStr">
        <is>
          <t>X</t>
        </is>
      </c>
      <c r="D3475" s="29" t="n">
        <v>66</v>
      </c>
      <c r="E3475" s="237">
        <f>B3475*D3475/10000</f>
        <v/>
      </c>
      <c r="F3475" s="238">
        <f>B3475/30.48</f>
        <v/>
      </c>
      <c r="G3475" s="238">
        <f>D3475/30.48</f>
        <v/>
      </c>
      <c r="H3475" s="16" t="inlineStr">
        <is>
          <t>LR</t>
        </is>
      </c>
      <c r="I3475" s="294" t="inlineStr">
        <is>
          <t>Sarah Beth Cloar</t>
        </is>
      </c>
    </row>
    <row r="3476" ht="18" customHeight="1" s="305">
      <c r="A3476" s="28" t="inlineStr">
        <is>
          <t>D 792</t>
        </is>
      </c>
      <c r="B3476" s="29" t="n">
        <v>51</v>
      </c>
      <c r="C3476" s="236" t="inlineStr">
        <is>
          <t>X</t>
        </is>
      </c>
      <c r="D3476" s="29" t="n">
        <v>96</v>
      </c>
      <c r="E3476" s="237">
        <f>B3476*D3476/10000</f>
        <v/>
      </c>
      <c r="F3476" s="238">
        <f>B3476/30.48</f>
        <v/>
      </c>
      <c r="G3476" s="238">
        <f>D3476/30.48</f>
        <v/>
      </c>
      <c r="H3476" s="16" t="inlineStr">
        <is>
          <t>İLMEK</t>
        </is>
      </c>
      <c r="I3476" s="294" t="inlineStr">
        <is>
          <t>Eliza MacDowell</t>
        </is>
      </c>
      <c r="J3476" s="9" t="inlineStr">
        <is>
          <t>(972) 345-9044</t>
        </is>
      </c>
    </row>
    <row r="3477" ht="18" customHeight="1" s="305">
      <c r="A3477" s="8" t="n">
        <v>3428</v>
      </c>
      <c r="B3477" s="5" t="n">
        <v>90</v>
      </c>
      <c r="C3477" s="72" t="inlineStr">
        <is>
          <t>X</t>
        </is>
      </c>
      <c r="D3477" s="5" t="n">
        <v>442</v>
      </c>
      <c r="E3477" s="73">
        <f>B3477*D3477/10000</f>
        <v/>
      </c>
      <c r="F3477" s="74">
        <f>B3477/30.48</f>
        <v/>
      </c>
      <c r="G3477" s="74">
        <f>D3477/30.48</f>
        <v/>
      </c>
      <c r="H3477" s="16" t="inlineStr">
        <is>
          <t>İLMEK</t>
        </is>
      </c>
      <c r="I3477" s="80" t="inlineStr">
        <is>
          <t>barbara goren</t>
        </is>
      </c>
      <c r="J3477" s="9" t="inlineStr">
        <is>
          <t>+1 2036765755</t>
        </is>
      </c>
    </row>
    <row r="3478" ht="18" customHeight="1" s="305">
      <c r="A3478" s="28" t="inlineStr">
        <is>
          <t>D 897</t>
        </is>
      </c>
      <c r="B3478" s="29" t="n">
        <v>57</v>
      </c>
      <c r="C3478" s="236" t="inlineStr">
        <is>
          <t>X</t>
        </is>
      </c>
      <c r="D3478" s="29" t="n">
        <v>113</v>
      </c>
      <c r="E3478" s="237">
        <f>B3478*D3478/10000</f>
        <v/>
      </c>
      <c r="F3478" s="238">
        <f>B3478/30.48</f>
        <v/>
      </c>
      <c r="G3478" s="238">
        <f>D3478/30.48</f>
        <v/>
      </c>
      <c r="H3478" s="694" t="n"/>
      <c r="I3478" s="694" t="n"/>
      <c r="J3478" s="694" t="n"/>
    </row>
    <row r="3479" ht="18" customHeight="1" s="305">
      <c r="A3479" s="28" t="inlineStr">
        <is>
          <t>D 1242</t>
        </is>
      </c>
      <c r="B3479" s="29" t="n">
        <v>54</v>
      </c>
      <c r="C3479" s="236" t="inlineStr">
        <is>
          <t>X</t>
        </is>
      </c>
      <c r="D3479" s="29" t="n">
        <v>96</v>
      </c>
      <c r="E3479" s="237">
        <f>B3479*D3479/10000</f>
        <v/>
      </c>
      <c r="F3479" s="238">
        <f>B3479/30.48</f>
        <v/>
      </c>
      <c r="G3479" s="238">
        <f>D3479/30.48</f>
        <v/>
      </c>
      <c r="H3479" s="16" t="inlineStr">
        <is>
          <t>WLR</t>
        </is>
      </c>
      <c r="I3479" s="294" t="inlineStr">
        <is>
          <t>Amanda Nees</t>
        </is>
      </c>
    </row>
    <row r="3480" ht="18" customHeight="1" s="305">
      <c r="A3480" s="8" t="n">
        <v>4125</v>
      </c>
      <c r="B3480" s="5" t="n">
        <v>188</v>
      </c>
      <c r="C3480" s="72" t="inlineStr">
        <is>
          <t>X</t>
        </is>
      </c>
      <c r="D3480" s="5" t="n">
        <v>323</v>
      </c>
      <c r="E3480" s="73">
        <f>B3480*D3480/10000</f>
        <v/>
      </c>
      <c r="F3480" s="74">
        <f>B3480/30.48</f>
        <v/>
      </c>
      <c r="G3480" s="74">
        <f>D3480/30.48</f>
        <v/>
      </c>
      <c r="H3480" s="16" t="inlineStr">
        <is>
          <t>LR</t>
        </is>
      </c>
      <c r="I3480" s="294" t="inlineStr">
        <is>
          <t>Casey Lutter</t>
        </is>
      </c>
    </row>
    <row r="3481" ht="18" customHeight="1" s="305">
      <c r="A3481" s="8" t="n">
        <v>3924</v>
      </c>
      <c r="B3481" s="5" t="n">
        <v>106</v>
      </c>
      <c r="C3481" s="72" t="inlineStr">
        <is>
          <t>X</t>
        </is>
      </c>
      <c r="D3481" s="5" t="n">
        <v>174</v>
      </c>
      <c r="E3481" s="73">
        <f>B3481*D3481/10000</f>
        <v/>
      </c>
      <c r="F3481" s="74">
        <f>B3481/30.48</f>
        <v/>
      </c>
      <c r="G3481" s="74">
        <f>D3481/30.48</f>
        <v/>
      </c>
      <c r="H3481" s="16" t="inlineStr">
        <is>
          <t>LR</t>
        </is>
      </c>
      <c r="I3481" s="294" t="inlineStr">
        <is>
          <t>Karlyn Smith</t>
        </is>
      </c>
    </row>
    <row r="3482" ht="18" customHeight="1" s="305">
      <c r="A3482" s="8" t="n">
        <v>1056</v>
      </c>
      <c r="B3482" s="5" t="n">
        <v>89</v>
      </c>
      <c r="C3482" s="72" t="inlineStr">
        <is>
          <t>X</t>
        </is>
      </c>
      <c r="D3482" s="5" t="n">
        <v>389</v>
      </c>
      <c r="E3482" s="73">
        <f>B3482*D3482/10000</f>
        <v/>
      </c>
      <c r="F3482" s="74">
        <f>B3482/30.48</f>
        <v/>
      </c>
      <c r="G3482" s="74">
        <f>D3482/30.48</f>
        <v/>
      </c>
      <c r="H3482" s="16" t="inlineStr">
        <is>
          <t>OLD</t>
        </is>
      </c>
      <c r="I3482" s="294" t="inlineStr">
        <is>
          <t>caroline jaap</t>
        </is>
      </c>
    </row>
    <row r="3483" ht="18" customHeight="1" s="305">
      <c r="A3483" s="8" t="n">
        <v>2355</v>
      </c>
      <c r="B3483" s="5" t="n">
        <v>68</v>
      </c>
      <c r="C3483" s="72" t="inlineStr">
        <is>
          <t>X</t>
        </is>
      </c>
      <c r="D3483" s="5" t="n">
        <v>139</v>
      </c>
      <c r="E3483" s="73">
        <f>B3483*D3483/10000</f>
        <v/>
      </c>
      <c r="F3483" s="74">
        <f>B3483/30.48</f>
        <v/>
      </c>
      <c r="G3483" s="74">
        <f>D3483/30.48</f>
        <v/>
      </c>
      <c r="H3483" s="16" t="inlineStr">
        <is>
          <t>LMX</t>
        </is>
      </c>
      <c r="I3483" s="294" t="inlineStr">
        <is>
          <t>Rylee Blaha</t>
        </is>
      </c>
    </row>
    <row r="3484" ht="18" customHeight="1" s="305">
      <c r="A3484" s="28" t="inlineStr">
        <is>
          <t>D 750</t>
        </is>
      </c>
      <c r="B3484" s="29" t="n">
        <v>53</v>
      </c>
      <c r="C3484" s="236" t="inlineStr">
        <is>
          <t>X</t>
        </is>
      </c>
      <c r="D3484" s="29" t="n">
        <v>92</v>
      </c>
      <c r="E3484" s="237">
        <f>B3484*D3484/10000</f>
        <v/>
      </c>
      <c r="F3484" s="238">
        <f>B3484/30.48</f>
        <v/>
      </c>
      <c r="G3484" s="238">
        <f>D3484/30.48</f>
        <v/>
      </c>
      <c r="H3484" s="16" t="inlineStr">
        <is>
          <t>İLMEK</t>
        </is>
      </c>
      <c r="I3484" s="294" t="inlineStr">
        <is>
          <t>Lauren Tan</t>
        </is>
      </c>
    </row>
    <row r="3485" ht="18" customHeight="1" s="305">
      <c r="A3485" s="8" t="inlineStr">
        <is>
          <t>İ-53</t>
        </is>
      </c>
      <c r="B3485" s="5" t="n">
        <v>284</v>
      </c>
      <c r="C3485" s="72" t="inlineStr">
        <is>
          <t>X</t>
        </is>
      </c>
      <c r="D3485" s="5" t="n">
        <v>374</v>
      </c>
      <c r="E3485" s="73">
        <f>B3485*D3485/10000</f>
        <v/>
      </c>
      <c r="F3485" s="74">
        <f>B3485/30.48</f>
        <v/>
      </c>
      <c r="G3485" s="74">
        <f>D3485/30.48</f>
        <v/>
      </c>
      <c r="H3485" s="16" t="n">
        <v>75</v>
      </c>
      <c r="I3485" s="294" t="inlineStr">
        <is>
          <t>Kristen Farman</t>
        </is>
      </c>
    </row>
    <row r="3486" ht="18" customHeight="1" s="305">
      <c r="A3486" s="8" t="n">
        <v>3888</v>
      </c>
      <c r="B3486" s="5" t="n">
        <v>71</v>
      </c>
      <c r="C3486" s="72" t="inlineStr">
        <is>
          <t>X</t>
        </is>
      </c>
      <c r="D3486" s="5" t="n">
        <v>198</v>
      </c>
      <c r="E3486" s="73">
        <f>B3486*D3486/10000</f>
        <v/>
      </c>
      <c r="F3486" s="74">
        <f>B3486/30.48</f>
        <v/>
      </c>
      <c r="G3486" s="74">
        <f>D3486/30.48</f>
        <v/>
      </c>
      <c r="H3486" s="16" t="inlineStr">
        <is>
          <t>LR</t>
        </is>
      </c>
      <c r="I3486" s="294" t="inlineStr">
        <is>
          <t>Julia Papandrea</t>
        </is>
      </c>
      <c r="J3486" s="9" t="n">
        <v>9788330828</v>
      </c>
    </row>
    <row r="3487" ht="18" customHeight="1" s="305">
      <c r="A3487" s="8" t="n">
        <v>4426</v>
      </c>
      <c r="B3487" s="5" t="n">
        <v>116</v>
      </c>
      <c r="C3487" s="72" t="inlineStr">
        <is>
          <t>X</t>
        </is>
      </c>
      <c r="D3487" s="5" t="n">
        <v>355</v>
      </c>
      <c r="E3487" s="73">
        <f>B3487*D3487/10000</f>
        <v/>
      </c>
      <c r="F3487" s="74">
        <f>B3487/30.48</f>
        <v/>
      </c>
      <c r="G3487" s="74">
        <f>D3487/30.48</f>
        <v/>
      </c>
      <c r="H3487" s="16" t="inlineStr">
        <is>
          <t>WTR</t>
        </is>
      </c>
      <c r="I3487" s="440" t="inlineStr">
        <is>
          <t>Amy Cotton</t>
        </is>
      </c>
      <c r="J3487" s="9" t="inlineStr">
        <is>
          <t>+1 209-482-1462</t>
        </is>
      </c>
    </row>
    <row r="3488" ht="18" customHeight="1" s="305">
      <c r="A3488" s="8" t="inlineStr">
        <is>
          <t>E-130</t>
        </is>
      </c>
      <c r="B3488" s="5" t="n">
        <v>69</v>
      </c>
      <c r="C3488" s="72" t="inlineStr">
        <is>
          <t>X</t>
        </is>
      </c>
      <c r="D3488" s="5" t="n">
        <v>166</v>
      </c>
      <c r="E3488" s="73">
        <f>B3488*D3488/10000</f>
        <v/>
      </c>
      <c r="F3488" s="74">
        <f>B3488/30.48</f>
        <v/>
      </c>
      <c r="G3488" s="74">
        <f>D3488/30.48</f>
        <v/>
      </c>
      <c r="H3488" s="16" t="inlineStr">
        <is>
          <t>WLR</t>
        </is>
      </c>
      <c r="I3488" s="80" t="inlineStr">
        <is>
          <t>Debra Lustig</t>
        </is>
      </c>
    </row>
    <row r="3489" ht="18" customHeight="1" s="305">
      <c r="A3489" s="28" t="inlineStr">
        <is>
          <t>D 1148</t>
        </is>
      </c>
      <c r="B3489" s="29" t="n">
        <v>46</v>
      </c>
      <c r="C3489" s="236" t="inlineStr">
        <is>
          <t>X</t>
        </is>
      </c>
      <c r="D3489" s="29" t="n">
        <v>79</v>
      </c>
      <c r="E3489" s="237">
        <f>B3489*D3489/10000</f>
        <v/>
      </c>
      <c r="F3489" s="238">
        <f>B3489/30.48</f>
        <v/>
      </c>
      <c r="G3489" s="238">
        <f>D3489/30.48</f>
        <v/>
      </c>
      <c r="H3489" s="694" t="n"/>
      <c r="I3489" s="694" t="n"/>
    </row>
    <row r="3490" ht="18" customHeight="1" s="305">
      <c r="A3490" s="8" t="inlineStr">
        <is>
          <t>İ-11</t>
        </is>
      </c>
      <c r="B3490" s="5" t="n">
        <v>194</v>
      </c>
      <c r="C3490" s="72" t="inlineStr">
        <is>
          <t>X</t>
        </is>
      </c>
      <c r="D3490" s="5" t="n">
        <v>333</v>
      </c>
      <c r="E3490" s="73">
        <f>B3490*D3490/10000</f>
        <v/>
      </c>
      <c r="F3490" s="74">
        <f>B3490/30.48</f>
        <v/>
      </c>
      <c r="G3490" s="74">
        <f>D3490/30.48</f>
        <v/>
      </c>
      <c r="H3490" s="16" t="inlineStr">
        <is>
          <t>LMX</t>
        </is>
      </c>
      <c r="I3490" s="294" t="inlineStr">
        <is>
          <t>Luke Carver</t>
        </is>
      </c>
    </row>
    <row r="3491" ht="18" customHeight="1" s="305">
      <c r="A3491" s="8" t="n">
        <v>3415</v>
      </c>
      <c r="B3491" s="5" t="n">
        <v>67</v>
      </c>
      <c r="C3491" s="72" t="inlineStr">
        <is>
          <t>X</t>
        </is>
      </c>
      <c r="D3491" s="5" t="n">
        <v>388</v>
      </c>
      <c r="E3491" s="73">
        <f>B3491*D3491/10000</f>
        <v/>
      </c>
      <c r="F3491" s="74">
        <f>B3491/30.48</f>
        <v/>
      </c>
      <c r="G3491" s="74">
        <f>D3491/30.48</f>
        <v/>
      </c>
      <c r="H3491" s="16" t="inlineStr">
        <is>
          <t>LR</t>
        </is>
      </c>
      <c r="I3491" s="294" t="inlineStr">
        <is>
          <t>kelly valdez</t>
        </is>
      </c>
      <c r="J3491" s="9" t="inlineStr">
        <is>
          <t>(760) 470-8123</t>
        </is>
      </c>
    </row>
    <row r="3492" ht="18" customHeight="1" s="305">
      <c r="A3492" s="8" t="n">
        <v>2643</v>
      </c>
      <c r="B3492" s="5" t="n">
        <v>95</v>
      </c>
      <c r="C3492" s="72" t="inlineStr">
        <is>
          <t>X</t>
        </is>
      </c>
      <c r="D3492" s="5" t="n">
        <v>414</v>
      </c>
      <c r="E3492" s="73">
        <f>B3492*D3492/10000</f>
        <v/>
      </c>
      <c r="F3492" s="74">
        <f>B3492/30.48</f>
        <v/>
      </c>
      <c r="G3492" s="74">
        <f>D3492/30.48</f>
        <v/>
      </c>
      <c r="H3492" s="16" t="inlineStr">
        <is>
          <t>LLC</t>
        </is>
      </c>
      <c r="I3492" s="294" t="inlineStr">
        <is>
          <t>Unicorn Delivery S/M SamCram/Pease</t>
        </is>
      </c>
      <c r="J3492" s="9" t="inlineStr">
        <is>
          <t>(615) 483-3817</t>
        </is>
      </c>
    </row>
    <row r="3493" ht="18" customHeight="1" s="305">
      <c r="A3493" s="8" t="n">
        <v>1175</v>
      </c>
      <c r="B3493" s="5" t="n">
        <v>204</v>
      </c>
      <c r="C3493" s="72" t="inlineStr">
        <is>
          <t>X</t>
        </is>
      </c>
      <c r="D3493" s="5" t="n">
        <v>278</v>
      </c>
      <c r="E3493" s="73">
        <f>B3493*D3493/10000</f>
        <v/>
      </c>
      <c r="F3493" s="74">
        <f>B3493/30.48</f>
        <v/>
      </c>
      <c r="G3493" s="74">
        <f>D3493/30.48</f>
        <v/>
      </c>
      <c r="H3493" s="16" t="inlineStr">
        <is>
          <t>PAC</t>
        </is>
      </c>
      <c r="I3493" s="294" t="inlineStr">
        <is>
          <t>Hattie Kolp</t>
        </is>
      </c>
      <c r="J3493" s="9" t="n">
        <v>6466455318</v>
      </c>
    </row>
    <row r="3494" ht="18" customHeight="1" s="305">
      <c r="A3494" s="8" t="n">
        <v>4023</v>
      </c>
      <c r="B3494" s="5" t="n">
        <v>64</v>
      </c>
      <c r="C3494" s="72" t="inlineStr">
        <is>
          <t>X</t>
        </is>
      </c>
      <c r="D3494" s="5" t="n">
        <v>148</v>
      </c>
      <c r="E3494" s="73">
        <f>B3494*D3494/10000</f>
        <v/>
      </c>
      <c r="F3494" s="74">
        <f>B3494/30.48</f>
        <v/>
      </c>
      <c r="G3494" s="74">
        <f>D3494/30.48</f>
        <v/>
      </c>
      <c r="H3494" s="16" t="inlineStr">
        <is>
          <t>WTR</t>
        </is>
      </c>
      <c r="I3494" s="294" t="inlineStr">
        <is>
          <t>Shahryar Vosough Golshani</t>
        </is>
      </c>
      <c r="J3494" s="9" t="n">
        <v>14045431111</v>
      </c>
    </row>
    <row r="3495" ht="18" customHeight="1" s="305">
      <c r="A3495" s="8" t="n">
        <v>4728</v>
      </c>
      <c r="B3495" s="5" t="n">
        <v>108</v>
      </c>
      <c r="C3495" s="72" t="inlineStr">
        <is>
          <t>X</t>
        </is>
      </c>
      <c r="D3495" s="5" t="n">
        <v>295</v>
      </c>
      <c r="E3495" s="73">
        <f>B3495*D3495/10000</f>
        <v/>
      </c>
      <c r="F3495" s="74">
        <f>B3495/30.48</f>
        <v/>
      </c>
      <c r="G3495" s="74">
        <f>D3495/30.48</f>
        <v/>
      </c>
      <c r="H3495" s="16" t="inlineStr">
        <is>
          <t>WLR</t>
        </is>
      </c>
      <c r="I3495" s="294" t="inlineStr">
        <is>
          <t>Jennifer Kiernan</t>
        </is>
      </c>
    </row>
    <row r="3496" ht="18" customHeight="1" s="305">
      <c r="A3496" s="28" t="inlineStr">
        <is>
          <t>D 757</t>
        </is>
      </c>
      <c r="B3496" s="29" t="n">
        <v>48</v>
      </c>
      <c r="C3496" s="236" t="inlineStr">
        <is>
          <t>X</t>
        </is>
      </c>
      <c r="D3496" s="29" t="n">
        <v>106</v>
      </c>
      <c r="E3496" s="237">
        <f>B3496*D3496/10000</f>
        <v/>
      </c>
      <c r="F3496" s="238">
        <f>B3496/30.48</f>
        <v/>
      </c>
      <c r="G3496" s="238">
        <f>D3496/30.48</f>
        <v/>
      </c>
      <c r="H3496" s="16" t="inlineStr">
        <is>
          <t>WCR</t>
        </is>
      </c>
      <c r="I3496" s="294" t="inlineStr">
        <is>
          <t>Steph McKeever</t>
        </is>
      </c>
    </row>
    <row r="3497" ht="18" customHeight="1" s="305">
      <c r="A3497" s="28" t="inlineStr">
        <is>
          <t>D 1041</t>
        </is>
      </c>
      <c r="B3497" s="29" t="n">
        <v>56</v>
      </c>
      <c r="C3497" s="236" t="inlineStr">
        <is>
          <t>X</t>
        </is>
      </c>
      <c r="D3497" s="29" t="n">
        <v>88</v>
      </c>
      <c r="E3497" s="237">
        <f>B3497*D3497/10000</f>
        <v/>
      </c>
      <c r="F3497" s="238">
        <f>B3497/30.48</f>
        <v/>
      </c>
      <c r="G3497" s="238">
        <f>D3497/30.48</f>
        <v/>
      </c>
      <c r="H3497" s="16" t="inlineStr">
        <is>
          <t>İLMEK</t>
        </is>
      </c>
      <c r="I3497" s="294" t="inlineStr">
        <is>
          <t>Caitlin Sabatini</t>
        </is>
      </c>
    </row>
    <row r="3498" ht="18" customHeight="1" s="305">
      <c r="A3498" s="28" t="inlineStr">
        <is>
          <t>D 558</t>
        </is>
      </c>
      <c r="B3498" s="29" t="n">
        <v>48</v>
      </c>
      <c r="C3498" s="236" t="inlineStr">
        <is>
          <t>X</t>
        </is>
      </c>
      <c r="D3498" s="29" t="n">
        <v>111</v>
      </c>
      <c r="E3498" s="237">
        <f>B3498*D3498/10000</f>
        <v/>
      </c>
      <c r="F3498" s="238">
        <f>B3498/30.48</f>
        <v/>
      </c>
      <c r="G3498" s="238">
        <f>D3498/30.48</f>
        <v/>
      </c>
      <c r="H3498" s="16" t="inlineStr">
        <is>
          <t>OLD</t>
        </is>
      </c>
      <c r="I3498" s="294" t="inlineStr">
        <is>
          <t>Sydney Barre</t>
        </is>
      </c>
    </row>
    <row r="3499" ht="18" customHeight="1" s="305">
      <c r="A3499" s="8" t="n">
        <v>3612</v>
      </c>
      <c r="B3499" s="5" t="n">
        <v>91</v>
      </c>
      <c r="C3499" s="72" t="inlineStr">
        <is>
          <t>X</t>
        </is>
      </c>
      <c r="D3499" s="5" t="n">
        <v>349</v>
      </c>
      <c r="E3499" s="73">
        <f>B3499*D3499/10000</f>
        <v/>
      </c>
      <c r="F3499" s="74">
        <f>B3499/30.48</f>
        <v/>
      </c>
      <c r="G3499" s="74">
        <f>D3499/30.48</f>
        <v/>
      </c>
      <c r="H3499" s="16" t="inlineStr">
        <is>
          <t>LLC</t>
        </is>
      </c>
      <c r="I3499" s="294" t="inlineStr">
        <is>
          <t>Erick Sanchez</t>
        </is>
      </c>
    </row>
    <row r="3500" ht="18" customHeight="1" s="305">
      <c r="A3500" s="8" t="n">
        <v>4187</v>
      </c>
      <c r="B3500" s="5" t="n">
        <v>80</v>
      </c>
      <c r="C3500" s="72" t="inlineStr">
        <is>
          <t>X</t>
        </is>
      </c>
      <c r="D3500" s="5" t="n">
        <v>261</v>
      </c>
      <c r="E3500" s="73">
        <f>B3500*D3500/10000</f>
        <v/>
      </c>
      <c r="F3500" s="74">
        <f>B3500/30.48</f>
        <v/>
      </c>
      <c r="G3500" s="74">
        <f>D3500/30.48</f>
        <v/>
      </c>
      <c r="H3500" s="16" t="inlineStr">
        <is>
          <t>WTR</t>
        </is>
      </c>
      <c r="I3500" s="294" t="inlineStr">
        <is>
          <t>Tara Badstubner</t>
        </is>
      </c>
    </row>
    <row r="3501" ht="18" customHeight="1" s="305">
      <c r="A3501" s="8" t="n">
        <v>4184</v>
      </c>
      <c r="B3501" s="5" t="n">
        <v>74</v>
      </c>
      <c r="C3501" s="72" t="inlineStr">
        <is>
          <t>X</t>
        </is>
      </c>
      <c r="D3501" s="5" t="n">
        <v>184</v>
      </c>
      <c r="E3501" s="73">
        <f>B3501*D3501/10000</f>
        <v/>
      </c>
      <c r="F3501" s="74">
        <f>B3501/30.48</f>
        <v/>
      </c>
      <c r="G3501" s="74">
        <f>D3501/30.48</f>
        <v/>
      </c>
      <c r="H3501" s="16" t="inlineStr">
        <is>
          <t>WTR</t>
        </is>
      </c>
      <c r="I3501" s="80" t="inlineStr">
        <is>
          <t>LC DETELICH</t>
        </is>
      </c>
      <c r="J3501" s="9" t="inlineStr">
        <is>
          <t>(573) 239-5889</t>
        </is>
      </c>
    </row>
    <row r="3502" ht="18" customHeight="1" s="305">
      <c r="A3502" s="8" t="n">
        <v>4133</v>
      </c>
      <c r="B3502" s="5" t="n">
        <v>66</v>
      </c>
      <c r="C3502" s="72" t="inlineStr">
        <is>
          <t>X</t>
        </is>
      </c>
      <c r="D3502" s="5" t="n">
        <v>196</v>
      </c>
      <c r="E3502" s="73">
        <f>B3502*D3502/10000</f>
        <v/>
      </c>
      <c r="F3502" s="74">
        <f>B3502/30.48</f>
        <v/>
      </c>
      <c r="G3502" s="74">
        <f>D3502/30.48</f>
        <v/>
      </c>
      <c r="H3502" s="694" t="n"/>
      <c r="I3502" s="694" t="n"/>
      <c r="J3502" s="694" t="n"/>
    </row>
    <row r="3503" ht="18" customHeight="1" s="305">
      <c r="A3503" s="8" t="n">
        <v>4530</v>
      </c>
      <c r="B3503" s="5" t="n">
        <v>152</v>
      </c>
      <c r="C3503" s="72" t="inlineStr">
        <is>
          <t>X</t>
        </is>
      </c>
      <c r="D3503" s="5" t="n">
        <v>215</v>
      </c>
      <c r="E3503" s="73">
        <f>B3503*D3503/10000</f>
        <v/>
      </c>
      <c r="F3503" s="74">
        <f>B3503/30.48</f>
        <v/>
      </c>
      <c r="G3503" s="74">
        <f>D3503/30.48</f>
        <v/>
      </c>
      <c r="H3503" s="16" t="inlineStr">
        <is>
          <t>WCR</t>
        </is>
      </c>
      <c r="I3503" s="294" t="inlineStr">
        <is>
          <t>Alexandria Lutley</t>
        </is>
      </c>
    </row>
    <row r="3504" ht="18" customHeight="1" s="305">
      <c r="A3504" s="8" t="inlineStr">
        <is>
          <t>D 277</t>
        </is>
      </c>
      <c r="B3504" s="5" t="n">
        <v>52</v>
      </c>
      <c r="C3504" s="72" t="inlineStr">
        <is>
          <t>X</t>
        </is>
      </c>
      <c r="D3504" s="5" t="n">
        <v>90</v>
      </c>
      <c r="E3504" s="73">
        <f>B3504*D3504/10000</f>
        <v/>
      </c>
      <c r="F3504" s="74">
        <f>B3504/30.48</f>
        <v/>
      </c>
      <c r="G3504" s="74">
        <f>D3504/30.48</f>
        <v/>
      </c>
      <c r="H3504" s="16" t="inlineStr">
        <is>
          <t>OLD</t>
        </is>
      </c>
      <c r="I3504" s="294" t="inlineStr">
        <is>
          <t>Jane Morton</t>
        </is>
      </c>
      <c r="J3504" s="9" t="n">
        <v>4045834927</v>
      </c>
    </row>
    <row r="3505" ht="18" customHeight="1" s="305">
      <c r="A3505" s="8" t="n">
        <v>4732</v>
      </c>
      <c r="B3505" s="5" t="n">
        <v>102</v>
      </c>
      <c r="C3505" s="72" t="inlineStr">
        <is>
          <t>X</t>
        </is>
      </c>
      <c r="D3505" s="5" t="n">
        <v>310</v>
      </c>
      <c r="E3505" s="73">
        <f>B3505*D3505/10000</f>
        <v/>
      </c>
      <c r="F3505" s="74">
        <f>B3505/30.48</f>
        <v/>
      </c>
      <c r="G3505" s="74">
        <f>D3505/30.48</f>
        <v/>
      </c>
      <c r="H3505" s="16" t="inlineStr">
        <is>
          <t>LMX</t>
        </is>
      </c>
      <c r="I3505" s="294" t="inlineStr">
        <is>
          <t>Nabila Mahmud</t>
        </is>
      </c>
    </row>
    <row r="3506" ht="18" customHeight="1" s="305">
      <c r="A3506" s="8" t="n">
        <v>4460</v>
      </c>
      <c r="B3506" s="5" t="n">
        <v>123</v>
      </c>
      <c r="C3506" s="72" t="inlineStr">
        <is>
          <t>X</t>
        </is>
      </c>
      <c r="D3506" s="5" t="n">
        <v>363</v>
      </c>
      <c r="E3506" s="73">
        <f>B3506*D3506/10000</f>
        <v/>
      </c>
      <c r="F3506" s="74">
        <f>B3506/30.48</f>
        <v/>
      </c>
      <c r="G3506" s="74">
        <f>D3506/30.48</f>
        <v/>
      </c>
      <c r="H3506" s="16" t="inlineStr">
        <is>
          <t>WTR</t>
        </is>
      </c>
      <c r="I3506" s="294" t="inlineStr">
        <is>
          <t>Ryanne Pennington</t>
        </is>
      </c>
      <c r="J3506" s="9" t="inlineStr">
        <is>
          <t>(404) 304-5538</t>
        </is>
      </c>
    </row>
    <row r="3507" ht="18" customHeight="1" s="305">
      <c r="A3507" s="8" t="n">
        <v>2407</v>
      </c>
      <c r="B3507" s="5" t="n">
        <v>176</v>
      </c>
      <c r="C3507" s="72" t="inlineStr">
        <is>
          <t>X</t>
        </is>
      </c>
      <c r="D3507" s="5" t="n">
        <v>249</v>
      </c>
      <c r="E3507" s="73">
        <f>B3507*D3507/10000</f>
        <v/>
      </c>
      <c r="F3507" s="74">
        <f>B3507/30.48</f>
        <v/>
      </c>
      <c r="G3507" s="74">
        <f>D3507/30.48</f>
        <v/>
      </c>
      <c r="H3507" s="16" t="inlineStr">
        <is>
          <t>WLR</t>
        </is>
      </c>
      <c r="I3507" s="294" t="inlineStr">
        <is>
          <t>Solmaz Cottavoz</t>
        </is>
      </c>
    </row>
    <row r="3508" ht="18" customHeight="1" s="305">
      <c r="A3508" s="8" t="inlineStr">
        <is>
          <t>İ-52</t>
        </is>
      </c>
      <c r="B3508" s="5" t="n">
        <v>300</v>
      </c>
      <c r="C3508" s="72" t="inlineStr">
        <is>
          <t>X</t>
        </is>
      </c>
      <c r="D3508" s="5" t="n">
        <v>333</v>
      </c>
      <c r="E3508" s="73">
        <f>B3508*D3508/10000</f>
        <v/>
      </c>
      <c r="F3508" s="74">
        <f>B3508/30.48</f>
        <v/>
      </c>
      <c r="G3508" s="74">
        <f>D3508/30.48</f>
        <v/>
      </c>
      <c r="H3508" s="16" t="inlineStr">
        <is>
          <t>LMX</t>
        </is>
      </c>
      <c r="I3508" s="495" t="inlineStr">
        <is>
          <t>Chloe Lloyd</t>
        </is>
      </c>
    </row>
    <row r="3509" ht="18" customHeight="1" s="305">
      <c r="A3509" s="8" t="n">
        <v>4116</v>
      </c>
      <c r="B3509" s="5" t="n">
        <v>64</v>
      </c>
      <c r="C3509" s="72" t="inlineStr">
        <is>
          <t>X</t>
        </is>
      </c>
      <c r="D3509" s="5" t="n">
        <v>130</v>
      </c>
      <c r="E3509" s="73">
        <f>B3509*D3509/10000</f>
        <v/>
      </c>
      <c r="F3509" s="74">
        <f>B3509/30.48</f>
        <v/>
      </c>
      <c r="G3509" s="74">
        <f>D3509/30.48</f>
        <v/>
      </c>
      <c r="H3509" s="16" t="inlineStr">
        <is>
          <t>PAC</t>
        </is>
      </c>
      <c r="I3509" s="294" t="inlineStr">
        <is>
          <t>Blair Hoselton</t>
        </is>
      </c>
    </row>
    <row r="3510" ht="18" customHeight="1" s="305">
      <c r="A3510" s="28" t="inlineStr">
        <is>
          <t>D 737</t>
        </is>
      </c>
      <c r="B3510" s="29" t="n">
        <v>33</v>
      </c>
      <c r="C3510" s="236" t="inlineStr">
        <is>
          <t>X</t>
        </is>
      </c>
      <c r="D3510" s="29" t="n">
        <v>98</v>
      </c>
      <c r="E3510" s="237">
        <f>B3510*D3510/10000</f>
        <v/>
      </c>
      <c r="F3510" s="238">
        <f>B3510/30.48</f>
        <v/>
      </c>
      <c r="G3510" s="238">
        <f>D3510/30.48</f>
        <v/>
      </c>
      <c r="H3510" s="16" t="inlineStr">
        <is>
          <t>WCR</t>
        </is>
      </c>
      <c r="I3510" s="294" t="inlineStr">
        <is>
          <t>Hailey Petersen</t>
        </is>
      </c>
    </row>
    <row r="3511" ht="18" customHeight="1" s="305">
      <c r="A3511" s="8" t="inlineStr">
        <is>
          <t>E-2</t>
        </is>
      </c>
      <c r="B3511" s="5" t="n"/>
      <c r="C3511" s="72" t="inlineStr">
        <is>
          <t>X</t>
        </is>
      </c>
      <c r="D3511" s="5" t="n"/>
      <c r="E3511" s="73">
        <f>B3511*D3511/10000</f>
        <v/>
      </c>
      <c r="F3511" s="74">
        <f>B3511/30.48</f>
        <v/>
      </c>
      <c r="G3511" s="74">
        <f>D3511/30.48</f>
        <v/>
      </c>
      <c r="H3511" s="16" t="inlineStr">
        <is>
          <t>LLC</t>
        </is>
      </c>
      <c r="I3511" s="294" t="inlineStr">
        <is>
          <t>Michael Rollison</t>
        </is>
      </c>
    </row>
    <row r="3512" ht="18" customHeight="1" s="305">
      <c r="A3512" s="8" t="n">
        <v>3893</v>
      </c>
      <c r="B3512" s="5" t="n">
        <v>119</v>
      </c>
      <c r="C3512" s="72" t="inlineStr">
        <is>
          <t>X</t>
        </is>
      </c>
      <c r="D3512" s="5" t="n">
        <v>195</v>
      </c>
      <c r="E3512" s="73">
        <f>B3512*D3512/10000</f>
        <v/>
      </c>
      <c r="F3512" s="74">
        <f>B3512/30.48</f>
        <v/>
      </c>
      <c r="G3512" s="74">
        <f>D3512/30.48</f>
        <v/>
      </c>
      <c r="H3512" s="16" t="inlineStr">
        <is>
          <t>WTR</t>
        </is>
      </c>
      <c r="I3512" s="294" t="inlineStr">
        <is>
          <t>KATRINA Cairns</t>
        </is>
      </c>
    </row>
    <row r="3513" ht="18" customHeight="1" s="305">
      <c r="A3513" s="8" t="n">
        <v>3763</v>
      </c>
      <c r="B3513" s="5" t="n">
        <v>149</v>
      </c>
      <c r="C3513" s="72" t="inlineStr">
        <is>
          <t>X</t>
        </is>
      </c>
      <c r="D3513" s="5" t="n">
        <v>341</v>
      </c>
      <c r="E3513" s="73">
        <f>B3513*D3513/10000</f>
        <v/>
      </c>
      <c r="F3513" s="74">
        <f>B3513/30.48</f>
        <v/>
      </c>
      <c r="G3513" s="74">
        <f>D3513/30.48</f>
        <v/>
      </c>
      <c r="H3513" s="16" t="inlineStr">
        <is>
          <t>İLMEK</t>
        </is>
      </c>
      <c r="I3513" s="294" t="inlineStr">
        <is>
          <t>Allison Church</t>
        </is>
      </c>
    </row>
    <row r="3514" ht="18" customHeight="1" s="305">
      <c r="A3514" s="8" t="inlineStr">
        <is>
          <t>İ-69</t>
        </is>
      </c>
      <c r="B3514" s="5" t="n">
        <v>290</v>
      </c>
      <c r="C3514" s="72" t="inlineStr">
        <is>
          <t>X</t>
        </is>
      </c>
      <c r="D3514" s="5" t="n">
        <v>365</v>
      </c>
      <c r="E3514" s="73">
        <f>B3514*D3514/10000</f>
        <v/>
      </c>
      <c r="F3514" s="74">
        <f>B3514/30.48</f>
        <v/>
      </c>
      <c r="G3514" s="74">
        <f>D3514/30.48</f>
        <v/>
      </c>
      <c r="H3514" s="507" t="inlineStr">
        <is>
          <t>WTR</t>
        </is>
      </c>
      <c r="I3514" s="496" t="inlineStr">
        <is>
          <t>Kelly moseley</t>
        </is>
      </c>
      <c r="J3514" s="96" t="n"/>
    </row>
    <row r="3515">
      <c r="A3515" s="536" t="inlineStr">
        <is>
          <t>-2026 NİSAN-</t>
        </is>
      </c>
      <c r="H3515" s="104" t="inlineStr">
        <is>
          <t>SATAN-SİTE</t>
        </is>
      </c>
      <c r="I3515" s="98" t="inlineStr">
        <is>
          <t>MÜŞTERİ ADI</t>
        </is>
      </c>
      <c r="J3515" s="63" t="inlineStr">
        <is>
          <t>MÜŞTERİ İLETİŞİM &amp; ÜLKE</t>
        </is>
      </c>
    </row>
    <row r="3516" ht="18" customHeight="1" s="305">
      <c r="A3516" s="28" t="inlineStr">
        <is>
          <t>D 607</t>
        </is>
      </c>
      <c r="B3516" s="29" t="n">
        <v>50</v>
      </c>
      <c r="C3516" s="236" t="inlineStr">
        <is>
          <t>X</t>
        </is>
      </c>
      <c r="D3516" s="29" t="n">
        <v>98</v>
      </c>
      <c r="E3516" s="237">
        <f>B3516*D3516/10000</f>
        <v/>
      </c>
      <c r="F3516" s="238">
        <f>B3516/30.48</f>
        <v/>
      </c>
      <c r="G3516" s="238">
        <f>D3516/30.48</f>
        <v/>
      </c>
      <c r="H3516" s="16" t="inlineStr">
        <is>
          <t>LMX</t>
        </is>
      </c>
      <c r="I3516" s="294" t="inlineStr">
        <is>
          <t>Amanda Hodgdon</t>
        </is>
      </c>
    </row>
    <row r="3517" ht="18" customHeight="1" s="305">
      <c r="A3517" s="8" t="n">
        <v>3562</v>
      </c>
      <c r="B3517" s="5" t="n">
        <v>116</v>
      </c>
      <c r="C3517" s="72" t="inlineStr">
        <is>
          <t>X</t>
        </is>
      </c>
      <c r="D3517" s="5" t="n">
        <v>180</v>
      </c>
      <c r="E3517" s="73">
        <f>B3517*D3517/10000</f>
        <v/>
      </c>
      <c r="F3517" s="74">
        <f>B3517/30.48</f>
        <v/>
      </c>
      <c r="G3517" s="74">
        <f>D3517/30.48</f>
        <v/>
      </c>
      <c r="H3517" s="16" t="inlineStr">
        <is>
          <t>LMX</t>
        </is>
      </c>
      <c r="I3517" s="294" t="inlineStr">
        <is>
          <t>Danielle White</t>
        </is>
      </c>
    </row>
    <row r="3518" ht="18" customHeight="1" s="305">
      <c r="A3518" s="8" t="inlineStr">
        <is>
          <t>D 172</t>
        </is>
      </c>
      <c r="B3518" s="5" t="n">
        <v>51</v>
      </c>
      <c r="C3518" s="72" t="inlineStr">
        <is>
          <t>X</t>
        </is>
      </c>
      <c r="D3518" s="5" t="n">
        <v>88</v>
      </c>
      <c r="E3518" s="73">
        <f>B3518*D3518/10000</f>
        <v/>
      </c>
      <c r="F3518" s="74">
        <f>B3518/30.48</f>
        <v/>
      </c>
      <c r="G3518" s="74">
        <f>D3518/30.48</f>
        <v/>
      </c>
      <c r="H3518" s="16" t="inlineStr">
        <is>
          <t>LMX</t>
        </is>
      </c>
      <c r="I3518" s="294" t="inlineStr">
        <is>
          <t>Shannon Gregg</t>
        </is>
      </c>
    </row>
    <row r="3519" ht="18" customHeight="1" s="305">
      <c r="A3519" s="8" t="n">
        <v>2404</v>
      </c>
      <c r="B3519" s="5" t="n">
        <v>85</v>
      </c>
      <c r="C3519" s="72" t="inlineStr">
        <is>
          <t>X</t>
        </is>
      </c>
      <c r="D3519" s="5" t="n">
        <v>202</v>
      </c>
      <c r="E3519" s="73">
        <f>B3519*D3519/10000</f>
        <v/>
      </c>
      <c r="F3519" s="74">
        <f>B3519/30.48</f>
        <v/>
      </c>
      <c r="G3519" s="74">
        <f>D3519/30.48</f>
        <v/>
      </c>
      <c r="H3519" s="16" t="inlineStr">
        <is>
          <t>WTR</t>
        </is>
      </c>
      <c r="I3519" s="80" t="inlineStr">
        <is>
          <t>TARA NEUFELD</t>
        </is>
      </c>
    </row>
    <row r="3520" ht="18" customHeight="1" s="305">
      <c r="A3520" s="8" t="n">
        <v>2182</v>
      </c>
      <c r="B3520" s="5" t="n">
        <v>83</v>
      </c>
      <c r="C3520" s="72" t="inlineStr">
        <is>
          <t>X</t>
        </is>
      </c>
      <c r="D3520" s="5" t="n">
        <v>140</v>
      </c>
      <c r="E3520" s="73">
        <f>B3520*D3520/10000</f>
        <v/>
      </c>
      <c r="F3520" s="74">
        <f>B3520/30.48</f>
        <v/>
      </c>
      <c r="G3520" s="74">
        <f>D3520/30.48</f>
        <v/>
      </c>
      <c r="H3520" s="694" t="n"/>
      <c r="I3520" s="694" t="n"/>
    </row>
    <row r="3521" ht="18" customHeight="1" s="305">
      <c r="A3521" s="8" t="n">
        <v>4790</v>
      </c>
      <c r="B3521" s="5" t="n">
        <v>118</v>
      </c>
      <c r="C3521" s="72" t="inlineStr">
        <is>
          <t>X</t>
        </is>
      </c>
      <c r="D3521" s="5" t="n">
        <v>275</v>
      </c>
      <c r="E3521" s="73">
        <f>B3521*D3521/10000</f>
        <v/>
      </c>
      <c r="F3521" s="74">
        <f>B3521/30.48</f>
        <v/>
      </c>
      <c r="G3521" s="74">
        <f>D3521/30.48</f>
        <v/>
      </c>
      <c r="H3521" s="16" t="inlineStr">
        <is>
          <t>PAC</t>
        </is>
      </c>
      <c r="I3521" s="294" t="inlineStr">
        <is>
          <t>Emily Shiver</t>
        </is>
      </c>
    </row>
    <row r="3522" ht="18" customHeight="1" s="305">
      <c r="A3522" s="28" t="inlineStr">
        <is>
          <t>D 602</t>
        </is>
      </c>
      <c r="B3522" s="29" t="n">
        <v>39</v>
      </c>
      <c r="C3522" s="236" t="inlineStr">
        <is>
          <t>X</t>
        </is>
      </c>
      <c r="D3522" s="29" t="n">
        <v>83</v>
      </c>
      <c r="E3522" s="237">
        <f>B3522*D3522/10000</f>
        <v/>
      </c>
      <c r="F3522" s="238">
        <f>B3522/30.48</f>
        <v/>
      </c>
      <c r="G3522" s="238">
        <f>D3522/30.48</f>
        <v/>
      </c>
      <c r="H3522" s="16" t="inlineStr">
        <is>
          <t>LMX</t>
        </is>
      </c>
      <c r="I3522" s="294" t="inlineStr">
        <is>
          <t>Sheila Petty</t>
        </is>
      </c>
    </row>
    <row r="3523" ht="18" customHeight="1" s="305">
      <c r="A3523" s="28" t="inlineStr">
        <is>
          <t>D 1163</t>
        </is>
      </c>
      <c r="B3523" s="29" t="n">
        <v>45</v>
      </c>
      <c r="C3523" s="236" t="inlineStr">
        <is>
          <t>X</t>
        </is>
      </c>
      <c r="D3523" s="29" t="n">
        <v>73</v>
      </c>
      <c r="E3523" s="237">
        <f>B3523*D3523/10000</f>
        <v/>
      </c>
      <c r="F3523" s="238">
        <f>B3523/30.48</f>
        <v/>
      </c>
      <c r="G3523" s="238">
        <f>D3523/30.48</f>
        <v/>
      </c>
      <c r="H3523" s="16" t="inlineStr">
        <is>
          <t>LMX</t>
        </is>
      </c>
      <c r="I3523" s="294" t="inlineStr">
        <is>
          <t>Mandy Casale</t>
        </is>
      </c>
    </row>
    <row r="3524" ht="18" customHeight="1" s="305">
      <c r="A3524" s="8" t="n">
        <v>4838</v>
      </c>
      <c r="B3524" s="5" t="n">
        <v>207</v>
      </c>
      <c r="C3524" s="72" t="inlineStr">
        <is>
          <t>X</t>
        </is>
      </c>
      <c r="D3524" s="5" t="n">
        <v>310</v>
      </c>
      <c r="E3524" s="73">
        <f>B3524*D3524/10000</f>
        <v/>
      </c>
      <c r="F3524" s="74">
        <f>B3524/30.48</f>
        <v/>
      </c>
      <c r="G3524" s="74">
        <f>D3524/30.48</f>
        <v/>
      </c>
      <c r="H3524" s="16" t="inlineStr">
        <is>
          <t>OLD</t>
        </is>
      </c>
      <c r="I3524" s="497" t="inlineStr">
        <is>
          <t>Laura Sims Jackman</t>
        </is>
      </c>
    </row>
    <row r="3525" ht="18" customHeight="1" s="305">
      <c r="A3525" s="8" t="n">
        <v>4178</v>
      </c>
      <c r="B3525" s="5" t="n">
        <v>107</v>
      </c>
      <c r="C3525" s="72" t="inlineStr">
        <is>
          <t>X</t>
        </is>
      </c>
      <c r="D3525" s="5" t="n">
        <v>365</v>
      </c>
      <c r="E3525" s="73">
        <f>B3525*D3525/10000</f>
        <v/>
      </c>
      <c r="F3525" s="74">
        <f>B3525/30.48</f>
        <v/>
      </c>
      <c r="G3525" s="74">
        <f>D3525/30.48</f>
        <v/>
      </c>
      <c r="H3525" s="16" t="inlineStr">
        <is>
          <t>WLR</t>
        </is>
      </c>
      <c r="I3525" s="497" t="inlineStr">
        <is>
          <t>Solmaz Cottavoz</t>
        </is>
      </c>
    </row>
    <row r="3526" ht="18" customHeight="1" s="305">
      <c r="A3526" s="28" t="inlineStr">
        <is>
          <t>D 1055</t>
        </is>
      </c>
      <c r="B3526" s="29" t="n">
        <v>52</v>
      </c>
      <c r="C3526" s="236" t="inlineStr">
        <is>
          <t>X</t>
        </is>
      </c>
      <c r="D3526" s="29" t="n">
        <v>99</v>
      </c>
      <c r="E3526" s="237">
        <f>B3526*D3526/10000</f>
        <v/>
      </c>
      <c r="F3526" s="238">
        <f>B3526/30.48</f>
        <v/>
      </c>
      <c r="G3526" s="238">
        <f>D3526/30.48</f>
        <v/>
      </c>
      <c r="H3526" s="16" t="inlineStr">
        <is>
          <t>WLR</t>
        </is>
      </c>
      <c r="I3526" s="21" t="inlineStr">
        <is>
          <t>Jade DiGuiseppe</t>
        </is>
      </c>
    </row>
    <row r="3527" ht="18" customHeight="1" s="305">
      <c r="A3527" s="8" t="inlineStr">
        <is>
          <t>İ-56</t>
        </is>
      </c>
      <c r="B3527" s="5" t="n">
        <v>296</v>
      </c>
      <c r="C3527" s="72" t="inlineStr">
        <is>
          <t>X</t>
        </is>
      </c>
      <c r="D3527" s="5" t="n">
        <v>366</v>
      </c>
      <c r="E3527" s="73">
        <f>B3527*D3527/10000</f>
        <v/>
      </c>
      <c r="F3527" s="74">
        <f>B3527/30.48</f>
        <v/>
      </c>
      <c r="G3527" s="74">
        <f>D3527/30.48</f>
        <v/>
      </c>
      <c r="H3527" s="16" t="inlineStr">
        <is>
          <t>İLMEK</t>
        </is>
      </c>
      <c r="I3527" s="294" t="inlineStr">
        <is>
          <t>michelle sobrino</t>
        </is>
      </c>
    </row>
    <row r="3528" ht="18" customHeight="1" s="305">
      <c r="A3528" s="8" t="inlineStr">
        <is>
          <t>İ-62</t>
        </is>
      </c>
      <c r="B3528" s="5" t="n">
        <v>238</v>
      </c>
      <c r="C3528" s="72" t="inlineStr">
        <is>
          <t>X</t>
        </is>
      </c>
      <c r="D3528" s="5" t="n">
        <v>330</v>
      </c>
      <c r="E3528" s="73">
        <f>B3528*D3528/10000</f>
        <v/>
      </c>
      <c r="F3528" s="74">
        <f>B3528/30.48</f>
        <v/>
      </c>
      <c r="G3528" s="74">
        <f>D3528/30.48</f>
        <v/>
      </c>
      <c r="H3528" s="16" t="inlineStr">
        <is>
          <t>İLMEK</t>
        </is>
      </c>
      <c r="I3528" s="294" t="inlineStr">
        <is>
          <t>Sarah Brazell</t>
        </is>
      </c>
      <c r="J3528" s="9" t="n">
        <v>2072334868</v>
      </c>
    </row>
    <row r="3529" ht="18" customHeight="1" s="305">
      <c r="A3529" s="8" t="inlineStr">
        <is>
          <t>E-260</t>
        </is>
      </c>
      <c r="B3529" s="5" t="n">
        <v>60</v>
      </c>
      <c r="C3529" s="72" t="inlineStr">
        <is>
          <t>X</t>
        </is>
      </c>
      <c r="D3529" s="5" t="n">
        <v>122</v>
      </c>
      <c r="E3529" s="73">
        <f>B3529*D3529/10000</f>
        <v/>
      </c>
      <c r="F3529" s="74">
        <f>B3529/30.48</f>
        <v/>
      </c>
      <c r="G3529" s="74">
        <f>D3529/30.48</f>
        <v/>
      </c>
      <c r="H3529" s="16" t="inlineStr">
        <is>
          <t>FRDİ</t>
        </is>
      </c>
      <c r="I3529" s="294" t="inlineStr">
        <is>
          <t>Sandi Olsen</t>
        </is>
      </c>
    </row>
    <row r="3530" ht="18" customHeight="1" s="305">
      <c r="A3530" s="8" t="n">
        <v>3560</v>
      </c>
      <c r="B3530" s="5" t="n">
        <v>101</v>
      </c>
      <c r="C3530" s="72" t="inlineStr">
        <is>
          <t>X</t>
        </is>
      </c>
      <c r="D3530" s="5" t="n">
        <v>350</v>
      </c>
      <c r="E3530" s="73">
        <f>B3530*D3530/10000</f>
        <v/>
      </c>
      <c r="F3530" s="74">
        <f>B3530/30.48</f>
        <v/>
      </c>
      <c r="G3530" s="74">
        <f>D3530/30.48</f>
        <v/>
      </c>
      <c r="H3530" s="16" t="inlineStr">
        <is>
          <t>BHR</t>
        </is>
      </c>
      <c r="I3530" s="294" t="inlineStr">
        <is>
          <t>Scott Hyde</t>
        </is>
      </c>
    </row>
    <row r="3531" ht="18" customHeight="1" s="305">
      <c r="A3531" s="8" t="n">
        <v>2333</v>
      </c>
      <c r="B3531" s="5" t="n">
        <v>108</v>
      </c>
      <c r="C3531" s="72" t="inlineStr">
        <is>
          <t>X</t>
        </is>
      </c>
      <c r="D3531" s="5" t="n">
        <v>206</v>
      </c>
      <c r="E3531" s="73">
        <f>B3531*D3531/10000</f>
        <v/>
      </c>
      <c r="F3531" s="74">
        <f>B3531/30.48</f>
        <v/>
      </c>
      <c r="G3531" s="74">
        <f>D3531/30.48</f>
        <v/>
      </c>
      <c r="H3531" s="16" t="inlineStr">
        <is>
          <t>WTR</t>
        </is>
      </c>
      <c r="I3531" s="294" t="inlineStr">
        <is>
          <t>Hannah Vick</t>
        </is>
      </c>
    </row>
    <row r="3532" ht="18" customHeight="1" s="305">
      <c r="A3532" s="8" t="n">
        <v>4172</v>
      </c>
      <c r="B3532" s="5" t="n">
        <v>116</v>
      </c>
      <c r="C3532" s="72" t="inlineStr">
        <is>
          <t>X</t>
        </is>
      </c>
      <c r="D3532" s="5" t="n">
        <v>410</v>
      </c>
      <c r="E3532" s="73">
        <f>B3532*D3532/10000</f>
        <v/>
      </c>
      <c r="F3532" s="74">
        <f>B3532/30.48</f>
        <v/>
      </c>
      <c r="G3532" s="74">
        <f>D3532/30.48</f>
        <v/>
      </c>
      <c r="H3532" s="16" t="inlineStr">
        <is>
          <t>LMX</t>
        </is>
      </c>
      <c r="I3532" s="21" t="inlineStr">
        <is>
          <t>CLC Kidd</t>
        </is>
      </c>
      <c r="J3532" s="9" t="inlineStr">
        <is>
          <t>(406) 601-8542</t>
        </is>
      </c>
    </row>
    <row r="3533" ht="18" customHeight="1" s="305">
      <c r="A3533" s="8" t="n">
        <v>4433</v>
      </c>
      <c r="B3533" s="5" t="n">
        <v>68</v>
      </c>
      <c r="C3533" s="72" t="inlineStr">
        <is>
          <t>X</t>
        </is>
      </c>
      <c r="D3533" s="5" t="n">
        <v>242</v>
      </c>
      <c r="E3533" s="73">
        <f>B3533*D3533/10000</f>
        <v/>
      </c>
      <c r="F3533" s="74">
        <f>B3533/30.48</f>
        <v/>
      </c>
      <c r="G3533" s="74">
        <f>D3533/30.48</f>
        <v/>
      </c>
      <c r="H3533" s="16" t="inlineStr">
        <is>
          <t>MCHD</t>
        </is>
      </c>
    </row>
    <row r="3534" ht="18" customHeight="1" s="305">
      <c r="A3534" s="8" t="n">
        <v>4167</v>
      </c>
      <c r="B3534" s="5" t="n">
        <v>130</v>
      </c>
      <c r="C3534" s="72" t="inlineStr">
        <is>
          <t>X</t>
        </is>
      </c>
      <c r="D3534" s="5" t="n">
        <v>356</v>
      </c>
      <c r="E3534" s="73">
        <f>B3534*D3534/10000</f>
        <v/>
      </c>
      <c r="F3534" s="74">
        <f>B3534/30.48</f>
        <v/>
      </c>
      <c r="G3534" s="74">
        <f>D3534/30.48</f>
        <v/>
      </c>
      <c r="H3534" s="16" t="inlineStr">
        <is>
          <t>WCR</t>
        </is>
      </c>
      <c r="I3534" s="21" t="inlineStr">
        <is>
          <t>Marcia Dos Reis Silverman</t>
        </is>
      </c>
    </row>
    <row r="3535" ht="18" customHeight="1" s="305">
      <c r="A3535" s="28" t="inlineStr">
        <is>
          <t>D 928</t>
        </is>
      </c>
      <c r="B3535" s="29" t="n">
        <v>60</v>
      </c>
      <c r="C3535" s="236" t="inlineStr">
        <is>
          <t>X</t>
        </is>
      </c>
      <c r="D3535" s="29" t="n">
        <v>77</v>
      </c>
      <c r="E3535" s="237">
        <f>B3535*D3535/10000</f>
        <v/>
      </c>
      <c r="F3535" s="238">
        <f>B3535/30.48</f>
        <v/>
      </c>
      <c r="G3535" s="238">
        <f>D3535/30.48</f>
        <v/>
      </c>
      <c r="H3535" s="16" t="inlineStr">
        <is>
          <t>LR</t>
        </is>
      </c>
      <c r="I3535" s="20" t="inlineStr">
        <is>
          <t>Julia Andersen</t>
        </is>
      </c>
    </row>
    <row r="3536" ht="18" customHeight="1" s="305">
      <c r="A3536" s="28" t="inlineStr">
        <is>
          <t>D 673</t>
        </is>
      </c>
      <c r="B3536" s="29" t="n">
        <v>43</v>
      </c>
      <c r="C3536" s="236" t="inlineStr">
        <is>
          <t>X</t>
        </is>
      </c>
      <c r="D3536" s="29" t="n">
        <v>87</v>
      </c>
      <c r="E3536" s="237">
        <f>B3536*D3536/10000</f>
        <v/>
      </c>
      <c r="F3536" s="238">
        <f>B3536/30.48</f>
        <v/>
      </c>
      <c r="G3536" s="238">
        <f>D3536/30.48</f>
        <v/>
      </c>
      <c r="H3536" s="693" t="n"/>
      <c r="I3536" s="693" t="n"/>
    </row>
    <row r="3537" ht="18" customHeight="1" s="305">
      <c r="A3537" s="28" t="inlineStr">
        <is>
          <t>D 804</t>
        </is>
      </c>
      <c r="B3537" s="29" t="n">
        <v>41</v>
      </c>
      <c r="C3537" s="236" t="inlineStr">
        <is>
          <t>X</t>
        </is>
      </c>
      <c r="D3537" s="29" t="n">
        <v>88</v>
      </c>
      <c r="E3537" s="237">
        <f>B3537*D3537/10000</f>
        <v/>
      </c>
      <c r="F3537" s="238">
        <f>B3537/30.48</f>
        <v/>
      </c>
      <c r="G3537" s="238">
        <f>D3537/30.48</f>
        <v/>
      </c>
      <c r="H3537" s="694" t="n"/>
      <c r="I3537" s="694" t="n"/>
    </row>
    <row r="3538" ht="18" customHeight="1" s="305">
      <c r="A3538" s="8" t="n">
        <v>4766</v>
      </c>
      <c r="B3538" s="5" t="n">
        <v>205</v>
      </c>
      <c r="C3538" s="72" t="inlineStr">
        <is>
          <t>X</t>
        </is>
      </c>
      <c r="D3538" s="5" t="n">
        <v>305</v>
      </c>
      <c r="E3538" s="73">
        <f>B3538*D3538/10000</f>
        <v/>
      </c>
      <c r="F3538" s="74">
        <f>B3538/30.48</f>
        <v/>
      </c>
      <c r="G3538" s="74">
        <f>D3538/30.48</f>
        <v/>
      </c>
      <c r="H3538" s="16" t="inlineStr">
        <is>
          <t>WLR</t>
        </is>
      </c>
      <c r="I3538" s="21" t="inlineStr">
        <is>
          <t>Casey Howell</t>
        </is>
      </c>
    </row>
    <row r="3539" ht="18" customHeight="1" s="305">
      <c r="A3539" s="8" t="inlineStr">
        <is>
          <t>C 79</t>
        </is>
      </c>
      <c r="B3539" s="5" t="n">
        <v>210</v>
      </c>
      <c r="C3539" s="6" t="inlineStr">
        <is>
          <t>X</t>
        </is>
      </c>
      <c r="D3539" s="5" t="n">
        <v>75</v>
      </c>
      <c r="E3539" s="2">
        <f>B3539*D3539/10000</f>
        <v/>
      </c>
      <c r="F3539" s="3">
        <f>B3539/30.48</f>
        <v/>
      </c>
      <c r="G3539" s="3">
        <f>D3539/30.48</f>
        <v/>
      </c>
      <c r="H3539" s="16" t="inlineStr">
        <is>
          <t>MCHD</t>
        </is>
      </c>
      <c r="I3539" s="20" t="n"/>
    </row>
    <row r="3540" ht="18" customHeight="1" s="305">
      <c r="A3540" s="8" t="n">
        <v>4316</v>
      </c>
      <c r="B3540" s="5" t="n">
        <v>65</v>
      </c>
      <c r="C3540" s="72" t="inlineStr">
        <is>
          <t>X</t>
        </is>
      </c>
      <c r="D3540" s="5" t="n">
        <v>138</v>
      </c>
      <c r="E3540" s="73">
        <f>B3540*D3540/10000</f>
        <v/>
      </c>
      <c r="F3540" s="74">
        <f>B3540/30.48</f>
        <v/>
      </c>
      <c r="G3540" s="74">
        <f>D3540/30.48</f>
        <v/>
      </c>
      <c r="H3540" s="694" t="n"/>
      <c r="I3540" s="694" t="n"/>
    </row>
    <row r="3541" ht="18" customHeight="1" s="305">
      <c r="A3541" s="8" t="n">
        <v>4204</v>
      </c>
      <c r="B3541" s="5" t="n">
        <v>177</v>
      </c>
      <c r="C3541" s="72" t="inlineStr">
        <is>
          <t>X</t>
        </is>
      </c>
      <c r="D3541" s="5" t="n">
        <v>354</v>
      </c>
      <c r="E3541" s="73">
        <f>B3541*D3541/10000</f>
        <v/>
      </c>
      <c r="F3541" s="74">
        <f>B3541/30.48</f>
        <v/>
      </c>
      <c r="G3541" s="74">
        <f>D3541/30.48</f>
        <v/>
      </c>
      <c r="H3541" s="16" t="inlineStr">
        <is>
          <t>WCR</t>
        </is>
      </c>
      <c r="I3541" s="21" t="inlineStr">
        <is>
          <t>Valerie Morini</t>
        </is>
      </c>
    </row>
    <row r="3542" ht="18" customHeight="1" s="305">
      <c r="A3542" s="8" t="n">
        <v>3219</v>
      </c>
      <c r="B3542" s="5" t="n">
        <v>75</v>
      </c>
      <c r="C3542" s="72" t="inlineStr">
        <is>
          <t>X</t>
        </is>
      </c>
      <c r="D3542" s="5" t="n">
        <v>286</v>
      </c>
      <c r="E3542" s="73">
        <f>B3542*D3542/10000</f>
        <v/>
      </c>
      <c r="F3542" s="74">
        <f>B3542/30.48</f>
        <v/>
      </c>
      <c r="G3542" s="74">
        <f>D3542/30.48</f>
        <v/>
      </c>
      <c r="H3542" s="16" t="inlineStr">
        <is>
          <t>LMX</t>
        </is>
      </c>
      <c r="I3542" s="21" t="inlineStr">
        <is>
          <t>JESSICA MCDONALD</t>
        </is>
      </c>
    </row>
    <row r="3543" ht="18" customHeight="1" s="305">
      <c r="A3543" s="28" t="inlineStr">
        <is>
          <t>D 679</t>
        </is>
      </c>
      <c r="B3543" s="29" t="n">
        <v>51</v>
      </c>
      <c r="C3543" s="236" t="inlineStr">
        <is>
          <t>X</t>
        </is>
      </c>
      <c r="D3543" s="29" t="n">
        <v>115</v>
      </c>
      <c r="E3543" s="237">
        <f>B3543*D3543/10000</f>
        <v/>
      </c>
      <c r="F3543" s="238">
        <f>B3543/30.48</f>
        <v/>
      </c>
      <c r="G3543" s="238">
        <f>D3543/30.48</f>
        <v/>
      </c>
      <c r="H3543" s="16" t="inlineStr">
        <is>
          <t>WCR</t>
        </is>
      </c>
      <c r="I3543" s="20" t="inlineStr">
        <is>
          <t>Katie Kildal</t>
        </is>
      </c>
    </row>
    <row r="3544" ht="18" customHeight="1" s="305">
      <c r="A3544" s="28" t="inlineStr">
        <is>
          <t>D 788</t>
        </is>
      </c>
      <c r="B3544" s="29" t="n">
        <v>51</v>
      </c>
      <c r="C3544" s="236" t="inlineStr">
        <is>
          <t>X</t>
        </is>
      </c>
      <c r="D3544" s="29" t="n">
        <v>109</v>
      </c>
      <c r="E3544" s="237">
        <f>B3544*D3544/10000</f>
        <v/>
      </c>
      <c r="F3544" s="238">
        <f>B3544/30.48</f>
        <v/>
      </c>
      <c r="G3544" s="238">
        <f>D3544/30.48</f>
        <v/>
      </c>
      <c r="H3544" s="694" t="n"/>
      <c r="I3544" s="694" t="n"/>
    </row>
    <row r="3545" ht="18" customHeight="1" s="305">
      <c r="A3545" s="28" t="inlineStr">
        <is>
          <t>D 812</t>
        </is>
      </c>
      <c r="B3545" s="29" t="n">
        <v>46</v>
      </c>
      <c r="C3545" s="236" t="inlineStr">
        <is>
          <t>X</t>
        </is>
      </c>
      <c r="D3545" s="29" t="n">
        <v>94</v>
      </c>
      <c r="E3545" s="237">
        <f>B3545*D3545/10000</f>
        <v/>
      </c>
      <c r="F3545" s="238">
        <f>B3545/30.48</f>
        <v/>
      </c>
      <c r="G3545" s="238">
        <f>D3545/30.48</f>
        <v/>
      </c>
      <c r="H3545" s="16" t="inlineStr">
        <is>
          <t>RST</t>
        </is>
      </c>
      <c r="I3545" s="21" t="inlineStr">
        <is>
          <t>Michaela Jorgensen</t>
        </is>
      </c>
      <c r="J3545" s="9" t="inlineStr">
        <is>
          <t>+1 607 222-5059</t>
        </is>
      </c>
    </row>
    <row r="3546" ht="18" customHeight="1" s="305">
      <c r="A3546" s="8" t="n">
        <v>4426</v>
      </c>
      <c r="B3546" s="5" t="n">
        <v>116</v>
      </c>
      <c r="C3546" s="72" t="inlineStr">
        <is>
          <t>X</t>
        </is>
      </c>
      <c r="D3546" s="5" t="n">
        <v>355</v>
      </c>
      <c r="E3546" s="73">
        <f>B3546*D3546/10000</f>
        <v/>
      </c>
      <c r="F3546" s="74">
        <f>B3546/30.48</f>
        <v/>
      </c>
      <c r="G3546" s="74">
        <f>D3546/30.48</f>
        <v/>
      </c>
      <c r="H3546" s="16" t="inlineStr">
        <is>
          <t>WTR</t>
        </is>
      </c>
      <c r="I3546" s="20" t="inlineStr">
        <is>
          <t>ElevatedInstallation Jaimee Rose</t>
        </is>
      </c>
      <c r="J3546" s="9" t="inlineStr">
        <is>
          <t>(602) 334-1521</t>
        </is>
      </c>
    </row>
    <row r="3547" ht="18" customHeight="1" s="305">
      <c r="A3547" s="8" t="n">
        <v>4078</v>
      </c>
      <c r="B3547" s="5" t="n">
        <v>109</v>
      </c>
      <c r="C3547" s="72" t="inlineStr">
        <is>
          <t>X</t>
        </is>
      </c>
      <c r="D3547" s="5" t="n">
        <v>405</v>
      </c>
      <c r="E3547" s="73">
        <f>B3547*D3547/10000</f>
        <v/>
      </c>
      <c r="F3547" s="74">
        <f>B3547/30.48</f>
        <v/>
      </c>
      <c r="G3547" s="74">
        <f>D3547/30.48</f>
        <v/>
      </c>
      <c r="H3547" s="16" t="inlineStr">
        <is>
          <t>RST</t>
        </is>
      </c>
      <c r="I3547" s="694" t="n"/>
      <c r="J3547" s="694" t="n"/>
    </row>
    <row r="3548" ht="18" customHeight="1" s="305">
      <c r="A3548" s="8" t="n">
        <v>4157</v>
      </c>
      <c r="B3548" s="5" t="n">
        <v>103</v>
      </c>
      <c r="C3548" s="72" t="inlineStr">
        <is>
          <t>X</t>
        </is>
      </c>
      <c r="D3548" s="5" t="n">
        <v>362</v>
      </c>
      <c r="E3548" s="73">
        <f>B3548*D3548/10000</f>
        <v/>
      </c>
      <c r="F3548" s="74">
        <f>B3548/30.48</f>
        <v/>
      </c>
      <c r="G3548" s="74">
        <f>D3548/30.48</f>
        <v/>
      </c>
      <c r="H3548" s="16" t="inlineStr">
        <is>
          <t>LMX</t>
        </is>
      </c>
      <c r="I3548" s="21" t="inlineStr">
        <is>
          <t>Kimberly Ramsey</t>
        </is>
      </c>
    </row>
    <row r="3549" ht="18" customHeight="1" s="305">
      <c r="A3549" s="28" t="inlineStr">
        <is>
          <t>D 1108</t>
        </is>
      </c>
      <c r="B3549" s="29" t="n">
        <v>46</v>
      </c>
      <c r="C3549" s="236" t="inlineStr">
        <is>
          <t>X</t>
        </is>
      </c>
      <c r="D3549" s="29" t="n">
        <v>85</v>
      </c>
      <c r="E3549" s="237">
        <f>B3549*D3549/10000</f>
        <v/>
      </c>
      <c r="F3549" s="238">
        <f>B3549/30.48</f>
        <v/>
      </c>
      <c r="G3549" s="238">
        <f>D3549/30.48</f>
        <v/>
      </c>
      <c r="H3549" s="16" t="inlineStr">
        <is>
          <t>WLR</t>
        </is>
      </c>
      <c r="I3549" s="21" t="inlineStr">
        <is>
          <t>Eleanor McKenna</t>
        </is>
      </c>
    </row>
    <row r="3550" ht="18" customHeight="1" s="305">
      <c r="A3550" s="8" t="inlineStr">
        <is>
          <t>İ-92</t>
        </is>
      </c>
      <c r="B3550" s="5" t="n">
        <v>280</v>
      </c>
      <c r="C3550" s="72" t="inlineStr">
        <is>
          <t>X</t>
        </is>
      </c>
      <c r="D3550" s="5" t="n">
        <v>374</v>
      </c>
      <c r="E3550" s="73">
        <f>B3550*D3550/10000</f>
        <v/>
      </c>
      <c r="F3550" s="74">
        <f>B3550/30.48</f>
        <v/>
      </c>
      <c r="G3550" s="74">
        <f>D3550/30.48</f>
        <v/>
      </c>
      <c r="H3550" s="16" t="inlineStr">
        <is>
          <t>LLC</t>
        </is>
      </c>
      <c r="I3550" s="21" t="inlineStr">
        <is>
          <t>Katherine Chase</t>
        </is>
      </c>
    </row>
    <row r="3551" ht="18" customHeight="1" s="305">
      <c r="A3551" s="8" t="n">
        <v>2578</v>
      </c>
      <c r="B3551" s="5" t="n">
        <v>209</v>
      </c>
      <c r="C3551" s="72" t="inlineStr">
        <is>
          <t>X</t>
        </is>
      </c>
      <c r="D3551" s="5" t="n">
        <v>291</v>
      </c>
      <c r="E3551" s="73">
        <f>B3551*D3551/10000</f>
        <v/>
      </c>
      <c r="F3551" s="74">
        <f>B3551/30.48</f>
        <v/>
      </c>
      <c r="G3551" s="74">
        <f>D3551/30.48</f>
        <v/>
      </c>
      <c r="H3551" s="16" t="inlineStr">
        <is>
          <t>WTR</t>
        </is>
      </c>
      <c r="I3551" s="21" t="inlineStr">
        <is>
          <t>Scott clifton</t>
        </is>
      </c>
      <c r="J3551" s="9" t="inlineStr">
        <is>
          <t>+44 7968 287172</t>
        </is>
      </c>
    </row>
    <row r="3552" ht="18" customHeight="1" s="305">
      <c r="A3552" s="8" t="n">
        <v>4774</v>
      </c>
      <c r="B3552" s="5" t="n">
        <v>81</v>
      </c>
      <c r="C3552" s="72" t="inlineStr">
        <is>
          <t>X</t>
        </is>
      </c>
      <c r="D3552" s="5" t="n">
        <v>367</v>
      </c>
      <c r="E3552" s="73">
        <f>B3552*D3552/10000</f>
        <v/>
      </c>
      <c r="F3552" s="74">
        <f>B3552/30.48</f>
        <v/>
      </c>
      <c r="G3552" s="74">
        <f>D3552/30.48</f>
        <v/>
      </c>
      <c r="H3552" s="16" t="inlineStr">
        <is>
          <t>MCHD</t>
        </is>
      </c>
      <c r="I3552" s="20" t="n"/>
      <c r="J3552" s="9" t="n"/>
    </row>
    <row r="3553" ht="18" customHeight="1" s="305">
      <c r="A3553" s="8" t="n">
        <v>3889</v>
      </c>
      <c r="B3553" s="5" t="n">
        <v>77</v>
      </c>
      <c r="C3553" s="72" t="inlineStr">
        <is>
          <t>X</t>
        </is>
      </c>
      <c r="D3553" s="5" t="n">
        <v>261</v>
      </c>
      <c r="E3553" s="73">
        <f>B3553*D3553/10000</f>
        <v/>
      </c>
      <c r="F3553" s="74">
        <f>B3553/30.48</f>
        <v/>
      </c>
      <c r="G3553" s="74">
        <f>D3553/30.48</f>
        <v/>
      </c>
      <c r="H3553" s="694" t="n"/>
      <c r="I3553" s="694" t="n"/>
      <c r="J3553" s="694" t="n"/>
    </row>
    <row r="3554" ht="18" customHeight="1" s="305">
      <c r="A3554" s="8" t="n">
        <v>4036</v>
      </c>
      <c r="B3554" s="5" t="n">
        <v>59</v>
      </c>
      <c r="C3554" s="72" t="inlineStr">
        <is>
          <t>X</t>
        </is>
      </c>
      <c r="D3554" s="5" t="n">
        <v>146</v>
      </c>
      <c r="E3554" s="73">
        <f>B3554*D3554/10000</f>
        <v/>
      </c>
      <c r="F3554" s="74">
        <f>B3554/30.48</f>
        <v/>
      </c>
      <c r="G3554" s="74">
        <f>D3554/30.48</f>
        <v/>
      </c>
      <c r="H3554" s="16" t="inlineStr">
        <is>
          <t>WTR</t>
        </is>
      </c>
      <c r="I3554" s="21" t="inlineStr">
        <is>
          <t>Hannah Hall</t>
        </is>
      </c>
    </row>
    <row r="3555" ht="18" customHeight="1" s="305">
      <c r="A3555" s="8" t="inlineStr">
        <is>
          <t>D 131</t>
        </is>
      </c>
      <c r="B3555" s="5" t="n">
        <v>62</v>
      </c>
      <c r="C3555" s="72" t="inlineStr">
        <is>
          <t>X</t>
        </is>
      </c>
      <c r="D3555" s="5" t="n">
        <v>72</v>
      </c>
      <c r="E3555" s="73">
        <f>B3555*D3555/10000</f>
        <v/>
      </c>
      <c r="F3555" s="74">
        <f>B3555/30.48</f>
        <v/>
      </c>
      <c r="G3555" s="74">
        <f>D3555/30.48</f>
        <v/>
      </c>
      <c r="H3555" s="16" t="inlineStr">
        <is>
          <t>WLR</t>
        </is>
      </c>
      <c r="I3555" s="21" t="inlineStr">
        <is>
          <t>Jessica Lynch</t>
        </is>
      </c>
    </row>
    <row r="3556" ht="18" customHeight="1" s="305">
      <c r="A3556" s="8" t="n">
        <v>4747</v>
      </c>
      <c r="B3556" s="5" t="n">
        <v>118</v>
      </c>
      <c r="C3556" s="72" t="inlineStr">
        <is>
          <t>X</t>
        </is>
      </c>
      <c r="D3556" s="5" t="n">
        <v>378</v>
      </c>
      <c r="E3556" s="73">
        <f>B3556*D3556/10000</f>
        <v/>
      </c>
      <c r="F3556" s="74">
        <f>B3556/30.48</f>
        <v/>
      </c>
      <c r="G3556" s="74">
        <f>D3556/30.48</f>
        <v/>
      </c>
      <c r="H3556" s="16" t="inlineStr">
        <is>
          <t>WTR</t>
        </is>
      </c>
      <c r="I3556" s="21" t="inlineStr">
        <is>
          <t>Jessie Kantzavelos</t>
        </is>
      </c>
    </row>
    <row r="3557" ht="18" customHeight="1" s="305">
      <c r="A3557" s="8" t="n">
        <v>4154</v>
      </c>
      <c r="B3557" s="5" t="n">
        <v>105</v>
      </c>
      <c r="C3557" s="72" t="inlineStr">
        <is>
          <t>X</t>
        </is>
      </c>
      <c r="D3557" s="5" t="n">
        <v>312</v>
      </c>
      <c r="E3557" s="73">
        <f>B3557*D3557/10000</f>
        <v/>
      </c>
      <c r="F3557" s="74">
        <f>B3557/30.48</f>
        <v/>
      </c>
      <c r="G3557" s="74">
        <f>D3557/30.48</f>
        <v/>
      </c>
      <c r="H3557" s="16" t="inlineStr">
        <is>
          <t>WLR</t>
        </is>
      </c>
      <c r="I3557" s="21" t="inlineStr">
        <is>
          <t>Solmaz Cottavoz</t>
        </is>
      </c>
    </row>
    <row r="3558" ht="18" customHeight="1" s="305">
      <c r="A3558" s="8" t="n">
        <v>2247</v>
      </c>
      <c r="B3558" s="5" t="n">
        <v>100</v>
      </c>
      <c r="C3558" s="72" t="inlineStr">
        <is>
          <t>X</t>
        </is>
      </c>
      <c r="D3558" s="5" t="n">
        <v>136</v>
      </c>
      <c r="E3558" s="73">
        <f>B3558*D3558/10000</f>
        <v/>
      </c>
      <c r="F3558" s="74">
        <f>B3558/30.48</f>
        <v/>
      </c>
      <c r="G3558" s="74">
        <f>D3558/30.48</f>
        <v/>
      </c>
      <c r="H3558" s="16" t="inlineStr">
        <is>
          <t>WTR</t>
        </is>
      </c>
      <c r="I3558" s="21" t="inlineStr">
        <is>
          <t>Stacey Davis</t>
        </is>
      </c>
    </row>
    <row r="3559" ht="18" customHeight="1" s="305">
      <c r="A3559" s="8" t="n">
        <v>4358</v>
      </c>
      <c r="B3559" s="5" t="n">
        <v>77</v>
      </c>
      <c r="C3559" s="72" t="inlineStr">
        <is>
          <t>X</t>
        </is>
      </c>
      <c r="D3559" s="5" t="n">
        <v>240</v>
      </c>
      <c r="E3559" s="73">
        <f>B3559*D3559/10000</f>
        <v/>
      </c>
      <c r="F3559" s="74">
        <f>B3559/30.48</f>
        <v/>
      </c>
      <c r="G3559" s="74">
        <f>D3559/30.48</f>
        <v/>
      </c>
      <c r="H3559" s="16" t="inlineStr">
        <is>
          <t>WTR</t>
        </is>
      </c>
      <c r="I3559" s="21" t="inlineStr">
        <is>
          <t>eugene S newman</t>
        </is>
      </c>
    </row>
    <row r="3560" ht="18" customHeight="1" s="305">
      <c r="A3560" s="8" t="n">
        <v>2255</v>
      </c>
      <c r="B3560" s="5" t="n">
        <v>209</v>
      </c>
      <c r="C3560" s="72" t="inlineStr">
        <is>
          <t>X</t>
        </is>
      </c>
      <c r="D3560" s="5" t="n">
        <v>302</v>
      </c>
      <c r="E3560" s="73">
        <f>B3560*D3560/10000</f>
        <v/>
      </c>
      <c r="F3560" s="74">
        <f>B3560/30.48</f>
        <v/>
      </c>
      <c r="G3560" s="74">
        <f>D3560/30.48</f>
        <v/>
      </c>
      <c r="H3560" s="16" t="inlineStr">
        <is>
          <t>LMX</t>
        </is>
      </c>
      <c r="I3560" s="21" t="inlineStr">
        <is>
          <t>Victoria Quresimo</t>
        </is>
      </c>
    </row>
    <row r="3561" ht="18" customHeight="1" s="305">
      <c r="A3561" s="8" t="n">
        <v>3488</v>
      </c>
      <c r="B3561" s="5" t="n">
        <v>100</v>
      </c>
      <c r="C3561" s="72" t="inlineStr">
        <is>
          <t>X</t>
        </is>
      </c>
      <c r="D3561" s="5" t="n">
        <v>375</v>
      </c>
      <c r="E3561" s="73">
        <f>B3561*D3561/10000</f>
        <v/>
      </c>
      <c r="F3561" s="74">
        <f>B3561/30.48</f>
        <v/>
      </c>
      <c r="G3561" s="74">
        <f>D3561/30.48</f>
        <v/>
      </c>
      <c r="H3561" s="16" t="inlineStr">
        <is>
          <t>LLC</t>
        </is>
      </c>
      <c r="I3561" s="21" t="inlineStr">
        <is>
          <t>Laura Maloney</t>
        </is>
      </c>
    </row>
    <row r="3562" ht="18" customHeight="1" s="305">
      <c r="A3562" s="28" t="inlineStr">
        <is>
          <t>D 637</t>
        </is>
      </c>
      <c r="B3562" s="29" t="n">
        <v>49</v>
      </c>
      <c r="C3562" s="236" t="inlineStr">
        <is>
          <t>X</t>
        </is>
      </c>
      <c r="D3562" s="29" t="n">
        <v>97</v>
      </c>
      <c r="E3562" s="237">
        <f>B3562*D3562/10000</f>
        <v/>
      </c>
      <c r="F3562" s="238">
        <f>B3562/30.48</f>
        <v/>
      </c>
      <c r="G3562" s="238">
        <f>D3562/30.48</f>
        <v/>
      </c>
      <c r="H3562" s="16" t="inlineStr">
        <is>
          <t>WLR</t>
        </is>
      </c>
      <c r="I3562" s="21" t="inlineStr">
        <is>
          <t>Brittany Thompson</t>
        </is>
      </c>
    </row>
    <row r="3563" ht="18" customHeight="1" s="305">
      <c r="A3563" s="28" t="inlineStr">
        <is>
          <t>D 608</t>
        </is>
      </c>
      <c r="B3563" s="29" t="n">
        <v>57</v>
      </c>
      <c r="C3563" s="236" t="inlineStr">
        <is>
          <t>X</t>
        </is>
      </c>
      <c r="D3563" s="29" t="n">
        <v>93</v>
      </c>
      <c r="E3563" s="237">
        <f>B3563*D3563/10000</f>
        <v/>
      </c>
      <c r="F3563" s="238">
        <f>B3563/30.48</f>
        <v/>
      </c>
      <c r="G3563" s="238">
        <f>D3563/30.48</f>
        <v/>
      </c>
      <c r="H3563" s="16" t="inlineStr">
        <is>
          <t>OLD</t>
        </is>
      </c>
      <c r="I3563" s="21" t="inlineStr">
        <is>
          <t>Jere Myers</t>
        </is>
      </c>
    </row>
    <row r="3564" ht="18" customHeight="1" s="305">
      <c r="A3564" s="8" t="n">
        <v>4833</v>
      </c>
      <c r="B3564" s="5" t="n">
        <v>166</v>
      </c>
      <c r="C3564" s="72" t="inlineStr">
        <is>
          <t>X</t>
        </is>
      </c>
      <c r="D3564" s="5" t="n">
        <v>233</v>
      </c>
      <c r="E3564" s="73">
        <f>B3564*D3564/10000</f>
        <v/>
      </c>
      <c r="F3564" s="74">
        <f>B3564/30.48</f>
        <v/>
      </c>
      <c r="G3564" s="74">
        <f>D3564/30.48</f>
        <v/>
      </c>
      <c r="H3564" s="16" t="inlineStr">
        <is>
          <t>OLD</t>
        </is>
      </c>
      <c r="I3564" s="21" t="inlineStr">
        <is>
          <t>Corey Boldt</t>
        </is>
      </c>
    </row>
    <row r="3565" ht="18" customHeight="1" s="305">
      <c r="A3565" s="301" t="n">
        <v>992</v>
      </c>
      <c r="B3565" s="5" t="n">
        <v>275</v>
      </c>
      <c r="C3565" s="72" t="inlineStr">
        <is>
          <t>X</t>
        </is>
      </c>
      <c r="D3565" s="5" t="n">
        <v>365</v>
      </c>
      <c r="E3565" s="73">
        <f>B3565*D3565/10000</f>
        <v/>
      </c>
      <c r="F3565" s="74">
        <f>B3565/30.48</f>
        <v/>
      </c>
      <c r="G3565" s="74">
        <f>D3565/30.48</f>
        <v/>
      </c>
      <c r="H3565" s="16" t="inlineStr">
        <is>
          <t>RKS</t>
        </is>
      </c>
      <c r="I3565" s="21" t="inlineStr">
        <is>
          <t>Bailey OConnor</t>
        </is>
      </c>
      <c r="J3565" s="300" t="inlineStr">
        <is>
          <t>CREAM - MULTİ</t>
        </is>
      </c>
    </row>
    <row r="3566" ht="18" customHeight="1" s="305">
      <c r="A3566" s="8" t="n">
        <v>2640</v>
      </c>
      <c r="B3566" s="5" t="n">
        <v>192</v>
      </c>
      <c r="C3566" s="72" t="inlineStr">
        <is>
          <t>X</t>
        </is>
      </c>
      <c r="D3566" s="5" t="n">
        <v>258</v>
      </c>
      <c r="E3566" s="73">
        <f>B3566*D3566/10000</f>
        <v/>
      </c>
      <c r="F3566" s="74">
        <f>B3566/30.48</f>
        <v/>
      </c>
      <c r="G3566" s="74">
        <f>D3566/30.48</f>
        <v/>
      </c>
      <c r="H3566" s="16" t="inlineStr">
        <is>
          <t>LMX</t>
        </is>
      </c>
      <c r="I3566" s="21" t="inlineStr">
        <is>
          <t>Kylie Laudal</t>
        </is>
      </c>
    </row>
    <row r="3567" ht="18" customHeight="1" s="305">
      <c r="A3567" s="8" t="inlineStr">
        <is>
          <t>İ-34</t>
        </is>
      </c>
      <c r="B3567" s="5" t="n">
        <v>298</v>
      </c>
      <c r="C3567" s="72" t="inlineStr">
        <is>
          <t>X</t>
        </is>
      </c>
      <c r="D3567" s="5" t="n">
        <v>371</v>
      </c>
      <c r="E3567" s="73">
        <f>B3567*D3567/10000</f>
        <v/>
      </c>
      <c r="F3567" s="74">
        <f>B3567/30.48</f>
        <v/>
      </c>
      <c r="G3567" s="74">
        <f>D3567/30.48</f>
        <v/>
      </c>
      <c r="H3567" s="16" t="inlineStr">
        <is>
          <t>LLC</t>
        </is>
      </c>
      <c r="I3567" s="21" t="inlineStr">
        <is>
          <t>Sally Shay</t>
        </is>
      </c>
    </row>
    <row r="3568" ht="18" customHeight="1" s="305">
      <c r="A3568" s="8" t="n">
        <v>4724</v>
      </c>
      <c r="B3568" s="5" t="n">
        <v>115</v>
      </c>
      <c r="C3568" s="72" t="inlineStr">
        <is>
          <t>X</t>
        </is>
      </c>
      <c r="D3568" s="5" t="n">
        <v>368</v>
      </c>
      <c r="E3568" s="73">
        <f>B3568*D3568/10000</f>
        <v/>
      </c>
      <c r="F3568" s="74">
        <f>B3568/30.48</f>
        <v/>
      </c>
      <c r="G3568" s="74">
        <f>D3568/30.48</f>
        <v/>
      </c>
      <c r="H3568" s="16" t="inlineStr">
        <is>
          <t>WTR</t>
        </is>
      </c>
      <c r="I3568" s="21" t="inlineStr">
        <is>
          <t>Nichole Vogt</t>
        </is>
      </c>
    </row>
    <row r="3569" ht="18" customHeight="1" s="305">
      <c r="A3569" s="8" t="n">
        <v>20</v>
      </c>
      <c r="B3569" s="5" t="n">
        <v>48</v>
      </c>
      <c r="C3569" s="72" t="inlineStr">
        <is>
          <t>X</t>
        </is>
      </c>
      <c r="D3569" s="5" t="n">
        <v>65</v>
      </c>
      <c r="E3569" s="73">
        <f>B3569*D3569/10000</f>
        <v/>
      </c>
      <c r="F3569" s="74">
        <f>B3569/30.48</f>
        <v/>
      </c>
      <c r="G3569" s="74">
        <f>D3569/30.48</f>
        <v/>
      </c>
      <c r="H3569" s="16" t="inlineStr">
        <is>
          <t>OLD</t>
        </is>
      </c>
      <c r="I3569" s="21" t="inlineStr">
        <is>
          <t>Meagan Sermersheim</t>
        </is>
      </c>
    </row>
    <row r="3570" ht="18" customHeight="1" s="305">
      <c r="A3570" s="8" t="n">
        <v>3223</v>
      </c>
      <c r="B3570" s="5" t="n">
        <v>144</v>
      </c>
      <c r="C3570" s="72" t="inlineStr">
        <is>
          <t>X</t>
        </is>
      </c>
      <c r="D3570" s="5" t="n">
        <v>200</v>
      </c>
      <c r="E3570" s="73">
        <f>B3570*D3570/10000</f>
        <v/>
      </c>
      <c r="F3570" s="74">
        <f>B3570/30.48</f>
        <v/>
      </c>
      <c r="G3570" s="74">
        <f>D3570/30.48</f>
        <v/>
      </c>
      <c r="H3570" s="16" t="inlineStr">
        <is>
          <t>patch</t>
        </is>
      </c>
      <c r="I3570" s="21" t="inlineStr">
        <is>
          <t>Abby Hinton</t>
        </is>
      </c>
    </row>
    <row r="3571" ht="18" customHeight="1" s="305">
      <c r="A3571" s="28" t="inlineStr">
        <is>
          <t>D 795</t>
        </is>
      </c>
      <c r="B3571" s="29" t="n">
        <v>49</v>
      </c>
      <c r="C3571" s="236" t="inlineStr">
        <is>
          <t>X</t>
        </is>
      </c>
      <c r="D3571" s="29" t="n">
        <v>116</v>
      </c>
      <c r="E3571" s="237">
        <f>B3571*D3571/10000</f>
        <v/>
      </c>
      <c r="F3571" s="238">
        <f>B3571/30.48</f>
        <v/>
      </c>
      <c r="G3571" s="238">
        <f>D3571/30.48</f>
        <v/>
      </c>
      <c r="H3571" s="16" t="inlineStr">
        <is>
          <t>LR</t>
        </is>
      </c>
      <c r="I3571" s="21" t="inlineStr">
        <is>
          <t>Lauren McKissack</t>
        </is>
      </c>
    </row>
    <row r="3572" ht="18" customHeight="1" s="305">
      <c r="A3572" s="28" t="inlineStr">
        <is>
          <t>D 878</t>
        </is>
      </c>
      <c r="B3572" s="29" t="n">
        <v>54</v>
      </c>
      <c r="C3572" s="236" t="inlineStr">
        <is>
          <t>X</t>
        </is>
      </c>
      <c r="D3572" s="29" t="n">
        <v>80</v>
      </c>
      <c r="E3572" s="237">
        <f>B3572*D3572/10000</f>
        <v/>
      </c>
      <c r="F3572" s="238">
        <f>B3572/30.48</f>
        <v/>
      </c>
      <c r="G3572" s="238">
        <f>D3572/30.48</f>
        <v/>
      </c>
      <c r="H3572" s="16" t="inlineStr">
        <is>
          <t>FRDİ</t>
        </is>
      </c>
      <c r="I3572" s="21" t="inlineStr">
        <is>
          <t>Buck Dodson</t>
        </is>
      </c>
    </row>
    <row r="3573" ht="18" customHeight="1" s="305">
      <c r="A3573" s="28" t="inlineStr">
        <is>
          <t>D 721</t>
        </is>
      </c>
      <c r="B3573" s="29" t="n">
        <v>42</v>
      </c>
      <c r="C3573" s="236" t="inlineStr">
        <is>
          <t>X</t>
        </is>
      </c>
      <c r="D3573" s="29" t="n">
        <v>89</v>
      </c>
      <c r="E3573" s="237">
        <f>B3573*D3573/10000</f>
        <v/>
      </c>
      <c r="F3573" s="238">
        <f>B3573/30.48</f>
        <v/>
      </c>
      <c r="G3573" s="238">
        <f>D3573/30.48</f>
        <v/>
      </c>
      <c r="H3573" s="16" t="inlineStr">
        <is>
          <t>WLR</t>
        </is>
      </c>
      <c r="I3573" s="21" t="inlineStr">
        <is>
          <t>Brandi Kunz</t>
        </is>
      </c>
    </row>
    <row r="3574" ht="18" customHeight="1" s="305">
      <c r="A3574" s="8" t="n">
        <v>4813</v>
      </c>
      <c r="B3574" s="5" t="n">
        <v>91</v>
      </c>
      <c r="C3574" s="72" t="inlineStr">
        <is>
          <t>X</t>
        </is>
      </c>
      <c r="D3574" s="5" t="n">
        <v>484</v>
      </c>
      <c r="E3574" s="73">
        <f>B3574*D3574/10000</f>
        <v/>
      </c>
      <c r="F3574" s="74">
        <f>B3574/30.48</f>
        <v/>
      </c>
      <c r="G3574" s="74">
        <f>D3574/30.48</f>
        <v/>
      </c>
      <c r="H3574" s="16" t="inlineStr">
        <is>
          <t>MCHD</t>
        </is>
      </c>
    </row>
    <row r="3575" ht="18" customHeight="1" s="305">
      <c r="A3575" s="8" t="inlineStr">
        <is>
          <t>D 261</t>
        </is>
      </c>
      <c r="B3575" s="5" t="n">
        <v>54</v>
      </c>
      <c r="C3575" s="72" t="inlineStr">
        <is>
          <t>X</t>
        </is>
      </c>
      <c r="D3575" s="5" t="n">
        <v>96</v>
      </c>
      <c r="E3575" s="73">
        <f>B3575*D3575/10000</f>
        <v/>
      </c>
      <c r="F3575" s="74">
        <f>B3575/30.48</f>
        <v/>
      </c>
      <c r="G3575" s="74">
        <f>D3575/30.48</f>
        <v/>
      </c>
      <c r="H3575" s="16" t="inlineStr">
        <is>
          <t>OLD</t>
        </is>
      </c>
      <c r="I3575" s="21" t="inlineStr">
        <is>
          <t>Lori nothwang</t>
        </is>
      </c>
    </row>
    <row r="3576" ht="18" customHeight="1" s="305">
      <c r="A3576" s="8" t="n">
        <v>1737</v>
      </c>
      <c r="B3576" s="5" t="n">
        <v>285</v>
      </c>
      <c r="C3576" s="72" t="inlineStr">
        <is>
          <t>X</t>
        </is>
      </c>
      <c r="D3576" s="5" t="n">
        <v>385</v>
      </c>
      <c r="E3576" s="73">
        <f>B3576*D3576/10000</f>
        <v/>
      </c>
      <c r="F3576" s="74">
        <f>B3576/30.48</f>
        <v/>
      </c>
      <c r="G3576" s="74">
        <f>D3576/30.48</f>
        <v/>
      </c>
      <c r="H3576" s="16" t="inlineStr">
        <is>
          <t>LLC</t>
        </is>
      </c>
      <c r="I3576" s="21" t="inlineStr">
        <is>
          <t>Tori Scherer</t>
        </is>
      </c>
    </row>
    <row r="3577" ht="18" customHeight="1" s="305">
      <c r="A3577" s="8" t="n">
        <v>169</v>
      </c>
      <c r="B3577" s="5" t="n">
        <v>99</v>
      </c>
      <c r="C3577" s="6" t="inlineStr">
        <is>
          <t>X</t>
        </is>
      </c>
      <c r="D3577" s="5" t="n">
        <v>49</v>
      </c>
      <c r="E3577" s="2">
        <f>B3577*D3577/10000</f>
        <v/>
      </c>
      <c r="F3577" s="3">
        <f>B3577/30.48</f>
        <v/>
      </c>
      <c r="G3577" s="3">
        <f>D3577/30.48</f>
        <v/>
      </c>
      <c r="H3577" s="16" t="inlineStr">
        <is>
          <t>lmx</t>
        </is>
      </c>
      <c r="I3577" s="21" t="inlineStr">
        <is>
          <t>Sarah Johnston</t>
        </is>
      </c>
    </row>
    <row r="3578" ht="18" customHeight="1" s="305">
      <c r="A3578" s="8" t="n"/>
      <c r="B3578" s="5" t="n"/>
      <c r="C3578" s="6" t="n"/>
      <c r="D3578" s="5" t="n"/>
      <c r="E3578" s="2" t="n"/>
      <c r="F3578" s="3" t="n"/>
      <c r="G3578" s="3" t="n"/>
    </row>
    <row r="3579" ht="18" customHeight="1" s="305">
      <c r="A3579" s="8" t="n"/>
      <c r="B3579" s="5" t="n"/>
      <c r="C3579" s="6" t="n"/>
      <c r="D3579" s="5" t="n"/>
      <c r="E3579" s="2" t="n"/>
      <c r="F3579" s="3" t="n"/>
      <c r="G3579" s="3" t="n"/>
    </row>
    <row r="3580" ht="18" customHeight="1" s="305">
      <c r="A3580" s="8" t="n"/>
      <c r="B3580" s="5" t="n"/>
      <c r="C3580" s="6" t="n"/>
      <c r="D3580" s="5" t="n"/>
      <c r="E3580" s="2" t="n"/>
      <c r="F3580" s="3" t="n"/>
      <c r="G3580" s="3" t="n"/>
    </row>
    <row r="3581" ht="18" customHeight="1" s="305">
      <c r="A3581" s="8" t="n"/>
      <c r="B3581" s="5" t="n"/>
      <c r="C3581" s="6" t="n"/>
      <c r="D3581" s="5" t="n"/>
      <c r="E3581" s="2" t="n"/>
      <c r="F3581" s="3" t="n"/>
      <c r="G3581" s="3" t="n"/>
    </row>
    <row r="3582" ht="18" customHeight="1" s="305">
      <c r="A3582" s="8" t="n"/>
      <c r="B3582" s="5" t="n"/>
      <c r="C3582" s="6" t="n"/>
      <c r="D3582" s="5" t="n"/>
      <c r="E3582" s="2" t="n"/>
      <c r="F3582" s="3" t="n"/>
      <c r="G3582" s="3" t="n"/>
    </row>
    <row r="3583" ht="18" customHeight="1" s="305">
      <c r="A3583" s="8" t="n"/>
      <c r="B3583" s="5" t="n"/>
      <c r="C3583" s="6" t="n"/>
      <c r="D3583" s="5" t="n"/>
      <c r="E3583" s="2" t="n"/>
      <c r="F3583" s="3" t="n"/>
      <c r="G3583" s="3" t="n"/>
    </row>
    <row r="3584" ht="18" customHeight="1" s="305">
      <c r="A3584" s="8" t="n"/>
      <c r="B3584" s="5" t="n"/>
      <c r="C3584" s="6" t="n"/>
      <c r="D3584" s="5" t="n"/>
      <c r="E3584" s="2" t="n"/>
      <c r="F3584" s="3" t="n"/>
      <c r="G3584" s="3" t="n"/>
    </row>
    <row r="3585" ht="18" customHeight="1" s="305">
      <c r="A3585" s="8" t="n"/>
      <c r="B3585" s="5" t="n"/>
      <c r="C3585" s="6" t="n"/>
      <c r="D3585" s="5" t="n"/>
      <c r="E3585" s="2" t="n"/>
      <c r="F3585" s="3" t="n"/>
      <c r="G3585" s="3" t="n"/>
    </row>
    <row r="3586" ht="18" customHeight="1" s="305">
      <c r="A3586" s="8" t="n"/>
      <c r="B3586" s="5" t="n"/>
      <c r="C3586" s="6" t="n"/>
      <c r="D3586" s="5" t="n"/>
      <c r="E3586" s="2" t="n"/>
      <c r="F3586" s="3" t="n"/>
      <c r="G3586" s="3" t="n"/>
    </row>
    <row r="3587" ht="18" customHeight="1" s="305">
      <c r="A3587" s="8" t="n"/>
      <c r="B3587" s="5" t="n"/>
      <c r="C3587" s="6" t="n"/>
      <c r="D3587" s="5" t="n"/>
      <c r="E3587" s="2" t="n"/>
      <c r="F3587" s="3" t="n"/>
      <c r="G3587" s="3" t="n"/>
    </row>
    <row r="3588" ht="18" customHeight="1" s="305">
      <c r="A3588" s="8" t="n"/>
      <c r="B3588" s="5" t="n"/>
      <c r="C3588" s="6" t="n"/>
      <c r="D3588" s="5" t="n"/>
      <c r="E3588" s="2" t="n"/>
      <c r="F3588" s="3" t="n"/>
      <c r="G3588" s="3" t="n"/>
    </row>
    <row r="3589" ht="18" customHeight="1" s="305">
      <c r="A3589" s="8" t="n"/>
      <c r="B3589" s="5" t="n"/>
      <c r="C3589" s="6" t="n"/>
      <c r="D3589" s="5" t="n"/>
      <c r="E3589" s="2" t="n"/>
      <c r="F3589" s="3" t="n"/>
      <c r="G3589" s="3" t="n"/>
    </row>
    <row r="3590" ht="18" customHeight="1" s="305">
      <c r="A3590" s="8" t="n"/>
      <c r="B3590" s="5" t="n"/>
      <c r="C3590" s="6" t="n"/>
      <c r="D3590" s="5" t="n"/>
      <c r="E3590" s="2" t="n"/>
      <c r="F3590" s="3" t="n"/>
      <c r="G3590" s="3" t="n"/>
    </row>
  </sheetData>
  <mergeCells count="416">
    <mergeCell ref="H705:H706"/>
    <mergeCell ref="J652:J660"/>
    <mergeCell ref="A1259:G1259"/>
    <mergeCell ref="H1938:H1939"/>
    <mergeCell ref="H2009:H2010"/>
    <mergeCell ref="J1190:J1192"/>
    <mergeCell ref="A28:G28"/>
    <mergeCell ref="H2907:H2908"/>
    <mergeCell ref="J1146:J1148"/>
    <mergeCell ref="A1826:G1826"/>
    <mergeCell ref="J700:J702"/>
    <mergeCell ref="I891:I893"/>
    <mergeCell ref="H2492:H2493"/>
    <mergeCell ref="I3093:I3094"/>
    <mergeCell ref="I3310:I3311"/>
    <mergeCell ref="H1368:H1369"/>
    <mergeCell ref="J1368:J1369"/>
    <mergeCell ref="H2127:H2133"/>
    <mergeCell ref="H10:H11"/>
    <mergeCell ref="H3415:H3416"/>
    <mergeCell ref="H3054:H3055"/>
    <mergeCell ref="I3022:I3023"/>
    <mergeCell ref="J1578:J1579"/>
    <mergeCell ref="I3543:I3544"/>
    <mergeCell ref="J1328:J1331"/>
    <mergeCell ref="J1580:J1581"/>
    <mergeCell ref="H3459:H3461"/>
    <mergeCell ref="J998:J1000"/>
    <mergeCell ref="I1255:I1256"/>
    <mergeCell ref="I3386:I3387"/>
    <mergeCell ref="A1:G1"/>
    <mergeCell ref="I3415:I3416"/>
    <mergeCell ref="A668:G668"/>
    <mergeCell ref="H1025:H1027"/>
    <mergeCell ref="H2482:H2483"/>
    <mergeCell ref="J1025:J1027"/>
    <mergeCell ref="H695:H696"/>
    <mergeCell ref="H3535:H3537"/>
    <mergeCell ref="H3022:H3023"/>
    <mergeCell ref="J695:J696"/>
    <mergeCell ref="I980:I982"/>
    <mergeCell ref="H1064:H1065"/>
    <mergeCell ref="J1583:J1584"/>
    <mergeCell ref="H3543:H3544"/>
    <mergeCell ref="I2760:I2763"/>
    <mergeCell ref="H2027:H2028"/>
    <mergeCell ref="I1085:I1086"/>
    <mergeCell ref="H2119:H2120"/>
    <mergeCell ref="I1190:I1192"/>
    <mergeCell ref="I2009:I2010"/>
    <mergeCell ref="I3213:I3216"/>
    <mergeCell ref="I2907:I2908"/>
    <mergeCell ref="A1893:G1893"/>
    <mergeCell ref="I1014:I1015"/>
    <mergeCell ref="J848:J849"/>
    <mergeCell ref="H891:H893"/>
    <mergeCell ref="I1492:I1494"/>
    <mergeCell ref="H614:H615"/>
    <mergeCell ref="H980:H982"/>
    <mergeCell ref="A266:G266"/>
    <mergeCell ref="H2760:H2763"/>
    <mergeCell ref="H2574:H2575"/>
    <mergeCell ref="A60:G60"/>
    <mergeCell ref="J875:J878"/>
    <mergeCell ref="H3437:H3438"/>
    <mergeCell ref="J1085:J1086"/>
    <mergeCell ref="H3473:H3474"/>
    <mergeCell ref="H1150:H1152"/>
    <mergeCell ref="I515:I522"/>
    <mergeCell ref="I10:I11"/>
    <mergeCell ref="I208:I209"/>
    <mergeCell ref="I848:I849"/>
    <mergeCell ref="H1260:H1261"/>
    <mergeCell ref="I1109:I1110"/>
    <mergeCell ref="J705:J706"/>
    <mergeCell ref="I3054:I3055"/>
    <mergeCell ref="A749:G749"/>
    <mergeCell ref="H1468:H1469"/>
    <mergeCell ref="A215:G215"/>
    <mergeCell ref="H2333:H2334"/>
    <mergeCell ref="H3386:H3387"/>
    <mergeCell ref="J3386:J3387"/>
    <mergeCell ref="J301:J305"/>
    <mergeCell ref="J564:J565"/>
    <mergeCell ref="A882:G882"/>
    <mergeCell ref="I1224:I1234"/>
    <mergeCell ref="H3310:H3311"/>
    <mergeCell ref="I705:I706"/>
    <mergeCell ref="H1461:H1462"/>
    <mergeCell ref="I2027:I2028"/>
    <mergeCell ref="H1156:H1157"/>
    <mergeCell ref="H1982:H1983"/>
    <mergeCell ref="J1156:J1157"/>
    <mergeCell ref="H3213:H3216"/>
    <mergeCell ref="J1150:J1152"/>
    <mergeCell ref="J680:J681"/>
    <mergeCell ref="H272:H273"/>
    <mergeCell ref="H1659:H1662"/>
    <mergeCell ref="A2609:G2609"/>
    <mergeCell ref="H1014:H1015"/>
    <mergeCell ref="J1014:J1015"/>
    <mergeCell ref="I2965:I2968"/>
    <mergeCell ref="J551:J552"/>
    <mergeCell ref="H3465:H3466"/>
    <mergeCell ref="H3501:H3502"/>
    <mergeCell ref="I614:I615"/>
    <mergeCell ref="I685:I686"/>
    <mergeCell ref="I723:I726"/>
    <mergeCell ref="J1009:J1010"/>
    <mergeCell ref="I1279:I1280"/>
    <mergeCell ref="I1583:I1584"/>
    <mergeCell ref="J490:J491"/>
    <mergeCell ref="I875:I878"/>
    <mergeCell ref="I2574:I2575"/>
    <mergeCell ref="I3437:I3438"/>
    <mergeCell ref="I1734:I1736"/>
    <mergeCell ref="I1150:I1152"/>
    <mergeCell ref="I1343:I1344"/>
    <mergeCell ref="I680:I681"/>
    <mergeCell ref="H2593:H2594"/>
    <mergeCell ref="I2236:I2237"/>
    <mergeCell ref="I3299:I3301"/>
    <mergeCell ref="H2965:H2968"/>
    <mergeCell ref="J208:J209"/>
    <mergeCell ref="A1179:G1179"/>
    <mergeCell ref="J541:J542"/>
    <mergeCell ref="H2904:H2905"/>
    <mergeCell ref="J272:J273"/>
    <mergeCell ref="J3552:J3553"/>
    <mergeCell ref="I700:I702"/>
    <mergeCell ref="I2333:I2334"/>
    <mergeCell ref="I301:I305"/>
    <mergeCell ref="I3457:I3458"/>
    <mergeCell ref="I1056:I1057"/>
    <mergeCell ref="I3450:I3451"/>
    <mergeCell ref="I3083:I3084"/>
    <mergeCell ref="H521:H522"/>
    <mergeCell ref="H1493:H1494"/>
    <mergeCell ref="A102:G102"/>
    <mergeCell ref="H2285:H2286"/>
    <mergeCell ref="I1156:I1157"/>
    <mergeCell ref="A3515:G3515"/>
    <mergeCell ref="A2925:G2925"/>
    <mergeCell ref="A402:G402"/>
    <mergeCell ref="J206:J207"/>
    <mergeCell ref="J1094:J1095"/>
    <mergeCell ref="J133:J134"/>
    <mergeCell ref="I1649:I1650"/>
    <mergeCell ref="H652:H660"/>
    <mergeCell ref="I2865:I2866"/>
    <mergeCell ref="I3465:I3466"/>
    <mergeCell ref="I2971:I2972"/>
    <mergeCell ref="I3459:I3461"/>
    <mergeCell ref="H1146:H1148"/>
    <mergeCell ref="H685:H686"/>
    <mergeCell ref="H2630:H2631"/>
    <mergeCell ref="I1115:I1116"/>
    <mergeCell ref="I2234:I2235"/>
    <mergeCell ref="H1583:H1584"/>
    <mergeCell ref="A1358:G1358"/>
    <mergeCell ref="H2035:H2044"/>
    <mergeCell ref="H515:H520"/>
    <mergeCell ref="I3359:I3378"/>
    <mergeCell ref="J1343:J1344"/>
    <mergeCell ref="I2593:I2594"/>
    <mergeCell ref="A995:G995"/>
    <mergeCell ref="J1109:J1110"/>
    <mergeCell ref="I1328:I1331"/>
    <mergeCell ref="I1064:I1065"/>
    <mergeCell ref="I998:I1000"/>
    <mergeCell ref="H776:H777"/>
    <mergeCell ref="I53:I54"/>
    <mergeCell ref="J1238:J1239"/>
    <mergeCell ref="H2971:H2972"/>
    <mergeCell ref="I2119:I2120"/>
    <mergeCell ref="H2326:H2332"/>
    <mergeCell ref="I2031:I2032"/>
    <mergeCell ref="H1224:H1234"/>
    <mergeCell ref="J1224:J1234"/>
    <mergeCell ref="J1056:J1057"/>
    <mergeCell ref="H723:H726"/>
    <mergeCell ref="J723:J726"/>
    <mergeCell ref="A1669:G1669"/>
    <mergeCell ref="J1492:J1494"/>
    <mergeCell ref="H1734:H1736"/>
    <mergeCell ref="H1580:H1581"/>
    <mergeCell ref="J862:J863"/>
    <mergeCell ref="I1578:I1579"/>
    <mergeCell ref="I3473:I3474"/>
    <mergeCell ref="I164:I165"/>
    <mergeCell ref="J1260:J1261"/>
    <mergeCell ref="I2285:I2286"/>
    <mergeCell ref="I3552:I3553"/>
    <mergeCell ref="H307:H331"/>
    <mergeCell ref="I3304:I3306"/>
    <mergeCell ref="I3539:I3540"/>
    <mergeCell ref="J307:J331"/>
    <mergeCell ref="H1649:H1650"/>
    <mergeCell ref="J1649:J1650"/>
    <mergeCell ref="H1714:H1715"/>
    <mergeCell ref="I862:I863"/>
    <mergeCell ref="H1578:H1579"/>
    <mergeCell ref="A2710:G2710"/>
    <mergeCell ref="H3137:H3154"/>
    <mergeCell ref="J1115:J1116"/>
    <mergeCell ref="J164:J165"/>
    <mergeCell ref="I3163:I3164"/>
    <mergeCell ref="I1009:I1010"/>
    <mergeCell ref="H700:H702"/>
    <mergeCell ref="J1064:J1065"/>
    <mergeCell ref="I1714:I1715"/>
    <mergeCell ref="I3488:I3489"/>
    <mergeCell ref="H53:H54"/>
    <mergeCell ref="I1238:I1239"/>
    <mergeCell ref="A1079:G1079"/>
    <mergeCell ref="H1130:H1131"/>
    <mergeCell ref="I652:I660"/>
    <mergeCell ref="I272:I273"/>
    <mergeCell ref="J1130:J1131"/>
    <mergeCell ref="H2941:H2942"/>
    <mergeCell ref="H2889:H2893"/>
    <mergeCell ref="I2326:I2332"/>
    <mergeCell ref="I1060:I1061"/>
    <mergeCell ref="J3546:J3547"/>
    <mergeCell ref="H3163:H3164"/>
    <mergeCell ref="H3350:H3351"/>
    <mergeCell ref="I2492:I2493"/>
    <mergeCell ref="J3477:J3478"/>
    <mergeCell ref="J978:J979"/>
    <mergeCell ref="I3255:I3256"/>
    <mergeCell ref="I2624:I2626"/>
    <mergeCell ref="I3418:I3420"/>
    <mergeCell ref="H3450:H3451"/>
    <mergeCell ref="H3050:H3052"/>
    <mergeCell ref="H2317:H2322"/>
    <mergeCell ref="H1067:H1069"/>
    <mergeCell ref="A3091:G3091"/>
    <mergeCell ref="H1060:H1061"/>
    <mergeCell ref="J1067:J1069"/>
    <mergeCell ref="H3552:H3553"/>
    <mergeCell ref="J1060:J1061"/>
    <mergeCell ref="A2192:G2192"/>
    <mergeCell ref="H3083:H3084"/>
    <mergeCell ref="A3183:G3183"/>
    <mergeCell ref="H3539:H3540"/>
    <mergeCell ref="I307:I331"/>
    <mergeCell ref="J914:J916"/>
    <mergeCell ref="I490:I491"/>
    <mergeCell ref="I2904:I2905"/>
    <mergeCell ref="J1385:J1387"/>
    <mergeCell ref="J891:J893"/>
    <mergeCell ref="A1320:G1320"/>
    <mergeCell ref="H3457:H3458"/>
    <mergeCell ref="A795:G795"/>
    <mergeCell ref="A546:G546"/>
    <mergeCell ref="J980:J982"/>
    <mergeCell ref="H1009:H1010"/>
    <mergeCell ref="H490:H491"/>
    <mergeCell ref="A3331:G3331"/>
    <mergeCell ref="A1551:G1551"/>
    <mergeCell ref="H3488:H3489"/>
    <mergeCell ref="J1444:J1445"/>
    <mergeCell ref="H564:H565"/>
    <mergeCell ref="I133:I134"/>
    <mergeCell ref="I1130:I1131"/>
    <mergeCell ref="I2889:I2893"/>
    <mergeCell ref="I732:I734"/>
    <mergeCell ref="I1468:I1469"/>
    <mergeCell ref="I3546:I3547"/>
    <mergeCell ref="I206:I207"/>
    <mergeCell ref="I3137:I3154"/>
    <mergeCell ref="I3350:I3351"/>
    <mergeCell ref="I3477:I3478"/>
    <mergeCell ref="J2067:J2086"/>
    <mergeCell ref="H3255:H3256"/>
    <mergeCell ref="H2624:H2626"/>
    <mergeCell ref="H2250:H2251"/>
    <mergeCell ref="I2724:I2725"/>
    <mergeCell ref="A1595:G1595"/>
    <mergeCell ref="H763:H764"/>
    <mergeCell ref="J763:J764"/>
    <mergeCell ref="H999:H1000"/>
    <mergeCell ref="I1260:I1261"/>
    <mergeCell ref="I1067:I1069"/>
    <mergeCell ref="I541:I542"/>
    <mergeCell ref="I914:I916"/>
    <mergeCell ref="H1190:H1192"/>
    <mergeCell ref="A158:G158"/>
    <mergeCell ref="I813:I824"/>
    <mergeCell ref="I2067:I2086"/>
    <mergeCell ref="H3359:H3378"/>
    <mergeCell ref="I1028:I1029"/>
    <mergeCell ref="H1094:H1095"/>
    <mergeCell ref="A1984:G1984"/>
    <mergeCell ref="I1580:I1581"/>
    <mergeCell ref="J3501:J3502"/>
    <mergeCell ref="J515:J522"/>
    <mergeCell ref="I2537:I2538"/>
    <mergeCell ref="I2095:I2104"/>
    <mergeCell ref="I2835:I2836"/>
    <mergeCell ref="H1343:H1344"/>
    <mergeCell ref="H680:H681"/>
    <mergeCell ref="H1109:H1110"/>
    <mergeCell ref="I1146:I1148"/>
    <mergeCell ref="H732:H734"/>
    <mergeCell ref="A611:G611"/>
    <mergeCell ref="A2063:G2063"/>
    <mergeCell ref="J732:J734"/>
    <mergeCell ref="H3329:H3330"/>
    <mergeCell ref="J3220:J3221"/>
    <mergeCell ref="A2820:G2820"/>
    <mergeCell ref="I2250:I2251"/>
    <mergeCell ref="H1056:H1057"/>
    <mergeCell ref="I2247:I2248"/>
    <mergeCell ref="I3002:I3005"/>
    <mergeCell ref="A1758:G1758"/>
    <mergeCell ref="H862:H863"/>
    <mergeCell ref="I925:I927"/>
    <mergeCell ref="I2929:I2930"/>
    <mergeCell ref="A937:G937"/>
    <mergeCell ref="H557:H558"/>
    <mergeCell ref="J557:J558"/>
    <mergeCell ref="I3050:I3052"/>
    <mergeCell ref="H3418:H3420"/>
    <mergeCell ref="H1028:H1029"/>
    <mergeCell ref="J1028:J1029"/>
    <mergeCell ref="I551:I552"/>
    <mergeCell ref="A3442:G3442"/>
    <mergeCell ref="J685:J686"/>
    <mergeCell ref="I1444:I1445"/>
    <mergeCell ref="I2336:I2338"/>
    <mergeCell ref="I3501:I3502"/>
    <mergeCell ref="I978:I979"/>
    <mergeCell ref="I2941:I2943"/>
    <mergeCell ref="H3002:H3004"/>
    <mergeCell ref="I2413:I2415"/>
    <mergeCell ref="J3213:J3216"/>
    <mergeCell ref="H2234:H2235"/>
    <mergeCell ref="I557:I558"/>
    <mergeCell ref="H164:H165"/>
    <mergeCell ref="H2236:H2237"/>
    <mergeCell ref="H2095:H2104"/>
    <mergeCell ref="J2095:J2104"/>
    <mergeCell ref="H3099:H3100"/>
    <mergeCell ref="H3093:H3094"/>
    <mergeCell ref="A1702:G1702"/>
    <mergeCell ref="J1468:J1469"/>
    <mergeCell ref="H2336:H2338"/>
    <mergeCell ref="I3519:I3520"/>
    <mergeCell ref="I241:I242"/>
    <mergeCell ref="H1074:H1075"/>
    <mergeCell ref="J1074:J1075"/>
    <mergeCell ref="I3220:I3221"/>
    <mergeCell ref="I3329:I3330"/>
    <mergeCell ref="I2630:I2631"/>
    <mergeCell ref="I825:I844"/>
    <mergeCell ref="H2031:H2032"/>
    <mergeCell ref="I2461:I2462"/>
    <mergeCell ref="I2127:I2133"/>
    <mergeCell ref="H2247:H2248"/>
    <mergeCell ref="A2301:G2301"/>
    <mergeCell ref="J1461:J1462"/>
    <mergeCell ref="H3477:H3478"/>
    <mergeCell ref="H1255:H1256"/>
    <mergeCell ref="J1255:J1256"/>
    <mergeCell ref="H978:H979"/>
    <mergeCell ref="I1385:I1387"/>
    <mergeCell ref="H3519:H3520"/>
    <mergeCell ref="H925:H927"/>
    <mergeCell ref="H2929:H2930"/>
    <mergeCell ref="J925:J927"/>
    <mergeCell ref="I763:I764"/>
    <mergeCell ref="A1634:G1634"/>
    <mergeCell ref="J1659:J1662"/>
    <mergeCell ref="I119:I121"/>
    <mergeCell ref="J3050:J3052"/>
    <mergeCell ref="I2316:I2322"/>
    <mergeCell ref="I1938:I1939"/>
    <mergeCell ref="H914:H916"/>
    <mergeCell ref="A1425:G1425"/>
    <mergeCell ref="A1474:G1474"/>
    <mergeCell ref="I2035:I2044"/>
    <mergeCell ref="H1385:H1387"/>
    <mergeCell ref="I1982:I1983"/>
    <mergeCell ref="A3240:G3240"/>
    <mergeCell ref="H2537:H2538"/>
    <mergeCell ref="H2835:H2836"/>
    <mergeCell ref="A2406:G2406"/>
    <mergeCell ref="A3019:G3019"/>
    <mergeCell ref="I2363:I2364"/>
    <mergeCell ref="I776:I777"/>
    <mergeCell ref="J53:J54"/>
    <mergeCell ref="I3099:I3100"/>
    <mergeCell ref="I3535:I3537"/>
    <mergeCell ref="I1368:I1369"/>
    <mergeCell ref="H1444:H1445"/>
    <mergeCell ref="H241:H242"/>
    <mergeCell ref="A347:G347"/>
    <mergeCell ref="H3220:H3221"/>
    <mergeCell ref="I1074:I1075"/>
    <mergeCell ref="I1094:I1095"/>
    <mergeCell ref="A476:G476"/>
    <mergeCell ref="H2461:H2462"/>
    <mergeCell ref="J2127:J2133"/>
    <mergeCell ref="J776:J777"/>
    <mergeCell ref="H1279:H1280"/>
    <mergeCell ref="J1279:J1280"/>
    <mergeCell ref="J3473:J3474"/>
    <mergeCell ref="I1461:I1462"/>
    <mergeCell ref="I2287:I2288"/>
    <mergeCell ref="H2067:H2086"/>
    <mergeCell ref="I1025:I1027"/>
    <mergeCell ref="I564:I565"/>
    <mergeCell ref="I2482:I2483"/>
    <mergeCell ref="I695:I696"/>
    <mergeCell ref="I1659:I1662"/>
  </mergeCells>
  <hyperlinks>
    <hyperlink xmlns:r="http://schemas.openxmlformats.org/officeDocument/2006/relationships" ref="J120" r:id="rId1"/>
    <hyperlink xmlns:r="http://schemas.openxmlformats.org/officeDocument/2006/relationships" ref="J1045" r:id="rId2"/>
    <hyperlink xmlns:r="http://schemas.openxmlformats.org/officeDocument/2006/relationships" ref="J1163" r:id="rId3"/>
  </hyperlink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topLeftCell="A53" workbookViewId="0">
      <selection activeCell="A54" sqref="A54:G54"/>
    </sheetView>
  </sheetViews>
  <sheetFormatPr baseColWidth="8" defaultRowHeight="15"/>
  <cols>
    <col width="14.5703125" bestFit="1" customWidth="1" style="305" min="8" max="8"/>
    <col width="9.140625" customWidth="1" style="85" min="9" max="9"/>
    <col width="9.140625" customWidth="1" style="88" min="12" max="12"/>
    <col width="16.140625" bestFit="1" customWidth="1" style="305" min="13" max="13"/>
  </cols>
  <sheetData>
    <row r="1" ht="17.25" customHeight="1" s="305">
      <c r="A1" s="7" t="inlineStr">
        <is>
          <t>KOD</t>
        </is>
      </c>
      <c r="B1" s="12" t="inlineStr">
        <is>
          <t>CM1</t>
        </is>
      </c>
      <c r="C1" s="13" t="inlineStr">
        <is>
          <t>X</t>
        </is>
      </c>
      <c r="D1" s="12" t="inlineStr">
        <is>
          <t>CM2</t>
        </is>
      </c>
      <c r="E1" s="14" t="inlineStr">
        <is>
          <t>M2</t>
        </is>
      </c>
      <c r="F1" s="14" t="inlineStr">
        <is>
          <t>FT1</t>
        </is>
      </c>
      <c r="G1" s="15" t="inlineStr">
        <is>
          <t>FT2</t>
        </is>
      </c>
      <c r="H1" s="24" t="inlineStr">
        <is>
          <t>HALI DURUMU</t>
        </is>
      </c>
      <c r="I1" s="83" t="inlineStr">
        <is>
          <t>SİTE</t>
        </is>
      </c>
      <c r="J1" s="47" t="inlineStr">
        <is>
          <t>SİTE</t>
        </is>
      </c>
      <c r="K1" s="86" t="inlineStr">
        <is>
          <t>SİTE</t>
        </is>
      </c>
      <c r="L1" s="89" t="inlineStr">
        <is>
          <t>SİTE</t>
        </is>
      </c>
      <c r="M1" s="270" t="inlineStr">
        <is>
          <t>RugsShopTurkey</t>
        </is>
      </c>
      <c r="P1" s="280" t="n"/>
    </row>
    <row r="2" ht="17.25" customHeight="1" s="305">
      <c r="A2" s="8" t="inlineStr">
        <is>
          <t>D 5</t>
        </is>
      </c>
      <c r="B2" s="5" t="n">
        <v>49</v>
      </c>
      <c r="C2" s="72" t="inlineStr">
        <is>
          <t>X</t>
        </is>
      </c>
      <c r="D2" s="5" t="n">
        <v>94</v>
      </c>
      <c r="E2" s="73">
        <f>B2*D2/10000</f>
        <v/>
      </c>
      <c r="F2" s="74">
        <f>B2/30.48</f>
        <v/>
      </c>
      <c r="G2" s="74">
        <f>D2/30.48</f>
        <v/>
      </c>
      <c r="H2" s="615" t="n"/>
      <c r="I2" s="84" t="inlineStr">
        <is>
          <t>OLD</t>
        </is>
      </c>
      <c r="J2" s="48" t="n"/>
      <c r="K2" s="51" t="n"/>
      <c r="L2" s="87" t="inlineStr">
        <is>
          <t>VR</t>
        </is>
      </c>
      <c r="M2" s="270" t="inlineStr">
        <is>
          <t>RST</t>
        </is>
      </c>
      <c r="P2" s="280" t="n"/>
    </row>
    <row r="3" ht="17.25" customHeight="1" s="305">
      <c r="A3" s="8" t="inlineStr">
        <is>
          <t>D 11</t>
        </is>
      </c>
      <c r="B3" s="5" t="n">
        <v>51</v>
      </c>
      <c r="C3" s="72" t="inlineStr">
        <is>
          <t>X</t>
        </is>
      </c>
      <c r="D3" s="5" t="n">
        <v>91</v>
      </c>
      <c r="E3" s="73">
        <f>B3*D3/10000</f>
        <v/>
      </c>
      <c r="F3" s="74">
        <f>B3/30.48</f>
        <v/>
      </c>
      <c r="G3" s="74">
        <f>D3/30.48</f>
        <v/>
      </c>
      <c r="H3" s="615" t="n"/>
      <c r="I3" s="84" t="inlineStr">
        <is>
          <t>OLD</t>
        </is>
      </c>
      <c r="J3" s="48" t="n"/>
      <c r="K3" s="51" t="n"/>
      <c r="L3" s="87" t="inlineStr">
        <is>
          <t>VR</t>
        </is>
      </c>
      <c r="M3" s="270" t="n"/>
      <c r="P3" s="280" t="inlineStr">
        <is>
          <t>1</t>
        </is>
      </c>
      <c r="Q3" t="n">
        <v>123</v>
      </c>
    </row>
    <row r="4" ht="17.25" customHeight="1" s="305">
      <c r="A4" s="8" t="inlineStr">
        <is>
          <t>D 29</t>
        </is>
      </c>
      <c r="B4" s="5" t="n">
        <v>46</v>
      </c>
      <c r="C4" s="72" t="inlineStr">
        <is>
          <t>X</t>
        </is>
      </c>
      <c r="D4" s="5" t="n">
        <v>93</v>
      </c>
      <c r="E4" s="73">
        <f>B4*D4/10000</f>
        <v/>
      </c>
      <c r="F4" s="74">
        <f>B4/30.48</f>
        <v/>
      </c>
      <c r="G4" s="74">
        <f>D4/30.48</f>
        <v/>
      </c>
      <c r="H4" s="615" t="n"/>
      <c r="I4" s="84" t="inlineStr">
        <is>
          <t>OLD</t>
        </is>
      </c>
      <c r="J4" s="48" t="n"/>
      <c r="K4" s="51" t="n"/>
      <c r="L4" s="87" t="inlineStr">
        <is>
          <t>VR</t>
        </is>
      </c>
      <c r="M4" s="270" t="n"/>
      <c r="P4" s="280" t="n"/>
    </row>
    <row r="5" ht="17.25" customHeight="1" s="305">
      <c r="A5" s="8" t="inlineStr">
        <is>
          <t>D 32</t>
        </is>
      </c>
      <c r="B5" s="5" t="n">
        <v>51</v>
      </c>
      <c r="C5" s="72" t="inlineStr">
        <is>
          <t>X</t>
        </is>
      </c>
      <c r="D5" s="5" t="n">
        <v>100</v>
      </c>
      <c r="E5" s="73">
        <f>B5*D5/10000</f>
        <v/>
      </c>
      <c r="F5" s="74">
        <f>B5/30.48</f>
        <v/>
      </c>
      <c r="G5" s="74">
        <f>D5/30.48</f>
        <v/>
      </c>
      <c r="H5" s="615" t="n"/>
      <c r="I5" s="84" t="inlineStr">
        <is>
          <t>OLD</t>
        </is>
      </c>
      <c r="J5" s="48" t="n"/>
      <c r="K5" s="51" t="n"/>
      <c r="L5" s="87" t="inlineStr">
        <is>
          <t>VR</t>
        </is>
      </c>
      <c r="M5" s="270" t="n"/>
      <c r="P5" s="280" t="n"/>
    </row>
    <row r="6" ht="17.25" customHeight="1" s="305">
      <c r="A6" s="8" t="inlineStr">
        <is>
          <t>D 34</t>
        </is>
      </c>
      <c r="B6" s="5" t="n">
        <v>54</v>
      </c>
      <c r="C6" s="72" t="inlineStr">
        <is>
          <t>X</t>
        </is>
      </c>
      <c r="D6" s="5" t="n">
        <v>100</v>
      </c>
      <c r="E6" s="73">
        <f>B6*D6/10000</f>
        <v/>
      </c>
      <c r="F6" s="74">
        <f>B6/30.48</f>
        <v/>
      </c>
      <c r="G6" s="74">
        <f>D6/30.48</f>
        <v/>
      </c>
      <c r="H6" s="615" t="n"/>
      <c r="I6" s="84" t="inlineStr">
        <is>
          <t>OLD</t>
        </is>
      </c>
      <c r="J6" s="48" t="n"/>
      <c r="K6" s="51" t="n"/>
      <c r="L6" s="87" t="inlineStr">
        <is>
          <t>VR</t>
        </is>
      </c>
      <c r="M6" s="270" t="n"/>
      <c r="P6" s="280" t="n"/>
    </row>
    <row r="7" ht="17.25" customHeight="1" s="305">
      <c r="A7" s="8" t="inlineStr">
        <is>
          <t>D 38</t>
        </is>
      </c>
      <c r="B7" s="5" t="n">
        <v>55</v>
      </c>
      <c r="C7" s="72" t="inlineStr">
        <is>
          <t>X</t>
        </is>
      </c>
      <c r="D7" s="5" t="n">
        <v>89</v>
      </c>
      <c r="E7" s="73">
        <f>B7*D7/10000</f>
        <v/>
      </c>
      <c r="F7" s="74">
        <f>B7/30.48</f>
        <v/>
      </c>
      <c r="G7" s="74">
        <f>D7/30.48</f>
        <v/>
      </c>
      <c r="H7" s="615" t="n"/>
      <c r="I7" s="84" t="inlineStr">
        <is>
          <t>OLD</t>
        </is>
      </c>
      <c r="J7" s="48" t="n"/>
      <c r="K7" s="51" t="n"/>
      <c r="L7" s="87" t="inlineStr">
        <is>
          <t>VR</t>
        </is>
      </c>
      <c r="M7" s="270" t="n"/>
      <c r="P7" s="280" t="n"/>
    </row>
    <row r="8" ht="18" customHeight="1" s="305">
      <c r="A8" s="8" t="inlineStr">
        <is>
          <t>D 61</t>
        </is>
      </c>
      <c r="B8" s="5" t="n">
        <v>44</v>
      </c>
      <c r="C8" s="72" t="inlineStr">
        <is>
          <t>X</t>
        </is>
      </c>
      <c r="D8" s="5" t="n">
        <v>90</v>
      </c>
      <c r="E8" s="73">
        <f>B8*D8/10000</f>
        <v/>
      </c>
      <c r="F8" s="74">
        <f>B8/30.48</f>
        <v/>
      </c>
      <c r="G8" s="74">
        <f>D8/30.48</f>
        <v/>
      </c>
      <c r="H8" s="615" t="n"/>
      <c r="I8" s="84" t="inlineStr">
        <is>
          <t>OLD</t>
        </is>
      </c>
      <c r="J8" s="48" t="n"/>
      <c r="K8" s="51" t="n"/>
      <c r="L8" s="87" t="inlineStr">
        <is>
          <t>VR</t>
        </is>
      </c>
      <c r="M8" s="270" t="n"/>
      <c r="P8" s="280" t="n"/>
    </row>
    <row r="9" ht="17.25" customHeight="1" s="305">
      <c r="A9" s="8" t="inlineStr">
        <is>
          <t>D 62</t>
        </is>
      </c>
      <c r="B9" s="5" t="n">
        <v>47</v>
      </c>
      <c r="C9" s="72" t="inlineStr">
        <is>
          <t>X</t>
        </is>
      </c>
      <c r="D9" s="5" t="n">
        <v>105</v>
      </c>
      <c r="E9" s="73">
        <f>B9*D9/10000</f>
        <v/>
      </c>
      <c r="F9" s="74">
        <f>B9/30.48</f>
        <v/>
      </c>
      <c r="G9" s="74">
        <f>D9/30.48</f>
        <v/>
      </c>
      <c r="H9" s="615" t="n"/>
      <c r="I9" s="84" t="inlineStr">
        <is>
          <t>OLD</t>
        </is>
      </c>
      <c r="J9" s="48" t="n"/>
      <c r="K9" s="51" t="n"/>
      <c r="L9" s="87" t="inlineStr">
        <is>
          <t>VR</t>
        </is>
      </c>
      <c r="M9" s="270" t="n"/>
      <c r="P9" s="280" t="n"/>
    </row>
    <row r="10" ht="17.25" customHeight="1" s="305">
      <c r="A10" s="8" t="inlineStr">
        <is>
          <t>D 67</t>
        </is>
      </c>
      <c r="B10" s="5" t="n">
        <v>43</v>
      </c>
      <c r="C10" s="72" t="inlineStr">
        <is>
          <t>X</t>
        </is>
      </c>
      <c r="D10" s="5" t="n">
        <v>97</v>
      </c>
      <c r="E10" s="73">
        <f>B10*D10/10000</f>
        <v/>
      </c>
      <c r="F10" s="74">
        <f>B10/30.48</f>
        <v/>
      </c>
      <c r="G10" s="74">
        <f>D10/30.48</f>
        <v/>
      </c>
      <c r="H10" s="615" t="n"/>
      <c r="I10" s="84" t="inlineStr">
        <is>
          <t>OLD</t>
        </is>
      </c>
      <c r="J10" s="48" t="n"/>
      <c r="K10" s="51" t="n"/>
      <c r="L10" s="87" t="inlineStr">
        <is>
          <t>VR</t>
        </is>
      </c>
      <c r="M10" s="270" t="n"/>
      <c r="P10" s="280" t="n"/>
    </row>
    <row r="11" ht="17.25" customHeight="1" s="305">
      <c r="A11" s="8" t="inlineStr">
        <is>
          <t>D 72</t>
        </is>
      </c>
      <c r="B11" s="5" t="n">
        <v>58</v>
      </c>
      <c r="C11" s="72" t="inlineStr">
        <is>
          <t>X</t>
        </is>
      </c>
      <c r="D11" s="5" t="n">
        <v>97</v>
      </c>
      <c r="E11" s="73">
        <f>B11*D11/10000</f>
        <v/>
      </c>
      <c r="F11" s="74">
        <f>B11/30.48</f>
        <v/>
      </c>
      <c r="G11" s="74">
        <f>D11/30.48</f>
        <v/>
      </c>
      <c r="H11" s="615" t="n"/>
      <c r="I11" s="84" t="inlineStr">
        <is>
          <t>OLD</t>
        </is>
      </c>
      <c r="J11" s="48" t="n"/>
      <c r="K11" s="51" t="n"/>
      <c r="L11" s="87" t="inlineStr">
        <is>
          <t>VR</t>
        </is>
      </c>
      <c r="M11" s="270" t="n"/>
      <c r="P11" s="280" t="n"/>
    </row>
    <row r="12" ht="17.25" customHeight="1" s="305">
      <c r="A12" s="8" t="inlineStr">
        <is>
          <t>D 74</t>
        </is>
      </c>
      <c r="B12" s="5" t="n">
        <v>63</v>
      </c>
      <c r="C12" s="72" t="inlineStr">
        <is>
          <t>X</t>
        </is>
      </c>
      <c r="D12" s="5" t="n">
        <v>91</v>
      </c>
      <c r="E12" s="73">
        <f>B12*D12/10000</f>
        <v/>
      </c>
      <c r="F12" s="74">
        <f>B12/30.48</f>
        <v/>
      </c>
      <c r="G12" s="74">
        <f>D12/30.48</f>
        <v/>
      </c>
      <c r="H12" s="615" t="n"/>
      <c r="I12" s="84" t="inlineStr">
        <is>
          <t>OLD</t>
        </is>
      </c>
      <c r="J12" s="48" t="n"/>
      <c r="K12" s="51" t="n"/>
      <c r="L12" s="87" t="inlineStr">
        <is>
          <t>VR</t>
        </is>
      </c>
      <c r="M12" s="270" t="n"/>
      <c r="P12" s="280" t="n"/>
    </row>
    <row r="13" ht="17.25" customHeight="1" s="305">
      <c r="A13" s="8" t="inlineStr">
        <is>
          <t>D 84</t>
        </is>
      </c>
      <c r="B13" s="5" t="n">
        <v>46</v>
      </c>
      <c r="C13" s="72" t="inlineStr">
        <is>
          <t>X</t>
        </is>
      </c>
      <c r="D13" s="5" t="n">
        <v>84</v>
      </c>
      <c r="E13" s="73">
        <f>B13*D13/10000</f>
        <v/>
      </c>
      <c r="F13" s="74">
        <f>B13/30.48</f>
        <v/>
      </c>
      <c r="G13" s="74">
        <f>D13/30.48</f>
        <v/>
      </c>
      <c r="H13" s="615" t="n"/>
      <c r="I13" s="84" t="inlineStr">
        <is>
          <t>OLD</t>
        </is>
      </c>
      <c r="J13" s="48" t="n"/>
      <c r="K13" s="51" t="n"/>
      <c r="L13" s="87" t="inlineStr">
        <is>
          <t>VR</t>
        </is>
      </c>
      <c r="M13" s="270" t="n"/>
      <c r="P13" s="280" t="n"/>
    </row>
    <row r="14" ht="17.25" customHeight="1" s="305">
      <c r="A14" s="8" t="inlineStr">
        <is>
          <t>D 85</t>
        </is>
      </c>
      <c r="B14" s="5" t="n">
        <v>48</v>
      </c>
      <c r="C14" s="72" t="inlineStr">
        <is>
          <t>X</t>
        </is>
      </c>
      <c r="D14" s="5" t="n">
        <v>81</v>
      </c>
      <c r="E14" s="73">
        <f>B14*D14/10000</f>
        <v/>
      </c>
      <c r="F14" s="74">
        <f>B14/30.48</f>
        <v/>
      </c>
      <c r="G14" s="74">
        <f>D14/30.48</f>
        <v/>
      </c>
      <c r="H14" s="615" t="n"/>
      <c r="I14" s="84" t="inlineStr">
        <is>
          <t>OLD</t>
        </is>
      </c>
      <c r="J14" s="48" t="n"/>
      <c r="K14" s="51" t="n"/>
      <c r="L14" s="87" t="inlineStr">
        <is>
          <t>VR</t>
        </is>
      </c>
      <c r="M14" s="270" t="n"/>
      <c r="P14" s="280" t="n"/>
    </row>
    <row r="15" ht="17.25" customHeight="1" s="305">
      <c r="A15" s="8" t="inlineStr">
        <is>
          <t>D 86</t>
        </is>
      </c>
      <c r="B15" s="5" t="n">
        <v>45</v>
      </c>
      <c r="C15" s="72" t="inlineStr">
        <is>
          <t>X</t>
        </is>
      </c>
      <c r="D15" s="5" t="n">
        <v>78</v>
      </c>
      <c r="E15" s="73">
        <f>B15*D15/10000</f>
        <v/>
      </c>
      <c r="F15" s="74">
        <f>B15/30.48</f>
        <v/>
      </c>
      <c r="G15" s="74">
        <f>D15/30.48</f>
        <v/>
      </c>
      <c r="H15" s="615" t="n"/>
      <c r="I15" s="84" t="inlineStr">
        <is>
          <t>OLD</t>
        </is>
      </c>
      <c r="J15" s="48" t="n"/>
      <c r="K15" s="51" t="n"/>
      <c r="L15" s="87" t="inlineStr">
        <is>
          <t>VR</t>
        </is>
      </c>
      <c r="M15" s="270" t="n"/>
      <c r="P15" s="280" t="n"/>
    </row>
    <row r="16" ht="17.25" customHeight="1" s="305">
      <c r="A16" s="8" t="inlineStr">
        <is>
          <t>D 90</t>
        </is>
      </c>
      <c r="B16" s="5" t="n">
        <v>43</v>
      </c>
      <c r="C16" s="72" t="inlineStr">
        <is>
          <t>X</t>
        </is>
      </c>
      <c r="D16" s="5" t="n">
        <v>85</v>
      </c>
      <c r="E16" s="73">
        <f>B16*D16/10000</f>
        <v/>
      </c>
      <c r="F16" s="74">
        <f>B16/30.48</f>
        <v/>
      </c>
      <c r="G16" s="74">
        <f>D16/30.48</f>
        <v/>
      </c>
      <c r="H16" s="615" t="n"/>
      <c r="I16" s="84" t="inlineStr">
        <is>
          <t>OLD</t>
        </is>
      </c>
      <c r="J16" s="48" t="n"/>
      <c r="K16" s="51" t="n"/>
      <c r="L16" s="87" t="inlineStr">
        <is>
          <t>VR</t>
        </is>
      </c>
      <c r="M16" s="270" t="n"/>
      <c r="P16" s="280" t="n"/>
    </row>
    <row r="17" ht="17.25" customHeight="1" s="305">
      <c r="A17" s="8" t="inlineStr">
        <is>
          <t>D 101</t>
        </is>
      </c>
      <c r="B17" s="5" t="n">
        <v>42</v>
      </c>
      <c r="C17" s="72" t="inlineStr">
        <is>
          <t>X</t>
        </is>
      </c>
      <c r="D17" s="5" t="n">
        <v>97</v>
      </c>
      <c r="E17" s="73">
        <f>B17*D17/10000</f>
        <v/>
      </c>
      <c r="F17" s="74">
        <f>B17/30.48</f>
        <v/>
      </c>
      <c r="G17" s="74">
        <f>D17/30.48</f>
        <v/>
      </c>
      <c r="H17" s="615" t="n"/>
      <c r="I17" s="84" t="inlineStr">
        <is>
          <t>OLD</t>
        </is>
      </c>
      <c r="J17" s="48" t="n"/>
      <c r="K17" s="51" t="n"/>
      <c r="L17" s="87" t="inlineStr">
        <is>
          <t>VR</t>
        </is>
      </c>
      <c r="M17" s="270" t="n"/>
      <c r="P17" s="280" t="n"/>
    </row>
    <row r="18" ht="17.25" customHeight="1" s="305">
      <c r="A18" s="8" t="inlineStr">
        <is>
          <t>D 103</t>
        </is>
      </c>
      <c r="B18" s="5" t="n">
        <v>47</v>
      </c>
      <c r="C18" s="72" t="inlineStr">
        <is>
          <t>X</t>
        </is>
      </c>
      <c r="D18" s="5" t="n">
        <v>98</v>
      </c>
      <c r="E18" s="73">
        <f>B18*D18/10000</f>
        <v/>
      </c>
      <c r="F18" s="74">
        <f>B18/30.48</f>
        <v/>
      </c>
      <c r="G18" s="74">
        <f>D18/30.48</f>
        <v/>
      </c>
      <c r="H18" s="615" t="n"/>
      <c r="I18" s="84" t="inlineStr">
        <is>
          <t>OLD</t>
        </is>
      </c>
      <c r="J18" s="48" t="n"/>
      <c r="K18" s="51" t="n"/>
      <c r="L18" s="87" t="inlineStr">
        <is>
          <t>VR</t>
        </is>
      </c>
      <c r="M18" s="270" t="n"/>
      <c r="P18" s="280" t="n"/>
    </row>
    <row r="19" ht="17.25" customHeight="1" s="305">
      <c r="A19" s="8" t="inlineStr">
        <is>
          <t>D 105</t>
        </is>
      </c>
      <c r="B19" s="5" t="n">
        <v>46</v>
      </c>
      <c r="C19" s="72" t="inlineStr">
        <is>
          <t>X</t>
        </is>
      </c>
      <c r="D19" s="5" t="n">
        <v>98</v>
      </c>
      <c r="E19" s="73">
        <f>B19*D19/10000</f>
        <v/>
      </c>
      <c r="F19" s="74">
        <f>B19/30.48</f>
        <v/>
      </c>
      <c r="G19" s="74">
        <f>D19/30.48</f>
        <v/>
      </c>
      <c r="H19" s="615" t="n"/>
      <c r="I19" s="84" t="inlineStr">
        <is>
          <t>OLD</t>
        </is>
      </c>
      <c r="J19" s="48" t="n"/>
      <c r="K19" s="51" t="n"/>
      <c r="L19" s="87" t="inlineStr">
        <is>
          <t>VR</t>
        </is>
      </c>
      <c r="M19" s="270" t="n"/>
      <c r="P19" s="280" t="n"/>
    </row>
    <row r="20" ht="17.25" customHeight="1" s="305">
      <c r="A20" s="8" t="inlineStr">
        <is>
          <t>D 110</t>
        </is>
      </c>
      <c r="B20" s="5" t="n">
        <v>42</v>
      </c>
      <c r="C20" s="72" t="inlineStr">
        <is>
          <t>X</t>
        </is>
      </c>
      <c r="D20" s="5" t="n">
        <v>93</v>
      </c>
      <c r="E20" s="73">
        <f>B20*D20/10000</f>
        <v/>
      </c>
      <c r="F20" s="74">
        <f>B20/30.48</f>
        <v/>
      </c>
      <c r="G20" s="74">
        <f>D20/30.48</f>
        <v/>
      </c>
      <c r="H20" s="615" t="n"/>
      <c r="I20" s="84" t="inlineStr">
        <is>
          <t>OLD</t>
        </is>
      </c>
      <c r="J20" s="48" t="n"/>
      <c r="K20" s="51" t="n"/>
      <c r="L20" s="87" t="inlineStr">
        <is>
          <t>VR</t>
        </is>
      </c>
      <c r="M20" s="270" t="n"/>
      <c r="P20" s="280" t="n"/>
    </row>
    <row r="21" ht="17.25" customHeight="1" s="305">
      <c r="A21" s="8" t="inlineStr">
        <is>
          <t>D 111</t>
        </is>
      </c>
      <c r="B21" s="5" t="n">
        <v>94</v>
      </c>
      <c r="C21" s="72" t="inlineStr">
        <is>
          <t>X</t>
        </is>
      </c>
      <c r="D21" s="5" t="n">
        <v>54</v>
      </c>
      <c r="E21" s="73">
        <f>B21*D21/10000</f>
        <v/>
      </c>
      <c r="F21" s="74">
        <f>B21/30.48</f>
        <v/>
      </c>
      <c r="G21" s="74">
        <f>D21/30.48</f>
        <v/>
      </c>
      <c r="H21" s="615" t="n"/>
      <c r="I21" s="84" t="inlineStr">
        <is>
          <t>OLD</t>
        </is>
      </c>
      <c r="J21" s="48" t="n"/>
      <c r="K21" s="51" t="n"/>
      <c r="L21" s="87" t="inlineStr">
        <is>
          <t>VR</t>
        </is>
      </c>
      <c r="M21" s="270" t="n"/>
      <c r="P21" s="280" t="n"/>
    </row>
    <row r="22" ht="17.25" customHeight="1" s="305">
      <c r="A22" s="8" t="inlineStr">
        <is>
          <t>D 115</t>
        </is>
      </c>
      <c r="B22" s="5" t="n">
        <v>42</v>
      </c>
      <c r="C22" s="72" t="inlineStr">
        <is>
          <t>X</t>
        </is>
      </c>
      <c r="D22" s="5" t="n">
        <v>81</v>
      </c>
      <c r="E22" s="73">
        <f>B22*D22/10000</f>
        <v/>
      </c>
      <c r="F22" s="74">
        <f>B22/30.48</f>
        <v/>
      </c>
      <c r="G22" s="74">
        <f>D22/30.48</f>
        <v/>
      </c>
      <c r="H22" s="615" t="n"/>
      <c r="I22" s="84" t="inlineStr">
        <is>
          <t>OLD</t>
        </is>
      </c>
      <c r="J22" s="48" t="n"/>
      <c r="K22" s="51" t="n"/>
      <c r="L22" s="87" t="inlineStr">
        <is>
          <t>VR</t>
        </is>
      </c>
      <c r="M22" s="270" t="n"/>
      <c r="P22" s="280" t="n"/>
    </row>
    <row r="23" ht="17.25" customHeight="1" s="305">
      <c r="A23" s="8" t="inlineStr">
        <is>
          <t>D 122</t>
        </is>
      </c>
      <c r="B23" s="5" t="n">
        <v>49</v>
      </c>
      <c r="C23" s="72" t="inlineStr">
        <is>
          <t>X</t>
        </is>
      </c>
      <c r="D23" s="5" t="n">
        <v>87</v>
      </c>
      <c r="E23" s="73">
        <f>B23*D23/10000</f>
        <v/>
      </c>
      <c r="F23" s="74">
        <f>B23/30.48</f>
        <v/>
      </c>
      <c r="G23" s="74">
        <f>D23/30.48</f>
        <v/>
      </c>
      <c r="H23" s="615" t="n"/>
      <c r="I23" s="84" t="inlineStr">
        <is>
          <t>OLD</t>
        </is>
      </c>
      <c r="J23" s="48" t="n"/>
      <c r="K23" s="51" t="n"/>
      <c r="L23" s="87" t="inlineStr">
        <is>
          <t>VR</t>
        </is>
      </c>
      <c r="M23" s="270" t="n"/>
      <c r="P23" s="280" t="n"/>
    </row>
    <row r="24" ht="17.25" customHeight="1" s="305">
      <c r="A24" s="8" t="inlineStr">
        <is>
          <t>D 130</t>
        </is>
      </c>
      <c r="B24" s="5" t="n">
        <v>42</v>
      </c>
      <c r="C24" s="72" t="inlineStr">
        <is>
          <t>X</t>
        </is>
      </c>
      <c r="D24" s="5" t="n">
        <v>80</v>
      </c>
      <c r="E24" s="73">
        <f>B24*D24/10000</f>
        <v/>
      </c>
      <c r="F24" s="74">
        <f>B24/30.48</f>
        <v/>
      </c>
      <c r="G24" s="74">
        <f>D24/30.48</f>
        <v/>
      </c>
      <c r="H24" s="615" t="n"/>
      <c r="I24" s="84" t="inlineStr">
        <is>
          <t>OLD</t>
        </is>
      </c>
      <c r="J24" s="48" t="n"/>
      <c r="K24" s="51" t="n"/>
      <c r="L24" s="87" t="inlineStr">
        <is>
          <t>VR</t>
        </is>
      </c>
      <c r="M24" s="270" t="n"/>
      <c r="P24" s="280" t="n"/>
    </row>
    <row r="25" ht="17.25" customHeight="1" s="305">
      <c r="A25" s="8" t="inlineStr">
        <is>
          <t>D 137</t>
        </is>
      </c>
      <c r="B25" s="5" t="n">
        <v>51</v>
      </c>
      <c r="C25" s="72" t="inlineStr">
        <is>
          <t>X</t>
        </is>
      </c>
      <c r="D25" s="5" t="n">
        <v>94</v>
      </c>
      <c r="E25" s="73">
        <f>B25*D25/10000</f>
        <v/>
      </c>
      <c r="F25" s="74">
        <f>B25/30.48</f>
        <v/>
      </c>
      <c r="G25" s="74">
        <f>D25/30.48</f>
        <v/>
      </c>
      <c r="H25" s="615" t="n"/>
      <c r="I25" s="84" t="inlineStr">
        <is>
          <t>OLD</t>
        </is>
      </c>
      <c r="J25" s="48" t="n"/>
      <c r="K25" s="51" t="n"/>
      <c r="L25" s="87" t="inlineStr">
        <is>
          <t>VR</t>
        </is>
      </c>
      <c r="M25" s="270" t="n"/>
      <c r="P25" s="280" t="n"/>
    </row>
    <row r="26" ht="17.25" customHeight="1" s="305">
      <c r="A26" s="8" t="inlineStr">
        <is>
          <t>D 139</t>
        </is>
      </c>
      <c r="B26" s="5" t="n">
        <v>49</v>
      </c>
      <c r="C26" s="72" t="inlineStr">
        <is>
          <t>X</t>
        </is>
      </c>
      <c r="D26" s="5" t="n">
        <v>104</v>
      </c>
      <c r="E26" s="73">
        <f>B26*D26/10000</f>
        <v/>
      </c>
      <c r="F26" s="74">
        <f>B26/30.48</f>
        <v/>
      </c>
      <c r="G26" s="74">
        <f>D26/30.48</f>
        <v/>
      </c>
      <c r="H26" s="615" t="n"/>
      <c r="I26" s="84" t="inlineStr">
        <is>
          <t>OLD</t>
        </is>
      </c>
      <c r="J26" s="48" t="n"/>
      <c r="K26" s="51" t="n"/>
      <c r="L26" s="87" t="inlineStr">
        <is>
          <t>VR</t>
        </is>
      </c>
      <c r="M26" s="270" t="n"/>
      <c r="P26" s="280" t="n"/>
    </row>
    <row r="27" ht="17.25" customHeight="1" s="305">
      <c r="A27" s="8" t="inlineStr">
        <is>
          <t>D 143</t>
        </is>
      </c>
      <c r="B27" s="5" t="n">
        <v>47</v>
      </c>
      <c r="C27" s="72" t="inlineStr">
        <is>
          <t>X</t>
        </is>
      </c>
      <c r="D27" s="5" t="n">
        <v>75</v>
      </c>
      <c r="E27" s="73">
        <f>B27*D27/10000</f>
        <v/>
      </c>
      <c r="F27" s="74">
        <f>B27/30.48</f>
        <v/>
      </c>
      <c r="G27" s="74">
        <f>D27/30.48</f>
        <v/>
      </c>
      <c r="H27" s="615" t="n"/>
      <c r="I27" s="84" t="inlineStr">
        <is>
          <t>OLD</t>
        </is>
      </c>
      <c r="J27" s="48" t="n"/>
      <c r="K27" s="51" t="n"/>
      <c r="L27" s="87" t="inlineStr">
        <is>
          <t>VR</t>
        </is>
      </c>
      <c r="M27" s="270" t="n"/>
      <c r="P27" s="280" t="n"/>
    </row>
    <row r="28" ht="17.25" customHeight="1" s="305">
      <c r="A28" s="8" t="inlineStr">
        <is>
          <t>D 146</t>
        </is>
      </c>
      <c r="B28" s="5" t="n">
        <v>50</v>
      </c>
      <c r="C28" s="72" t="inlineStr">
        <is>
          <t>X</t>
        </is>
      </c>
      <c r="D28" s="5" t="n">
        <v>97</v>
      </c>
      <c r="E28" s="73">
        <f>B28*D28/10000</f>
        <v/>
      </c>
      <c r="F28" s="74">
        <f>B28/30.48</f>
        <v/>
      </c>
      <c r="G28" s="74">
        <f>D28/30.48</f>
        <v/>
      </c>
      <c r="H28" s="615" t="n"/>
      <c r="I28" s="84" t="inlineStr">
        <is>
          <t>OLD</t>
        </is>
      </c>
      <c r="J28" s="48" t="n"/>
      <c r="K28" s="51" t="n"/>
      <c r="L28" s="87" t="inlineStr">
        <is>
          <t>VR</t>
        </is>
      </c>
      <c r="M28" s="270" t="n"/>
      <c r="P28" s="280" t="n"/>
    </row>
    <row r="29" ht="17.25" customHeight="1" s="305">
      <c r="A29" s="8" t="inlineStr">
        <is>
          <t>D 163</t>
        </is>
      </c>
      <c r="B29" s="5" t="n">
        <v>50</v>
      </c>
      <c r="C29" s="72" t="inlineStr">
        <is>
          <t>X</t>
        </is>
      </c>
      <c r="D29" s="5" t="n">
        <v>99</v>
      </c>
      <c r="E29" s="73">
        <f>B29*D29/10000</f>
        <v/>
      </c>
      <c r="F29" s="74">
        <f>B29/30.48</f>
        <v/>
      </c>
      <c r="G29" s="74">
        <f>D29/30.48</f>
        <v/>
      </c>
      <c r="H29" s="615" t="n"/>
      <c r="I29" s="84" t="inlineStr">
        <is>
          <t>OLD</t>
        </is>
      </c>
      <c r="J29" s="48" t="n"/>
      <c r="K29" s="51" t="n"/>
      <c r="L29" s="87" t="inlineStr">
        <is>
          <t>VR</t>
        </is>
      </c>
      <c r="M29" s="270" t="n"/>
      <c r="P29" s="280" t="n"/>
    </row>
    <row r="30" ht="17.25" customHeight="1" s="305">
      <c r="A30" s="8" t="inlineStr">
        <is>
          <t>D 173</t>
        </is>
      </c>
      <c r="B30" s="5" t="n">
        <v>53</v>
      </c>
      <c r="C30" s="72" t="inlineStr">
        <is>
          <t>X</t>
        </is>
      </c>
      <c r="D30" s="5" t="n">
        <v>88</v>
      </c>
      <c r="E30" s="73">
        <f>B30*D30/10000</f>
        <v/>
      </c>
      <c r="F30" s="74">
        <f>B30/30.48</f>
        <v/>
      </c>
      <c r="G30" s="74">
        <f>D30/30.48</f>
        <v/>
      </c>
      <c r="H30" s="615" t="n"/>
      <c r="I30" s="84" t="inlineStr">
        <is>
          <t xml:space="preserve">OLD </t>
        </is>
      </c>
      <c r="J30" s="48" t="n"/>
      <c r="K30" s="51" t="n"/>
      <c r="L30" s="87" t="inlineStr">
        <is>
          <t>VR</t>
        </is>
      </c>
      <c r="M30" s="270" t="n"/>
      <c r="P30" s="280" t="n"/>
    </row>
    <row r="31" ht="17.25" customHeight="1" s="305">
      <c r="A31" s="8" t="inlineStr">
        <is>
          <t>D 177</t>
        </is>
      </c>
      <c r="B31" s="5" t="n">
        <v>51</v>
      </c>
      <c r="C31" s="72" t="inlineStr">
        <is>
          <t>X</t>
        </is>
      </c>
      <c r="D31" s="5" t="n">
        <v>93</v>
      </c>
      <c r="E31" s="73">
        <f>B31*D31/10000</f>
        <v/>
      </c>
      <c r="F31" s="74">
        <f>B31/30.48</f>
        <v/>
      </c>
      <c r="G31" s="74">
        <f>D31/30.48</f>
        <v/>
      </c>
      <c r="H31" s="615" t="n"/>
      <c r="I31" s="84" t="inlineStr">
        <is>
          <t xml:space="preserve">OLD </t>
        </is>
      </c>
      <c r="J31" s="48" t="n"/>
      <c r="K31" s="51" t="n"/>
      <c r="L31" s="87" t="inlineStr">
        <is>
          <t>VR</t>
        </is>
      </c>
      <c r="M31" s="270" t="n"/>
      <c r="P31" s="280" t="n"/>
    </row>
    <row r="32" ht="17.25" customHeight="1" s="305">
      <c r="A32" s="8" t="inlineStr">
        <is>
          <t>D 186</t>
        </is>
      </c>
      <c r="B32" s="5" t="n">
        <v>52</v>
      </c>
      <c r="C32" s="72" t="inlineStr">
        <is>
          <t>X</t>
        </is>
      </c>
      <c r="D32" s="5" t="n">
        <v>94</v>
      </c>
      <c r="E32" s="73">
        <f>B32*D32/10000</f>
        <v/>
      </c>
      <c r="F32" s="74">
        <f>B32/30.48</f>
        <v/>
      </c>
      <c r="G32" s="74">
        <f>D32/30.48</f>
        <v/>
      </c>
      <c r="H32" s="615" t="n"/>
      <c r="I32" s="84" t="inlineStr">
        <is>
          <t xml:space="preserve">OLD </t>
        </is>
      </c>
      <c r="J32" s="48" t="n"/>
      <c r="K32" s="51" t="n"/>
      <c r="L32" s="87" t="inlineStr">
        <is>
          <t>VR</t>
        </is>
      </c>
      <c r="M32" s="270" t="n"/>
      <c r="P32" s="280" t="n"/>
    </row>
    <row r="33" ht="17.25" customHeight="1" s="305">
      <c r="A33" s="8" t="inlineStr">
        <is>
          <t>D 187</t>
        </is>
      </c>
      <c r="B33" s="5" t="n">
        <v>49</v>
      </c>
      <c r="C33" s="72" t="inlineStr">
        <is>
          <t>X</t>
        </is>
      </c>
      <c r="D33" s="5" t="n">
        <v>59</v>
      </c>
      <c r="E33" s="73">
        <f>B33*D33/10000</f>
        <v/>
      </c>
      <c r="F33" s="74">
        <f>B33/30.48</f>
        <v/>
      </c>
      <c r="G33" s="74">
        <f>D33/30.48</f>
        <v/>
      </c>
      <c r="H33" s="615" t="n"/>
      <c r="I33" s="84" t="n"/>
      <c r="J33" s="48" t="n"/>
      <c r="K33" s="51" t="n"/>
      <c r="L33" s="87" t="n"/>
      <c r="M33" s="270" t="n"/>
      <c r="P33" s="280" t="n"/>
    </row>
    <row r="34" ht="17.25" customHeight="1" s="305">
      <c r="A34" s="8" t="inlineStr">
        <is>
          <t>D 191</t>
        </is>
      </c>
      <c r="B34" s="5" t="n">
        <v>51</v>
      </c>
      <c r="C34" s="72" t="inlineStr">
        <is>
          <t>X</t>
        </is>
      </c>
      <c r="D34" s="5" t="n">
        <v>96</v>
      </c>
      <c r="E34" s="73">
        <f>B34*D34/10000</f>
        <v/>
      </c>
      <c r="F34" s="74">
        <f>B34/30.48</f>
        <v/>
      </c>
      <c r="G34" s="74">
        <f>D34/30.48</f>
        <v/>
      </c>
      <c r="H34" s="615" t="n"/>
      <c r="I34" s="84" t="inlineStr">
        <is>
          <t xml:space="preserve">OLD </t>
        </is>
      </c>
      <c r="J34" s="48" t="n"/>
      <c r="K34" s="51" t="n"/>
      <c r="L34" s="87" t="inlineStr">
        <is>
          <t>VR</t>
        </is>
      </c>
      <c r="M34" s="270" t="n"/>
      <c r="P34" s="280" t="n"/>
    </row>
    <row r="35" ht="17.25" customHeight="1" s="305">
      <c r="A35" s="8" t="inlineStr">
        <is>
          <t>D 192</t>
        </is>
      </c>
      <c r="B35" s="5" t="n">
        <v>53</v>
      </c>
      <c r="C35" s="72" t="inlineStr">
        <is>
          <t>X</t>
        </is>
      </c>
      <c r="D35" s="5" t="n">
        <v>100</v>
      </c>
      <c r="E35" s="73">
        <f>B35*D35/10000</f>
        <v/>
      </c>
      <c r="F35" s="74">
        <f>B35/30.48</f>
        <v/>
      </c>
      <c r="G35" s="74">
        <f>D35/30.48</f>
        <v/>
      </c>
      <c r="H35" s="615" t="n"/>
      <c r="I35" s="84" t="inlineStr">
        <is>
          <t xml:space="preserve">OLD </t>
        </is>
      </c>
      <c r="J35" s="48" t="n"/>
      <c r="K35" s="51" t="n"/>
      <c r="L35" s="87" t="inlineStr">
        <is>
          <t>VR</t>
        </is>
      </c>
      <c r="M35" s="270" t="n"/>
      <c r="P35" s="280" t="n"/>
    </row>
    <row r="36" ht="17.25" customHeight="1" s="305">
      <c r="A36" s="8" t="inlineStr">
        <is>
          <t>D 197</t>
        </is>
      </c>
      <c r="B36" s="5" t="n">
        <v>47</v>
      </c>
      <c r="C36" s="72" t="inlineStr">
        <is>
          <t>X</t>
        </is>
      </c>
      <c r="D36" s="5" t="n">
        <v>102</v>
      </c>
      <c r="E36" s="73">
        <f>B36*D36/10000</f>
        <v/>
      </c>
      <c r="F36" s="74">
        <f>B36/30.48</f>
        <v/>
      </c>
      <c r="G36" s="74">
        <f>D36/30.48</f>
        <v/>
      </c>
      <c r="H36" s="615" t="n"/>
      <c r="I36" s="84" t="inlineStr">
        <is>
          <t xml:space="preserve">OLD </t>
        </is>
      </c>
      <c r="J36" s="48" t="n"/>
      <c r="K36" s="51" t="n"/>
      <c r="L36" s="87" t="inlineStr">
        <is>
          <t>VR</t>
        </is>
      </c>
      <c r="M36" s="270" t="n"/>
      <c r="P36" s="280" t="n"/>
    </row>
    <row r="37" ht="17.25" customHeight="1" s="305">
      <c r="A37" s="8" t="inlineStr">
        <is>
          <t>D 203</t>
        </is>
      </c>
      <c r="B37" s="5" t="n">
        <v>66</v>
      </c>
      <c r="C37" s="72" t="inlineStr">
        <is>
          <t>X</t>
        </is>
      </c>
      <c r="D37" s="5" t="n">
        <v>76</v>
      </c>
      <c r="E37" s="73">
        <f>B37*D37/10000</f>
        <v/>
      </c>
      <c r="F37" s="74">
        <f>B37/30.48</f>
        <v/>
      </c>
      <c r="G37" s="74">
        <f>D37/30.48</f>
        <v/>
      </c>
      <c r="H37" s="615" t="n"/>
      <c r="I37" s="84" t="inlineStr">
        <is>
          <t xml:space="preserve">OLD </t>
        </is>
      </c>
      <c r="J37" s="48" t="n"/>
      <c r="K37" s="51" t="n"/>
      <c r="L37" s="87" t="n"/>
      <c r="M37" s="270" t="n"/>
      <c r="P37" s="280" t="n"/>
    </row>
    <row r="38" ht="17.25" customHeight="1" s="305">
      <c r="A38" s="8" t="inlineStr">
        <is>
          <t>D 204</t>
        </is>
      </c>
      <c r="B38" s="5" t="n">
        <v>51</v>
      </c>
      <c r="C38" s="72" t="inlineStr">
        <is>
          <t>X</t>
        </is>
      </c>
      <c r="D38" s="5" t="n">
        <v>93</v>
      </c>
      <c r="E38" s="73">
        <f>B38*D38/10000</f>
        <v/>
      </c>
      <c r="F38" s="74">
        <f>B38/30.48</f>
        <v/>
      </c>
      <c r="G38" s="74">
        <f>D38/30.48</f>
        <v/>
      </c>
      <c r="H38" s="615" t="n"/>
      <c r="I38" s="84" t="inlineStr">
        <is>
          <t xml:space="preserve">OLD </t>
        </is>
      </c>
      <c r="J38" s="48" t="n"/>
      <c r="K38" s="51" t="n"/>
      <c r="L38" s="87" t="inlineStr">
        <is>
          <t>VR</t>
        </is>
      </c>
      <c r="M38" s="270" t="n"/>
      <c r="P38" s="280" t="n"/>
    </row>
    <row r="39" ht="17.25" customHeight="1" s="305">
      <c r="A39" s="8" t="inlineStr">
        <is>
          <t>D 205</t>
        </is>
      </c>
      <c r="B39" s="5" t="n">
        <v>53</v>
      </c>
      <c r="C39" s="72" t="inlineStr">
        <is>
          <t>X</t>
        </is>
      </c>
      <c r="D39" s="5" t="n">
        <v>95</v>
      </c>
      <c r="E39" s="73">
        <f>B39*D39/10000</f>
        <v/>
      </c>
      <c r="F39" s="74">
        <f>B39/30.48</f>
        <v/>
      </c>
      <c r="G39" s="74">
        <f>D39/30.48</f>
        <v/>
      </c>
      <c r="H39" s="615" t="n"/>
      <c r="I39" s="84" t="inlineStr">
        <is>
          <t xml:space="preserve">OLD </t>
        </is>
      </c>
      <c r="J39" s="48" t="n"/>
      <c r="K39" s="51" t="n"/>
      <c r="L39" s="87" t="inlineStr">
        <is>
          <t>VR</t>
        </is>
      </c>
      <c r="M39" s="270" t="n"/>
      <c r="P39" s="280" t="n"/>
    </row>
    <row r="40" ht="17.25" customHeight="1" s="305">
      <c r="A40" s="8" t="inlineStr">
        <is>
          <t>D 214</t>
        </is>
      </c>
      <c r="B40" s="5" t="n">
        <v>53</v>
      </c>
      <c r="C40" s="72" t="inlineStr">
        <is>
          <t>X</t>
        </is>
      </c>
      <c r="D40" s="5" t="n">
        <v>93</v>
      </c>
      <c r="E40" s="73">
        <f>B40*D40/10000</f>
        <v/>
      </c>
      <c r="F40" s="74">
        <f>B40/30.48</f>
        <v/>
      </c>
      <c r="G40" s="74">
        <f>D40/30.48</f>
        <v/>
      </c>
      <c r="H40" s="615" t="n"/>
      <c r="I40" s="84" t="inlineStr">
        <is>
          <t xml:space="preserve">OLD </t>
        </is>
      </c>
      <c r="J40" s="48" t="n"/>
      <c r="K40" s="51" t="n"/>
      <c r="L40" s="87" t="inlineStr">
        <is>
          <t>VR</t>
        </is>
      </c>
      <c r="M40" s="270" t="n"/>
      <c r="P40" s="280" t="n"/>
    </row>
    <row r="41" ht="17.25" customHeight="1" s="305">
      <c r="A41" s="8" t="inlineStr">
        <is>
          <t>D 215</t>
        </is>
      </c>
      <c r="B41" s="5" t="n">
        <v>51</v>
      </c>
      <c r="C41" s="72" t="inlineStr">
        <is>
          <t>X</t>
        </is>
      </c>
      <c r="D41" s="5" t="n">
        <v>97</v>
      </c>
      <c r="E41" s="73">
        <f>B41*D41/10000</f>
        <v/>
      </c>
      <c r="F41" s="74">
        <f>B41/30.48</f>
        <v/>
      </c>
      <c r="G41" s="74">
        <f>D41/30.48</f>
        <v/>
      </c>
      <c r="H41" s="615" t="n"/>
      <c r="I41" s="84" t="inlineStr">
        <is>
          <t xml:space="preserve">OLD </t>
        </is>
      </c>
      <c r="J41" s="48" t="n"/>
      <c r="K41" s="51" t="n"/>
      <c r="L41" s="87" t="inlineStr">
        <is>
          <t>VR</t>
        </is>
      </c>
      <c r="M41" s="270" t="n"/>
      <c r="P41" s="280" t="n"/>
    </row>
    <row r="42" ht="17.25" customHeight="1" s="305">
      <c r="A42" s="8" t="inlineStr">
        <is>
          <t>D 221</t>
        </is>
      </c>
      <c r="B42" s="5" t="n">
        <v>50</v>
      </c>
      <c r="C42" s="72" t="inlineStr">
        <is>
          <t>X</t>
        </is>
      </c>
      <c r="D42" s="5" t="n">
        <v>96</v>
      </c>
      <c r="E42" s="73">
        <f>B42*D42/10000</f>
        <v/>
      </c>
      <c r="F42" s="74">
        <f>B42/30.48</f>
        <v/>
      </c>
      <c r="G42" s="74">
        <f>D42/30.48</f>
        <v/>
      </c>
      <c r="H42" s="615" t="n"/>
      <c r="I42" s="84" t="inlineStr">
        <is>
          <t xml:space="preserve">OLD </t>
        </is>
      </c>
      <c r="J42" s="48" t="n"/>
      <c r="K42" s="51" t="n"/>
      <c r="L42" s="87" t="inlineStr">
        <is>
          <t>VR</t>
        </is>
      </c>
      <c r="M42" s="270" t="n"/>
      <c r="P42" s="280" t="n"/>
    </row>
    <row r="43" ht="17.25" customHeight="1" s="305">
      <c r="A43" s="8" t="inlineStr">
        <is>
          <t>D 226</t>
        </is>
      </c>
      <c r="B43" s="5" t="n">
        <v>47</v>
      </c>
      <c r="C43" s="72" t="inlineStr">
        <is>
          <t>X</t>
        </is>
      </c>
      <c r="D43" s="5" t="n">
        <v>92</v>
      </c>
      <c r="E43" s="73">
        <f>B43*D43/10000</f>
        <v/>
      </c>
      <c r="F43" s="74">
        <f>B43/30.48</f>
        <v/>
      </c>
      <c r="G43" s="74">
        <f>D43/30.48</f>
        <v/>
      </c>
      <c r="H43" s="615" t="n"/>
      <c r="I43" s="84" t="inlineStr">
        <is>
          <t>OLD</t>
        </is>
      </c>
      <c r="J43" s="48" t="n"/>
      <c r="K43" s="51" t="n"/>
      <c r="L43" s="87" t="inlineStr">
        <is>
          <t>VR</t>
        </is>
      </c>
      <c r="M43" s="270" t="n"/>
      <c r="P43" s="280" t="n"/>
    </row>
    <row r="44" ht="17.25" customHeight="1" s="305">
      <c r="A44" s="8" t="inlineStr">
        <is>
          <t>D 227</t>
        </is>
      </c>
      <c r="B44" s="5" t="n">
        <v>43</v>
      </c>
      <c r="C44" s="72" t="inlineStr">
        <is>
          <t>X</t>
        </is>
      </c>
      <c r="D44" s="5" t="n">
        <v>92</v>
      </c>
      <c r="E44" s="73">
        <f>B44*D44/10000</f>
        <v/>
      </c>
      <c r="F44" s="74">
        <f>B44/30.48</f>
        <v/>
      </c>
      <c r="G44" s="74">
        <f>D44/30.48</f>
        <v/>
      </c>
      <c r="H44" s="615" t="n"/>
      <c r="I44" s="84" t="inlineStr">
        <is>
          <t>OLD</t>
        </is>
      </c>
      <c r="J44" s="48" t="n"/>
      <c r="K44" s="51" t="n"/>
      <c r="L44" s="87" t="inlineStr">
        <is>
          <t>VR</t>
        </is>
      </c>
      <c r="M44" s="270" t="n"/>
      <c r="P44" s="280" t="n"/>
    </row>
    <row r="45" ht="17.25" customHeight="1" s="305">
      <c r="A45" s="8" t="inlineStr">
        <is>
          <t>D 230</t>
        </is>
      </c>
      <c r="B45" s="5" t="n">
        <v>52</v>
      </c>
      <c r="C45" s="72" t="inlineStr">
        <is>
          <t>X</t>
        </is>
      </c>
      <c r="D45" s="5" t="n">
        <v>93</v>
      </c>
      <c r="E45" s="73">
        <f>B45*D45/10000</f>
        <v/>
      </c>
      <c r="F45" s="74">
        <f>B45/30.48</f>
        <v/>
      </c>
      <c r="G45" s="74">
        <f>D45/30.48</f>
        <v/>
      </c>
      <c r="H45" s="615" t="n"/>
      <c r="I45" s="84" t="inlineStr">
        <is>
          <t>OLD</t>
        </is>
      </c>
      <c r="J45" s="48" t="n"/>
      <c r="K45" s="51" t="n"/>
      <c r="L45" s="87" t="inlineStr">
        <is>
          <t>VR</t>
        </is>
      </c>
      <c r="M45" s="270" t="n"/>
      <c r="P45" s="280" t="n"/>
    </row>
    <row r="46" ht="17.25" customHeight="1" s="305">
      <c r="A46" s="8" t="inlineStr">
        <is>
          <t>D 233</t>
        </is>
      </c>
      <c r="B46" s="5" t="n">
        <v>49</v>
      </c>
      <c r="C46" s="72" t="inlineStr">
        <is>
          <t>X</t>
        </is>
      </c>
      <c r="D46" s="5" t="n">
        <v>90</v>
      </c>
      <c r="E46" s="73">
        <f>B46*D46/10000</f>
        <v/>
      </c>
      <c r="F46" s="74">
        <f>B46/30.48</f>
        <v/>
      </c>
      <c r="G46" s="74">
        <f>D46/30.48</f>
        <v/>
      </c>
      <c r="H46" s="615" t="n"/>
      <c r="I46" s="84" t="inlineStr">
        <is>
          <t>OLD</t>
        </is>
      </c>
      <c r="J46" s="48" t="n"/>
      <c r="K46" s="51" t="n"/>
      <c r="L46" s="87" t="inlineStr">
        <is>
          <t>VR</t>
        </is>
      </c>
      <c r="M46" s="270" t="n"/>
      <c r="P46" s="280" t="n"/>
    </row>
    <row r="47" ht="17.25" customHeight="1" s="305">
      <c r="A47" s="8" t="inlineStr">
        <is>
          <t>D 235</t>
        </is>
      </c>
      <c r="B47" s="5" t="n">
        <v>49</v>
      </c>
      <c r="C47" s="72" t="inlineStr">
        <is>
          <t>X</t>
        </is>
      </c>
      <c r="D47" s="5" t="n">
        <v>90</v>
      </c>
      <c r="E47" s="73">
        <f>B47*D47/10000</f>
        <v/>
      </c>
      <c r="F47" s="74">
        <f>B47/30.48</f>
        <v/>
      </c>
      <c r="G47" s="74">
        <f>D47/30.48</f>
        <v/>
      </c>
      <c r="H47" s="615" t="n"/>
      <c r="I47" s="84" t="inlineStr">
        <is>
          <t>OLD</t>
        </is>
      </c>
      <c r="J47" s="48" t="n"/>
      <c r="K47" s="51" t="n"/>
      <c r="L47" s="87" t="inlineStr">
        <is>
          <t>VR</t>
        </is>
      </c>
      <c r="M47" s="270" t="n"/>
      <c r="P47" s="280" t="n"/>
    </row>
    <row r="48" ht="17.25" customHeight="1" s="305">
      <c r="A48" s="8" t="inlineStr">
        <is>
          <t>D 238</t>
        </is>
      </c>
      <c r="B48" s="5" t="n">
        <v>51</v>
      </c>
      <c r="C48" s="72" t="inlineStr">
        <is>
          <t>X</t>
        </is>
      </c>
      <c r="D48" s="5" t="n">
        <v>90</v>
      </c>
      <c r="E48" s="73">
        <f>B48*D48/10000</f>
        <v/>
      </c>
      <c r="F48" s="74">
        <f>B48/30.48</f>
        <v/>
      </c>
      <c r="G48" s="74">
        <f>D48/30.48</f>
        <v/>
      </c>
      <c r="H48" s="615" t="n"/>
      <c r="I48" s="84" t="inlineStr">
        <is>
          <t>OLD</t>
        </is>
      </c>
      <c r="J48" s="48" t="n"/>
      <c r="K48" s="51" t="n"/>
      <c r="L48" s="87" t="inlineStr">
        <is>
          <t>VR</t>
        </is>
      </c>
      <c r="M48" s="270" t="n"/>
      <c r="P48" s="280" t="n"/>
    </row>
    <row r="49" ht="17.25" customHeight="1" s="305">
      <c r="A49" s="8" t="inlineStr">
        <is>
          <t>D 240</t>
        </is>
      </c>
      <c r="B49" s="5" t="n">
        <v>50</v>
      </c>
      <c r="C49" s="72" t="inlineStr">
        <is>
          <t>X</t>
        </is>
      </c>
      <c r="D49" s="5" t="n">
        <v>88</v>
      </c>
      <c r="E49" s="73">
        <f>B49*D49/10000</f>
        <v/>
      </c>
      <c r="F49" s="74">
        <f>B49/30.48</f>
        <v/>
      </c>
      <c r="G49" s="74">
        <f>D49/30.48</f>
        <v/>
      </c>
      <c r="H49" s="615" t="n"/>
      <c r="I49" s="84" t="inlineStr">
        <is>
          <t>OLD</t>
        </is>
      </c>
      <c r="J49" s="48" t="n"/>
      <c r="K49" s="51" t="n"/>
      <c r="L49" s="87" t="inlineStr">
        <is>
          <t>VR</t>
        </is>
      </c>
      <c r="M49" s="270" t="n"/>
      <c r="P49" s="280" t="n"/>
    </row>
    <row r="50" ht="17.25" customHeight="1" s="305">
      <c r="A50" s="8" t="inlineStr">
        <is>
          <t>D 245</t>
        </is>
      </c>
      <c r="B50" s="5" t="n">
        <v>41</v>
      </c>
      <c r="C50" s="72" t="inlineStr">
        <is>
          <t>X</t>
        </is>
      </c>
      <c r="D50" s="5" t="n">
        <v>94</v>
      </c>
      <c r="E50" s="73">
        <f>B50*D50/10000</f>
        <v/>
      </c>
      <c r="F50" s="74">
        <f>B50/30.48</f>
        <v/>
      </c>
      <c r="G50" s="74">
        <f>D50/30.48</f>
        <v/>
      </c>
      <c r="H50" s="615" t="n"/>
      <c r="I50" s="84" t="inlineStr">
        <is>
          <t>OLD</t>
        </is>
      </c>
      <c r="J50" s="48" t="n"/>
      <c r="K50" s="51" t="n"/>
      <c r="L50" s="87" t="inlineStr">
        <is>
          <t>VR</t>
        </is>
      </c>
      <c r="M50" s="270" t="n"/>
      <c r="P50" s="280" t="n"/>
    </row>
    <row r="51" ht="17.25" customHeight="1" s="305">
      <c r="A51" s="8" t="inlineStr">
        <is>
          <t>D 257</t>
        </is>
      </c>
      <c r="B51" s="5" t="n">
        <v>48</v>
      </c>
      <c r="C51" s="72" t="inlineStr">
        <is>
          <t>X</t>
        </is>
      </c>
      <c r="D51" s="5" t="n">
        <v>85</v>
      </c>
      <c r="E51" s="73">
        <f>B51*D51/10000</f>
        <v/>
      </c>
      <c r="F51" s="74">
        <f>B51/30.48</f>
        <v/>
      </c>
      <c r="G51" s="74">
        <f>D51/30.48</f>
        <v/>
      </c>
      <c r="H51" s="615" t="n"/>
      <c r="I51" s="84" t="inlineStr">
        <is>
          <t>OLD</t>
        </is>
      </c>
      <c r="J51" s="48" t="n"/>
      <c r="K51" s="51" t="n"/>
      <c r="L51" s="87" t="inlineStr">
        <is>
          <t>VR</t>
        </is>
      </c>
      <c r="M51" s="270" t="n"/>
      <c r="P51" s="280" t="n"/>
    </row>
    <row r="52" ht="17.25" customHeight="1" s="305">
      <c r="A52" s="8" t="inlineStr">
        <is>
          <t>D 258</t>
        </is>
      </c>
      <c r="B52" s="5" t="n">
        <v>43</v>
      </c>
      <c r="C52" s="72" t="inlineStr">
        <is>
          <t>X</t>
        </is>
      </c>
      <c r="D52" s="5" t="n">
        <v>91</v>
      </c>
      <c r="E52" s="73">
        <f>B52*D52/10000</f>
        <v/>
      </c>
      <c r="F52" s="74">
        <f>B52/30.48</f>
        <v/>
      </c>
      <c r="G52" s="74">
        <f>D52/30.48</f>
        <v/>
      </c>
      <c r="H52" s="615" t="n"/>
      <c r="I52" s="84" t="inlineStr">
        <is>
          <t>OLD</t>
        </is>
      </c>
      <c r="J52" s="48" t="n"/>
      <c r="K52" s="51" t="n"/>
      <c r="L52" s="87" t="inlineStr">
        <is>
          <t>VR</t>
        </is>
      </c>
      <c r="M52" s="270" t="n"/>
      <c r="P52" s="280" t="n"/>
    </row>
    <row r="53" ht="17.25" customHeight="1" s="305">
      <c r="A53" s="8" t="inlineStr">
        <is>
          <t>D 260</t>
        </is>
      </c>
      <c r="B53" s="5" t="n">
        <v>51</v>
      </c>
      <c r="C53" s="72" t="inlineStr">
        <is>
          <t>X</t>
        </is>
      </c>
      <c r="D53" s="5" t="n">
        <v>104</v>
      </c>
      <c r="E53" s="73">
        <f>B53*D53/10000</f>
        <v/>
      </c>
      <c r="F53" s="74">
        <f>B53/30.48</f>
        <v/>
      </c>
      <c r="G53" s="74">
        <f>D53/30.48</f>
        <v/>
      </c>
      <c r="H53" s="615" t="n"/>
      <c r="I53" s="84" t="inlineStr">
        <is>
          <t>OLD</t>
        </is>
      </c>
      <c r="J53" s="48" t="n"/>
      <c r="K53" s="51" t="n"/>
      <c r="L53" s="87" t="inlineStr">
        <is>
          <t>VR</t>
        </is>
      </c>
      <c r="M53" s="270" t="n"/>
      <c r="P53" s="280" t="n"/>
    </row>
    <row r="54">
      <c r="H54" s="615" t="n"/>
      <c r="I54" s="84" t="inlineStr">
        <is>
          <t>OLD</t>
        </is>
      </c>
      <c r="J54" s="48" t="n"/>
      <c r="K54" s="51" t="n"/>
      <c r="L54" s="87" t="inlineStr">
        <is>
          <t>VR</t>
        </is>
      </c>
      <c r="M54" s="270" t="n"/>
      <c r="P54" s="280" t="n"/>
    </row>
    <row r="55" ht="17.25" customHeight="1" s="305">
      <c r="A55" s="8" t="inlineStr">
        <is>
          <t>D 264</t>
        </is>
      </c>
      <c r="B55" s="5" t="n">
        <v>49</v>
      </c>
      <c r="C55" s="72" t="inlineStr">
        <is>
          <t>X</t>
        </is>
      </c>
      <c r="D55" s="5" t="n">
        <v>85</v>
      </c>
      <c r="E55" s="73">
        <f>B55*D55/10000</f>
        <v/>
      </c>
      <c r="F55" s="74">
        <f>B55/30.48</f>
        <v/>
      </c>
      <c r="G55" s="74">
        <f>D55/30.48</f>
        <v/>
      </c>
      <c r="H55" s="615" t="n"/>
      <c r="I55" s="84" t="inlineStr">
        <is>
          <t>OLD</t>
        </is>
      </c>
      <c r="J55" s="48" t="n"/>
      <c r="K55" s="51" t="n"/>
      <c r="L55" s="87" t="inlineStr">
        <is>
          <t>VR</t>
        </is>
      </c>
      <c r="M55" s="270" t="n"/>
      <c r="P55" s="280" t="n"/>
    </row>
    <row r="56" ht="17.25" customHeight="1" s="305">
      <c r="A56" s="8" t="inlineStr">
        <is>
          <t>D 265</t>
        </is>
      </c>
      <c r="B56" s="5" t="n">
        <v>46</v>
      </c>
      <c r="C56" s="72" t="inlineStr">
        <is>
          <t>X</t>
        </is>
      </c>
      <c r="D56" s="5" t="n">
        <v>81</v>
      </c>
      <c r="E56" s="73">
        <f>B56*D56/10000</f>
        <v/>
      </c>
      <c r="F56" s="74">
        <f>B56/30.48</f>
        <v/>
      </c>
      <c r="G56" s="74">
        <f>D56/30.48</f>
        <v/>
      </c>
      <c r="H56" s="615" t="n"/>
      <c r="I56" s="84" t="inlineStr">
        <is>
          <t>OLD</t>
        </is>
      </c>
      <c r="J56" s="48" t="n"/>
      <c r="K56" s="51" t="n"/>
      <c r="L56" s="87" t="inlineStr">
        <is>
          <t>VR</t>
        </is>
      </c>
      <c r="M56" s="270" t="n"/>
      <c r="P56" s="280" t="n"/>
    </row>
    <row r="57" ht="17.25" customHeight="1" s="305">
      <c r="A57" s="8" t="inlineStr">
        <is>
          <t>D 267</t>
        </is>
      </c>
      <c r="B57" s="5" t="n">
        <v>49</v>
      </c>
      <c r="C57" s="72" t="inlineStr">
        <is>
          <t>X</t>
        </is>
      </c>
      <c r="D57" s="5" t="n">
        <v>94</v>
      </c>
      <c r="E57" s="73">
        <f>B57*D57/10000</f>
        <v/>
      </c>
      <c r="F57" s="74">
        <f>B57/30.48</f>
        <v/>
      </c>
      <c r="G57" s="74">
        <f>D57/30.48</f>
        <v/>
      </c>
      <c r="H57" s="615" t="n"/>
      <c r="I57" s="84" t="inlineStr">
        <is>
          <t>OLD</t>
        </is>
      </c>
      <c r="J57" s="48" t="n"/>
      <c r="K57" s="51" t="n"/>
      <c r="L57" s="87" t="inlineStr">
        <is>
          <t>VR</t>
        </is>
      </c>
      <c r="M57" s="270" t="n"/>
      <c r="P57" s="280" t="n"/>
    </row>
    <row r="58" ht="17.25" customHeight="1" s="305">
      <c r="A58" s="8" t="inlineStr">
        <is>
          <t>D 276</t>
        </is>
      </c>
      <c r="B58" s="5" t="n">
        <v>49</v>
      </c>
      <c r="C58" s="72" t="inlineStr">
        <is>
          <t>X</t>
        </is>
      </c>
      <c r="D58" s="5" t="n">
        <v>89</v>
      </c>
      <c r="E58" s="73">
        <f>B58*D58/10000</f>
        <v/>
      </c>
      <c r="F58" s="74">
        <f>B58/30.48</f>
        <v/>
      </c>
      <c r="G58" s="74">
        <f>D58/30.48</f>
        <v/>
      </c>
      <c r="H58" s="615" t="n"/>
      <c r="I58" s="84" t="inlineStr">
        <is>
          <t>OLD</t>
        </is>
      </c>
      <c r="J58" s="48" t="n"/>
      <c r="K58" s="51" t="n"/>
      <c r="L58" s="87" t="inlineStr">
        <is>
          <t>VR</t>
        </is>
      </c>
      <c r="M58" s="270" t="n"/>
      <c r="P58" s="280" t="n"/>
    </row>
    <row r="59" ht="17.25" customHeight="1" s="305">
      <c r="A59" s="8" t="inlineStr">
        <is>
          <t>D 280</t>
        </is>
      </c>
      <c r="B59" s="5" t="n">
        <v>46</v>
      </c>
      <c r="C59" s="72" t="inlineStr">
        <is>
          <t>X</t>
        </is>
      </c>
      <c r="D59" s="5" t="n">
        <v>103</v>
      </c>
      <c r="E59" s="73">
        <f>B59*D59/10000</f>
        <v/>
      </c>
      <c r="F59" s="74">
        <f>B59/30.48</f>
        <v/>
      </c>
      <c r="G59" s="74">
        <f>D59/30.48</f>
        <v/>
      </c>
      <c r="H59" s="615" t="n"/>
      <c r="I59" s="84" t="inlineStr">
        <is>
          <t>OLD</t>
        </is>
      </c>
      <c r="J59" s="48" t="n"/>
      <c r="K59" s="51" t="n"/>
      <c r="L59" s="87" t="inlineStr">
        <is>
          <t>VR</t>
        </is>
      </c>
      <c r="M59" s="270" t="n"/>
      <c r="P59" s="280" t="n"/>
    </row>
    <row r="60" ht="17.25" customHeight="1" s="305">
      <c r="A60" s="8" t="inlineStr">
        <is>
          <t>D 284</t>
        </is>
      </c>
      <c r="B60" s="5" t="n">
        <v>50</v>
      </c>
      <c r="C60" s="72" t="inlineStr">
        <is>
          <t>X</t>
        </is>
      </c>
      <c r="D60" s="5" t="n">
        <v>95</v>
      </c>
      <c r="E60" s="73">
        <f>B60*D60/10000</f>
        <v/>
      </c>
      <c r="F60" s="74">
        <f>B60/30.48</f>
        <v/>
      </c>
      <c r="G60" s="74">
        <f>D60/30.48</f>
        <v/>
      </c>
      <c r="H60" s="615" t="n"/>
      <c r="I60" s="84" t="inlineStr">
        <is>
          <t>OLD</t>
        </is>
      </c>
      <c r="J60" s="48" t="n"/>
      <c r="K60" s="51" t="n"/>
      <c r="L60" s="87" t="inlineStr">
        <is>
          <t>VR</t>
        </is>
      </c>
      <c r="M60" s="270" t="n"/>
      <c r="P60" s="280" t="n"/>
    </row>
    <row r="61" ht="17.25" customHeight="1" s="305">
      <c r="A61" s="8" t="inlineStr">
        <is>
          <t>D 290</t>
        </is>
      </c>
      <c r="B61" s="5" t="n">
        <v>54</v>
      </c>
      <c r="C61" s="72" t="inlineStr">
        <is>
          <t>X</t>
        </is>
      </c>
      <c r="D61" s="5" t="n">
        <v>100</v>
      </c>
      <c r="E61" s="73">
        <f>B61*D61/10000</f>
        <v/>
      </c>
      <c r="F61" s="74">
        <f>B61/30.48</f>
        <v/>
      </c>
      <c r="G61" s="74">
        <f>D61/30.48</f>
        <v/>
      </c>
      <c r="H61" s="615" t="n"/>
      <c r="I61" s="84" t="inlineStr">
        <is>
          <t>OLD</t>
        </is>
      </c>
      <c r="J61" s="48" t="n"/>
      <c r="K61" s="51" t="n"/>
      <c r="L61" s="87" t="inlineStr">
        <is>
          <t>VR</t>
        </is>
      </c>
      <c r="M61" s="270" t="n"/>
      <c r="P61" s="280" t="n"/>
    </row>
    <row r="62" ht="18" customHeight="1" s="305">
      <c r="A62" s="8" t="inlineStr">
        <is>
          <t>D 292</t>
        </is>
      </c>
      <c r="B62" s="5" t="n">
        <v>64</v>
      </c>
      <c r="C62" s="72" t="inlineStr">
        <is>
          <t>X</t>
        </is>
      </c>
      <c r="D62" s="5" t="n">
        <v>96</v>
      </c>
      <c r="E62" s="73">
        <f>B62*D62/10000</f>
        <v/>
      </c>
      <c r="F62" s="74">
        <f>B62/30.48</f>
        <v/>
      </c>
      <c r="G62" s="74">
        <f>D62/30.48</f>
        <v/>
      </c>
      <c r="H62" s="615" t="n"/>
      <c r="I62" s="84" t="inlineStr">
        <is>
          <t>OLD</t>
        </is>
      </c>
      <c r="J62" s="48" t="n"/>
      <c r="K62" s="51" t="n"/>
      <c r="L62" s="87" t="inlineStr">
        <is>
          <t>VR</t>
        </is>
      </c>
      <c r="M62" s="270" t="n"/>
      <c r="P62" s="280" t="n"/>
    </row>
    <row r="63" ht="18" customHeight="1" s="305">
      <c r="A63" s="8" t="n">
        <v>21</v>
      </c>
      <c r="B63" s="5" t="n">
        <v>46</v>
      </c>
      <c r="C63" s="72" t="inlineStr">
        <is>
          <t>X</t>
        </is>
      </c>
      <c r="D63" s="5" t="n">
        <v>84</v>
      </c>
      <c r="E63" s="73">
        <f>B63*D63/10000</f>
        <v/>
      </c>
      <c r="F63" s="74">
        <f>B63/30.48</f>
        <v/>
      </c>
      <c r="G63" s="74">
        <f>D63/30.48</f>
        <v/>
      </c>
      <c r="H63" s="615" t="n"/>
      <c r="I63" s="84" t="n"/>
      <c r="J63" s="48" t="n"/>
      <c r="K63" s="51" t="n"/>
      <c r="L63" s="87" t="inlineStr">
        <is>
          <t>VR</t>
        </is>
      </c>
      <c r="M63" s="270" t="n"/>
      <c r="P63" s="280" t="n"/>
    </row>
    <row r="64" ht="17.25" customHeight="1" s="305">
      <c r="A64" s="8" t="n">
        <v>221</v>
      </c>
      <c r="B64" s="5" t="n">
        <v>46</v>
      </c>
      <c r="C64" s="72" t="inlineStr">
        <is>
          <t>X</t>
        </is>
      </c>
      <c r="D64" s="5" t="n">
        <v>128</v>
      </c>
      <c r="E64" s="73">
        <f>B64*D64/10000</f>
        <v/>
      </c>
      <c r="F64" s="74">
        <f>B64/30.48</f>
        <v/>
      </c>
      <c r="G64" s="74">
        <f>D64/30.48</f>
        <v/>
      </c>
      <c r="H64" s="615" t="n"/>
      <c r="I64" s="84" t="n"/>
      <c r="J64" s="48" t="n"/>
      <c r="K64" s="51" t="n"/>
      <c r="L64" s="87" t="inlineStr">
        <is>
          <t>VR</t>
        </is>
      </c>
      <c r="M64" s="270" t="n"/>
      <c r="P64" s="280" t="n"/>
    </row>
    <row r="65" ht="17.25" customHeight="1" s="305">
      <c r="A65" s="8" t="n">
        <v>224</v>
      </c>
      <c r="B65" s="5" t="n">
        <v>56</v>
      </c>
      <c r="C65" s="72" t="inlineStr">
        <is>
          <t>X</t>
        </is>
      </c>
      <c r="D65" s="5" t="n">
        <v>85</v>
      </c>
      <c r="E65" s="73">
        <f>B65*D65/10000</f>
        <v/>
      </c>
      <c r="F65" s="74">
        <f>B65/30.48</f>
        <v/>
      </c>
      <c r="G65" s="74">
        <f>D65/30.48</f>
        <v/>
      </c>
      <c r="H65" s="615" t="n"/>
      <c r="I65" s="84" t="n"/>
      <c r="J65" s="48" t="n"/>
      <c r="K65" s="51" t="n"/>
      <c r="L65" s="87" t="inlineStr">
        <is>
          <t>VR</t>
        </is>
      </c>
      <c r="M65" s="270" t="n"/>
      <c r="P65" s="280" t="n"/>
    </row>
    <row r="66" ht="17.25" customHeight="1" s="305">
      <c r="A66" s="8" t="n">
        <v>246</v>
      </c>
      <c r="B66" s="5" t="n">
        <v>47</v>
      </c>
      <c r="C66" s="72" t="inlineStr">
        <is>
          <t>X</t>
        </is>
      </c>
      <c r="D66" s="5" t="n">
        <v>81</v>
      </c>
      <c r="E66" s="73">
        <f>B66*D66/10000</f>
        <v/>
      </c>
      <c r="F66" s="74">
        <f>B66/30.48</f>
        <v/>
      </c>
      <c r="G66" s="74">
        <f>D66/30.48</f>
        <v/>
      </c>
      <c r="H66" s="615" t="n"/>
      <c r="I66" s="84" t="n"/>
      <c r="J66" s="48" t="n"/>
      <c r="K66" s="51" t="n"/>
      <c r="L66" s="87" t="inlineStr">
        <is>
          <t>VR</t>
        </is>
      </c>
      <c r="M66" s="270" t="n"/>
      <c r="P66" s="280" t="n"/>
    </row>
    <row r="67" ht="17.25" customHeight="1" s="305">
      <c r="A67" s="8" t="n">
        <v>227</v>
      </c>
      <c r="B67" s="5" t="n">
        <v>62</v>
      </c>
      <c r="C67" s="72" t="inlineStr">
        <is>
          <t>X</t>
        </is>
      </c>
      <c r="D67" s="5" t="n">
        <v>99</v>
      </c>
      <c r="E67" s="73">
        <f>B67*D67/10000</f>
        <v/>
      </c>
      <c r="F67" s="74">
        <f>B67/30.48</f>
        <v/>
      </c>
      <c r="G67" s="74">
        <f>D67/30.48</f>
        <v/>
      </c>
      <c r="H67" s="615" t="n"/>
      <c r="I67" s="84" t="n"/>
      <c r="J67" s="48" t="n"/>
      <c r="K67" s="51" t="n"/>
      <c r="L67" s="87" t="inlineStr">
        <is>
          <t>VR</t>
        </is>
      </c>
      <c r="M67" s="270" t="n"/>
      <c r="P67" s="280" t="n"/>
    </row>
    <row r="68" ht="17.25" customHeight="1" s="305">
      <c r="A68" s="8" t="n">
        <v>284</v>
      </c>
      <c r="B68" s="5" t="n">
        <v>46</v>
      </c>
      <c r="C68" s="72" t="inlineStr">
        <is>
          <t>X</t>
        </is>
      </c>
      <c r="D68" s="5" t="n">
        <v>86</v>
      </c>
      <c r="E68" s="73">
        <f>B68*D68/10000</f>
        <v/>
      </c>
      <c r="F68" s="74">
        <f>B68/30.48</f>
        <v/>
      </c>
      <c r="G68" s="74">
        <f>D68/30.48</f>
        <v/>
      </c>
      <c r="H68" s="615" t="n"/>
      <c r="I68" s="84" t="n"/>
      <c r="J68" s="48" t="n"/>
      <c r="K68" s="51" t="n"/>
      <c r="L68" s="87" t="inlineStr">
        <is>
          <t>VR</t>
        </is>
      </c>
      <c r="M68" s="270" t="n"/>
      <c r="P68" s="280" t="n"/>
    </row>
    <row r="69" ht="17.25" customHeight="1" s="305">
      <c r="A69" s="8" t="n">
        <v>285</v>
      </c>
      <c r="B69" s="5" t="n">
        <v>45</v>
      </c>
      <c r="C69" s="72" t="inlineStr">
        <is>
          <t>X</t>
        </is>
      </c>
      <c r="D69" s="5" t="n">
        <v>86</v>
      </c>
      <c r="E69" s="73">
        <f>B69*D69/10000</f>
        <v/>
      </c>
      <c r="F69" s="74">
        <f>B69/30.48</f>
        <v/>
      </c>
      <c r="G69" s="74">
        <f>D69/30.48</f>
        <v/>
      </c>
      <c r="H69" s="615" t="n"/>
      <c r="I69" s="84" t="n"/>
      <c r="J69" s="48" t="n"/>
      <c r="K69" s="51" t="n"/>
      <c r="L69" s="87" t="inlineStr">
        <is>
          <t>VR</t>
        </is>
      </c>
      <c r="M69" s="270" t="n"/>
      <c r="P69" s="280" t="n"/>
    </row>
    <row r="70" ht="17.25" customHeight="1" s="305">
      <c r="A70" s="8" t="inlineStr">
        <is>
          <t>D 296</t>
        </is>
      </c>
      <c r="B70" s="5" t="n">
        <v>45</v>
      </c>
      <c r="C70" s="72" t="inlineStr">
        <is>
          <t>X</t>
        </is>
      </c>
      <c r="D70" s="5" t="n">
        <v>89</v>
      </c>
      <c r="E70" s="73">
        <f>B70*D70/10000</f>
        <v/>
      </c>
      <c r="F70" s="74">
        <f>B70/30.48</f>
        <v/>
      </c>
      <c r="G70" s="74">
        <f>D70/30.48</f>
        <v/>
      </c>
      <c r="H70" s="615" t="n"/>
      <c r="I70" s="84" t="n"/>
      <c r="J70" s="48" t="n"/>
      <c r="K70" s="51" t="n"/>
      <c r="L70" s="87" t="n"/>
      <c r="M70" s="270" t="n"/>
      <c r="P70" s="280" t="n"/>
    </row>
    <row r="71" ht="17.25" customHeight="1" s="305">
      <c r="A71" s="8" t="inlineStr">
        <is>
          <t>D 297</t>
        </is>
      </c>
      <c r="B71" s="5" t="n">
        <v>45</v>
      </c>
      <c r="C71" s="72" t="inlineStr">
        <is>
          <t>X</t>
        </is>
      </c>
      <c r="D71" s="5" t="n">
        <v>87</v>
      </c>
      <c r="E71" s="73">
        <f>B71*D71/10000</f>
        <v/>
      </c>
      <c r="F71" s="74">
        <f>B71/30.48</f>
        <v/>
      </c>
      <c r="G71" s="74">
        <f>D71/30.48</f>
        <v/>
      </c>
      <c r="H71" s="615" t="n"/>
      <c r="I71" s="84" t="n"/>
      <c r="J71" s="48" t="n"/>
      <c r="K71" s="51" t="n"/>
      <c r="L71" s="87" t="n"/>
      <c r="M71" s="270" t="n"/>
      <c r="P71" s="280" t="n"/>
    </row>
    <row r="72" ht="17.25" customHeight="1" s="305">
      <c r="A72" s="8" t="inlineStr">
        <is>
          <t>D 301</t>
        </is>
      </c>
      <c r="B72" s="5" t="n">
        <v>45</v>
      </c>
      <c r="C72" s="72" t="inlineStr">
        <is>
          <t>X</t>
        </is>
      </c>
      <c r="D72" s="5" t="n">
        <v>81</v>
      </c>
      <c r="E72" s="73">
        <f>B72*D72/10000</f>
        <v/>
      </c>
      <c r="F72" s="74">
        <f>B72/30.48</f>
        <v/>
      </c>
      <c r="G72" s="74">
        <f>D72/30.48</f>
        <v/>
      </c>
      <c r="H72" s="615" t="n"/>
      <c r="I72" s="84" t="n"/>
      <c r="J72" s="48" t="n"/>
      <c r="K72" s="51" t="n"/>
      <c r="L72" s="87" t="n"/>
      <c r="M72" s="270" t="n"/>
      <c r="P72" s="280" t="n"/>
    </row>
    <row r="73" ht="17.25" customHeight="1" s="305">
      <c r="A73" s="8" t="inlineStr">
        <is>
          <t>D 302</t>
        </is>
      </c>
      <c r="B73" s="5" t="n">
        <v>48</v>
      </c>
      <c r="C73" s="72" t="inlineStr">
        <is>
          <t>X</t>
        </is>
      </c>
      <c r="D73" s="5" t="n">
        <v>96</v>
      </c>
      <c r="E73" s="73">
        <f>B73*D73/10000</f>
        <v/>
      </c>
      <c r="F73" s="74">
        <f>B73/30.48</f>
        <v/>
      </c>
      <c r="G73" s="74">
        <f>D73/30.48</f>
        <v/>
      </c>
      <c r="H73" s="615" t="n"/>
      <c r="I73" s="84" t="n"/>
      <c r="J73" s="48" t="n"/>
      <c r="K73" s="51" t="n"/>
      <c r="L73" s="87" t="n"/>
      <c r="M73" s="270" t="n"/>
      <c r="P73" s="280" t="n"/>
    </row>
    <row r="74" ht="17.25" customHeight="1" s="305">
      <c r="A74" s="8" t="inlineStr">
        <is>
          <t>D 303</t>
        </is>
      </c>
      <c r="B74" s="5" t="n">
        <v>43</v>
      </c>
      <c r="C74" s="72" t="inlineStr">
        <is>
          <t>X</t>
        </is>
      </c>
      <c r="D74" s="5" t="n">
        <v>80</v>
      </c>
      <c r="E74" s="73">
        <f>B74*D74/10000</f>
        <v/>
      </c>
      <c r="F74" s="74">
        <f>B74/30.48</f>
        <v/>
      </c>
      <c r="G74" s="74">
        <f>D74/30.48</f>
        <v/>
      </c>
      <c r="H74" s="615" t="n"/>
      <c r="I74" s="84" t="n"/>
      <c r="J74" s="48" t="n"/>
      <c r="K74" s="51" t="n"/>
      <c r="L74" s="87" t="n"/>
      <c r="M74" s="270" t="n"/>
      <c r="P74" s="280" t="n"/>
    </row>
    <row r="75" ht="17.25" customHeight="1" s="305">
      <c r="A75" s="8" t="inlineStr">
        <is>
          <t>D 304</t>
        </is>
      </c>
      <c r="B75" s="5" t="n">
        <v>41</v>
      </c>
      <c r="C75" s="72" t="inlineStr">
        <is>
          <t>X</t>
        </is>
      </c>
      <c r="D75" s="5" t="n">
        <v>79</v>
      </c>
      <c r="E75" s="73">
        <f>B75*D75/10000</f>
        <v/>
      </c>
      <c r="F75" s="74">
        <f>B75/30.48</f>
        <v/>
      </c>
      <c r="G75" s="74">
        <f>D75/30.48</f>
        <v/>
      </c>
      <c r="H75" s="615" t="n"/>
      <c r="I75" s="84" t="n"/>
      <c r="J75" s="48" t="n"/>
      <c r="K75" s="51" t="n"/>
      <c r="L75" s="87" t="n"/>
      <c r="M75" s="270" t="n"/>
      <c r="P75" s="280" t="n"/>
    </row>
    <row r="76" ht="17.25" customHeight="1" s="305">
      <c r="A76" s="8" t="inlineStr">
        <is>
          <t>D 306</t>
        </is>
      </c>
      <c r="B76" s="5" t="n">
        <v>46</v>
      </c>
      <c r="C76" s="72" t="inlineStr">
        <is>
          <t>X</t>
        </is>
      </c>
      <c r="D76" s="5" t="n">
        <v>76</v>
      </c>
      <c r="E76" s="73">
        <f>B76*D76/10000</f>
        <v/>
      </c>
      <c r="F76" s="74">
        <f>B76/30.48</f>
        <v/>
      </c>
      <c r="G76" s="74">
        <f>D76/30.48</f>
        <v/>
      </c>
      <c r="H76" s="615" t="n"/>
      <c r="I76" s="84" t="n"/>
      <c r="J76" s="48" t="n"/>
      <c r="K76" s="51" t="n"/>
      <c r="L76" s="87" t="n"/>
      <c r="M76" s="270" t="n"/>
      <c r="P76" s="280" t="n"/>
    </row>
    <row r="77" ht="18" customHeight="1" s="305">
      <c r="A77" s="8" t="inlineStr">
        <is>
          <t>D 308</t>
        </is>
      </c>
      <c r="B77" s="5" t="n">
        <v>54</v>
      </c>
      <c r="C77" s="72" t="inlineStr">
        <is>
          <t>X</t>
        </is>
      </c>
      <c r="D77" s="5" t="n">
        <v>92</v>
      </c>
      <c r="E77" s="73">
        <f>B77*D77/10000</f>
        <v/>
      </c>
      <c r="F77" s="74">
        <f>B77/30.48</f>
        <v/>
      </c>
      <c r="G77" s="74">
        <f>D77/30.48</f>
        <v/>
      </c>
      <c r="H77" s="615" t="n"/>
      <c r="I77" s="84" t="n"/>
      <c r="J77" s="48" t="n"/>
      <c r="K77" s="51" t="n"/>
      <c r="L77" s="87" t="n"/>
      <c r="M77" s="270" t="n"/>
      <c r="P77" s="280" t="n"/>
    </row>
    <row r="78" ht="17.25" customHeight="1" s="305">
      <c r="A78" s="8" t="inlineStr">
        <is>
          <t>D 312</t>
        </is>
      </c>
      <c r="B78" s="5" t="n">
        <v>47</v>
      </c>
      <c r="C78" s="72" t="inlineStr">
        <is>
          <t>X</t>
        </is>
      </c>
      <c r="D78" s="5" t="n">
        <v>88</v>
      </c>
      <c r="E78" s="73">
        <f>B78*D78/10000</f>
        <v/>
      </c>
      <c r="F78" s="74">
        <f>B78/30.48</f>
        <v/>
      </c>
      <c r="G78" s="74">
        <f>D78/30.48</f>
        <v/>
      </c>
      <c r="H78" s="615" t="n"/>
      <c r="I78" s="84" t="n"/>
      <c r="J78" s="48" t="n"/>
      <c r="K78" s="51" t="n"/>
      <c r="L78" s="87" t="n"/>
      <c r="M78" s="270" t="n"/>
      <c r="P78" s="280" t="n"/>
    </row>
    <row r="79" ht="17.25" customHeight="1" s="305">
      <c r="A79" s="8" t="inlineStr">
        <is>
          <t>D 314</t>
        </is>
      </c>
      <c r="B79" s="5" t="n">
        <v>48</v>
      </c>
      <c r="C79" s="72" t="inlineStr">
        <is>
          <t>X</t>
        </is>
      </c>
      <c r="D79" s="5" t="n">
        <v>92</v>
      </c>
      <c r="E79" s="73">
        <f>B79*D79/10000</f>
        <v/>
      </c>
      <c r="F79" s="74">
        <f>B79/30.48</f>
        <v/>
      </c>
      <c r="G79" s="74">
        <f>D79/30.48</f>
        <v/>
      </c>
      <c r="H79" s="615" t="n"/>
      <c r="I79" s="84" t="n"/>
      <c r="J79" s="48" t="n"/>
      <c r="K79" s="51" t="n"/>
      <c r="L79" s="87" t="n"/>
      <c r="M79" s="270" t="n"/>
      <c r="P79" s="280" t="n"/>
    </row>
    <row r="80" ht="17.25" customHeight="1" s="305">
      <c r="A80" s="8" t="inlineStr">
        <is>
          <t>D 317</t>
        </is>
      </c>
      <c r="B80" s="5" t="n">
        <v>43</v>
      </c>
      <c r="C80" s="72" t="inlineStr">
        <is>
          <t>X</t>
        </is>
      </c>
      <c r="D80" s="5" t="n">
        <v>101</v>
      </c>
      <c r="E80" s="73">
        <f>B80*D80/10000</f>
        <v/>
      </c>
      <c r="F80" s="74">
        <f>B80/30.48</f>
        <v/>
      </c>
      <c r="G80" s="74">
        <f>D80/30.48</f>
        <v/>
      </c>
      <c r="H80" s="615" t="n"/>
      <c r="I80" s="84" t="n"/>
      <c r="J80" s="48" t="n"/>
      <c r="K80" s="51" t="n"/>
      <c r="L80" s="87" t="n"/>
      <c r="M80" s="270" t="n"/>
      <c r="P80" s="280" t="n"/>
    </row>
    <row r="81" ht="17.25" customHeight="1" s="305">
      <c r="A81" s="8" t="inlineStr">
        <is>
          <t>D 318</t>
        </is>
      </c>
      <c r="B81" s="5" t="n">
        <v>48</v>
      </c>
      <c r="C81" s="72" t="inlineStr">
        <is>
          <t>X</t>
        </is>
      </c>
      <c r="D81" s="5" t="n">
        <v>101</v>
      </c>
      <c r="E81" s="73">
        <f>B81*D81/10000</f>
        <v/>
      </c>
      <c r="F81" s="74">
        <f>B81/30.48</f>
        <v/>
      </c>
      <c r="G81" s="74">
        <f>D81/30.48</f>
        <v/>
      </c>
      <c r="H81" s="615" t="n"/>
      <c r="I81" s="84" t="n"/>
      <c r="J81" s="48" t="n"/>
      <c r="K81" s="51" t="n"/>
      <c r="L81" s="87" t="n"/>
      <c r="M81" s="270" t="n"/>
      <c r="P81" s="280" t="n"/>
    </row>
    <row r="82" ht="17.25" customHeight="1" s="305">
      <c r="A82" s="8" t="inlineStr">
        <is>
          <t>D 319</t>
        </is>
      </c>
      <c r="B82" s="5" t="n">
        <v>48</v>
      </c>
      <c r="C82" s="72" t="inlineStr">
        <is>
          <t>X</t>
        </is>
      </c>
      <c r="D82" s="5" t="n">
        <v>94</v>
      </c>
      <c r="E82" s="73" t="n">
        <v>0.45</v>
      </c>
      <c r="F82" s="74">
        <f>B82/30.48</f>
        <v/>
      </c>
      <c r="G82" s="74">
        <f>D82/30.48</f>
        <v/>
      </c>
      <c r="H82" s="615" t="n"/>
      <c r="I82" s="84" t="n"/>
      <c r="J82" s="48" t="n"/>
      <c r="K82" s="51" t="n"/>
      <c r="L82" s="87" t="n"/>
      <c r="M82" s="270" t="n"/>
      <c r="P82" s="280" t="n"/>
    </row>
    <row r="83" ht="17.25" customHeight="1" s="305">
      <c r="A83" s="8" t="inlineStr">
        <is>
          <t>D 321</t>
        </is>
      </c>
      <c r="B83" s="5" t="n">
        <v>47</v>
      </c>
      <c r="C83" s="72" t="inlineStr">
        <is>
          <t>X</t>
        </is>
      </c>
      <c r="D83" s="5" t="n">
        <v>92</v>
      </c>
      <c r="E83" s="73">
        <f>B83*D83/10000</f>
        <v/>
      </c>
      <c r="F83" s="74">
        <f>B83/30.48</f>
        <v/>
      </c>
      <c r="G83" s="74">
        <f>D83/30.48</f>
        <v/>
      </c>
      <c r="H83" s="615" t="n"/>
      <c r="I83" s="84" t="n"/>
      <c r="J83" s="48" t="n"/>
      <c r="K83" s="51" t="n"/>
      <c r="L83" s="87" t="n"/>
      <c r="M83" s="270" t="n"/>
      <c r="P83" s="280" t="n"/>
    </row>
    <row r="84" ht="17.25" customHeight="1" s="305">
      <c r="A84" s="8" t="inlineStr">
        <is>
          <t>D 323</t>
        </is>
      </c>
      <c r="B84" s="5" t="n">
        <v>46</v>
      </c>
      <c r="C84" s="72" t="inlineStr">
        <is>
          <t>X</t>
        </is>
      </c>
      <c r="D84" s="5" t="n">
        <v>89</v>
      </c>
      <c r="E84" s="73">
        <f>B84*D84/10000</f>
        <v/>
      </c>
      <c r="F84" s="74">
        <f>B84/30.48</f>
        <v/>
      </c>
      <c r="G84" s="74">
        <f>D84/30.48</f>
        <v/>
      </c>
      <c r="H84" s="615" t="n"/>
      <c r="I84" s="84" t="n"/>
      <c r="J84" s="48" t="n"/>
      <c r="K84" s="51" t="n"/>
      <c r="L84" s="87" t="n"/>
      <c r="M84" s="270" t="n"/>
      <c r="P84" s="280" t="n"/>
    </row>
    <row r="85" ht="17.25" customHeight="1" s="305">
      <c r="A85" s="8" t="inlineStr">
        <is>
          <t>D 324</t>
        </is>
      </c>
      <c r="B85" s="5" t="n">
        <v>42</v>
      </c>
      <c r="C85" s="72" t="inlineStr">
        <is>
          <t>X</t>
        </is>
      </c>
      <c r="D85" s="5" t="n">
        <v>83</v>
      </c>
      <c r="E85" s="73">
        <f>B85*D85/10000</f>
        <v/>
      </c>
      <c r="F85" s="74">
        <f>B85/30.48</f>
        <v/>
      </c>
      <c r="G85" s="74">
        <f>D85/30.48</f>
        <v/>
      </c>
      <c r="H85" s="615" t="n"/>
      <c r="I85" s="84" t="n"/>
      <c r="J85" s="48" t="n"/>
      <c r="K85" s="51" t="n"/>
      <c r="L85" s="87" t="n"/>
      <c r="M85" s="270" t="n"/>
      <c r="P85" s="280" t="n"/>
    </row>
    <row r="86" ht="17.25" customHeight="1" s="305">
      <c r="A86" s="8" t="inlineStr">
        <is>
          <t>D 325</t>
        </is>
      </c>
      <c r="B86" s="5" t="n">
        <v>50</v>
      </c>
      <c r="C86" s="72" t="inlineStr">
        <is>
          <t>X</t>
        </is>
      </c>
      <c r="D86" s="5" t="n">
        <v>72</v>
      </c>
      <c r="E86" s="73">
        <f>B86*D86/10000</f>
        <v/>
      </c>
      <c r="F86" s="74">
        <f>B86/30.48</f>
        <v/>
      </c>
      <c r="G86" s="74">
        <f>D86/30.48</f>
        <v/>
      </c>
      <c r="H86" s="615" t="n"/>
      <c r="I86" s="84" t="n"/>
      <c r="J86" s="48" t="n"/>
      <c r="K86" s="51" t="n"/>
      <c r="L86" s="87" t="n"/>
      <c r="M86" s="270" t="n"/>
      <c r="P86" s="280" t="n"/>
    </row>
    <row r="87" ht="17.25" customHeight="1" s="305">
      <c r="A87" s="8" t="inlineStr">
        <is>
          <t>D 326</t>
        </is>
      </c>
      <c r="B87" s="5" t="n">
        <v>49</v>
      </c>
      <c r="C87" s="72" t="inlineStr">
        <is>
          <t>X</t>
        </is>
      </c>
      <c r="D87" s="5" t="n">
        <v>101</v>
      </c>
      <c r="E87" s="73">
        <f>B87*D87/10000</f>
        <v/>
      </c>
      <c r="F87" s="74">
        <f>B87/30.48</f>
        <v/>
      </c>
      <c r="G87" s="74">
        <f>D87/30.48</f>
        <v/>
      </c>
      <c r="H87" s="615" t="n"/>
      <c r="I87" s="84" t="n"/>
      <c r="J87" s="48" t="n"/>
      <c r="K87" s="51" t="n"/>
      <c r="L87" s="87" t="n"/>
      <c r="M87" s="270" t="n"/>
      <c r="P87" s="280" t="n"/>
    </row>
    <row r="88" ht="17.25" customHeight="1" s="305">
      <c r="A88" s="8" t="inlineStr">
        <is>
          <t>D 327</t>
        </is>
      </c>
      <c r="B88" s="5" t="n">
        <v>43</v>
      </c>
      <c r="C88" s="72" t="inlineStr">
        <is>
          <t>X</t>
        </is>
      </c>
      <c r="D88" s="5" t="n">
        <v>105</v>
      </c>
      <c r="E88" s="73">
        <f>B88*D88/10000</f>
        <v/>
      </c>
      <c r="F88" s="74">
        <f>B88/30.48</f>
        <v/>
      </c>
      <c r="G88" s="74">
        <f>D88/30.48</f>
        <v/>
      </c>
      <c r="H88" s="615" t="n"/>
      <c r="I88" s="84" t="n"/>
      <c r="J88" s="48" t="n"/>
      <c r="K88" s="51" t="n"/>
      <c r="L88" s="87" t="n"/>
      <c r="M88" s="270" t="n"/>
      <c r="P88" s="280" t="n"/>
    </row>
    <row r="89" ht="17.25" customHeight="1" s="305">
      <c r="A89" s="8" t="inlineStr">
        <is>
          <t>D 328</t>
        </is>
      </c>
      <c r="B89" s="5" t="n">
        <v>50</v>
      </c>
      <c r="C89" s="72" t="inlineStr">
        <is>
          <t>X</t>
        </is>
      </c>
      <c r="D89" s="5" t="n">
        <v>90</v>
      </c>
      <c r="E89" s="73">
        <f>B89*D89/10000</f>
        <v/>
      </c>
      <c r="F89" s="74">
        <f>B89/30.48</f>
        <v/>
      </c>
      <c r="G89" s="74">
        <f>D89/30.48</f>
        <v/>
      </c>
      <c r="H89" s="615" t="n"/>
      <c r="I89" s="84" t="n"/>
      <c r="J89" s="48" t="n"/>
      <c r="K89" s="51" t="n"/>
      <c r="L89" s="87" t="n"/>
      <c r="M89" s="270" t="n"/>
      <c r="P89" s="280" t="n"/>
    </row>
    <row r="90" ht="17.25" customHeight="1" s="305">
      <c r="A90" s="8" t="inlineStr">
        <is>
          <t>D 329</t>
        </is>
      </c>
      <c r="B90" s="5" t="n">
        <v>49</v>
      </c>
      <c r="C90" s="72" t="inlineStr">
        <is>
          <t>X</t>
        </is>
      </c>
      <c r="D90" s="5" t="n">
        <v>88</v>
      </c>
      <c r="E90" s="73">
        <f>B90*D90/10000</f>
        <v/>
      </c>
      <c r="F90" s="74">
        <f>B90/30.48</f>
        <v/>
      </c>
      <c r="G90" s="74">
        <f>D90/30.48</f>
        <v/>
      </c>
      <c r="H90" s="615" t="n"/>
      <c r="I90" s="84" t="n"/>
      <c r="J90" s="48" t="n"/>
      <c r="K90" s="51" t="n"/>
      <c r="L90" s="87" t="n"/>
      <c r="M90" s="270" t="n"/>
      <c r="P90" s="280" t="n"/>
    </row>
    <row r="91" ht="17.25" customHeight="1" s="305">
      <c r="A91" s="8" t="inlineStr">
        <is>
          <t>D 330</t>
        </is>
      </c>
      <c r="B91" s="5" t="n">
        <v>49</v>
      </c>
      <c r="C91" s="72" t="inlineStr">
        <is>
          <t>X</t>
        </is>
      </c>
      <c r="D91" s="5" t="n">
        <v>88</v>
      </c>
      <c r="E91" s="73">
        <f>B91*D91/10000</f>
        <v/>
      </c>
      <c r="F91" s="74">
        <f>B91/30.48</f>
        <v/>
      </c>
      <c r="G91" s="74">
        <f>D91/30.48</f>
        <v/>
      </c>
      <c r="H91" s="615" t="n"/>
      <c r="I91" s="84" t="n"/>
      <c r="J91" s="48" t="n"/>
      <c r="K91" s="51" t="n"/>
      <c r="L91" s="87" t="n"/>
      <c r="M91" s="270" t="n"/>
      <c r="P91" s="280" t="n"/>
    </row>
    <row r="92" ht="17.25" customHeight="1" s="305">
      <c r="A92" s="8" t="inlineStr">
        <is>
          <t>D 331</t>
        </is>
      </c>
      <c r="B92" s="5" t="n">
        <v>48</v>
      </c>
      <c r="C92" s="72" t="inlineStr">
        <is>
          <t>X</t>
        </is>
      </c>
      <c r="D92" s="5" t="n">
        <v>81</v>
      </c>
      <c r="E92" s="73">
        <f>B92*D92/10000</f>
        <v/>
      </c>
      <c r="F92" s="74">
        <f>B92/30.48</f>
        <v/>
      </c>
      <c r="G92" s="74">
        <f>D92/30.48</f>
        <v/>
      </c>
      <c r="H92" s="615" t="n"/>
      <c r="I92" s="84" t="n"/>
      <c r="J92" s="48" t="n"/>
      <c r="K92" s="51" t="n"/>
      <c r="L92" s="87" t="n"/>
      <c r="M92" s="270" t="n"/>
      <c r="P92" s="280" t="n"/>
    </row>
    <row r="93" ht="17.25" customHeight="1" s="305">
      <c r="A93" s="8" t="inlineStr">
        <is>
          <t>D 333</t>
        </is>
      </c>
      <c r="B93" s="5" t="n">
        <v>46</v>
      </c>
      <c r="C93" s="72" t="inlineStr">
        <is>
          <t>X</t>
        </is>
      </c>
      <c r="D93" s="5" t="n">
        <v>86</v>
      </c>
      <c r="E93" s="73">
        <f>B93*D93/10000</f>
        <v/>
      </c>
      <c r="F93" s="74">
        <f>B93/30.48</f>
        <v/>
      </c>
      <c r="G93" s="74">
        <f>D93/30.48</f>
        <v/>
      </c>
      <c r="H93" s="615" t="n"/>
      <c r="I93" s="84" t="n"/>
      <c r="J93" s="48" t="n"/>
      <c r="K93" s="51" t="n"/>
      <c r="L93" s="87" t="n"/>
      <c r="M93" s="270" t="n"/>
      <c r="P93" s="280" t="n"/>
    </row>
    <row r="94" ht="17.25" customHeight="1" s="305">
      <c r="A94" s="8" t="inlineStr">
        <is>
          <t>D 334</t>
        </is>
      </c>
      <c r="B94" s="5" t="n">
        <v>48</v>
      </c>
      <c r="C94" s="72" t="inlineStr">
        <is>
          <t>X</t>
        </is>
      </c>
      <c r="D94" s="5" t="n">
        <v>86</v>
      </c>
      <c r="E94" s="73">
        <f>B94*D94/10000</f>
        <v/>
      </c>
      <c r="F94" s="74">
        <f>B94/30.48</f>
        <v/>
      </c>
      <c r="G94" s="74">
        <f>D94/30.48</f>
        <v/>
      </c>
      <c r="H94" s="615" t="n"/>
      <c r="I94" s="84" t="n"/>
      <c r="J94" s="48" t="n"/>
      <c r="K94" s="51" t="n"/>
      <c r="L94" s="87" t="n"/>
      <c r="M94" s="270" t="n"/>
      <c r="P94" s="280" t="n"/>
    </row>
    <row r="95" ht="17.25" customHeight="1" s="305">
      <c r="A95" s="8" t="inlineStr">
        <is>
          <t>D 335</t>
        </is>
      </c>
      <c r="B95" s="5" t="n">
        <v>47</v>
      </c>
      <c r="C95" s="72" t="inlineStr">
        <is>
          <t>X</t>
        </is>
      </c>
      <c r="D95" s="5" t="n">
        <v>100</v>
      </c>
      <c r="E95" s="73">
        <f>B95*D95/10000</f>
        <v/>
      </c>
      <c r="F95" s="74">
        <f>B95/30.48</f>
        <v/>
      </c>
      <c r="G95" s="74">
        <f>D95/30.48</f>
        <v/>
      </c>
      <c r="H95" s="615" t="n"/>
      <c r="I95" s="84" t="n"/>
      <c r="J95" s="48" t="n"/>
      <c r="K95" s="51" t="n"/>
      <c r="L95" s="87" t="n"/>
      <c r="M95" s="270" t="n"/>
      <c r="P95" s="280" t="n"/>
    </row>
    <row r="96" ht="17.25" customHeight="1" s="305">
      <c r="A96" s="8" t="inlineStr">
        <is>
          <t>D 336</t>
        </is>
      </c>
      <c r="B96" s="5" t="n">
        <v>47</v>
      </c>
      <c r="C96" s="72" t="inlineStr">
        <is>
          <t>X</t>
        </is>
      </c>
      <c r="D96" s="5" t="n">
        <v>89</v>
      </c>
      <c r="E96" s="73">
        <f>B96*D96/10000</f>
        <v/>
      </c>
      <c r="F96" s="74">
        <f>B96/30.48</f>
        <v/>
      </c>
      <c r="G96" s="74">
        <f>D96/30.48</f>
        <v/>
      </c>
      <c r="H96" s="615" t="n"/>
      <c r="I96" s="84" t="n"/>
      <c r="J96" s="48" t="n"/>
      <c r="K96" s="51" t="n"/>
      <c r="L96" s="87" t="n"/>
      <c r="M96" s="270" t="n"/>
      <c r="P96" s="280" t="n"/>
    </row>
    <row r="97" ht="17.25" customHeight="1" s="305">
      <c r="A97" s="8" t="inlineStr">
        <is>
          <t>D 337</t>
        </is>
      </c>
      <c r="B97" s="5" t="n">
        <v>44</v>
      </c>
      <c r="C97" s="72" t="inlineStr">
        <is>
          <t>X</t>
        </is>
      </c>
      <c r="D97" s="5" t="n">
        <v>90</v>
      </c>
      <c r="E97" s="73">
        <f>B97*D97/10000</f>
        <v/>
      </c>
      <c r="F97" s="74">
        <f>B97/30.48</f>
        <v/>
      </c>
      <c r="G97" s="74">
        <f>D97/30.48</f>
        <v/>
      </c>
      <c r="H97" s="615" t="n"/>
      <c r="I97" s="84" t="n"/>
      <c r="J97" s="48" t="n"/>
      <c r="K97" s="51" t="n"/>
      <c r="L97" s="87" t="n"/>
      <c r="M97" s="270" t="n"/>
      <c r="P97" s="280" t="n"/>
    </row>
    <row r="98" ht="17.25" customHeight="1" s="305">
      <c r="A98" s="8" t="inlineStr">
        <is>
          <t>D 338</t>
        </is>
      </c>
      <c r="B98" s="5" t="n">
        <v>45</v>
      </c>
      <c r="C98" s="72" t="inlineStr">
        <is>
          <t>X</t>
        </is>
      </c>
      <c r="D98" s="5" t="n">
        <v>83</v>
      </c>
      <c r="E98" s="73">
        <f>B98*D98/10000</f>
        <v/>
      </c>
      <c r="F98" s="74">
        <f>B98/30.48</f>
        <v/>
      </c>
      <c r="G98" s="74">
        <f>D98/30.48</f>
        <v/>
      </c>
      <c r="H98" s="615" t="n"/>
      <c r="I98" s="84" t="n"/>
      <c r="J98" s="48" t="n"/>
      <c r="K98" s="51" t="n"/>
      <c r="L98" s="87" t="n"/>
      <c r="M98" s="270" t="n"/>
      <c r="P98" s="280" t="n"/>
    </row>
    <row r="99" ht="17.25" customHeight="1" s="305">
      <c r="A99" s="8" t="inlineStr">
        <is>
          <t>D 340</t>
        </is>
      </c>
      <c r="B99" s="5" t="n">
        <v>43</v>
      </c>
      <c r="C99" s="72" t="inlineStr">
        <is>
          <t>X</t>
        </is>
      </c>
      <c r="D99" s="5" t="n">
        <v>88</v>
      </c>
      <c r="E99" s="73">
        <f>B99*D99/10000</f>
        <v/>
      </c>
      <c r="F99" s="74">
        <f>B99/30.48</f>
        <v/>
      </c>
      <c r="G99" s="74">
        <f>D99/30.48</f>
        <v/>
      </c>
      <c r="H99" s="615" t="n"/>
      <c r="I99" s="84" t="n"/>
      <c r="J99" s="48" t="n"/>
      <c r="K99" s="51" t="n"/>
      <c r="L99" s="87" t="n"/>
      <c r="M99" s="270" t="n"/>
      <c r="P99" s="280" t="n"/>
    </row>
    <row r="100" ht="17.25" customHeight="1" s="305">
      <c r="A100" s="8" t="inlineStr">
        <is>
          <t>D 341</t>
        </is>
      </c>
      <c r="B100" s="5" t="n">
        <v>47</v>
      </c>
      <c r="C100" s="72" t="inlineStr">
        <is>
          <t>X</t>
        </is>
      </c>
      <c r="D100" s="5" t="n">
        <v>85</v>
      </c>
      <c r="E100" s="73">
        <f>B100*D100/10000</f>
        <v/>
      </c>
      <c r="F100" s="74">
        <f>B100/30.48</f>
        <v/>
      </c>
      <c r="G100" s="74">
        <f>D100/30.48</f>
        <v/>
      </c>
      <c r="H100" s="615" t="n"/>
      <c r="I100" s="84" t="n"/>
      <c r="J100" s="48" t="n"/>
      <c r="K100" s="51" t="n"/>
      <c r="L100" s="87" t="n"/>
      <c r="M100" s="270" t="n"/>
      <c r="P100" s="280" t="n"/>
    </row>
    <row r="101" ht="17.25" customHeight="1" s="305">
      <c r="A101" s="8" t="inlineStr">
        <is>
          <t>D 342</t>
        </is>
      </c>
      <c r="B101" s="5" t="n">
        <v>47</v>
      </c>
      <c r="C101" s="72" t="inlineStr">
        <is>
          <t>X</t>
        </is>
      </c>
      <c r="D101" s="5" t="n">
        <v>88</v>
      </c>
      <c r="E101" s="73">
        <f>B101*D101/10000</f>
        <v/>
      </c>
      <c r="F101" s="74">
        <f>B101/30.48</f>
        <v/>
      </c>
      <c r="G101" s="74">
        <f>D101/30.48</f>
        <v/>
      </c>
      <c r="H101" s="615" t="n"/>
      <c r="I101" s="84" t="n"/>
      <c r="J101" s="48" t="n"/>
      <c r="K101" s="51" t="n"/>
      <c r="L101" s="87" t="n"/>
      <c r="M101" s="270" t="n"/>
      <c r="P101" s="280" t="n"/>
    </row>
    <row r="102" ht="17.25" customHeight="1" s="305">
      <c r="A102" s="8" t="inlineStr">
        <is>
          <t>D 345</t>
        </is>
      </c>
      <c r="B102" s="5" t="n">
        <v>44</v>
      </c>
      <c r="C102" s="72" t="inlineStr">
        <is>
          <t>X</t>
        </is>
      </c>
      <c r="D102" s="5" t="n">
        <v>96</v>
      </c>
      <c r="E102" s="73">
        <f>B102*D102/10000</f>
        <v/>
      </c>
      <c r="F102" s="74">
        <f>B102/30.48</f>
        <v/>
      </c>
      <c r="G102" s="74">
        <f>D102/30.48</f>
        <v/>
      </c>
      <c r="H102" s="615" t="n"/>
      <c r="I102" s="84" t="n"/>
      <c r="J102" s="48" t="n"/>
      <c r="K102" s="51" t="n"/>
      <c r="L102" s="87" t="n"/>
      <c r="M102" s="270" t="n"/>
      <c r="P102" s="280" t="n"/>
    </row>
    <row r="103" ht="17.25" customHeight="1" s="305">
      <c r="A103" s="8" t="inlineStr">
        <is>
          <t>D 346</t>
        </is>
      </c>
      <c r="B103" s="5" t="n">
        <v>50</v>
      </c>
      <c r="C103" s="72" t="inlineStr">
        <is>
          <t>X</t>
        </is>
      </c>
      <c r="D103" s="5" t="n">
        <v>106</v>
      </c>
      <c r="E103" s="73">
        <f>B103*D103/10000</f>
        <v/>
      </c>
      <c r="F103" s="74">
        <f>B103/30.48</f>
        <v/>
      </c>
      <c r="G103" s="74">
        <f>D103/30.48</f>
        <v/>
      </c>
      <c r="H103" s="615" t="n"/>
      <c r="I103" s="84" t="n"/>
      <c r="J103" s="48" t="n"/>
      <c r="K103" s="51" t="n"/>
      <c r="L103" s="87" t="n"/>
      <c r="M103" s="270" t="n"/>
      <c r="P103" s="280" t="n"/>
    </row>
    <row r="104" ht="17.25" customHeight="1" s="305">
      <c r="A104" s="8" t="inlineStr">
        <is>
          <t>D 347</t>
        </is>
      </c>
      <c r="B104" s="5" t="n">
        <v>65</v>
      </c>
      <c r="C104" s="72" t="inlineStr">
        <is>
          <t>X</t>
        </is>
      </c>
      <c r="D104" s="5" t="n">
        <v>66</v>
      </c>
      <c r="E104" s="73">
        <f>B104*D104/10000</f>
        <v/>
      </c>
      <c r="F104" s="74">
        <f>B104/30.48</f>
        <v/>
      </c>
      <c r="G104" s="74">
        <f>D104/30.48</f>
        <v/>
      </c>
      <c r="H104" s="615" t="n"/>
      <c r="I104" s="84" t="n"/>
      <c r="J104" s="48" t="n"/>
      <c r="K104" s="51" t="n"/>
      <c r="L104" s="87" t="n"/>
      <c r="M104" s="270" t="n"/>
      <c r="P104" s="280" t="n"/>
    </row>
    <row r="105" ht="17.25" customHeight="1" s="305">
      <c r="A105" s="8" t="inlineStr">
        <is>
          <t>D 349</t>
        </is>
      </c>
      <c r="B105" s="5" t="n">
        <v>67</v>
      </c>
      <c r="C105" s="72" t="inlineStr">
        <is>
          <t>X</t>
        </is>
      </c>
      <c r="D105" s="5" t="n">
        <v>67</v>
      </c>
      <c r="E105" s="73">
        <f>B105*D105/10000</f>
        <v/>
      </c>
      <c r="F105" s="74">
        <f>B105/30.48</f>
        <v/>
      </c>
      <c r="G105" s="74">
        <f>D105/30.48</f>
        <v/>
      </c>
      <c r="H105" s="615" t="n"/>
      <c r="I105" s="84" t="n"/>
      <c r="J105" s="48" t="n"/>
      <c r="K105" s="51" t="n"/>
      <c r="L105" s="87" t="n"/>
      <c r="M105" s="270" t="n"/>
      <c r="P105" s="280" t="n"/>
    </row>
    <row r="106" ht="17.25" customHeight="1" s="305">
      <c r="A106" s="8" t="inlineStr">
        <is>
          <t>D 350</t>
        </is>
      </c>
      <c r="B106" s="5" t="n">
        <v>67</v>
      </c>
      <c r="C106" s="72" t="inlineStr">
        <is>
          <t>X</t>
        </is>
      </c>
      <c r="D106" s="5" t="n">
        <v>66</v>
      </c>
      <c r="E106" s="73">
        <f>B106*D106/10000</f>
        <v/>
      </c>
      <c r="F106" s="74">
        <f>B106/30.48</f>
        <v/>
      </c>
      <c r="G106" s="74">
        <f>D106/30.48</f>
        <v/>
      </c>
      <c r="H106" s="615" t="n"/>
      <c r="I106" s="84" t="n"/>
      <c r="J106" s="48" t="n"/>
      <c r="K106" s="51" t="n"/>
      <c r="L106" s="87" t="n"/>
      <c r="M106" s="270" t="n"/>
      <c r="P106" s="280" t="n"/>
    </row>
    <row r="107" ht="17.25" customHeight="1" s="305">
      <c r="A107" s="8" t="inlineStr">
        <is>
          <t>D 352</t>
        </is>
      </c>
      <c r="B107" s="5" t="n">
        <v>55</v>
      </c>
      <c r="C107" s="72" t="inlineStr">
        <is>
          <t>X</t>
        </is>
      </c>
      <c r="D107" s="5" t="n">
        <v>103</v>
      </c>
      <c r="E107" s="73">
        <f>B107*D107/10000</f>
        <v/>
      </c>
      <c r="F107" s="74">
        <f>B107/30.48</f>
        <v/>
      </c>
      <c r="G107" s="74">
        <f>D107/30.48</f>
        <v/>
      </c>
      <c r="H107" s="615" t="n"/>
      <c r="I107" s="84" t="n"/>
      <c r="J107" s="48" t="n"/>
      <c r="K107" s="51" t="n"/>
      <c r="L107" s="87" t="n"/>
      <c r="M107" s="270" t="n"/>
      <c r="P107" s="280" t="n"/>
    </row>
    <row r="108" ht="17.25" customHeight="1" s="305">
      <c r="A108" s="8" t="inlineStr">
        <is>
          <t>D 353</t>
        </is>
      </c>
      <c r="B108" s="5" t="n">
        <v>57</v>
      </c>
      <c r="C108" s="72" t="inlineStr">
        <is>
          <t>X</t>
        </is>
      </c>
      <c r="D108" s="5" t="n">
        <v>101</v>
      </c>
      <c r="E108" s="73">
        <f>B108*D108/10000</f>
        <v/>
      </c>
      <c r="F108" s="74">
        <f>B108/30.48</f>
        <v/>
      </c>
      <c r="G108" s="74">
        <f>D108/30.48</f>
        <v/>
      </c>
      <c r="H108" s="615" t="n"/>
      <c r="I108" s="84" t="n"/>
      <c r="J108" s="48" t="n"/>
      <c r="K108" s="51" t="n"/>
      <c r="L108" s="87" t="n"/>
      <c r="M108" s="270" t="n"/>
      <c r="P108" s="280" t="n"/>
    </row>
    <row r="109" ht="18" customHeight="1" s="305">
      <c r="A109" s="8" t="inlineStr">
        <is>
          <t>D 354</t>
        </is>
      </c>
      <c r="B109" s="5" t="n">
        <v>45</v>
      </c>
      <c r="C109" s="72" t="inlineStr">
        <is>
          <t>X</t>
        </is>
      </c>
      <c r="D109" s="5" t="n">
        <v>88</v>
      </c>
      <c r="E109" s="73">
        <f>B109*D109/10000</f>
        <v/>
      </c>
      <c r="F109" s="74">
        <f>B109/30.48</f>
        <v/>
      </c>
      <c r="G109" s="74">
        <f>D109/30.48</f>
        <v/>
      </c>
      <c r="H109" s="615" t="n"/>
      <c r="I109" s="84" t="n"/>
      <c r="J109" s="48" t="n"/>
      <c r="K109" s="51" t="n"/>
      <c r="L109" s="87" t="n"/>
      <c r="M109" s="270" t="n"/>
      <c r="P109" s="280" t="n"/>
    </row>
    <row r="110" ht="17.25" customHeight="1" s="305">
      <c r="A110" s="8" t="inlineStr">
        <is>
          <t>D 355</t>
        </is>
      </c>
      <c r="B110" s="5" t="n">
        <v>50</v>
      </c>
      <c r="C110" s="72" t="inlineStr">
        <is>
          <t>X</t>
        </is>
      </c>
      <c r="D110" s="5" t="n">
        <v>98</v>
      </c>
      <c r="E110" s="73">
        <f>B110*D110/10000</f>
        <v/>
      </c>
      <c r="F110" s="74">
        <f>B110/30.48</f>
        <v/>
      </c>
      <c r="G110" s="74">
        <f>D110/30.48</f>
        <v/>
      </c>
      <c r="H110" s="615" t="n"/>
      <c r="I110" s="84" t="n"/>
      <c r="J110" s="48" t="n"/>
      <c r="K110" s="51" t="n"/>
      <c r="L110" s="87" t="n"/>
      <c r="M110" s="270" t="n"/>
      <c r="P110" s="280" t="n"/>
    </row>
    <row r="111" ht="17.25" customHeight="1" s="305">
      <c r="A111" s="8" t="inlineStr">
        <is>
          <t>D 356</t>
        </is>
      </c>
      <c r="B111" s="5" t="n">
        <v>51</v>
      </c>
      <c r="C111" s="72" t="inlineStr">
        <is>
          <t>X</t>
        </is>
      </c>
      <c r="D111" s="5" t="n">
        <v>103</v>
      </c>
      <c r="E111" s="73">
        <f>B111*D111/10000</f>
        <v/>
      </c>
      <c r="F111" s="74">
        <f>B111/30.48</f>
        <v/>
      </c>
      <c r="G111" s="74">
        <f>D111/30.48</f>
        <v/>
      </c>
      <c r="H111" s="615" t="n"/>
      <c r="I111" s="84" t="n"/>
      <c r="J111" s="48" t="n"/>
      <c r="K111" s="51" t="n"/>
      <c r="L111" s="87" t="n"/>
      <c r="M111" s="270" t="n"/>
      <c r="P111" s="280" t="n"/>
    </row>
    <row r="112" ht="17.25" customHeight="1" s="305">
      <c r="A112" s="8" t="inlineStr">
        <is>
          <t>D 357</t>
        </is>
      </c>
      <c r="B112" s="5" t="n">
        <v>47</v>
      </c>
      <c r="C112" s="72" t="inlineStr">
        <is>
          <t>X</t>
        </is>
      </c>
      <c r="D112" s="5" t="n">
        <v>107</v>
      </c>
      <c r="E112" s="73">
        <f>B112*D112/10000</f>
        <v/>
      </c>
      <c r="F112" s="74">
        <f>B112/30.48</f>
        <v/>
      </c>
      <c r="G112" s="74">
        <f>D112/30.48</f>
        <v/>
      </c>
      <c r="H112" s="615" t="n"/>
      <c r="I112" s="84" t="n"/>
      <c r="J112" s="48" t="n"/>
      <c r="K112" s="51" t="n"/>
      <c r="L112" s="87" t="n"/>
      <c r="M112" s="270" t="n"/>
      <c r="P112" s="280" t="n"/>
    </row>
    <row r="113" ht="17.25" customHeight="1" s="305">
      <c r="A113" s="8" t="inlineStr">
        <is>
          <t>D 359</t>
        </is>
      </c>
      <c r="B113" s="5" t="n">
        <v>44</v>
      </c>
      <c r="C113" s="72" t="inlineStr">
        <is>
          <t>X</t>
        </is>
      </c>
      <c r="D113" s="5" t="n">
        <v>92</v>
      </c>
      <c r="E113" s="73">
        <f>B113*D113/10000</f>
        <v/>
      </c>
      <c r="F113" s="74">
        <f>B113/30.48</f>
        <v/>
      </c>
      <c r="G113" s="74">
        <f>D113/30.48</f>
        <v/>
      </c>
      <c r="H113" s="615" t="n"/>
      <c r="I113" s="84" t="n"/>
      <c r="J113" s="48" t="n"/>
      <c r="K113" s="51" t="n"/>
      <c r="L113" s="87" t="n"/>
      <c r="M113" s="270" t="n"/>
      <c r="P113" s="280" t="n"/>
    </row>
    <row r="114" ht="17.25" customHeight="1" s="305">
      <c r="A114" s="8" t="inlineStr">
        <is>
          <t>D 361</t>
        </is>
      </c>
      <c r="B114" s="5" t="n">
        <v>45</v>
      </c>
      <c r="C114" s="72" t="inlineStr">
        <is>
          <t>X</t>
        </is>
      </c>
      <c r="D114" s="5" t="n">
        <v>95</v>
      </c>
      <c r="E114" s="73">
        <f>B114*D114/10000</f>
        <v/>
      </c>
      <c r="F114" s="74">
        <f>B114/30.48</f>
        <v/>
      </c>
      <c r="G114" s="74">
        <f>D114/30.48</f>
        <v/>
      </c>
      <c r="H114" s="615" t="n"/>
      <c r="I114" s="84" t="n"/>
      <c r="J114" s="48" t="n"/>
      <c r="K114" s="51" t="n"/>
      <c r="L114" s="87" t="n"/>
      <c r="M114" s="270" t="n"/>
      <c r="P114" s="280" t="n"/>
    </row>
    <row r="115" ht="17.25" customHeight="1" s="305">
      <c r="A115" s="8" t="inlineStr">
        <is>
          <t>D 364</t>
        </is>
      </c>
      <c r="B115" s="5" t="n">
        <v>47</v>
      </c>
      <c r="C115" s="72" t="inlineStr">
        <is>
          <t>X</t>
        </is>
      </c>
      <c r="D115" s="5" t="n">
        <v>79</v>
      </c>
      <c r="E115" s="73">
        <f>B115*D115/10000</f>
        <v/>
      </c>
      <c r="F115" s="74">
        <f>B115/30.48</f>
        <v/>
      </c>
      <c r="G115" s="74">
        <f>D115/30.48</f>
        <v/>
      </c>
      <c r="H115" s="615" t="n"/>
      <c r="I115" s="84" t="n"/>
      <c r="J115" s="48" t="n"/>
      <c r="K115" s="51" t="n"/>
      <c r="L115" s="87" t="n"/>
      <c r="M115" s="270" t="n"/>
      <c r="P115" s="280" t="n"/>
    </row>
    <row r="116" ht="17.25" customHeight="1" s="305">
      <c r="A116" s="8" t="inlineStr">
        <is>
          <t>D 366</t>
        </is>
      </c>
      <c r="B116" s="5" t="n">
        <v>49</v>
      </c>
      <c r="C116" s="72" t="inlineStr">
        <is>
          <t>X</t>
        </is>
      </c>
      <c r="D116" s="5" t="n">
        <v>94</v>
      </c>
      <c r="E116" s="73">
        <f>B116*D116/10000</f>
        <v/>
      </c>
      <c r="F116" s="74">
        <f>B116/30.48</f>
        <v/>
      </c>
      <c r="G116" s="74">
        <f>D116/30.48</f>
        <v/>
      </c>
      <c r="H116" s="615" t="n"/>
      <c r="I116" s="84" t="n"/>
      <c r="J116" s="48" t="n"/>
      <c r="K116" s="51" t="n"/>
      <c r="L116" s="87" t="n"/>
      <c r="M116" s="270" t="n"/>
      <c r="P116" s="280" t="n"/>
    </row>
    <row r="117" ht="17.25" customHeight="1" s="305">
      <c r="A117" s="8" t="inlineStr">
        <is>
          <t>D 367</t>
        </is>
      </c>
      <c r="B117" s="5" t="n">
        <v>46</v>
      </c>
      <c r="C117" s="72" t="inlineStr">
        <is>
          <t>X</t>
        </is>
      </c>
      <c r="D117" s="5" t="n">
        <v>99</v>
      </c>
      <c r="E117" s="73">
        <f>B117*D117/10000</f>
        <v/>
      </c>
      <c r="F117" s="74">
        <f>B117/30.48</f>
        <v/>
      </c>
      <c r="G117" s="74">
        <f>D117/30.48</f>
        <v/>
      </c>
      <c r="H117" s="615" t="n"/>
      <c r="I117" s="84" t="n"/>
      <c r="J117" s="48" t="n"/>
      <c r="K117" s="51" t="n"/>
      <c r="L117" s="87" t="n"/>
      <c r="M117" s="270" t="n"/>
      <c r="P117" s="280" t="n"/>
    </row>
    <row r="118" ht="17.25" customHeight="1" s="305">
      <c r="A118" s="8" t="inlineStr">
        <is>
          <t>D 368</t>
        </is>
      </c>
      <c r="B118" s="5" t="n">
        <v>51</v>
      </c>
      <c r="C118" s="72" t="inlineStr">
        <is>
          <t>X</t>
        </is>
      </c>
      <c r="D118" s="5" t="n">
        <v>92</v>
      </c>
      <c r="E118" s="73">
        <f>B118*D118/10000</f>
        <v/>
      </c>
      <c r="F118" s="74">
        <f>B118/30.48</f>
        <v/>
      </c>
      <c r="G118" s="74">
        <f>D118/30.48</f>
        <v/>
      </c>
      <c r="H118" s="615" t="n"/>
      <c r="I118" s="84" t="n"/>
      <c r="J118" s="48" t="n"/>
      <c r="K118" s="51" t="n"/>
      <c r="L118" s="87" t="n"/>
      <c r="M118" s="270" t="n"/>
      <c r="P118" s="280" t="n"/>
    </row>
    <row r="119" ht="17.25" customHeight="1" s="305">
      <c r="A119" s="8" t="inlineStr">
        <is>
          <t>D 370</t>
        </is>
      </c>
      <c r="B119" s="5" t="n">
        <v>40</v>
      </c>
      <c r="C119" s="72" t="inlineStr">
        <is>
          <t>X</t>
        </is>
      </c>
      <c r="D119" s="5" t="n">
        <v>91</v>
      </c>
      <c r="E119" s="73">
        <f>B119*D119/10000</f>
        <v/>
      </c>
      <c r="F119" s="74">
        <f>B119/30.48</f>
        <v/>
      </c>
      <c r="G119" s="74">
        <f>D119/30.48</f>
        <v/>
      </c>
      <c r="H119" s="615" t="n"/>
      <c r="I119" s="84" t="n"/>
      <c r="J119" s="48" t="n"/>
      <c r="K119" s="51" t="n"/>
      <c r="L119" s="87" t="n"/>
      <c r="M119" s="270" t="n"/>
      <c r="P119" s="280" t="n"/>
    </row>
    <row r="120" ht="17.25" customHeight="1" s="305">
      <c r="A120" s="8" t="inlineStr">
        <is>
          <t>D 371</t>
        </is>
      </c>
      <c r="B120" s="5" t="n">
        <v>51</v>
      </c>
      <c r="C120" s="72" t="inlineStr">
        <is>
          <t>X</t>
        </is>
      </c>
      <c r="D120" s="5" t="n">
        <v>89</v>
      </c>
      <c r="E120" s="73">
        <f>B120*D120/10000</f>
        <v/>
      </c>
      <c r="F120" s="74">
        <f>B120/30.48</f>
        <v/>
      </c>
      <c r="G120" s="74">
        <f>D120/30.48</f>
        <v/>
      </c>
      <c r="H120" s="615" t="n"/>
      <c r="I120" s="84" t="n"/>
      <c r="J120" s="48" t="n"/>
      <c r="K120" s="51" t="n"/>
      <c r="L120" s="87" t="n"/>
      <c r="M120" s="270" t="n"/>
      <c r="P120" s="280" t="n"/>
    </row>
    <row r="121" ht="17.25" customHeight="1" s="305">
      <c r="A121" s="8" t="inlineStr">
        <is>
          <t>D 372</t>
        </is>
      </c>
      <c r="B121" s="5" t="n">
        <v>48</v>
      </c>
      <c r="C121" s="72" t="inlineStr">
        <is>
          <t>X</t>
        </is>
      </c>
      <c r="D121" s="5" t="n">
        <v>88</v>
      </c>
      <c r="E121" s="73">
        <f>B121*D121/10000</f>
        <v/>
      </c>
      <c r="F121" s="74">
        <f>B121/30.48</f>
        <v/>
      </c>
      <c r="G121" s="74">
        <f>D121/30.48</f>
        <v/>
      </c>
      <c r="H121" s="615" t="n"/>
      <c r="I121" s="84" t="n"/>
      <c r="J121" s="48" t="n"/>
      <c r="K121" s="51" t="n"/>
      <c r="L121" s="87" t="n"/>
      <c r="M121" s="270" t="n"/>
      <c r="P121" s="280" t="n"/>
    </row>
    <row r="122" ht="17.25" customHeight="1" s="305">
      <c r="A122" s="8" t="inlineStr">
        <is>
          <t>d 1240</t>
        </is>
      </c>
      <c r="B122" s="5" t="n">
        <v>45</v>
      </c>
      <c r="C122" s="72" t="inlineStr">
        <is>
          <t>X</t>
        </is>
      </c>
      <c r="D122" s="5" t="n">
        <v>94</v>
      </c>
      <c r="E122" s="73">
        <f>B122*D122/10000</f>
        <v/>
      </c>
      <c r="F122" s="74">
        <f>B122/30.48</f>
        <v/>
      </c>
      <c r="G122" s="74">
        <f>D122/30.48</f>
        <v/>
      </c>
      <c r="H122" s="615" t="n"/>
      <c r="I122" s="84" t="n"/>
      <c r="J122" s="48" t="n"/>
      <c r="K122" s="51" t="n"/>
      <c r="L122" s="87" t="n"/>
      <c r="M122" s="270" t="n"/>
      <c r="P122" s="280" t="n"/>
    </row>
    <row r="123" ht="17.25" customHeight="1" s="305">
      <c r="A123" s="8" t="inlineStr">
        <is>
          <t>D 376</t>
        </is>
      </c>
      <c r="B123" s="5" t="n">
        <v>52</v>
      </c>
      <c r="C123" s="72" t="inlineStr">
        <is>
          <t>X</t>
        </is>
      </c>
      <c r="D123" s="5" t="n">
        <v>98</v>
      </c>
      <c r="E123" s="73">
        <f>B123*D123/10000</f>
        <v/>
      </c>
      <c r="F123" s="74">
        <f>B123/30.48</f>
        <v/>
      </c>
      <c r="G123" s="74">
        <f>D123/30.48</f>
        <v/>
      </c>
      <c r="H123" s="615" t="n"/>
      <c r="I123" s="84" t="n"/>
      <c r="J123" s="48" t="n"/>
      <c r="K123" s="51" t="n"/>
      <c r="L123" s="87" t="n"/>
      <c r="M123" s="270" t="n"/>
      <c r="P123" s="280" t="n"/>
    </row>
    <row r="124" ht="17.25" customHeight="1" s="305">
      <c r="A124" s="8" t="inlineStr">
        <is>
          <t>D 377</t>
        </is>
      </c>
      <c r="B124" s="5" t="n">
        <v>50</v>
      </c>
      <c r="C124" s="72" t="inlineStr">
        <is>
          <t>X</t>
        </is>
      </c>
      <c r="D124" s="5" t="n">
        <v>91</v>
      </c>
      <c r="E124" s="73">
        <f>B124*D124/10000</f>
        <v/>
      </c>
      <c r="F124" s="74">
        <f>B124/30.48</f>
        <v/>
      </c>
      <c r="G124" s="74">
        <f>D124/30.48</f>
        <v/>
      </c>
      <c r="H124" s="615" t="n"/>
      <c r="I124" s="84" t="n"/>
      <c r="J124" s="48" t="n"/>
      <c r="K124" s="51" t="n"/>
      <c r="L124" s="87" t="n"/>
      <c r="M124" s="270" t="n"/>
      <c r="P124" s="280" t="n"/>
    </row>
    <row r="125" ht="17.25" customHeight="1" s="305">
      <c r="A125" s="8" t="inlineStr">
        <is>
          <t>D 379</t>
        </is>
      </c>
      <c r="B125" s="5" t="n">
        <v>42</v>
      </c>
      <c r="C125" s="72" t="inlineStr">
        <is>
          <t>X</t>
        </is>
      </c>
      <c r="D125" s="5" t="n">
        <v>93</v>
      </c>
      <c r="E125" s="73">
        <f>B125*D125/10000</f>
        <v/>
      </c>
      <c r="F125" s="74">
        <f>B125/30.48</f>
        <v/>
      </c>
      <c r="G125" s="74">
        <f>D125/30.48</f>
        <v/>
      </c>
      <c r="H125" s="615" t="n"/>
      <c r="I125" s="84" t="n"/>
      <c r="J125" s="48" t="n"/>
      <c r="K125" s="51" t="n"/>
      <c r="L125" s="87" t="n"/>
      <c r="M125" s="270" t="n"/>
      <c r="P125" s="280" t="n"/>
    </row>
    <row r="126" ht="17.25" customHeight="1" s="305">
      <c r="A126" s="8" t="inlineStr">
        <is>
          <t>D 380</t>
        </is>
      </c>
      <c r="B126" s="5" t="n">
        <v>45</v>
      </c>
      <c r="C126" s="72" t="inlineStr">
        <is>
          <t>X</t>
        </is>
      </c>
      <c r="D126" s="5" t="n">
        <v>94</v>
      </c>
      <c r="E126" s="73">
        <f>B126*D126/10000</f>
        <v/>
      </c>
      <c r="F126" s="74">
        <f>B126/30.48</f>
        <v/>
      </c>
      <c r="G126" s="74">
        <f>D126/30.48</f>
        <v/>
      </c>
      <c r="H126" s="615" t="n"/>
      <c r="I126" s="84" t="n"/>
      <c r="J126" s="48" t="n"/>
      <c r="K126" s="51" t="n"/>
      <c r="L126" s="87" t="n"/>
      <c r="M126" s="270" t="n"/>
      <c r="P126" s="280" t="n"/>
    </row>
    <row r="127" ht="17.25" customHeight="1" s="305">
      <c r="A127" s="8" t="inlineStr">
        <is>
          <t>D 381</t>
        </is>
      </c>
      <c r="B127" s="5" t="n">
        <v>54</v>
      </c>
      <c r="C127" s="72" t="inlineStr">
        <is>
          <t>X</t>
        </is>
      </c>
      <c r="D127" s="5" t="n">
        <v>105</v>
      </c>
      <c r="E127" s="73">
        <f>B127*D127/10000</f>
        <v/>
      </c>
      <c r="F127" s="74">
        <f>B127/30.48</f>
        <v/>
      </c>
      <c r="G127" s="74">
        <f>D127/30.48</f>
        <v/>
      </c>
      <c r="H127" s="615" t="n"/>
      <c r="I127" s="84" t="n"/>
      <c r="J127" s="48" t="n"/>
      <c r="K127" s="51" t="n"/>
      <c r="L127" s="87" t="n"/>
      <c r="M127" s="270" t="n"/>
      <c r="P127" s="280" t="n"/>
    </row>
    <row r="128" ht="17.25" customHeight="1" s="305">
      <c r="A128" s="8" t="inlineStr">
        <is>
          <t>D 382</t>
        </is>
      </c>
      <c r="B128" s="5" t="n">
        <v>49</v>
      </c>
      <c r="C128" s="72" t="inlineStr">
        <is>
          <t>X</t>
        </is>
      </c>
      <c r="D128" s="5" t="n">
        <v>95</v>
      </c>
      <c r="E128" s="73">
        <f>B128*D128/10000</f>
        <v/>
      </c>
      <c r="F128" s="74">
        <f>B128/30.48</f>
        <v/>
      </c>
      <c r="G128" s="74">
        <f>D128/30.48</f>
        <v/>
      </c>
      <c r="H128" s="615" t="n"/>
      <c r="I128" s="84" t="n"/>
      <c r="J128" s="48" t="n"/>
      <c r="K128" s="51" t="n"/>
      <c r="L128" s="87" t="n"/>
      <c r="M128" s="270" t="n"/>
      <c r="P128" s="280" t="n"/>
    </row>
    <row r="129" ht="18" customHeight="1" s="305">
      <c r="A129" s="8" t="inlineStr">
        <is>
          <t>D 386</t>
        </is>
      </c>
      <c r="B129" s="5" t="n">
        <v>45</v>
      </c>
      <c r="C129" s="72" t="inlineStr">
        <is>
          <t>X</t>
        </is>
      </c>
      <c r="D129" s="5" t="n">
        <v>98</v>
      </c>
      <c r="E129" s="73">
        <f>B129*D129/10000</f>
        <v/>
      </c>
      <c r="F129" s="74">
        <f>B129/30.48</f>
        <v/>
      </c>
      <c r="G129" s="74">
        <f>D129/30.48</f>
        <v/>
      </c>
      <c r="H129" s="615" t="n"/>
      <c r="I129" s="84" t="n"/>
      <c r="J129" s="48" t="n"/>
      <c r="K129" s="51" t="n"/>
      <c r="L129" s="87" t="n"/>
      <c r="M129" s="270" t="n"/>
      <c r="P129" s="280" t="n"/>
    </row>
    <row r="130" ht="17.25" customHeight="1" s="305">
      <c r="A130" s="8" t="inlineStr">
        <is>
          <t>D 387</t>
        </is>
      </c>
      <c r="B130" s="5" t="n">
        <v>48</v>
      </c>
      <c r="C130" s="72" t="inlineStr">
        <is>
          <t>X</t>
        </is>
      </c>
      <c r="D130" s="5" t="n">
        <v>91</v>
      </c>
      <c r="E130" s="73">
        <f>B130*D130/10000</f>
        <v/>
      </c>
      <c r="F130" s="74">
        <f>B130/30.48</f>
        <v/>
      </c>
      <c r="G130" s="74">
        <f>D130/30.48</f>
        <v/>
      </c>
      <c r="H130" s="615" t="n"/>
      <c r="I130" s="84" t="n"/>
      <c r="J130" s="48" t="n"/>
      <c r="K130" s="51" t="n"/>
      <c r="L130" s="87" t="n"/>
      <c r="M130" s="270" t="n"/>
      <c r="P130" s="280" t="n"/>
    </row>
    <row r="131" ht="17.25" customHeight="1" s="305">
      <c r="A131" s="8" t="inlineStr">
        <is>
          <t>D 388</t>
        </is>
      </c>
      <c r="B131" s="5" t="n">
        <v>41</v>
      </c>
      <c r="C131" s="72" t="inlineStr">
        <is>
          <t>X</t>
        </is>
      </c>
      <c r="D131" s="5" t="n">
        <v>82</v>
      </c>
      <c r="E131" s="73">
        <f>B131*D131/10000</f>
        <v/>
      </c>
      <c r="F131" s="74">
        <f>B131/30.48</f>
        <v/>
      </c>
      <c r="G131" s="74">
        <f>D131/30.48</f>
        <v/>
      </c>
      <c r="H131" s="615" t="n"/>
      <c r="I131" s="84" t="n"/>
      <c r="J131" s="48" t="n"/>
      <c r="K131" s="51" t="n"/>
      <c r="L131" s="87" t="n"/>
      <c r="M131" s="270" t="n"/>
      <c r="P131" s="280" t="n"/>
    </row>
    <row r="132" ht="17.25" customHeight="1" s="305">
      <c r="A132" s="8" t="inlineStr">
        <is>
          <t>D 389</t>
        </is>
      </c>
      <c r="B132" s="5" t="n">
        <v>50</v>
      </c>
      <c r="C132" s="72" t="inlineStr">
        <is>
          <t>X</t>
        </is>
      </c>
      <c r="D132" s="5" t="n">
        <v>119</v>
      </c>
      <c r="E132" s="73">
        <f>B132*D132/10000</f>
        <v/>
      </c>
      <c r="F132" s="74">
        <f>B132/30.48</f>
        <v/>
      </c>
      <c r="G132" s="74">
        <f>D132/30.48</f>
        <v/>
      </c>
      <c r="H132" s="615" t="n"/>
      <c r="I132" s="84" t="n"/>
      <c r="J132" s="48" t="n"/>
      <c r="K132" s="51" t="n"/>
      <c r="L132" s="87" t="n"/>
      <c r="M132" s="270" t="n"/>
      <c r="P132" s="280" t="n"/>
    </row>
    <row r="133" ht="17.25" customHeight="1" s="305">
      <c r="A133" s="8" t="inlineStr">
        <is>
          <t>D 390</t>
        </is>
      </c>
      <c r="B133" s="5" t="n">
        <v>59</v>
      </c>
      <c r="C133" s="72" t="inlineStr">
        <is>
          <t>X</t>
        </is>
      </c>
      <c r="D133" s="5" t="n">
        <v>66</v>
      </c>
      <c r="E133" s="73">
        <f>B133*D133/10000</f>
        <v/>
      </c>
      <c r="F133" s="74">
        <f>B133/30.48</f>
        <v/>
      </c>
      <c r="G133" s="74">
        <f>D133/30.48</f>
        <v/>
      </c>
      <c r="H133" s="615" t="n"/>
      <c r="I133" s="84" t="n"/>
      <c r="J133" s="48" t="n"/>
      <c r="K133" s="51" t="n"/>
      <c r="L133" s="87" t="n"/>
      <c r="M133" s="270" t="n"/>
      <c r="P133" s="280" t="n"/>
    </row>
    <row r="134" ht="17.25" customHeight="1" s="305">
      <c r="A134" s="8" t="inlineStr">
        <is>
          <t>D 392</t>
        </is>
      </c>
      <c r="B134" s="5" t="n">
        <v>59</v>
      </c>
      <c r="C134" s="72" t="inlineStr">
        <is>
          <t>X</t>
        </is>
      </c>
      <c r="D134" s="5" t="n">
        <v>85</v>
      </c>
      <c r="E134" s="73">
        <f>B134*D134/10000</f>
        <v/>
      </c>
      <c r="F134" s="74">
        <f>B134/30.48</f>
        <v/>
      </c>
      <c r="G134" s="74">
        <f>D134/30.48</f>
        <v/>
      </c>
      <c r="H134" s="615" t="n"/>
      <c r="I134" s="84" t="n"/>
      <c r="J134" s="48" t="n"/>
      <c r="K134" s="51" t="n"/>
      <c r="L134" s="87" t="n"/>
      <c r="M134" s="270" t="n"/>
      <c r="P134" s="280" t="n"/>
    </row>
    <row r="135" ht="17.25" customHeight="1" s="305">
      <c r="A135" s="8" t="inlineStr">
        <is>
          <t>D 393</t>
        </is>
      </c>
      <c r="B135" s="5" t="n">
        <v>57</v>
      </c>
      <c r="C135" s="72" t="inlineStr">
        <is>
          <t>X</t>
        </is>
      </c>
      <c r="D135" s="5" t="n">
        <v>87</v>
      </c>
      <c r="E135" s="73">
        <f>B135*D135/10000</f>
        <v/>
      </c>
      <c r="F135" s="74">
        <f>B135/30.48</f>
        <v/>
      </c>
      <c r="G135" s="74">
        <f>D135/30.48</f>
        <v/>
      </c>
      <c r="H135" s="615" t="n"/>
      <c r="I135" s="84" t="n"/>
      <c r="J135" s="48" t="n"/>
      <c r="K135" s="51" t="n"/>
      <c r="L135" s="87" t="n"/>
      <c r="M135" s="270" t="n"/>
      <c r="P135" s="280" t="n"/>
    </row>
    <row r="136" ht="17.25" customHeight="1" s="305">
      <c r="A136" s="8" t="inlineStr">
        <is>
          <t>D 394</t>
        </is>
      </c>
      <c r="B136" s="5" t="n">
        <v>60</v>
      </c>
      <c r="C136" s="72" t="inlineStr">
        <is>
          <t>X</t>
        </is>
      </c>
      <c r="D136" s="5" t="n">
        <v>97</v>
      </c>
      <c r="E136" s="73">
        <f>B136*D136/10000</f>
        <v/>
      </c>
      <c r="F136" s="74">
        <f>B136/30.48</f>
        <v/>
      </c>
      <c r="G136" s="74">
        <f>D136/30.48</f>
        <v/>
      </c>
      <c r="H136" s="615" t="n"/>
      <c r="I136" s="84" t="n"/>
      <c r="J136" s="48" t="n"/>
      <c r="K136" s="51" t="n"/>
      <c r="L136" s="87" t="n"/>
      <c r="M136" s="270" t="n"/>
      <c r="P136" s="280" t="n"/>
    </row>
    <row r="137" ht="17.25" customHeight="1" s="305">
      <c r="A137" s="8" t="inlineStr">
        <is>
          <t>D 399</t>
        </is>
      </c>
      <c r="B137" s="5" t="n">
        <v>39</v>
      </c>
      <c r="C137" s="72" t="inlineStr">
        <is>
          <t>X</t>
        </is>
      </c>
      <c r="D137" s="5" t="n">
        <v>89</v>
      </c>
      <c r="E137" s="73">
        <f>B137*D137/10000</f>
        <v/>
      </c>
      <c r="F137" s="74">
        <f>B137/30.48</f>
        <v/>
      </c>
      <c r="G137" s="74">
        <f>D137/30.48</f>
        <v/>
      </c>
      <c r="H137" s="615" t="n"/>
      <c r="I137" s="84" t="n"/>
      <c r="J137" s="48" t="n"/>
      <c r="K137" s="51" t="n"/>
      <c r="L137" s="87" t="n"/>
      <c r="M137" s="270" t="n"/>
      <c r="P137" s="280" t="n"/>
    </row>
    <row r="138" ht="17.25" customHeight="1" s="305">
      <c r="A138" s="8" t="inlineStr">
        <is>
          <t>D 400</t>
        </is>
      </c>
      <c r="B138" s="5" t="n">
        <v>60</v>
      </c>
      <c r="C138" s="72" t="inlineStr">
        <is>
          <t>X</t>
        </is>
      </c>
      <c r="D138" s="5" t="n">
        <v>88</v>
      </c>
      <c r="E138" s="73">
        <f>B138*D138/10000</f>
        <v/>
      </c>
      <c r="F138" s="74">
        <f>B138/30.48</f>
        <v/>
      </c>
      <c r="G138" s="74">
        <f>D138/30.48</f>
        <v/>
      </c>
      <c r="H138" s="615" t="n"/>
      <c r="I138" s="84" t="n"/>
      <c r="J138" s="48" t="n"/>
      <c r="K138" s="51" t="n"/>
      <c r="L138" s="87" t="n"/>
      <c r="M138" s="270" t="n"/>
      <c r="P138" s="280" t="n"/>
    </row>
    <row r="139" ht="17.25" customHeight="1" s="305">
      <c r="A139" s="8" t="inlineStr">
        <is>
          <t>D 401</t>
        </is>
      </c>
      <c r="B139" s="5" t="n">
        <v>58</v>
      </c>
      <c r="C139" s="72" t="inlineStr">
        <is>
          <t>X</t>
        </is>
      </c>
      <c r="D139" s="5" t="n">
        <v>95</v>
      </c>
      <c r="E139" s="73">
        <f>B139*D139/10000</f>
        <v/>
      </c>
      <c r="F139" s="74">
        <f>B139/30.48</f>
        <v/>
      </c>
      <c r="G139" s="74">
        <f>D139/30.48</f>
        <v/>
      </c>
      <c r="H139" s="615" t="n"/>
      <c r="I139" s="84" t="n"/>
      <c r="J139" s="48" t="n"/>
      <c r="K139" s="51" t="n"/>
      <c r="L139" s="87" t="n"/>
      <c r="M139" s="270" t="n"/>
      <c r="P139" s="280" t="n"/>
    </row>
    <row r="140" ht="17.25" customHeight="1" s="305">
      <c r="A140" s="8" t="inlineStr">
        <is>
          <t>D 402</t>
        </is>
      </c>
      <c r="B140" s="5" t="n">
        <v>43</v>
      </c>
      <c r="C140" s="72" t="inlineStr">
        <is>
          <t>X</t>
        </is>
      </c>
      <c r="D140" s="5" t="n">
        <v>84</v>
      </c>
      <c r="E140" s="73">
        <f>B140*D140/10000</f>
        <v/>
      </c>
      <c r="F140" s="74">
        <f>B140/30.48</f>
        <v/>
      </c>
      <c r="G140" s="74">
        <f>D140/30.48</f>
        <v/>
      </c>
      <c r="H140" s="615" t="n"/>
      <c r="I140" s="84" t="n"/>
      <c r="J140" s="48" t="n"/>
      <c r="K140" s="51" t="n"/>
      <c r="L140" s="87" t="n"/>
      <c r="M140" s="270" t="n"/>
      <c r="P140" s="280" t="n"/>
    </row>
    <row r="141" ht="17.25" customHeight="1" s="305">
      <c r="A141" s="8" t="inlineStr">
        <is>
          <t>D 403</t>
        </is>
      </c>
      <c r="B141" s="5" t="n">
        <v>47</v>
      </c>
      <c r="C141" s="72" t="inlineStr">
        <is>
          <t>X</t>
        </is>
      </c>
      <c r="D141" s="5" t="n">
        <v>106</v>
      </c>
      <c r="E141" s="73">
        <f>B141*D141/10000</f>
        <v/>
      </c>
      <c r="F141" s="74">
        <f>B141/30.48</f>
        <v/>
      </c>
      <c r="G141" s="74">
        <f>D141/30.48</f>
        <v/>
      </c>
      <c r="H141" s="615" t="n"/>
      <c r="I141" s="84" t="n"/>
      <c r="J141" s="48" t="n"/>
      <c r="K141" s="51" t="n"/>
      <c r="L141" s="87" t="n"/>
      <c r="M141" s="270" t="n"/>
      <c r="P141" s="280" t="n"/>
    </row>
    <row r="142" ht="17.25" customHeight="1" s="305">
      <c r="A142" s="8" t="inlineStr">
        <is>
          <t>D 405</t>
        </is>
      </c>
      <c r="B142" s="5" t="n">
        <v>60</v>
      </c>
      <c r="C142" s="72" t="inlineStr">
        <is>
          <t>X</t>
        </is>
      </c>
      <c r="D142" s="5" t="n">
        <v>84</v>
      </c>
      <c r="E142" s="73">
        <f>B142*D142/10000</f>
        <v/>
      </c>
      <c r="F142" s="74">
        <f>B142/30.48</f>
        <v/>
      </c>
      <c r="G142" s="74">
        <f>D142/30.48</f>
        <v/>
      </c>
      <c r="H142" s="615" t="n"/>
      <c r="I142" s="84" t="n"/>
      <c r="J142" s="48" t="n"/>
      <c r="K142" s="51" t="n"/>
      <c r="L142" s="87" t="n"/>
      <c r="M142" s="270" t="n"/>
      <c r="P142" s="280" t="n"/>
    </row>
    <row r="143" ht="17.25" customHeight="1" s="305">
      <c r="A143" s="8" t="inlineStr">
        <is>
          <t>D 406</t>
        </is>
      </c>
      <c r="B143" s="5" t="n">
        <v>61</v>
      </c>
      <c r="C143" s="72" t="inlineStr">
        <is>
          <t>X</t>
        </is>
      </c>
      <c r="D143" s="5" t="n">
        <v>94</v>
      </c>
      <c r="E143" s="73">
        <f>B143*D143/10000</f>
        <v/>
      </c>
      <c r="F143" s="74">
        <f>B143/30.48</f>
        <v/>
      </c>
      <c r="G143" s="74">
        <f>D143/30.48</f>
        <v/>
      </c>
      <c r="H143" s="615" t="n"/>
      <c r="I143" s="84" t="n"/>
      <c r="J143" s="48" t="n"/>
      <c r="K143" s="51" t="n"/>
      <c r="L143" s="87" t="n"/>
      <c r="M143" s="270" t="n"/>
      <c r="P143" s="280" t="n"/>
    </row>
    <row r="144" ht="17.25" customHeight="1" s="305">
      <c r="A144" s="8" t="inlineStr">
        <is>
          <t>D 407</t>
        </is>
      </c>
      <c r="B144" s="5" t="n">
        <v>59</v>
      </c>
      <c r="C144" s="72" t="inlineStr">
        <is>
          <t>X</t>
        </is>
      </c>
      <c r="D144" s="5" t="n">
        <v>114</v>
      </c>
      <c r="E144" s="73">
        <f>B144*D144/10000</f>
        <v/>
      </c>
      <c r="F144" s="74">
        <f>B144/30.48</f>
        <v/>
      </c>
      <c r="G144" s="74">
        <f>D144/30.48</f>
        <v/>
      </c>
      <c r="H144" s="615" t="n"/>
      <c r="I144" s="84" t="n"/>
      <c r="J144" s="48" t="n"/>
      <c r="K144" s="51" t="n"/>
      <c r="L144" s="87" t="n"/>
      <c r="M144" s="270" t="n"/>
      <c r="P144" s="280" t="n"/>
    </row>
    <row r="145" ht="17.25" customHeight="1" s="305">
      <c r="A145" s="8" t="inlineStr">
        <is>
          <t>D 408</t>
        </is>
      </c>
      <c r="B145" s="5" t="n">
        <v>53</v>
      </c>
      <c r="C145" s="72" t="inlineStr">
        <is>
          <t>X</t>
        </is>
      </c>
      <c r="D145" s="5" t="n">
        <v>88</v>
      </c>
      <c r="E145" s="73">
        <f>B145*D145/10000</f>
        <v/>
      </c>
      <c r="F145" s="74">
        <f>B145/30.48</f>
        <v/>
      </c>
      <c r="G145" s="74">
        <f>D145/30.48</f>
        <v/>
      </c>
      <c r="H145" s="615" t="n"/>
      <c r="I145" s="84" t="n"/>
      <c r="J145" s="48" t="n"/>
      <c r="K145" s="51" t="n"/>
      <c r="L145" s="87" t="n"/>
      <c r="M145" s="270" t="n"/>
      <c r="P145" s="280" t="n"/>
    </row>
    <row r="146" ht="17.25" customHeight="1" s="305">
      <c r="A146" s="8" t="inlineStr">
        <is>
          <t>D 409</t>
        </is>
      </c>
      <c r="B146" s="5" t="n">
        <v>61</v>
      </c>
      <c r="C146" s="72" t="inlineStr">
        <is>
          <t>X</t>
        </is>
      </c>
      <c r="D146" s="5" t="n">
        <v>93</v>
      </c>
      <c r="E146" s="73">
        <f>B146*D146/10000</f>
        <v/>
      </c>
      <c r="F146" s="74">
        <f>B146/30.48</f>
        <v/>
      </c>
      <c r="G146" s="74">
        <f>D146/30.48</f>
        <v/>
      </c>
      <c r="H146" s="615" t="n"/>
      <c r="I146" s="84" t="n"/>
      <c r="J146" s="48" t="n"/>
      <c r="K146" s="51" t="n"/>
      <c r="L146" s="87" t="n"/>
      <c r="M146" s="270" t="n"/>
      <c r="P146" s="280" t="n"/>
    </row>
    <row r="147" ht="17.25" customHeight="1" s="305">
      <c r="A147" s="8" t="inlineStr">
        <is>
          <t>D 410</t>
        </is>
      </c>
      <c r="B147" s="5" t="n">
        <v>48</v>
      </c>
      <c r="C147" s="72" t="inlineStr">
        <is>
          <t>X</t>
        </is>
      </c>
      <c r="D147" s="5" t="n">
        <v>84</v>
      </c>
      <c r="E147" s="73">
        <f>B147*D147/10000</f>
        <v/>
      </c>
      <c r="F147" s="74">
        <f>B147/30.48</f>
        <v/>
      </c>
      <c r="G147" s="74">
        <f>D147/30.48</f>
        <v/>
      </c>
      <c r="H147" s="615" t="n"/>
      <c r="I147" s="84" t="n"/>
      <c r="J147" s="48" t="n"/>
      <c r="K147" s="51" t="n"/>
      <c r="L147" s="87" t="n"/>
      <c r="M147" s="270" t="n"/>
      <c r="P147" s="280" t="n"/>
    </row>
    <row r="148" ht="17.25" customHeight="1" s="305">
      <c r="A148" s="8" t="inlineStr">
        <is>
          <t>D 411</t>
        </is>
      </c>
      <c r="B148" s="5" t="n">
        <v>43</v>
      </c>
      <c r="C148" s="72" t="inlineStr">
        <is>
          <t>X</t>
        </is>
      </c>
      <c r="D148" s="5" t="n">
        <v>88</v>
      </c>
      <c r="E148" s="73">
        <f>B148*D148/10000</f>
        <v/>
      </c>
      <c r="F148" s="74">
        <f>B148/30.48</f>
        <v/>
      </c>
      <c r="G148" s="74">
        <f>D148/30.48</f>
        <v/>
      </c>
      <c r="H148" s="615" t="n"/>
      <c r="I148" s="84" t="n"/>
      <c r="J148" s="48" t="n"/>
      <c r="K148" s="51" t="n"/>
      <c r="L148" s="87" t="n"/>
      <c r="M148" s="270" t="n"/>
      <c r="P148" s="280" t="n"/>
    </row>
    <row r="149" ht="17.25" customHeight="1" s="305">
      <c r="A149" s="8" t="inlineStr">
        <is>
          <t>D 412</t>
        </is>
      </c>
      <c r="B149" s="5" t="n">
        <v>48</v>
      </c>
      <c r="C149" s="72" t="inlineStr">
        <is>
          <t>X</t>
        </is>
      </c>
      <c r="D149" s="5" t="n">
        <v>97</v>
      </c>
      <c r="E149" s="73">
        <f>B149*D149/10000</f>
        <v/>
      </c>
      <c r="F149" s="74">
        <f>B149/30.48</f>
        <v/>
      </c>
      <c r="G149" s="74">
        <f>D149/30.48</f>
        <v/>
      </c>
      <c r="H149" s="615" t="n"/>
      <c r="I149" s="84" t="n"/>
      <c r="J149" s="48" t="n"/>
      <c r="K149" s="51" t="n"/>
      <c r="L149" s="87" t="n"/>
      <c r="M149" s="270" t="n"/>
      <c r="P149" s="280" t="n"/>
    </row>
    <row r="150" ht="17.25" customHeight="1" s="305">
      <c r="A150" s="8" t="inlineStr">
        <is>
          <t>D 414</t>
        </is>
      </c>
      <c r="B150" s="5" t="n">
        <v>43</v>
      </c>
      <c r="C150" s="72" t="inlineStr">
        <is>
          <t>X</t>
        </is>
      </c>
      <c r="D150" s="5" t="n">
        <v>88</v>
      </c>
      <c r="E150" s="73">
        <f>B150*D150/10000</f>
        <v/>
      </c>
      <c r="F150" s="74">
        <f>B150/30.48</f>
        <v/>
      </c>
      <c r="G150" s="74">
        <f>D150/30.48</f>
        <v/>
      </c>
      <c r="H150" s="615" t="n"/>
      <c r="I150" s="84" t="n"/>
      <c r="J150" s="48" t="n"/>
      <c r="K150" s="51" t="n"/>
      <c r="L150" s="87" t="n"/>
      <c r="M150" s="270" t="n"/>
      <c r="P150" s="280" t="n"/>
    </row>
    <row r="151" ht="17.25" customHeight="1" s="305">
      <c r="A151" s="8" t="inlineStr">
        <is>
          <t>D 415</t>
        </is>
      </c>
      <c r="B151" s="5" t="n">
        <v>39</v>
      </c>
      <c r="C151" s="72" t="inlineStr">
        <is>
          <t>X</t>
        </is>
      </c>
      <c r="D151" s="5" t="n">
        <v>89</v>
      </c>
      <c r="E151" s="73">
        <f>B151*D151/10000</f>
        <v/>
      </c>
      <c r="F151" s="74">
        <f>B151/30.48</f>
        <v/>
      </c>
      <c r="G151" s="74">
        <f>D151/30.48</f>
        <v/>
      </c>
      <c r="H151" s="615" t="n"/>
      <c r="I151" s="84" t="n"/>
      <c r="J151" s="48" t="n"/>
      <c r="K151" s="51" t="n"/>
      <c r="L151" s="87" t="n"/>
      <c r="M151" s="270" t="n"/>
      <c r="P151" s="280" t="n"/>
    </row>
    <row r="152" ht="17.25" customHeight="1" s="305">
      <c r="A152" s="8" t="inlineStr">
        <is>
          <t>D 416</t>
        </is>
      </c>
      <c r="B152" s="5" t="n">
        <v>44</v>
      </c>
      <c r="C152" s="72" t="inlineStr">
        <is>
          <t>X</t>
        </is>
      </c>
      <c r="D152" s="5" t="n">
        <v>96</v>
      </c>
      <c r="E152" s="73">
        <f>B152*D152/10000</f>
        <v/>
      </c>
      <c r="F152" s="74">
        <f>B152/30.48</f>
        <v/>
      </c>
      <c r="G152" s="74">
        <f>D152/30.48</f>
        <v/>
      </c>
      <c r="H152" s="615" t="n"/>
      <c r="I152" s="84" t="n"/>
      <c r="J152" s="48" t="n"/>
      <c r="K152" s="51" t="n"/>
      <c r="L152" s="87" t="n"/>
      <c r="M152" s="270" t="n"/>
      <c r="P152" s="280" t="n"/>
    </row>
    <row r="153" ht="17.25" customHeight="1" s="305">
      <c r="A153" s="8" t="inlineStr">
        <is>
          <t>D 417</t>
        </is>
      </c>
      <c r="B153" s="5" t="n">
        <v>60</v>
      </c>
      <c r="C153" s="72" t="inlineStr">
        <is>
          <t>X</t>
        </is>
      </c>
      <c r="D153" s="5" t="n">
        <v>93</v>
      </c>
      <c r="E153" s="73">
        <f>B153*D153/10000</f>
        <v/>
      </c>
      <c r="F153" s="74">
        <f>B153/30.48</f>
        <v/>
      </c>
      <c r="G153" s="74">
        <f>D153/30.48</f>
        <v/>
      </c>
      <c r="H153" s="615" t="n"/>
      <c r="I153" s="84" t="n"/>
      <c r="J153" s="48" t="n"/>
      <c r="K153" s="51" t="n"/>
      <c r="L153" s="87" t="n"/>
      <c r="M153" s="270" t="n"/>
      <c r="P153" s="280" t="n"/>
    </row>
    <row r="154" ht="17.25" customHeight="1" s="305">
      <c r="A154" s="8" t="inlineStr">
        <is>
          <t>D 418</t>
        </is>
      </c>
      <c r="B154" s="5" t="n">
        <v>60</v>
      </c>
      <c r="C154" s="72" t="inlineStr">
        <is>
          <t>X</t>
        </is>
      </c>
      <c r="D154" s="5" t="n">
        <v>92</v>
      </c>
      <c r="E154" s="73">
        <f>B154*D154/10000</f>
        <v/>
      </c>
      <c r="F154" s="74">
        <f>B154/30.48</f>
        <v/>
      </c>
      <c r="G154" s="74">
        <f>D154/30.48</f>
        <v/>
      </c>
      <c r="H154" s="615" t="n"/>
      <c r="I154" s="84" t="n"/>
      <c r="J154" s="48" t="n"/>
      <c r="K154" s="51" t="n"/>
      <c r="L154" s="87" t="n"/>
      <c r="M154" s="270" t="n"/>
      <c r="P154" s="280" t="n"/>
    </row>
    <row r="155" ht="17.25" customHeight="1" s="305">
      <c r="A155" s="8" t="inlineStr">
        <is>
          <t>D 419</t>
        </is>
      </c>
      <c r="B155" s="5" t="n">
        <v>60</v>
      </c>
      <c r="C155" s="72" t="inlineStr">
        <is>
          <t>X</t>
        </is>
      </c>
      <c r="D155" s="5" t="n">
        <v>83</v>
      </c>
      <c r="E155" s="73">
        <f>B155*D155/10000</f>
        <v/>
      </c>
      <c r="F155" s="74">
        <f>B155/30.48</f>
        <v/>
      </c>
      <c r="G155" s="74">
        <f>D155/30.48</f>
        <v/>
      </c>
      <c r="H155" s="615" t="n"/>
      <c r="I155" s="84" t="n"/>
      <c r="J155" s="48" t="n"/>
      <c r="K155" s="51" t="n"/>
      <c r="L155" s="87" t="n"/>
      <c r="M155" s="270" t="n"/>
      <c r="P155" s="280" t="n"/>
    </row>
    <row r="156" ht="17.25" customHeight="1" s="305">
      <c r="A156" s="8" t="inlineStr">
        <is>
          <t>D 420</t>
        </is>
      </c>
      <c r="B156" s="5" t="n">
        <v>41</v>
      </c>
      <c r="C156" s="72" t="inlineStr">
        <is>
          <t>X</t>
        </is>
      </c>
      <c r="D156" s="5" t="n">
        <v>90</v>
      </c>
      <c r="E156" s="73">
        <f>B156*D156/10000</f>
        <v/>
      </c>
      <c r="F156" s="74">
        <f>B156/30.48</f>
        <v/>
      </c>
      <c r="G156" s="74">
        <f>D156/30.48</f>
        <v/>
      </c>
      <c r="H156" s="615" t="n"/>
      <c r="I156" s="84" t="n"/>
      <c r="J156" s="48" t="n"/>
      <c r="K156" s="51" t="n"/>
      <c r="L156" s="87" t="n"/>
      <c r="M156" s="270" t="n"/>
      <c r="P156" s="280" t="n"/>
    </row>
    <row r="157" ht="17.25" customHeight="1" s="305">
      <c r="A157" s="8" t="inlineStr">
        <is>
          <t>D 422</t>
        </is>
      </c>
      <c r="B157" s="5" t="n">
        <v>47</v>
      </c>
      <c r="C157" s="72" t="inlineStr">
        <is>
          <t>X</t>
        </is>
      </c>
      <c r="D157" s="5" t="n">
        <v>97</v>
      </c>
      <c r="E157" s="73">
        <f>B157*D157/10000</f>
        <v/>
      </c>
      <c r="F157" s="74">
        <f>B157/30.48</f>
        <v/>
      </c>
      <c r="G157" s="74">
        <f>D157/30.48</f>
        <v/>
      </c>
      <c r="H157" s="615" t="n"/>
      <c r="I157" s="84" t="n"/>
      <c r="J157" s="48" t="n"/>
      <c r="K157" s="51" t="n"/>
      <c r="L157" s="87" t="n"/>
      <c r="M157" s="270" t="n"/>
      <c r="P157" s="280" t="n"/>
    </row>
    <row r="158" ht="17.25" customHeight="1" s="305">
      <c r="A158" s="8" t="inlineStr">
        <is>
          <t>D 423</t>
        </is>
      </c>
      <c r="B158" s="5" t="n">
        <v>60</v>
      </c>
      <c r="C158" s="72" t="inlineStr">
        <is>
          <t>X</t>
        </is>
      </c>
      <c r="D158" s="5" t="n">
        <v>92</v>
      </c>
      <c r="E158" s="73">
        <f>B158*D158/10000</f>
        <v/>
      </c>
      <c r="F158" s="74">
        <f>B158/30.48</f>
        <v/>
      </c>
      <c r="G158" s="74">
        <f>D158/30.48</f>
        <v/>
      </c>
      <c r="H158" s="615" t="n"/>
      <c r="I158" s="84" t="n"/>
      <c r="J158" s="48" t="n"/>
      <c r="K158" s="51" t="n"/>
      <c r="L158" s="87" t="n"/>
      <c r="M158" s="270" t="n"/>
      <c r="P158" s="280" t="n"/>
    </row>
    <row r="159" ht="17.25" customHeight="1" s="305">
      <c r="A159" s="8" t="inlineStr">
        <is>
          <t>D 424</t>
        </is>
      </c>
      <c r="B159" s="5" t="n">
        <v>45</v>
      </c>
      <c r="C159" s="72" t="inlineStr">
        <is>
          <t>X</t>
        </is>
      </c>
      <c r="D159" s="5" t="n">
        <v>91</v>
      </c>
      <c r="E159" s="73">
        <f>B159*D159/10000</f>
        <v/>
      </c>
      <c r="F159" s="74">
        <f>B159/30.48</f>
        <v/>
      </c>
      <c r="G159" s="74">
        <f>D159/30.48</f>
        <v/>
      </c>
      <c r="H159" s="615" t="n"/>
      <c r="I159" s="84" t="n"/>
      <c r="J159" s="48" t="n"/>
      <c r="K159" s="51" t="n"/>
      <c r="L159" s="87" t="n"/>
      <c r="M159" s="270" t="n"/>
      <c r="P159" s="280" t="n"/>
    </row>
    <row r="160" ht="17.25" customHeight="1" s="305">
      <c r="A160" s="8" t="inlineStr">
        <is>
          <t>D 426</t>
        </is>
      </c>
      <c r="B160" s="5" t="n">
        <v>42</v>
      </c>
      <c r="C160" s="72" t="inlineStr">
        <is>
          <t>X</t>
        </is>
      </c>
      <c r="D160" s="5" t="n">
        <v>86</v>
      </c>
      <c r="E160" s="73">
        <f>B160*D160/10000</f>
        <v/>
      </c>
      <c r="F160" s="74">
        <f>B160/30.48</f>
        <v/>
      </c>
      <c r="G160" s="74">
        <f>D160/30.48</f>
        <v/>
      </c>
      <c r="H160" s="615" t="n"/>
      <c r="I160" s="84" t="n"/>
      <c r="J160" s="48" t="n"/>
      <c r="K160" s="51" t="n"/>
      <c r="L160" s="87" t="n"/>
      <c r="M160" s="270" t="n"/>
      <c r="P160" s="280" t="n"/>
    </row>
    <row r="161" ht="17.25" customHeight="1" s="305">
      <c r="A161" s="8" t="inlineStr">
        <is>
          <t>D 428</t>
        </is>
      </c>
      <c r="B161" s="5" t="n">
        <v>45</v>
      </c>
      <c r="C161" s="72" t="inlineStr">
        <is>
          <t>X</t>
        </is>
      </c>
      <c r="D161" s="5" t="n">
        <v>88</v>
      </c>
      <c r="E161" s="73">
        <f>B161*D161/10000</f>
        <v/>
      </c>
      <c r="F161" s="74">
        <f>B161/30.48</f>
        <v/>
      </c>
      <c r="G161" s="74">
        <f>D161/30.48</f>
        <v/>
      </c>
      <c r="H161" s="615" t="n"/>
      <c r="I161" s="84" t="n"/>
      <c r="J161" s="48" t="n"/>
      <c r="K161" s="51" t="n"/>
      <c r="L161" s="87" t="n"/>
      <c r="M161" s="270" t="n"/>
      <c r="P161" s="280" t="n"/>
    </row>
    <row r="162" ht="17.25" customHeight="1" s="305">
      <c r="A162" s="8" t="inlineStr">
        <is>
          <t>D 429</t>
        </is>
      </c>
      <c r="B162" s="5" t="n">
        <v>43</v>
      </c>
      <c r="C162" s="72" t="inlineStr">
        <is>
          <t>X</t>
        </is>
      </c>
      <c r="D162" s="5" t="n">
        <v>98</v>
      </c>
      <c r="E162" s="73">
        <f>B162*D162/10000</f>
        <v/>
      </c>
      <c r="F162" s="74">
        <f>B162/30.48</f>
        <v/>
      </c>
      <c r="G162" s="74">
        <f>D162/30.48</f>
        <v/>
      </c>
      <c r="H162" s="615" t="n"/>
      <c r="I162" s="84" t="n"/>
      <c r="J162" s="48" t="n"/>
      <c r="K162" s="51" t="n"/>
      <c r="L162" s="87" t="n"/>
      <c r="M162" s="270" t="n"/>
      <c r="P162" s="280" t="n"/>
    </row>
    <row r="163" ht="17.25" customHeight="1" s="305">
      <c r="A163" s="8" t="inlineStr">
        <is>
          <t>D 430</t>
        </is>
      </c>
      <c r="B163" s="5" t="n">
        <v>60</v>
      </c>
      <c r="C163" s="72" t="inlineStr">
        <is>
          <t>X</t>
        </is>
      </c>
      <c r="D163" s="5" t="n">
        <v>114</v>
      </c>
      <c r="E163" s="73">
        <f>B163*D163/10000</f>
        <v/>
      </c>
      <c r="F163" s="74">
        <f>B163/30.48</f>
        <v/>
      </c>
      <c r="G163" s="74">
        <f>D163/30.48</f>
        <v/>
      </c>
      <c r="H163" s="615" t="n"/>
      <c r="I163" s="84" t="n"/>
      <c r="J163" s="48" t="n"/>
      <c r="K163" s="51" t="n"/>
      <c r="L163" s="87" t="n"/>
      <c r="M163" s="270" t="n"/>
      <c r="P163" s="280" t="n"/>
    </row>
    <row r="164" ht="17.25" customHeight="1" s="305">
      <c r="A164" s="8" t="inlineStr">
        <is>
          <t>D 431</t>
        </is>
      </c>
      <c r="B164" s="5" t="n">
        <v>61</v>
      </c>
      <c r="C164" s="72" t="inlineStr">
        <is>
          <t>X</t>
        </is>
      </c>
      <c r="D164" s="5" t="n">
        <v>94</v>
      </c>
      <c r="E164" s="73">
        <f>B164*D164/10000</f>
        <v/>
      </c>
      <c r="F164" s="74">
        <f>B164/30.48</f>
        <v/>
      </c>
      <c r="G164" s="74">
        <f>D164/30.48</f>
        <v/>
      </c>
      <c r="H164" s="615" t="n"/>
      <c r="I164" s="84" t="n"/>
      <c r="J164" s="48" t="n"/>
      <c r="K164" s="51" t="n"/>
      <c r="L164" s="87" t="n"/>
      <c r="M164" s="270" t="n"/>
      <c r="P164" s="280" t="n"/>
    </row>
    <row r="165" ht="17.25" customHeight="1" s="305">
      <c r="A165" s="8" t="inlineStr">
        <is>
          <t>D 432</t>
        </is>
      </c>
      <c r="B165" s="5" t="n">
        <v>61</v>
      </c>
      <c r="C165" s="72" t="inlineStr">
        <is>
          <t>X</t>
        </is>
      </c>
      <c r="D165" s="5" t="n">
        <v>94</v>
      </c>
      <c r="E165" s="73">
        <f>B165*D165/10000</f>
        <v/>
      </c>
      <c r="F165" s="74">
        <f>B165/30.48</f>
        <v/>
      </c>
      <c r="G165" s="74">
        <f>D165/30.48</f>
        <v/>
      </c>
      <c r="H165" s="615" t="n"/>
      <c r="I165" s="84" t="n"/>
      <c r="J165" s="48" t="n"/>
      <c r="K165" s="51" t="n"/>
      <c r="L165" s="87" t="n"/>
      <c r="M165" s="270" t="n"/>
      <c r="P165" s="280" t="n"/>
    </row>
    <row r="166" ht="17.25" customHeight="1" s="305">
      <c r="A166" s="8" t="inlineStr">
        <is>
          <t>D 433</t>
        </is>
      </c>
      <c r="B166" s="5" t="n">
        <v>42</v>
      </c>
      <c r="C166" s="72" t="inlineStr">
        <is>
          <t>X</t>
        </is>
      </c>
      <c r="D166" s="5" t="n">
        <v>88</v>
      </c>
      <c r="E166" s="73">
        <f>B166*D166/10000</f>
        <v/>
      </c>
      <c r="F166" s="74">
        <f>B166/30.48</f>
        <v/>
      </c>
      <c r="G166" s="74">
        <f>D166/30.48</f>
        <v/>
      </c>
      <c r="H166" s="615" t="n"/>
      <c r="I166" s="84" t="n"/>
      <c r="J166" s="48" t="n"/>
      <c r="K166" s="51" t="n"/>
      <c r="L166" s="87" t="n"/>
      <c r="M166" s="270" t="n"/>
      <c r="P166" s="280" t="n"/>
    </row>
    <row r="167" ht="18" customHeight="1" s="305">
      <c r="A167" s="8" t="inlineStr">
        <is>
          <t>D 435</t>
        </is>
      </c>
      <c r="B167" s="5" t="n">
        <v>52</v>
      </c>
      <c r="C167" s="72" t="inlineStr">
        <is>
          <t>X</t>
        </is>
      </c>
      <c r="D167" s="5" t="n">
        <v>85</v>
      </c>
      <c r="E167" s="73">
        <f>B167*D167/10000</f>
        <v/>
      </c>
      <c r="F167" s="74">
        <f>B167/30.48</f>
        <v/>
      </c>
      <c r="G167" s="74">
        <f>D167/30.48</f>
        <v/>
      </c>
      <c r="H167" s="615" t="n"/>
      <c r="I167" s="84" t="n"/>
      <c r="J167" s="48" t="n"/>
      <c r="K167" s="51" t="n"/>
      <c r="L167" s="87" t="n"/>
      <c r="M167" s="270" t="n"/>
      <c r="P167" s="280" t="n"/>
    </row>
    <row r="168" ht="17.25" customHeight="1" s="305">
      <c r="A168" s="8" t="inlineStr">
        <is>
          <t>D 439</t>
        </is>
      </c>
      <c r="B168" s="5" t="n">
        <v>50</v>
      </c>
      <c r="C168" s="72" t="inlineStr">
        <is>
          <t>X</t>
        </is>
      </c>
      <c r="D168" s="5" t="n">
        <v>97</v>
      </c>
      <c r="E168" s="73">
        <f>B168*D168/10000</f>
        <v/>
      </c>
      <c r="F168" s="74">
        <f>B168/30.48</f>
        <v/>
      </c>
      <c r="G168" s="74" t="inlineStr">
        <is>
          <t xml:space="preserve">F </t>
        </is>
      </c>
      <c r="H168" s="615" t="n"/>
      <c r="I168" s="84" t="n"/>
      <c r="J168" s="48" t="n"/>
      <c r="K168" s="51" t="n"/>
      <c r="L168" s="87" t="n"/>
      <c r="M168" s="270" t="n"/>
      <c r="P168" s="280" t="n"/>
    </row>
    <row r="169" ht="17.25" customHeight="1" s="305">
      <c r="A169" s="8" t="inlineStr">
        <is>
          <t>D 441</t>
        </is>
      </c>
      <c r="B169" s="5" t="n">
        <v>47</v>
      </c>
      <c r="C169" s="72" t="inlineStr">
        <is>
          <t>X</t>
        </is>
      </c>
      <c r="D169" s="5" t="n">
        <v>85</v>
      </c>
      <c r="E169" s="73">
        <f>B169*D169/10000</f>
        <v/>
      </c>
      <c r="F169" s="74">
        <f>B169/30.48</f>
        <v/>
      </c>
      <c r="G169" s="74">
        <f>D169/30.48</f>
        <v/>
      </c>
      <c r="H169" s="615" t="n"/>
      <c r="I169" s="84" t="n"/>
      <c r="J169" s="48" t="n"/>
      <c r="K169" s="51" t="n"/>
      <c r="L169" s="87" t="n"/>
      <c r="M169" s="270" t="n"/>
      <c r="P169" s="280" t="n"/>
    </row>
    <row r="170" ht="17.25" customHeight="1" s="305">
      <c r="A170" s="8" t="inlineStr">
        <is>
          <t>D 445</t>
        </is>
      </c>
      <c r="B170" s="5" t="n">
        <v>43</v>
      </c>
      <c r="C170" s="72" t="inlineStr">
        <is>
          <t>X</t>
        </is>
      </c>
      <c r="D170" s="5" t="n">
        <v>97</v>
      </c>
      <c r="E170" s="73">
        <f>B170*D170/10000</f>
        <v/>
      </c>
      <c r="F170" s="74">
        <f>B170/30.48</f>
        <v/>
      </c>
      <c r="G170" s="74">
        <f>D170/30.48</f>
        <v/>
      </c>
      <c r="H170" s="615" t="n"/>
      <c r="I170" s="84" t="n"/>
      <c r="J170" s="48" t="n"/>
      <c r="K170" s="51" t="n"/>
      <c r="L170" s="87" t="n"/>
      <c r="M170" s="270" t="n"/>
      <c r="P170" s="280" t="n"/>
    </row>
    <row r="171" ht="17.25" customHeight="1" s="305">
      <c r="A171" s="8" t="inlineStr">
        <is>
          <t>D 446</t>
        </is>
      </c>
      <c r="B171" s="5" t="n">
        <v>47</v>
      </c>
      <c r="C171" s="72" t="inlineStr">
        <is>
          <t>X</t>
        </is>
      </c>
      <c r="D171" s="5" t="n">
        <v>96</v>
      </c>
      <c r="E171" s="73">
        <f>B171*D171/10000</f>
        <v/>
      </c>
      <c r="F171" s="74">
        <f>B171/30.48</f>
        <v/>
      </c>
      <c r="G171" s="74">
        <f>D171/30.48</f>
        <v/>
      </c>
      <c r="H171" s="615" t="n"/>
      <c r="I171" s="84" t="n"/>
      <c r="J171" s="48" t="n"/>
      <c r="K171" s="51" t="n"/>
      <c r="L171" s="87" t="n"/>
      <c r="M171" s="270" t="n"/>
      <c r="P171" s="280" t="n"/>
    </row>
    <row r="172" ht="17.25" customHeight="1" s="305">
      <c r="A172" s="8" t="inlineStr">
        <is>
          <t>D 448</t>
        </is>
      </c>
      <c r="B172" s="5" t="n">
        <v>46</v>
      </c>
      <c r="C172" s="72" t="inlineStr">
        <is>
          <t>X</t>
        </is>
      </c>
      <c r="D172" s="5" t="n">
        <v>86</v>
      </c>
      <c r="E172" s="73">
        <f>B172*D172/10000</f>
        <v/>
      </c>
      <c r="F172" s="74">
        <f>B172/30.48</f>
        <v/>
      </c>
      <c r="G172" s="74">
        <f>D172/30.48</f>
        <v/>
      </c>
      <c r="H172" s="615" t="n"/>
      <c r="I172" s="84" t="n"/>
      <c r="J172" s="48" t="n"/>
      <c r="K172" s="51" t="n"/>
      <c r="L172" s="87" t="n"/>
      <c r="M172" s="270" t="n"/>
      <c r="P172" s="280" t="n"/>
    </row>
    <row r="173" ht="17.25" customHeight="1" s="305">
      <c r="A173" s="8" t="inlineStr">
        <is>
          <t>D 449</t>
        </is>
      </c>
      <c r="B173" s="5" t="n">
        <v>40</v>
      </c>
      <c r="C173" s="72" t="inlineStr">
        <is>
          <t>X</t>
        </is>
      </c>
      <c r="D173" s="5" t="n">
        <v>84</v>
      </c>
      <c r="E173" s="73">
        <f>B173*D173/10000</f>
        <v/>
      </c>
      <c r="F173" s="74">
        <f>B173/30.48</f>
        <v/>
      </c>
      <c r="G173" s="74">
        <f>D173/30.48</f>
        <v/>
      </c>
      <c r="H173" s="615" t="n"/>
      <c r="I173" s="84" t="n"/>
      <c r="J173" s="48" t="n"/>
      <c r="K173" s="51" t="n"/>
      <c r="L173" s="87" t="n"/>
      <c r="M173" s="270" t="n"/>
      <c r="P173" s="280" t="n"/>
    </row>
    <row r="174" ht="17.25" customHeight="1" s="305">
      <c r="A174" s="8" t="inlineStr">
        <is>
          <t>D 452</t>
        </is>
      </c>
      <c r="B174" s="5" t="n">
        <v>47</v>
      </c>
      <c r="C174" s="72" t="inlineStr">
        <is>
          <t>X</t>
        </is>
      </c>
      <c r="D174" s="5" t="n">
        <v>88</v>
      </c>
      <c r="E174" s="73">
        <f>B174*D174/10000</f>
        <v/>
      </c>
      <c r="F174" s="74">
        <f>B174/30.48</f>
        <v/>
      </c>
      <c r="G174" s="74">
        <f>D174/30.48</f>
        <v/>
      </c>
      <c r="H174" s="615" t="n"/>
      <c r="I174" s="84" t="n"/>
      <c r="J174" s="48" t="n"/>
      <c r="K174" s="51" t="n"/>
      <c r="L174" s="87" t="n"/>
      <c r="M174" s="270" t="n"/>
      <c r="P174" s="280" t="n"/>
    </row>
    <row r="175" ht="17.25" customHeight="1" s="305">
      <c r="A175" s="8" t="inlineStr">
        <is>
          <t>D 453</t>
        </is>
      </c>
      <c r="B175" s="5" t="n">
        <v>46</v>
      </c>
      <c r="C175" s="72" t="inlineStr">
        <is>
          <t>X</t>
        </is>
      </c>
      <c r="D175" s="5" t="n">
        <v>106</v>
      </c>
      <c r="E175" s="73">
        <f>B175*D175/10000</f>
        <v/>
      </c>
      <c r="F175" s="74">
        <f>B175/30.48</f>
        <v/>
      </c>
      <c r="G175" s="74">
        <f>D175/30.48</f>
        <v/>
      </c>
      <c r="H175" s="615" t="n"/>
      <c r="I175" s="84" t="n"/>
      <c r="J175" s="48" t="n"/>
      <c r="K175" s="51" t="n"/>
      <c r="L175" s="87" t="n"/>
      <c r="M175" s="270" t="n"/>
      <c r="P175" s="280" t="n"/>
    </row>
    <row r="176" ht="17.25" customHeight="1" s="305">
      <c r="A176" s="8" t="inlineStr">
        <is>
          <t>D 456</t>
        </is>
      </c>
      <c r="B176" s="5" t="n">
        <v>49</v>
      </c>
      <c r="C176" s="72" t="inlineStr">
        <is>
          <t>X</t>
        </is>
      </c>
      <c r="D176" s="5" t="n">
        <v>102</v>
      </c>
      <c r="E176" s="73">
        <f>B176*D176/10000</f>
        <v/>
      </c>
      <c r="F176" s="74">
        <f>B176/30.48</f>
        <v/>
      </c>
      <c r="G176" s="74">
        <f>D176/30.48</f>
        <v/>
      </c>
      <c r="H176" s="615" t="n"/>
      <c r="I176" s="84" t="n"/>
      <c r="J176" s="48" t="n"/>
      <c r="K176" s="51" t="n"/>
      <c r="L176" s="87" t="n"/>
      <c r="M176" s="270" t="n"/>
      <c r="P176" s="280" t="n"/>
    </row>
    <row r="177" ht="17.25" customHeight="1" s="305">
      <c r="A177" s="8" t="inlineStr">
        <is>
          <t>D 458</t>
        </is>
      </c>
      <c r="B177" s="5" t="n">
        <v>41</v>
      </c>
      <c r="C177" s="72" t="inlineStr">
        <is>
          <t>X</t>
        </is>
      </c>
      <c r="D177" s="5" t="n">
        <v>68</v>
      </c>
      <c r="E177" s="73">
        <f>B177*D177/10000</f>
        <v/>
      </c>
      <c r="F177" s="74">
        <f>B177/30.48</f>
        <v/>
      </c>
      <c r="G177" s="74">
        <f>D177/30.48</f>
        <v/>
      </c>
      <c r="H177" s="615" t="n"/>
      <c r="I177" s="84" t="n"/>
      <c r="J177" s="48" t="n"/>
      <c r="K177" s="51" t="n"/>
      <c r="L177" s="87" t="n"/>
      <c r="M177" s="270" t="n"/>
      <c r="P177" s="280" t="n"/>
    </row>
    <row r="178" ht="17.25" customHeight="1" s="305">
      <c r="A178" s="8" t="inlineStr">
        <is>
          <t>D 460</t>
        </is>
      </c>
      <c r="B178" s="5" t="n">
        <v>47</v>
      </c>
      <c r="C178" s="72" t="inlineStr">
        <is>
          <t>X</t>
        </is>
      </c>
      <c r="D178" s="5" t="n">
        <v>95</v>
      </c>
      <c r="E178" s="73">
        <f>B178*D178/10000</f>
        <v/>
      </c>
      <c r="F178" s="74">
        <f>B178/30.48</f>
        <v/>
      </c>
      <c r="G178" s="74">
        <f>D178/30.48</f>
        <v/>
      </c>
      <c r="H178" s="615" t="n"/>
      <c r="I178" s="84" t="n"/>
      <c r="J178" s="48" t="n"/>
      <c r="K178" s="51" t="n"/>
      <c r="L178" s="87" t="n"/>
      <c r="M178" s="270" t="n"/>
      <c r="P178" s="280" t="n"/>
    </row>
    <row r="179" ht="17.25" customHeight="1" s="305">
      <c r="A179" s="8" t="inlineStr">
        <is>
          <t>D 464</t>
        </is>
      </c>
      <c r="B179" s="5" t="n">
        <v>47</v>
      </c>
      <c r="C179" s="72" t="inlineStr">
        <is>
          <t>X</t>
        </is>
      </c>
      <c r="D179" s="5" t="n">
        <v>96</v>
      </c>
      <c r="E179" s="73">
        <f>B179*D179/10000</f>
        <v/>
      </c>
      <c r="F179" s="74">
        <f>B179/30.48</f>
        <v/>
      </c>
      <c r="G179" s="74">
        <f>D179/30.48</f>
        <v/>
      </c>
      <c r="H179" s="615" t="n"/>
      <c r="I179" s="84" t="n"/>
      <c r="J179" s="48" t="n"/>
      <c r="K179" s="51" t="n"/>
      <c r="L179" s="87" t="n"/>
      <c r="M179" s="270" t="n"/>
      <c r="P179" s="280" t="n"/>
    </row>
    <row r="180" ht="17.25" customHeight="1" s="305">
      <c r="A180" s="8" t="inlineStr">
        <is>
          <t>D 466</t>
        </is>
      </c>
      <c r="B180" s="5" t="n">
        <v>48</v>
      </c>
      <c r="C180" s="72" t="inlineStr">
        <is>
          <t>X</t>
        </is>
      </c>
      <c r="D180" s="5" t="n">
        <v>91</v>
      </c>
      <c r="E180" s="73">
        <f>B180*D180/10000</f>
        <v/>
      </c>
      <c r="F180" s="74">
        <f>B180/30.48</f>
        <v/>
      </c>
      <c r="G180" s="74">
        <f>D180/30.48</f>
        <v/>
      </c>
      <c r="H180" s="615" t="n"/>
      <c r="I180" s="84" t="n"/>
      <c r="J180" s="48" t="n"/>
      <c r="K180" s="51" t="n"/>
      <c r="L180" s="87" t="n"/>
      <c r="M180" s="270" t="n"/>
      <c r="P180" s="280" t="n"/>
    </row>
    <row r="181" ht="17.25" customHeight="1" s="305">
      <c r="A181" s="8" t="inlineStr">
        <is>
          <t>D 467</t>
        </is>
      </c>
      <c r="B181" s="5" t="n">
        <v>57</v>
      </c>
      <c r="C181" s="72" t="inlineStr">
        <is>
          <t>X</t>
        </is>
      </c>
      <c r="D181" s="5" t="n">
        <v>97</v>
      </c>
      <c r="E181" s="73">
        <f>B181*D181/10000</f>
        <v/>
      </c>
      <c r="F181" s="74">
        <f>B181/30.48</f>
        <v/>
      </c>
      <c r="G181" s="74">
        <f>D181/30.48</f>
        <v/>
      </c>
      <c r="H181" s="615" t="n"/>
      <c r="I181" s="84" t="n"/>
      <c r="J181" s="48" t="n"/>
      <c r="K181" s="51" t="n"/>
      <c r="L181" s="87" t="n"/>
      <c r="M181" s="270" t="n"/>
      <c r="P181" s="280" t="n"/>
    </row>
    <row r="182" ht="17.25" customHeight="1" s="305">
      <c r="A182" s="8" t="inlineStr">
        <is>
          <t>D 468</t>
        </is>
      </c>
      <c r="B182" s="5" t="n">
        <v>55</v>
      </c>
      <c r="C182" s="72" t="inlineStr">
        <is>
          <t>X</t>
        </is>
      </c>
      <c r="D182" s="5" t="n">
        <v>94</v>
      </c>
      <c r="E182" s="73">
        <f>B182*D182/10000</f>
        <v/>
      </c>
      <c r="F182" s="74">
        <f>B182/30.48</f>
        <v/>
      </c>
      <c r="G182" s="74">
        <f>D182/30.48</f>
        <v/>
      </c>
      <c r="H182" s="615" t="n"/>
      <c r="I182" s="84" t="n"/>
      <c r="J182" s="48" t="n"/>
      <c r="K182" s="51" t="n"/>
      <c r="L182" s="87" t="n"/>
      <c r="M182" s="270" t="n"/>
      <c r="P182" s="280" t="n"/>
    </row>
    <row r="183" ht="17.25" customHeight="1" s="305">
      <c r="A183" s="8" t="inlineStr">
        <is>
          <t>D 469</t>
        </is>
      </c>
      <c r="B183" s="5" t="n">
        <v>43</v>
      </c>
      <c r="C183" s="72" t="inlineStr">
        <is>
          <t>X</t>
        </is>
      </c>
      <c r="D183" s="5" t="n">
        <v>75</v>
      </c>
      <c r="E183" s="73">
        <f>B183*D183/10000</f>
        <v/>
      </c>
      <c r="F183" s="74">
        <f>B183/30.48</f>
        <v/>
      </c>
      <c r="G183" s="74">
        <f>D183/30.48</f>
        <v/>
      </c>
      <c r="H183" s="615" t="n"/>
      <c r="I183" s="84" t="n"/>
      <c r="J183" s="48" t="n"/>
      <c r="K183" s="51" t="n"/>
      <c r="L183" s="87" t="n"/>
      <c r="M183" s="270" t="n"/>
      <c r="P183" s="280" t="n"/>
    </row>
    <row r="184" ht="17.25" customHeight="1" s="305">
      <c r="A184" s="28" t="inlineStr">
        <is>
          <t>D 472</t>
        </is>
      </c>
      <c r="B184" s="29" t="n">
        <v>41</v>
      </c>
      <c r="C184" s="236" t="inlineStr">
        <is>
          <t>X</t>
        </is>
      </c>
      <c r="D184" s="29" t="n">
        <v>82</v>
      </c>
      <c r="E184" s="237">
        <f>B184*D184/10000</f>
        <v/>
      </c>
      <c r="F184" s="238">
        <f>B184/30.48</f>
        <v/>
      </c>
      <c r="G184" s="238">
        <f>D184/30.48</f>
        <v/>
      </c>
      <c r="H184" s="613" t="n"/>
      <c r="I184" s="273" t="n"/>
      <c r="J184" s="274" t="n"/>
      <c r="K184" s="275" t="n"/>
      <c r="L184" s="276" t="n"/>
      <c r="M184" s="270" t="n"/>
      <c r="P184" s="280" t="n"/>
    </row>
    <row r="185" ht="17.25" customHeight="1" s="305">
      <c r="A185" s="28" t="inlineStr">
        <is>
          <t>D 480</t>
        </is>
      </c>
      <c r="B185" s="29" t="n">
        <v>46</v>
      </c>
      <c r="C185" s="236" t="inlineStr">
        <is>
          <t>X</t>
        </is>
      </c>
      <c r="D185" s="29" t="n">
        <v>96</v>
      </c>
      <c r="E185" s="237">
        <f>B185*D185/10000</f>
        <v/>
      </c>
      <c r="F185" s="238">
        <f>B185/30.48</f>
        <v/>
      </c>
      <c r="G185" s="238">
        <f>D185/30.48</f>
        <v/>
      </c>
      <c r="H185" s="613" t="n"/>
      <c r="I185" s="273" t="n"/>
      <c r="J185" s="274" t="n"/>
      <c r="K185" s="275" t="n"/>
      <c r="L185" s="276" t="n"/>
      <c r="M185" s="270" t="n"/>
      <c r="P185" s="280" t="n"/>
    </row>
    <row r="186" ht="17.25" customHeight="1" s="305">
      <c r="A186" s="28" t="inlineStr">
        <is>
          <t>D 484</t>
        </is>
      </c>
      <c r="B186" s="29" t="n">
        <v>63</v>
      </c>
      <c r="C186" s="236" t="inlineStr">
        <is>
          <t>X</t>
        </is>
      </c>
      <c r="D186" s="29" t="n">
        <v>81</v>
      </c>
      <c r="E186" s="237">
        <f>B186*D186/10000</f>
        <v/>
      </c>
      <c r="F186" s="238">
        <f>B186/30.48</f>
        <v/>
      </c>
      <c r="G186" s="238">
        <f>D186/30.48</f>
        <v/>
      </c>
      <c r="H186" s="613" t="n"/>
      <c r="I186" s="273" t="n"/>
      <c r="J186" s="274" t="n"/>
      <c r="K186" s="275" t="n"/>
      <c r="L186" s="276" t="n"/>
      <c r="M186" s="270" t="n"/>
      <c r="P186" s="280" t="n"/>
    </row>
    <row r="187" ht="17.25" customHeight="1" s="305">
      <c r="A187" s="28" t="inlineStr">
        <is>
          <t>D 485</t>
        </is>
      </c>
      <c r="B187" s="29" t="n">
        <v>60</v>
      </c>
      <c r="C187" s="236" t="inlineStr">
        <is>
          <t>X</t>
        </is>
      </c>
      <c r="D187" s="29" t="n">
        <v>94</v>
      </c>
      <c r="E187" s="237">
        <f>B187*D187/10000</f>
        <v/>
      </c>
      <c r="F187" s="238">
        <f>B187/30.48</f>
        <v/>
      </c>
      <c r="G187" s="238">
        <f>D187/30.48</f>
        <v/>
      </c>
      <c r="H187" s="613" t="n"/>
      <c r="I187" s="273" t="n"/>
      <c r="J187" s="274" t="n"/>
      <c r="K187" s="275" t="n"/>
      <c r="L187" s="276" t="n"/>
      <c r="M187" s="270" t="n"/>
      <c r="P187" s="280" t="n"/>
    </row>
    <row r="188" ht="17.25" customHeight="1" s="305">
      <c r="A188" s="28" t="inlineStr">
        <is>
          <t>D 486</t>
        </is>
      </c>
      <c r="B188" s="29" t="n">
        <v>60</v>
      </c>
      <c r="C188" s="236" t="inlineStr">
        <is>
          <t>X</t>
        </is>
      </c>
      <c r="D188" s="29" t="n">
        <v>86</v>
      </c>
      <c r="E188" s="237">
        <f>B188*D188/10000</f>
        <v/>
      </c>
      <c r="F188" s="238">
        <f>B188/30.48</f>
        <v/>
      </c>
      <c r="G188" s="238">
        <f>D188/30.48</f>
        <v/>
      </c>
      <c r="H188" s="613" t="n"/>
      <c r="I188" s="273" t="n"/>
      <c r="J188" s="274" t="n"/>
      <c r="K188" s="275" t="n"/>
      <c r="L188" s="276" t="n"/>
      <c r="M188" s="270" t="n"/>
      <c r="P188" s="280" t="n"/>
    </row>
    <row r="189" ht="17.25" customHeight="1" s="305">
      <c r="A189" s="28" t="inlineStr">
        <is>
          <t>D 491</t>
        </is>
      </c>
      <c r="B189" s="29" t="n">
        <v>50</v>
      </c>
      <c r="C189" s="236" t="inlineStr">
        <is>
          <t>X</t>
        </is>
      </c>
      <c r="D189" s="29" t="n">
        <v>98</v>
      </c>
      <c r="E189" s="237">
        <f>B189*D189/10000</f>
        <v/>
      </c>
      <c r="F189" s="238">
        <f>B189/30.48</f>
        <v/>
      </c>
      <c r="G189" s="238">
        <f>D189/30.48</f>
        <v/>
      </c>
      <c r="H189" s="613" t="n"/>
      <c r="I189" s="273" t="n"/>
      <c r="J189" s="274" t="n"/>
      <c r="K189" s="275" t="n"/>
      <c r="L189" s="276" t="n"/>
      <c r="M189" s="270" t="n"/>
      <c r="P189" s="280" t="n"/>
    </row>
    <row r="190" ht="17.25" customHeight="1" s="305">
      <c r="A190" s="28" t="inlineStr">
        <is>
          <t>D 497</t>
        </is>
      </c>
      <c r="B190" s="29" t="n">
        <v>46</v>
      </c>
      <c r="C190" s="236" t="inlineStr">
        <is>
          <t>X</t>
        </is>
      </c>
      <c r="D190" s="29" t="n">
        <v>88</v>
      </c>
      <c r="E190" s="237">
        <f>B190*D190/10000</f>
        <v/>
      </c>
      <c r="F190" s="238">
        <f>B190/30.48</f>
        <v/>
      </c>
      <c r="G190" s="238">
        <f>D190/30.48</f>
        <v/>
      </c>
      <c r="H190" s="613" t="n"/>
      <c r="I190" s="273" t="n"/>
      <c r="J190" s="274" t="n"/>
      <c r="K190" s="275" t="n"/>
      <c r="L190" s="276" t="n"/>
      <c r="M190" s="270" t="n"/>
    </row>
    <row r="191" ht="18" customHeight="1" s="305">
      <c r="A191" s="28" t="inlineStr">
        <is>
          <t>D 499</t>
        </is>
      </c>
      <c r="B191" s="29" t="n"/>
      <c r="C191" s="236" t="inlineStr">
        <is>
          <t>X</t>
        </is>
      </c>
      <c r="D191" s="29" t="n"/>
      <c r="E191" s="237">
        <f>B191*D191/10000</f>
        <v/>
      </c>
      <c r="F191" s="238">
        <f>B191/30.48</f>
        <v/>
      </c>
      <c r="G191" s="238">
        <f>D191/30.48</f>
        <v/>
      </c>
      <c r="H191" s="613" t="n"/>
      <c r="I191" s="273" t="n"/>
      <c r="J191" s="274" t="n"/>
      <c r="K191" s="275" t="n"/>
      <c r="L191" s="276" t="n"/>
      <c r="M191" s="270" t="n"/>
    </row>
    <row r="192" ht="18" customHeight="1" s="305">
      <c r="A192" s="28" t="inlineStr">
        <is>
          <t>D 503</t>
        </is>
      </c>
      <c r="B192" s="29" t="n">
        <v>43</v>
      </c>
      <c r="C192" s="236" t="inlineStr">
        <is>
          <t>X</t>
        </is>
      </c>
      <c r="D192" s="29" t="n">
        <v>89</v>
      </c>
      <c r="E192" s="237">
        <f>B192*D192/10000</f>
        <v/>
      </c>
      <c r="F192" s="238">
        <f>B192/30.48</f>
        <v/>
      </c>
      <c r="G192" s="238">
        <f>D192/30.48</f>
        <v/>
      </c>
      <c r="H192" s="613" t="n"/>
      <c r="I192" s="273" t="n"/>
      <c r="J192" s="274" t="n"/>
      <c r="K192" s="275" t="n"/>
      <c r="L192" s="276" t="n"/>
      <c r="M192" s="270" t="n"/>
    </row>
    <row r="193" ht="18" customHeight="1" s="305">
      <c r="A193" s="28" t="inlineStr">
        <is>
          <t>D 505</t>
        </is>
      </c>
      <c r="B193" s="29" t="n">
        <v>53</v>
      </c>
      <c r="C193" s="236" t="inlineStr">
        <is>
          <t>X</t>
        </is>
      </c>
      <c r="D193" s="29" t="n">
        <v>74</v>
      </c>
      <c r="E193" s="237">
        <f>B193*D193/10000</f>
        <v/>
      </c>
      <c r="F193" s="238">
        <f>B193/30.48</f>
        <v/>
      </c>
      <c r="G193" s="238">
        <f>D193/30.48</f>
        <v/>
      </c>
      <c r="H193" s="613" t="n"/>
      <c r="I193" s="273" t="n"/>
      <c r="J193" s="274" t="n"/>
      <c r="K193" s="275" t="n"/>
      <c r="L193" s="276" t="n"/>
      <c r="M193" s="270" t="n"/>
    </row>
    <row r="194" ht="18" customHeight="1" s="305">
      <c r="A194" s="28" t="inlineStr">
        <is>
          <t>D 506</t>
        </is>
      </c>
      <c r="B194" s="29" t="n">
        <v>57</v>
      </c>
      <c r="C194" s="236" t="inlineStr">
        <is>
          <t>X</t>
        </is>
      </c>
      <c r="D194" s="29" t="n">
        <v>97</v>
      </c>
      <c r="E194" s="237">
        <f>B194*D194/10000</f>
        <v/>
      </c>
      <c r="F194" s="238">
        <f>B194/30.48</f>
        <v/>
      </c>
      <c r="G194" s="238">
        <f>D194/30.48</f>
        <v/>
      </c>
      <c r="H194" s="613" t="n"/>
      <c r="I194" s="273" t="n"/>
      <c r="J194" s="274" t="n"/>
      <c r="K194" s="275" t="n"/>
      <c r="L194" s="276" t="n"/>
      <c r="M194" s="270" t="n"/>
    </row>
    <row r="195" ht="18" customHeight="1" s="305">
      <c r="A195" s="28" t="inlineStr">
        <is>
          <t>D 512</t>
        </is>
      </c>
      <c r="B195" s="29" t="n">
        <v>42</v>
      </c>
      <c r="C195" s="236" t="inlineStr">
        <is>
          <t>X</t>
        </is>
      </c>
      <c r="D195" s="29" t="n">
        <v>97</v>
      </c>
      <c r="E195" s="237">
        <f>B195*D195/10000</f>
        <v/>
      </c>
      <c r="F195" s="238">
        <f>B195/30.48</f>
        <v/>
      </c>
      <c r="G195" s="238">
        <f>D195/30.48</f>
        <v/>
      </c>
      <c r="H195" s="613" t="n"/>
      <c r="I195" s="273" t="n"/>
      <c r="J195" s="274" t="n"/>
      <c r="K195" s="275" t="n"/>
      <c r="L195" s="276" t="n"/>
      <c r="M195" s="270" t="n"/>
    </row>
    <row r="196" ht="18" customHeight="1" s="305">
      <c r="A196" s="28" t="inlineStr">
        <is>
          <t>D 520</t>
        </is>
      </c>
      <c r="B196" s="29" t="n">
        <v>50</v>
      </c>
      <c r="C196" s="236" t="inlineStr">
        <is>
          <t>X</t>
        </is>
      </c>
      <c r="D196" s="29" t="n">
        <v>93</v>
      </c>
      <c r="E196" s="237">
        <f>B196*D196/10000</f>
        <v/>
      </c>
      <c r="F196" s="238">
        <f>B196/30.48</f>
        <v/>
      </c>
      <c r="G196" s="238">
        <f>D196/30.48</f>
        <v/>
      </c>
      <c r="H196" s="613" t="n"/>
      <c r="I196" s="273" t="n"/>
      <c r="J196" s="274" t="n"/>
      <c r="K196" s="275" t="n"/>
      <c r="L196" s="276" t="n"/>
      <c r="M196" s="270" t="n"/>
    </row>
    <row r="197" ht="18" customHeight="1" s="305">
      <c r="A197" s="28" t="inlineStr">
        <is>
          <t>D 521</t>
        </is>
      </c>
      <c r="B197" s="29" t="n">
        <v>61</v>
      </c>
      <c r="C197" s="236" t="inlineStr">
        <is>
          <t>X</t>
        </is>
      </c>
      <c r="D197" s="29" t="n">
        <v>97</v>
      </c>
      <c r="E197" s="237">
        <f>B197*D197/10000</f>
        <v/>
      </c>
      <c r="F197" s="238">
        <f>B197/30.48</f>
        <v/>
      </c>
      <c r="G197" s="238">
        <f>D197/30.48</f>
        <v/>
      </c>
      <c r="H197" s="613" t="n"/>
      <c r="I197" s="273" t="n"/>
      <c r="J197" s="274" t="n"/>
      <c r="K197" s="275" t="n"/>
      <c r="L197" s="276" t="n"/>
      <c r="M197" s="270" t="n"/>
    </row>
    <row r="198" ht="18" customHeight="1" s="305">
      <c r="A198" s="28" t="inlineStr">
        <is>
          <t>D 523</t>
        </is>
      </c>
      <c r="B198" s="29" t="n">
        <v>46</v>
      </c>
      <c r="C198" s="236" t="inlineStr">
        <is>
          <t>X</t>
        </is>
      </c>
      <c r="D198" s="29" t="n">
        <v>80</v>
      </c>
      <c r="E198" s="237">
        <f>B198*D198/10000</f>
        <v/>
      </c>
      <c r="F198" s="238">
        <f>B198/30.48</f>
        <v/>
      </c>
      <c r="G198" s="238">
        <f>D198/30.48</f>
        <v/>
      </c>
      <c r="H198" s="613" t="n"/>
      <c r="I198" s="273" t="n"/>
      <c r="J198" s="274" t="n"/>
      <c r="K198" s="275" t="n"/>
      <c r="L198" s="276" t="n"/>
      <c r="M198" s="270" t="n"/>
    </row>
    <row r="199" ht="18" customHeight="1" s="305">
      <c r="A199" s="28" t="inlineStr">
        <is>
          <t>D 524</t>
        </is>
      </c>
      <c r="B199" s="29" t="n">
        <v>41</v>
      </c>
      <c r="C199" s="236" t="inlineStr">
        <is>
          <t>X</t>
        </is>
      </c>
      <c r="D199" s="29" t="n">
        <v>72</v>
      </c>
      <c r="E199" s="237">
        <f>B199*D199/10000</f>
        <v/>
      </c>
      <c r="F199" s="238">
        <f>B199/30.48</f>
        <v/>
      </c>
      <c r="G199" s="238">
        <f>D199/30.48</f>
        <v/>
      </c>
      <c r="H199" s="613" t="n"/>
      <c r="I199" s="273" t="n"/>
      <c r="J199" s="274" t="n"/>
      <c r="K199" s="275" t="n"/>
      <c r="L199" s="276" t="n"/>
      <c r="M199" s="270" t="n"/>
      <c r="P199" t="inlineStr">
        <is>
          <t xml:space="preserve">  </t>
        </is>
      </c>
    </row>
    <row r="200" ht="18" customHeight="1" s="305">
      <c r="A200" s="28" t="inlineStr">
        <is>
          <t>D 525</t>
        </is>
      </c>
      <c r="B200" s="29" t="n">
        <v>39</v>
      </c>
      <c r="C200" s="236" t="inlineStr">
        <is>
          <t>X</t>
        </is>
      </c>
      <c r="D200" s="29" t="n">
        <v>92</v>
      </c>
      <c r="E200" s="237">
        <f>B200*D200/10000</f>
        <v/>
      </c>
      <c r="F200" s="238">
        <f>B200/30.48</f>
        <v/>
      </c>
      <c r="G200" s="238">
        <f>D200/30.48</f>
        <v/>
      </c>
      <c r="H200" s="613" t="n"/>
      <c r="I200" s="273" t="n"/>
      <c r="J200" s="274" t="n"/>
      <c r="K200" s="275" t="n"/>
      <c r="L200" s="276" t="n"/>
      <c r="M200" s="270" t="n"/>
    </row>
    <row r="201" ht="18" customHeight="1" s="305">
      <c r="A201" s="28" t="inlineStr">
        <is>
          <t>D 526</t>
        </is>
      </c>
      <c r="B201" s="29" t="n">
        <v>44</v>
      </c>
      <c r="C201" s="236" t="inlineStr">
        <is>
          <t>X</t>
        </is>
      </c>
      <c r="D201" s="29" t="n">
        <v>81</v>
      </c>
      <c r="E201" s="237">
        <f>B201*D201/10000</f>
        <v/>
      </c>
      <c r="F201" s="238">
        <f>B201/30.48</f>
        <v/>
      </c>
      <c r="G201" s="238">
        <f>D201/30.48</f>
        <v/>
      </c>
      <c r="H201" s="613" t="n"/>
      <c r="I201" s="273" t="n"/>
      <c r="J201" s="274" t="n"/>
      <c r="K201" s="275" t="n"/>
      <c r="L201" s="276" t="n"/>
      <c r="M201" s="270" t="n"/>
    </row>
    <row r="202" ht="18" customHeight="1" s="305">
      <c r="A202" s="28" t="inlineStr">
        <is>
          <t>D 532</t>
        </is>
      </c>
      <c r="B202" s="29" t="n">
        <v>45</v>
      </c>
      <c r="C202" s="236" t="inlineStr">
        <is>
          <t>X</t>
        </is>
      </c>
      <c r="D202" s="29" t="n">
        <v>100</v>
      </c>
      <c r="E202" s="237">
        <f>B202*D202/10000</f>
        <v/>
      </c>
      <c r="F202" s="238">
        <f>B202/30.48</f>
        <v/>
      </c>
      <c r="G202" s="238">
        <f>D202/30.48</f>
        <v/>
      </c>
      <c r="H202" s="613" t="n"/>
      <c r="I202" s="273" t="n"/>
      <c r="J202" s="274" t="n"/>
      <c r="K202" s="275" t="n"/>
      <c r="L202" s="276" t="n"/>
      <c r="M202" s="270" t="n"/>
    </row>
    <row r="203" ht="18" customHeight="1" s="305">
      <c r="A203" s="28" t="inlineStr">
        <is>
          <t>D 533</t>
        </is>
      </c>
      <c r="B203" s="29" t="n">
        <v>46</v>
      </c>
      <c r="C203" s="236" t="inlineStr">
        <is>
          <t>X</t>
        </is>
      </c>
      <c r="D203" s="29" t="n">
        <v>86</v>
      </c>
      <c r="E203" s="237">
        <f>B203*D203/10000</f>
        <v/>
      </c>
      <c r="F203" s="238">
        <f>B203/30.48</f>
        <v/>
      </c>
      <c r="G203" s="238">
        <f>D203/30.48</f>
        <v/>
      </c>
      <c r="H203" s="613" t="n"/>
      <c r="I203" s="273" t="n"/>
      <c r="J203" s="274" t="n"/>
      <c r="K203" s="275" t="n"/>
      <c r="L203" s="276" t="n"/>
      <c r="M203" s="270" t="n"/>
    </row>
    <row r="204" ht="18" customHeight="1" s="305">
      <c r="A204" s="28" t="inlineStr">
        <is>
          <t>D 534</t>
        </is>
      </c>
      <c r="B204" s="29" t="n">
        <v>50</v>
      </c>
      <c r="C204" s="236" t="inlineStr">
        <is>
          <t>X</t>
        </is>
      </c>
      <c r="D204" s="29" t="n">
        <v>110</v>
      </c>
      <c r="E204" s="237">
        <f>B204*D204/10000</f>
        <v/>
      </c>
      <c r="F204" s="238">
        <f>B204/30.48</f>
        <v/>
      </c>
      <c r="G204" s="238">
        <f>D204/30.48</f>
        <v/>
      </c>
      <c r="H204" s="613" t="n"/>
      <c r="I204" s="273" t="n"/>
      <c r="J204" s="274" t="n"/>
      <c r="K204" s="275" t="n"/>
      <c r="L204" s="276" t="n"/>
      <c r="M204" s="270" t="n"/>
    </row>
    <row r="205" ht="18" customHeight="1" s="305">
      <c r="A205" s="28" t="inlineStr">
        <is>
          <t>D 537</t>
        </is>
      </c>
      <c r="B205" s="29" t="n">
        <v>46</v>
      </c>
      <c r="C205" s="236" t="inlineStr">
        <is>
          <t>X</t>
        </is>
      </c>
      <c r="D205" s="29" t="n">
        <v>92</v>
      </c>
      <c r="E205" s="237">
        <f>B205*D205/10000</f>
        <v/>
      </c>
      <c r="F205" s="238">
        <f>B205/30.48</f>
        <v/>
      </c>
      <c r="G205" s="238">
        <f>D205/30.48</f>
        <v/>
      </c>
      <c r="H205" s="613" t="n"/>
      <c r="I205" s="273" t="n"/>
      <c r="J205" s="274" t="n"/>
      <c r="K205" s="275" t="n"/>
      <c r="L205" s="276" t="n"/>
      <c r="M205" s="270" t="n"/>
    </row>
    <row r="206" ht="18" customHeight="1" s="305">
      <c r="A206" s="28" t="inlineStr">
        <is>
          <t>D 539</t>
        </is>
      </c>
      <c r="B206" s="29" t="n">
        <v>49</v>
      </c>
      <c r="C206" s="236" t="inlineStr">
        <is>
          <t>X</t>
        </is>
      </c>
      <c r="D206" s="29" t="n">
        <v>88</v>
      </c>
      <c r="E206" s="237">
        <f>B206*D206/10000</f>
        <v/>
      </c>
      <c r="F206" s="238">
        <f>B206/30.48</f>
        <v/>
      </c>
      <c r="G206" s="238">
        <f>D206/30.48</f>
        <v/>
      </c>
      <c r="H206" s="613" t="n"/>
      <c r="I206" s="273" t="n"/>
      <c r="J206" s="274" t="n"/>
      <c r="K206" s="275" t="n"/>
      <c r="L206" s="276" t="n"/>
      <c r="M206" s="270" t="n"/>
    </row>
    <row r="207" ht="18" customHeight="1" s="305">
      <c r="A207" s="28" t="inlineStr">
        <is>
          <t>D 540</t>
        </is>
      </c>
      <c r="B207" s="29" t="n">
        <v>43</v>
      </c>
      <c r="C207" s="236" t="inlineStr">
        <is>
          <t>X</t>
        </is>
      </c>
      <c r="D207" s="29" t="n">
        <v>75</v>
      </c>
      <c r="E207" s="237">
        <f>B207*D207/10000</f>
        <v/>
      </c>
      <c r="F207" s="238">
        <f>B207/30.48</f>
        <v/>
      </c>
      <c r="G207" s="238">
        <f>D207/30.48</f>
        <v/>
      </c>
      <c r="H207" s="613" t="n"/>
      <c r="I207" s="273" t="n"/>
      <c r="J207" s="274" t="n"/>
      <c r="K207" s="275" t="n"/>
      <c r="L207" s="276" t="n"/>
      <c r="M207" s="270" t="n"/>
    </row>
    <row r="208" ht="18" customHeight="1" s="305">
      <c r="A208" s="28" t="inlineStr">
        <is>
          <t>D 542</t>
        </is>
      </c>
      <c r="B208" s="29" t="n">
        <v>47</v>
      </c>
      <c r="C208" s="236" t="inlineStr">
        <is>
          <t>X</t>
        </is>
      </c>
      <c r="D208" s="29" t="n">
        <v>106</v>
      </c>
      <c r="E208" s="237">
        <f>B208*D208/10000</f>
        <v/>
      </c>
      <c r="F208" s="238">
        <f>B208/30.48</f>
        <v/>
      </c>
      <c r="G208" s="238">
        <f>D208/30.48</f>
        <v/>
      </c>
      <c r="H208" s="613" t="n"/>
      <c r="I208" s="273" t="n"/>
      <c r="J208" s="274" t="n"/>
      <c r="K208" s="275" t="n"/>
      <c r="L208" s="276" t="n"/>
      <c r="M208" s="270" t="n"/>
    </row>
    <row r="209" ht="18" customHeight="1" s="305">
      <c r="A209" s="28" t="inlineStr">
        <is>
          <t>D 544</t>
        </is>
      </c>
      <c r="B209" s="29" t="n">
        <v>44</v>
      </c>
      <c r="C209" s="236" t="inlineStr">
        <is>
          <t>X</t>
        </is>
      </c>
      <c r="D209" s="29" t="n">
        <v>82</v>
      </c>
      <c r="E209" s="237">
        <f>B209*D209/10000</f>
        <v/>
      </c>
      <c r="F209" s="238">
        <f>B209/30.48</f>
        <v/>
      </c>
      <c r="G209" s="238">
        <f>D209/30.48</f>
        <v/>
      </c>
      <c r="H209" s="613" t="n"/>
      <c r="I209" s="273" t="n"/>
      <c r="J209" s="274" t="n"/>
      <c r="K209" s="275" t="n"/>
      <c r="L209" s="276" t="n"/>
      <c r="M209" s="270" t="n"/>
    </row>
    <row r="210" ht="18" customHeight="1" s="305">
      <c r="A210" s="28" t="inlineStr">
        <is>
          <t>D 545</t>
        </is>
      </c>
      <c r="B210" s="29" t="n">
        <v>48</v>
      </c>
      <c r="C210" s="236" t="inlineStr">
        <is>
          <t>X</t>
        </is>
      </c>
      <c r="D210" s="29" t="n">
        <v>96</v>
      </c>
      <c r="E210" s="237">
        <f>B210*D210/10000</f>
        <v/>
      </c>
      <c r="F210" s="238">
        <f>B210/30.48</f>
        <v/>
      </c>
      <c r="G210" s="238">
        <f>D210/30.48</f>
        <v/>
      </c>
      <c r="H210" s="613" t="n"/>
      <c r="I210" s="273" t="n"/>
      <c r="J210" s="274" t="n"/>
      <c r="K210" s="275" t="n"/>
      <c r="L210" s="276" t="n"/>
      <c r="M210" s="270" t="n"/>
    </row>
    <row r="211" ht="18" customHeight="1" s="305">
      <c r="A211" s="28" t="inlineStr">
        <is>
          <t>D 546</t>
        </is>
      </c>
      <c r="B211" s="29" t="n">
        <v>52</v>
      </c>
      <c r="C211" s="236" t="inlineStr">
        <is>
          <t>X</t>
        </is>
      </c>
      <c r="D211" s="29" t="n">
        <v>83</v>
      </c>
      <c r="E211" s="237">
        <f>B211*D211/10000</f>
        <v/>
      </c>
      <c r="F211" s="238">
        <f>B211/30.48</f>
        <v/>
      </c>
      <c r="G211" s="238">
        <f>D211/30.48</f>
        <v/>
      </c>
      <c r="H211" s="613" t="n"/>
      <c r="I211" s="273" t="n"/>
      <c r="J211" s="274" t="n"/>
      <c r="K211" s="275" t="n"/>
      <c r="L211" s="276" t="n"/>
      <c r="M211" s="270" t="n"/>
    </row>
    <row r="212" ht="18" customHeight="1" s="305">
      <c r="A212" s="28" t="inlineStr">
        <is>
          <t>D 547</t>
        </is>
      </c>
      <c r="B212" s="29" t="n">
        <v>47</v>
      </c>
      <c r="C212" s="236" t="inlineStr">
        <is>
          <t>X</t>
        </is>
      </c>
      <c r="D212" s="29" t="n">
        <v>84</v>
      </c>
      <c r="E212" s="237">
        <f>B212*D212/10000</f>
        <v/>
      </c>
      <c r="F212" s="238">
        <f>B212/30.48</f>
        <v/>
      </c>
      <c r="G212" s="238">
        <f>D212/30.48</f>
        <v/>
      </c>
      <c r="H212" s="613" t="n"/>
      <c r="I212" s="273" t="n"/>
      <c r="J212" s="274" t="n"/>
      <c r="K212" s="275" t="n"/>
      <c r="L212" s="276" t="n"/>
      <c r="M212" s="270" t="n"/>
    </row>
    <row r="213" ht="18" customHeight="1" s="305">
      <c r="A213" s="28" t="inlineStr">
        <is>
          <t>D 548</t>
        </is>
      </c>
      <c r="B213" s="29" t="n">
        <v>53</v>
      </c>
      <c r="C213" s="236" t="inlineStr">
        <is>
          <t>X</t>
        </is>
      </c>
      <c r="D213" s="29" t="n">
        <v>115</v>
      </c>
      <c r="E213" s="237">
        <f>B213*D213/10000</f>
        <v/>
      </c>
      <c r="F213" s="238">
        <f>B213/30.48</f>
        <v/>
      </c>
      <c r="G213" s="238">
        <f>D213/30.48</f>
        <v/>
      </c>
      <c r="H213" s="613" t="n"/>
      <c r="I213" s="273" t="n"/>
      <c r="J213" s="274" t="n"/>
      <c r="K213" s="275" t="n"/>
      <c r="L213" s="276" t="n"/>
      <c r="M213" s="270" t="n"/>
    </row>
    <row r="214" ht="18" customHeight="1" s="305">
      <c r="A214" s="28" t="inlineStr">
        <is>
          <t>D 549</t>
        </is>
      </c>
      <c r="B214" s="29" t="n">
        <v>50</v>
      </c>
      <c r="C214" s="236" t="inlineStr">
        <is>
          <t>X</t>
        </is>
      </c>
      <c r="D214" s="29" t="n">
        <v>100</v>
      </c>
      <c r="E214" s="237">
        <f>B214*D214/10000</f>
        <v/>
      </c>
      <c r="F214" s="238">
        <f>B214/30.48</f>
        <v/>
      </c>
      <c r="G214" s="238">
        <f>D214/30.48</f>
        <v/>
      </c>
      <c r="H214" s="613" t="n"/>
      <c r="I214" s="273" t="n"/>
      <c r="J214" s="274" t="n"/>
      <c r="K214" s="275" t="n"/>
      <c r="L214" s="276" t="n"/>
      <c r="M214" s="270" t="n"/>
    </row>
    <row r="215" ht="18" customHeight="1" s="305">
      <c r="A215" s="28" t="inlineStr">
        <is>
          <t>D 550</t>
        </is>
      </c>
      <c r="B215" s="29" t="n">
        <v>41</v>
      </c>
      <c r="C215" s="236" t="inlineStr">
        <is>
          <t>X</t>
        </is>
      </c>
      <c r="D215" s="29" t="n">
        <v>84</v>
      </c>
      <c r="E215" s="237">
        <f>B215*D215/10000</f>
        <v/>
      </c>
      <c r="F215" s="238">
        <f>B215/30.48</f>
        <v/>
      </c>
      <c r="G215" s="238">
        <f>D215/30.48</f>
        <v/>
      </c>
      <c r="H215" s="613" t="n"/>
      <c r="I215" s="273" t="n"/>
      <c r="J215" s="274" t="n"/>
      <c r="K215" s="275" t="n"/>
      <c r="L215" s="276" t="n"/>
      <c r="M215" s="270" t="n"/>
    </row>
    <row r="216" ht="18" customHeight="1" s="305">
      <c r="A216" s="28" t="inlineStr">
        <is>
          <t>D 555</t>
        </is>
      </c>
      <c r="B216" s="29" t="n">
        <v>49</v>
      </c>
      <c r="C216" s="236" t="inlineStr">
        <is>
          <t>X</t>
        </is>
      </c>
      <c r="D216" s="29" t="n">
        <v>99</v>
      </c>
      <c r="E216" s="237">
        <f>B216*D216/10000</f>
        <v/>
      </c>
      <c r="F216" s="238">
        <f>B216/30.48</f>
        <v/>
      </c>
      <c r="G216" s="238">
        <f>D216/30.48</f>
        <v/>
      </c>
      <c r="H216" s="613" t="n"/>
      <c r="I216" s="273" t="n"/>
      <c r="J216" s="274" t="n"/>
      <c r="K216" s="275" t="n"/>
      <c r="L216" s="276" t="n"/>
      <c r="M216" s="270" t="n"/>
    </row>
    <row r="217" ht="18" customHeight="1" s="305">
      <c r="A217" s="28" t="inlineStr">
        <is>
          <t>D 557</t>
        </is>
      </c>
      <c r="B217" s="29" t="n">
        <v>51</v>
      </c>
      <c r="C217" s="236" t="inlineStr">
        <is>
          <t>X</t>
        </is>
      </c>
      <c r="D217" s="29" t="n">
        <v>93</v>
      </c>
      <c r="E217" s="237">
        <f>B217*D217/10000</f>
        <v/>
      </c>
      <c r="F217" s="238">
        <f>B217/30.48</f>
        <v/>
      </c>
      <c r="G217" s="238">
        <f>D217/30.48</f>
        <v/>
      </c>
      <c r="H217" s="613" t="n"/>
      <c r="I217" s="273" t="n"/>
      <c r="J217" s="274" t="n"/>
      <c r="K217" s="275" t="n"/>
      <c r="L217" s="276" t="n"/>
      <c r="M217" s="270" t="n"/>
    </row>
    <row r="218">
      <c r="H218" s="613" t="n"/>
      <c r="I218" s="273" t="n"/>
      <c r="J218" s="274" t="n"/>
      <c r="K218" s="275" t="n"/>
      <c r="L218" s="276" t="n"/>
      <c r="M218" s="270" t="n"/>
    </row>
    <row r="219" ht="18" customHeight="1" s="305">
      <c r="A219" s="28" t="inlineStr">
        <is>
          <t>D 559</t>
        </is>
      </c>
      <c r="B219" s="29" t="n">
        <v>48</v>
      </c>
      <c r="C219" s="236" t="inlineStr">
        <is>
          <t>X</t>
        </is>
      </c>
      <c r="D219" s="29" t="n">
        <v>91</v>
      </c>
      <c r="E219" s="237">
        <f>B219*D219/10000</f>
        <v/>
      </c>
      <c r="F219" s="238">
        <f>B219/30.48</f>
        <v/>
      </c>
      <c r="G219" s="238">
        <f>D219/30.48</f>
        <v/>
      </c>
      <c r="H219" s="613" t="n"/>
      <c r="I219" s="273" t="n"/>
      <c r="J219" s="274" t="n"/>
      <c r="K219" s="275" t="n"/>
      <c r="L219" s="276" t="n"/>
      <c r="M219" s="270" t="n"/>
    </row>
    <row r="220" ht="18" customHeight="1" s="305">
      <c r="A220" s="28" t="inlineStr">
        <is>
          <t>D 561</t>
        </is>
      </c>
      <c r="B220" s="29" t="n">
        <v>42</v>
      </c>
      <c r="C220" s="236" t="inlineStr">
        <is>
          <t>X</t>
        </is>
      </c>
      <c r="D220" s="29" t="n">
        <v>87</v>
      </c>
      <c r="E220" s="237">
        <f>B220*D220/10000</f>
        <v/>
      </c>
      <c r="F220" s="238">
        <f>B220/30.48</f>
        <v/>
      </c>
      <c r="G220" s="238">
        <f>D220/30.48</f>
        <v/>
      </c>
      <c r="H220" s="613" t="n"/>
      <c r="I220" s="273" t="n"/>
      <c r="J220" s="274" t="n"/>
      <c r="K220" s="275" t="n"/>
      <c r="L220" s="276" t="n"/>
      <c r="M220" s="270" t="n"/>
    </row>
    <row r="221" ht="18" customHeight="1" s="305">
      <c r="A221" s="28" t="inlineStr">
        <is>
          <t>D 562</t>
        </is>
      </c>
      <c r="B221" s="29" t="n">
        <v>40</v>
      </c>
      <c r="C221" s="236" t="inlineStr">
        <is>
          <t>X</t>
        </is>
      </c>
      <c r="D221" s="29" t="n">
        <v>83</v>
      </c>
      <c r="E221" s="237">
        <f>B221*D221/10000</f>
        <v/>
      </c>
      <c r="F221" s="238">
        <f>B221/30.48</f>
        <v/>
      </c>
      <c r="G221" s="238">
        <f>D221/30.48</f>
        <v/>
      </c>
      <c r="H221" s="613" t="n"/>
      <c r="I221" s="273" t="n"/>
      <c r="J221" s="274" t="n"/>
      <c r="K221" s="275" t="n"/>
      <c r="L221" s="276" t="n"/>
      <c r="M221" s="270" t="n"/>
    </row>
    <row r="222" ht="18" customHeight="1" s="305">
      <c r="A222" s="28" t="inlineStr">
        <is>
          <t>D 563</t>
        </is>
      </c>
      <c r="B222" s="29" t="n">
        <v>33</v>
      </c>
      <c r="C222" s="236" t="inlineStr">
        <is>
          <t>X</t>
        </is>
      </c>
      <c r="D222" s="29" t="n">
        <v>80</v>
      </c>
      <c r="E222" s="237">
        <f>B222*D222/10000</f>
        <v/>
      </c>
      <c r="F222" s="238">
        <f>B222/30.48</f>
        <v/>
      </c>
      <c r="G222" s="238">
        <f>D222/30.48</f>
        <v/>
      </c>
      <c r="H222" s="613" t="n"/>
      <c r="I222" s="273" t="n"/>
      <c r="J222" s="274" t="n"/>
      <c r="K222" s="275" t="n"/>
      <c r="L222" s="276" t="n"/>
      <c r="M222" s="270" t="n"/>
    </row>
    <row r="223" ht="18" customHeight="1" s="305">
      <c r="A223" s="28" t="inlineStr">
        <is>
          <t>D 566</t>
        </is>
      </c>
      <c r="B223" s="29" t="n">
        <v>50</v>
      </c>
      <c r="C223" s="236" t="inlineStr">
        <is>
          <t>X</t>
        </is>
      </c>
      <c r="D223" s="29" t="n">
        <v>90</v>
      </c>
      <c r="E223" s="237">
        <f>B223*D223/10000</f>
        <v/>
      </c>
      <c r="F223" s="238">
        <f>B223/30.48</f>
        <v/>
      </c>
      <c r="G223" s="238">
        <f>D223/30.48</f>
        <v/>
      </c>
      <c r="H223" s="613" t="n"/>
      <c r="I223" s="273" t="n"/>
      <c r="J223" s="274" t="n"/>
      <c r="K223" s="275" t="n"/>
      <c r="L223" s="276" t="n"/>
      <c r="M223" s="270" t="n"/>
    </row>
    <row r="224" ht="18" customHeight="1" s="305">
      <c r="A224" s="28" t="inlineStr">
        <is>
          <t>D 567</t>
        </is>
      </c>
      <c r="B224" s="29" t="n">
        <v>52</v>
      </c>
      <c r="C224" s="236" t="inlineStr">
        <is>
          <t>X</t>
        </is>
      </c>
      <c r="D224" s="29" t="n">
        <v>109</v>
      </c>
      <c r="E224" s="237">
        <f>B224*D224/10000</f>
        <v/>
      </c>
      <c r="F224" s="238">
        <f>B224/30.48</f>
        <v/>
      </c>
      <c r="G224" s="238">
        <f>D224/30.48</f>
        <v/>
      </c>
      <c r="H224" s="613" t="n"/>
      <c r="I224" s="273" t="n"/>
      <c r="J224" s="274" t="n"/>
      <c r="K224" s="275" t="n"/>
      <c r="L224" s="276" t="n"/>
      <c r="M224" s="270" t="n"/>
    </row>
    <row r="225" ht="18" customHeight="1" s="305">
      <c r="A225" s="28" t="inlineStr">
        <is>
          <t>D 568</t>
        </is>
      </c>
      <c r="B225" s="29" t="n">
        <v>44</v>
      </c>
      <c r="C225" s="236" t="inlineStr">
        <is>
          <t>X</t>
        </is>
      </c>
      <c r="D225" s="29" t="n">
        <v>78</v>
      </c>
      <c r="E225" s="237">
        <f>B225*D225/10000</f>
        <v/>
      </c>
      <c r="F225" s="238">
        <f>B225/30.48</f>
        <v/>
      </c>
      <c r="G225" s="238">
        <f>D225/30.48</f>
        <v/>
      </c>
      <c r="H225" s="613" t="n"/>
      <c r="I225" s="273" t="n"/>
      <c r="J225" s="274" t="n"/>
      <c r="K225" s="275" t="n"/>
      <c r="L225" s="276" t="n"/>
      <c r="M225" s="270" t="n"/>
    </row>
    <row r="226" ht="18" customHeight="1" s="305">
      <c r="A226" s="28" t="inlineStr">
        <is>
          <t>D 571</t>
        </is>
      </c>
      <c r="B226" s="29" t="n"/>
      <c r="C226" s="236" t="inlineStr">
        <is>
          <t>X</t>
        </is>
      </c>
      <c r="D226" s="29" t="n"/>
      <c r="E226" s="237">
        <f>B226*D226/10000</f>
        <v/>
      </c>
      <c r="F226" s="238">
        <f>B226/30.48</f>
        <v/>
      </c>
      <c r="G226" s="238">
        <f>D226/30.48</f>
        <v/>
      </c>
      <c r="H226" s="613" t="n"/>
      <c r="I226" s="273" t="n"/>
      <c r="J226" s="274" t="n"/>
      <c r="K226" s="275" t="n"/>
      <c r="L226" s="276" t="n"/>
      <c r="M226" s="270" t="n"/>
    </row>
    <row r="227" ht="18" customHeight="1" s="305">
      <c r="A227" s="28" t="inlineStr">
        <is>
          <t>D 573</t>
        </is>
      </c>
      <c r="B227" s="29" t="n">
        <v>49</v>
      </c>
      <c r="C227" s="236" t="inlineStr">
        <is>
          <t>X</t>
        </is>
      </c>
      <c r="D227" s="29" t="n">
        <v>98</v>
      </c>
      <c r="E227" s="237">
        <f>B227*D227/10000</f>
        <v/>
      </c>
      <c r="F227" s="238">
        <f>B227/30.48</f>
        <v/>
      </c>
      <c r="G227" s="238">
        <f>D227/30.48</f>
        <v/>
      </c>
      <c r="H227" s="613" t="n"/>
      <c r="I227" s="273" t="n"/>
      <c r="J227" s="274" t="n"/>
      <c r="K227" s="275" t="n"/>
      <c r="L227" s="276" t="n"/>
      <c r="M227" s="270" t="n"/>
    </row>
    <row r="228" ht="18" customHeight="1" s="305">
      <c r="A228" s="28" t="inlineStr">
        <is>
          <t>D 574</t>
        </is>
      </c>
      <c r="B228" s="29" t="n">
        <v>50</v>
      </c>
      <c r="C228" s="236" t="inlineStr">
        <is>
          <t>X</t>
        </is>
      </c>
      <c r="D228" s="29" t="n">
        <v>96</v>
      </c>
      <c r="E228" s="237">
        <f>B228*D228/10000</f>
        <v/>
      </c>
      <c r="F228" s="238">
        <f>B228/30.48</f>
        <v/>
      </c>
      <c r="G228" s="238">
        <f>D228/30.48</f>
        <v/>
      </c>
      <c r="H228" s="613" t="n"/>
      <c r="I228" s="273" t="n"/>
      <c r="J228" s="274" t="n"/>
      <c r="K228" s="275" t="n"/>
      <c r="L228" s="276" t="n"/>
      <c r="M228" s="270" t="n"/>
    </row>
    <row r="229" ht="18" customHeight="1" s="305">
      <c r="A229" s="28" t="inlineStr">
        <is>
          <t>D 576</t>
        </is>
      </c>
      <c r="B229" s="29" t="n">
        <v>42</v>
      </c>
      <c r="C229" s="236" t="inlineStr">
        <is>
          <t>X</t>
        </is>
      </c>
      <c r="D229" s="29" t="n">
        <v>84</v>
      </c>
      <c r="E229" s="237">
        <f>B229*D229/10000</f>
        <v/>
      </c>
      <c r="F229" s="238">
        <f>B229/30.48</f>
        <v/>
      </c>
      <c r="G229" s="238">
        <f>D229/30.48</f>
        <v/>
      </c>
      <c r="H229" s="613" t="n"/>
      <c r="I229" s="273" t="n"/>
      <c r="J229" s="274" t="n"/>
      <c r="K229" s="275" t="n"/>
      <c r="L229" s="276" t="n"/>
      <c r="M229" s="270" t="n"/>
    </row>
    <row r="230" ht="18" customHeight="1" s="305">
      <c r="A230" s="28" t="inlineStr">
        <is>
          <t>D 578</t>
        </is>
      </c>
      <c r="B230" s="29" t="n">
        <v>44</v>
      </c>
      <c r="C230" s="236" t="inlineStr">
        <is>
          <t>X</t>
        </is>
      </c>
      <c r="D230" s="29" t="n">
        <v>97</v>
      </c>
      <c r="E230" s="237">
        <f>B230*D230/10000</f>
        <v/>
      </c>
      <c r="F230" s="238">
        <f>B230/30.48</f>
        <v/>
      </c>
      <c r="G230" s="238">
        <f>D230/30.48</f>
        <v/>
      </c>
      <c r="H230" s="613" t="n"/>
      <c r="I230" s="273" t="n"/>
      <c r="J230" s="274" t="n"/>
      <c r="K230" s="275" t="n"/>
      <c r="L230" s="276" t="n"/>
      <c r="M230" s="270" t="n"/>
    </row>
    <row r="231" ht="18" customHeight="1" s="305">
      <c r="A231" s="28" t="inlineStr">
        <is>
          <t>D 579</t>
        </is>
      </c>
      <c r="B231" s="29" t="n">
        <v>50</v>
      </c>
      <c r="C231" s="236" t="inlineStr">
        <is>
          <t>X</t>
        </is>
      </c>
      <c r="D231" s="29" t="n">
        <v>93</v>
      </c>
      <c r="E231" s="237">
        <f>B231*D231/10000</f>
        <v/>
      </c>
      <c r="F231" s="238">
        <f>B231/30.48</f>
        <v/>
      </c>
      <c r="G231" s="238">
        <f>D231/30.48</f>
        <v/>
      </c>
      <c r="H231" s="613" t="n"/>
      <c r="I231" s="273" t="n"/>
      <c r="J231" s="274" t="n"/>
      <c r="K231" s="275" t="n"/>
      <c r="L231" s="276" t="n"/>
      <c r="M231" s="270" t="n"/>
    </row>
    <row r="232" ht="18" customHeight="1" s="305">
      <c r="A232" s="28" t="inlineStr">
        <is>
          <t>D 581</t>
        </is>
      </c>
      <c r="B232" s="29" t="n">
        <v>53</v>
      </c>
      <c r="C232" s="236" t="inlineStr">
        <is>
          <t>X</t>
        </is>
      </c>
      <c r="D232" s="29" t="n">
        <v>85</v>
      </c>
      <c r="E232" s="237">
        <f>B232*D232/10000</f>
        <v/>
      </c>
      <c r="F232" s="238">
        <f>B232/30.48</f>
        <v/>
      </c>
      <c r="G232" s="238">
        <f>D232/30.48</f>
        <v/>
      </c>
      <c r="H232" s="613" t="n"/>
      <c r="I232" s="273" t="n"/>
      <c r="J232" s="274" t="n"/>
      <c r="K232" s="275" t="n"/>
      <c r="L232" s="276" t="n"/>
      <c r="M232" s="270" t="n"/>
    </row>
    <row r="233" ht="18" customHeight="1" s="305">
      <c r="A233" s="28" t="inlineStr">
        <is>
          <t>D 583</t>
        </is>
      </c>
      <c r="B233" s="29" t="n">
        <v>48</v>
      </c>
      <c r="C233" s="236" t="inlineStr">
        <is>
          <t>X</t>
        </is>
      </c>
      <c r="D233" s="29" t="n">
        <v>90</v>
      </c>
      <c r="E233" s="237">
        <f>B233*D233/10000</f>
        <v/>
      </c>
      <c r="F233" s="238">
        <f>B233/30.48</f>
        <v/>
      </c>
      <c r="G233" s="238">
        <f>D233/30.48</f>
        <v/>
      </c>
      <c r="H233" s="613" t="n"/>
      <c r="I233" s="273" t="n"/>
      <c r="J233" s="274" t="n"/>
      <c r="K233" s="275" t="n"/>
      <c r="L233" s="276" t="n"/>
      <c r="M233" s="270" t="n"/>
    </row>
    <row r="234" ht="18" customHeight="1" s="305">
      <c r="A234" s="28" t="inlineStr">
        <is>
          <t>D 584</t>
        </is>
      </c>
      <c r="B234" s="29" t="n">
        <v>38</v>
      </c>
      <c r="C234" s="236" t="inlineStr">
        <is>
          <t>X</t>
        </is>
      </c>
      <c r="D234" s="29" t="n">
        <v>76</v>
      </c>
      <c r="E234" s="237">
        <f>B234*D234/10000</f>
        <v/>
      </c>
      <c r="F234" s="238">
        <f>B234/30.48</f>
        <v/>
      </c>
      <c r="G234" s="238">
        <f>D234/30.48</f>
        <v/>
      </c>
      <c r="H234" s="613" t="n"/>
      <c r="I234" s="273" t="n"/>
      <c r="J234" s="274" t="n"/>
      <c r="K234" s="275" t="n"/>
      <c r="L234" s="276" t="n"/>
      <c r="M234" s="270" t="n"/>
    </row>
    <row r="235" ht="18" customHeight="1" s="305">
      <c r="A235" s="28" t="inlineStr">
        <is>
          <t>D 587</t>
        </is>
      </c>
      <c r="B235" s="29" t="n">
        <v>44</v>
      </c>
      <c r="C235" s="236" t="inlineStr">
        <is>
          <t>X</t>
        </is>
      </c>
      <c r="D235" s="29" t="n">
        <v>87</v>
      </c>
      <c r="E235" s="237">
        <f>B235*D235/10000</f>
        <v/>
      </c>
      <c r="F235" s="238">
        <f>B235/30.48</f>
        <v/>
      </c>
      <c r="G235" s="238">
        <f>D235/30.48</f>
        <v/>
      </c>
      <c r="H235" s="613" t="n"/>
      <c r="I235" s="273" t="n"/>
      <c r="J235" s="274" t="n"/>
      <c r="K235" s="275" t="n"/>
      <c r="L235" s="276" t="n"/>
      <c r="M235" s="270" t="n"/>
    </row>
    <row r="236" ht="18" customHeight="1" s="305">
      <c r="A236" s="28" t="inlineStr">
        <is>
          <t>D 588</t>
        </is>
      </c>
      <c r="B236" s="29" t="n">
        <v>46</v>
      </c>
      <c r="C236" s="236" t="inlineStr">
        <is>
          <t>X</t>
        </is>
      </c>
      <c r="D236" s="29" t="n">
        <v>90</v>
      </c>
      <c r="E236" s="237">
        <f>B236*D236/10000</f>
        <v/>
      </c>
      <c r="F236" s="238">
        <f>B236/30.48</f>
        <v/>
      </c>
      <c r="G236" s="238">
        <f>D236/30.48</f>
        <v/>
      </c>
      <c r="H236" s="613" t="n"/>
      <c r="I236" s="273" t="n"/>
      <c r="J236" s="274" t="n"/>
      <c r="K236" s="275" t="n"/>
      <c r="L236" s="276" t="n"/>
      <c r="M236" s="270" t="n"/>
    </row>
    <row r="237" ht="18" customHeight="1" s="305">
      <c r="A237" s="28" t="inlineStr">
        <is>
          <t>D 589</t>
        </is>
      </c>
      <c r="B237" s="29" t="n"/>
      <c r="C237" s="236" t="inlineStr">
        <is>
          <t>X</t>
        </is>
      </c>
      <c r="D237" s="29" t="n"/>
      <c r="E237" s="237">
        <f>B237*D237/10000</f>
        <v/>
      </c>
      <c r="F237" s="238">
        <f>B237/30.48</f>
        <v/>
      </c>
      <c r="G237" s="238">
        <f>D237/30.48</f>
        <v/>
      </c>
      <c r="H237" s="613" t="n"/>
      <c r="I237" s="273" t="n"/>
      <c r="J237" s="274" t="n"/>
      <c r="K237" s="275" t="n"/>
      <c r="L237" s="276" t="n"/>
      <c r="M237" s="270" t="n"/>
    </row>
    <row r="238" ht="18" customHeight="1" s="305">
      <c r="A238" s="28" t="inlineStr">
        <is>
          <t>D 590</t>
        </is>
      </c>
      <c r="B238" s="29" t="n"/>
      <c r="C238" s="236" t="inlineStr">
        <is>
          <t>X</t>
        </is>
      </c>
      <c r="D238" s="29" t="n"/>
      <c r="E238" s="237">
        <f>B238*D238/10000</f>
        <v/>
      </c>
      <c r="F238" s="238">
        <f>B238/30.48</f>
        <v/>
      </c>
      <c r="G238" s="238">
        <f>D238/30.48</f>
        <v/>
      </c>
      <c r="H238" s="613" t="n"/>
      <c r="I238" s="273" t="n"/>
      <c r="J238" s="274" t="n"/>
      <c r="K238" s="275" t="n"/>
      <c r="L238" s="276" t="n"/>
      <c r="M238" s="270" t="n"/>
    </row>
    <row r="239" ht="18" customHeight="1" s="305">
      <c r="A239" s="28" t="inlineStr">
        <is>
          <t>D 591</t>
        </is>
      </c>
      <c r="B239" s="29" t="n"/>
      <c r="C239" s="236" t="inlineStr">
        <is>
          <t>X</t>
        </is>
      </c>
      <c r="D239" s="29" t="n"/>
      <c r="E239" s="237">
        <f>B239*D239/10000</f>
        <v/>
      </c>
      <c r="F239" s="238">
        <f>B239/30.48</f>
        <v/>
      </c>
      <c r="G239" s="238">
        <f>D239/30.48</f>
        <v/>
      </c>
      <c r="H239" s="613" t="n"/>
      <c r="I239" s="273" t="n"/>
      <c r="J239" s="274" t="n"/>
      <c r="K239" s="275" t="n"/>
      <c r="L239" s="276" t="n"/>
      <c r="M239" s="270" t="n"/>
    </row>
    <row r="240" ht="18" customHeight="1" s="305">
      <c r="A240" s="28" t="inlineStr">
        <is>
          <t>D 592</t>
        </is>
      </c>
      <c r="B240" s="29" t="n"/>
      <c r="C240" s="236" t="inlineStr">
        <is>
          <t>X</t>
        </is>
      </c>
      <c r="D240" s="29" t="n"/>
      <c r="E240" s="237">
        <f>B240*D240/10000</f>
        <v/>
      </c>
      <c r="F240" s="238">
        <f>B240/30.48</f>
        <v/>
      </c>
      <c r="G240" s="238">
        <f>D240/30.48</f>
        <v/>
      </c>
      <c r="H240" s="613" t="n"/>
      <c r="I240" s="273" t="n"/>
      <c r="J240" s="274" t="n"/>
      <c r="K240" s="275" t="n"/>
      <c r="L240" s="276" t="n"/>
      <c r="M240" s="270" t="n"/>
    </row>
    <row r="241" ht="18" customHeight="1" s="305">
      <c r="A241" s="28" t="inlineStr">
        <is>
          <t>D 593</t>
        </is>
      </c>
      <c r="B241" s="29" t="n"/>
      <c r="C241" s="236" t="inlineStr">
        <is>
          <t>X</t>
        </is>
      </c>
      <c r="D241" s="29" t="n"/>
      <c r="E241" s="237">
        <f>B241*D241/10000</f>
        <v/>
      </c>
      <c r="F241" s="238">
        <f>B241/30.48</f>
        <v/>
      </c>
      <c r="G241" s="238">
        <f>D241/30.48</f>
        <v/>
      </c>
      <c r="H241" s="613" t="n"/>
      <c r="I241" s="273" t="n"/>
      <c r="J241" s="274" t="n"/>
      <c r="K241" s="275" t="n"/>
      <c r="L241" s="276" t="n"/>
      <c r="M241" s="270" t="n"/>
    </row>
    <row r="242" ht="18" customHeight="1" s="305">
      <c r="A242" s="28" t="inlineStr">
        <is>
          <t>D 594</t>
        </is>
      </c>
      <c r="B242" s="29" t="n"/>
      <c r="C242" s="236" t="inlineStr">
        <is>
          <t>X</t>
        </is>
      </c>
      <c r="D242" s="29" t="n"/>
      <c r="E242" s="237">
        <f>B242*D242/10000</f>
        <v/>
      </c>
      <c r="F242" s="238">
        <f>B242/30.48</f>
        <v/>
      </c>
      <c r="G242" s="238">
        <f>D242/30.48</f>
        <v/>
      </c>
      <c r="H242" s="613" t="n"/>
      <c r="I242" s="273" t="n"/>
      <c r="J242" s="274" t="n"/>
      <c r="K242" s="275" t="n"/>
      <c r="L242" s="276" t="n"/>
      <c r="M242" s="270" t="n"/>
    </row>
    <row r="243" ht="18" customHeight="1" s="305">
      <c r="A243" s="28" t="inlineStr">
        <is>
          <t>D 595</t>
        </is>
      </c>
      <c r="B243" s="29" t="n"/>
      <c r="C243" s="236" t="inlineStr">
        <is>
          <t>X</t>
        </is>
      </c>
      <c r="D243" s="29" t="n"/>
      <c r="E243" s="237">
        <f>B243*D243/10000</f>
        <v/>
      </c>
      <c r="F243" s="238">
        <f>B243/30.48</f>
        <v/>
      </c>
      <c r="G243" s="238">
        <f>D243/30.48</f>
        <v/>
      </c>
      <c r="H243" s="613" t="n"/>
      <c r="I243" s="273" t="n"/>
      <c r="J243" s="274" t="n"/>
      <c r="K243" s="275" t="n"/>
      <c r="L243" s="276" t="n"/>
      <c r="M243" s="270" t="n"/>
    </row>
    <row r="244" ht="18" customHeight="1" s="305">
      <c r="A244" s="28" t="inlineStr">
        <is>
          <t>D 596</t>
        </is>
      </c>
      <c r="B244" s="29" t="n"/>
      <c r="C244" s="236" t="inlineStr">
        <is>
          <t>X</t>
        </is>
      </c>
      <c r="D244" s="29" t="n"/>
      <c r="E244" s="237">
        <f>B244*D244/10000</f>
        <v/>
      </c>
      <c r="F244" s="238">
        <f>B244/30.48</f>
        <v/>
      </c>
      <c r="G244" s="238">
        <f>D244/30.48</f>
        <v/>
      </c>
      <c r="H244" s="613" t="n"/>
      <c r="I244" s="273" t="n"/>
      <c r="J244" s="274" t="n"/>
      <c r="K244" s="275" t="n"/>
      <c r="L244" s="276" t="n"/>
      <c r="M244" s="270" t="n"/>
    </row>
    <row r="245" ht="18" customHeight="1" s="305">
      <c r="A245" s="28" t="inlineStr">
        <is>
          <t>D 597</t>
        </is>
      </c>
      <c r="B245" s="29" t="n"/>
      <c r="C245" s="236" t="inlineStr">
        <is>
          <t>X</t>
        </is>
      </c>
      <c r="D245" s="29" t="n"/>
      <c r="E245" s="237">
        <f>B245*D245/10000</f>
        <v/>
      </c>
      <c r="F245" s="238">
        <f>B245/30.48</f>
        <v/>
      </c>
      <c r="G245" s="238">
        <f>D245/30.48</f>
        <v/>
      </c>
      <c r="H245" s="613" t="n"/>
      <c r="I245" s="273" t="n"/>
      <c r="J245" s="274" t="n"/>
      <c r="K245" s="275" t="n"/>
      <c r="L245" s="276" t="n"/>
      <c r="M245" s="270" t="n"/>
    </row>
    <row r="246" ht="18" customHeight="1" s="305">
      <c r="A246" s="28" t="inlineStr">
        <is>
          <t>D 598</t>
        </is>
      </c>
      <c r="B246" s="29" t="n"/>
      <c r="C246" s="236" t="inlineStr">
        <is>
          <t>X</t>
        </is>
      </c>
      <c r="D246" s="29" t="n"/>
      <c r="E246" s="237">
        <f>B246*D246/10000</f>
        <v/>
      </c>
      <c r="F246" s="238">
        <f>B246/30.48</f>
        <v/>
      </c>
      <c r="G246" s="238">
        <f>D246/30.48</f>
        <v/>
      </c>
      <c r="H246" s="613" t="n"/>
      <c r="I246" s="273" t="n"/>
      <c r="J246" s="274" t="n"/>
      <c r="K246" s="275" t="n"/>
      <c r="L246" s="276" t="n"/>
      <c r="M246" s="270" t="n"/>
    </row>
    <row r="247" ht="18" customHeight="1" s="305">
      <c r="A247" s="28" t="inlineStr">
        <is>
          <t>D 601</t>
        </is>
      </c>
      <c r="B247" s="29" t="n">
        <v>47</v>
      </c>
      <c r="C247" s="236" t="inlineStr">
        <is>
          <t>X</t>
        </is>
      </c>
      <c r="D247" s="29" t="n">
        <v>77</v>
      </c>
      <c r="E247" s="237">
        <f>B247*D247/10000</f>
        <v/>
      </c>
      <c r="F247" s="238">
        <f>B247/30.48</f>
        <v/>
      </c>
      <c r="G247" s="238">
        <f>D247/30.48</f>
        <v/>
      </c>
      <c r="H247" s="613" t="n"/>
      <c r="I247" s="273" t="n"/>
      <c r="J247" s="274" t="n"/>
      <c r="K247" s="275" t="n"/>
      <c r="L247" s="276" t="n"/>
      <c r="M247" s="270" t="n"/>
    </row>
    <row r="248" ht="18" customHeight="1" s="305">
      <c r="A248" s="28" t="inlineStr">
        <is>
          <t>D 603</t>
        </is>
      </c>
      <c r="B248" s="29" t="n">
        <v>46</v>
      </c>
      <c r="C248" s="236" t="inlineStr">
        <is>
          <t>X</t>
        </is>
      </c>
      <c r="D248" s="29" t="n">
        <v>95</v>
      </c>
      <c r="E248" s="237">
        <f>B248*D248/10000</f>
        <v/>
      </c>
      <c r="F248" s="238">
        <f>B248/30.48</f>
        <v/>
      </c>
      <c r="G248" s="238">
        <f>D248/30.48</f>
        <v/>
      </c>
      <c r="H248" s="613" t="n"/>
      <c r="I248" s="273" t="n"/>
      <c r="J248" s="274" t="n"/>
      <c r="K248" s="275" t="n"/>
      <c r="L248" s="276" t="n"/>
      <c r="M248" s="270" t="n"/>
    </row>
    <row r="249" ht="18" customHeight="1" s="305">
      <c r="A249" s="28" t="inlineStr">
        <is>
          <t>D 605</t>
        </is>
      </c>
      <c r="B249" s="29" t="n">
        <v>45</v>
      </c>
      <c r="C249" s="236" t="inlineStr">
        <is>
          <t>X</t>
        </is>
      </c>
      <c r="D249" s="29" t="n">
        <v>98</v>
      </c>
      <c r="E249" s="237">
        <f>B249*D249/10000</f>
        <v/>
      </c>
      <c r="F249" s="238">
        <f>B249/30.48</f>
        <v/>
      </c>
      <c r="G249" s="238">
        <f>D249/30.48</f>
        <v/>
      </c>
      <c r="H249" s="613" t="n"/>
      <c r="I249" s="273" t="n"/>
      <c r="J249" s="274" t="n"/>
      <c r="K249" s="275" t="n"/>
      <c r="L249" s="276" t="n"/>
      <c r="M249" s="270" t="n"/>
    </row>
    <row r="250" ht="18" customHeight="1" s="305">
      <c r="A250" s="28" t="inlineStr">
        <is>
          <t>D 606</t>
        </is>
      </c>
      <c r="B250" s="29" t="n">
        <v>47</v>
      </c>
      <c r="C250" s="236" t="inlineStr">
        <is>
          <t>X</t>
        </is>
      </c>
      <c r="D250" s="29" t="n">
        <v>94</v>
      </c>
      <c r="E250" s="237">
        <f>B250*D250/10000</f>
        <v/>
      </c>
      <c r="F250" s="238">
        <f>B250/30.48</f>
        <v/>
      </c>
      <c r="G250" s="238">
        <f>D250/30.48</f>
        <v/>
      </c>
      <c r="H250" s="613" t="n"/>
      <c r="I250" s="273" t="n"/>
      <c r="J250" s="274" t="n"/>
      <c r="K250" s="275" t="n"/>
      <c r="L250" s="276" t="n"/>
      <c r="M250" s="270" t="n"/>
    </row>
    <row r="251" ht="18" customHeight="1" s="305">
      <c r="A251" s="28" t="inlineStr">
        <is>
          <t>D 606</t>
        </is>
      </c>
      <c r="B251" s="29" t="n">
        <v>45</v>
      </c>
      <c r="C251" s="236" t="inlineStr">
        <is>
          <t>X</t>
        </is>
      </c>
      <c r="D251" s="29" t="n">
        <v>91</v>
      </c>
      <c r="E251" s="237">
        <f>B251*D251/10000</f>
        <v/>
      </c>
      <c r="F251" s="238">
        <f>B251/30.48</f>
        <v/>
      </c>
      <c r="G251" s="238">
        <f>D251/30.48</f>
        <v/>
      </c>
      <c r="H251" s="613" t="n"/>
      <c r="I251" s="273" t="n"/>
      <c r="J251" s="274" t="n"/>
      <c r="K251" s="275" t="n"/>
      <c r="L251" s="276" t="n"/>
      <c r="M251" s="270" t="n"/>
    </row>
    <row r="252">
      <c r="H252" s="613" t="n"/>
      <c r="I252" s="273" t="n"/>
      <c r="J252" s="274" t="n"/>
      <c r="K252" s="275" t="n"/>
      <c r="L252" s="276" t="n"/>
      <c r="M252" s="270" t="n"/>
    </row>
    <row r="253" ht="18" customHeight="1" s="305">
      <c r="A253" s="28" t="inlineStr">
        <is>
          <t>D 610</t>
        </is>
      </c>
      <c r="B253" s="29" t="n">
        <v>38</v>
      </c>
      <c r="C253" s="236" t="inlineStr">
        <is>
          <t>X</t>
        </is>
      </c>
      <c r="D253" s="29" t="n">
        <v>88</v>
      </c>
      <c r="E253" s="237">
        <f>B253*D253/10000</f>
        <v/>
      </c>
      <c r="F253" s="238">
        <f>B253/30.48</f>
        <v/>
      </c>
      <c r="G253" s="238">
        <f>D253/30.48</f>
        <v/>
      </c>
      <c r="H253" s="613" t="n"/>
      <c r="I253" s="273" t="n"/>
      <c r="J253" s="274" t="n"/>
      <c r="K253" s="275" t="n"/>
      <c r="L253" s="276" t="n"/>
      <c r="M253" s="270" t="n"/>
    </row>
    <row r="254" ht="18" customHeight="1" s="305">
      <c r="A254" s="28" t="inlineStr">
        <is>
          <t>D 611</t>
        </is>
      </c>
      <c r="B254" s="29" t="n">
        <v>46</v>
      </c>
      <c r="C254" s="236" t="inlineStr">
        <is>
          <t>X</t>
        </is>
      </c>
      <c r="D254" s="29" t="n">
        <v>69</v>
      </c>
      <c r="E254" s="237">
        <f>B254*D254/10000</f>
        <v/>
      </c>
      <c r="F254" s="238">
        <f>B254/30.48</f>
        <v/>
      </c>
      <c r="G254" s="238">
        <f>D254/30.48</f>
        <v/>
      </c>
      <c r="H254" s="613" t="n"/>
      <c r="I254" s="273" t="n"/>
      <c r="J254" s="274" t="n"/>
      <c r="K254" s="275" t="n"/>
      <c r="L254" s="276" t="n"/>
      <c r="M254" s="270" t="n"/>
    </row>
    <row r="255" ht="18" customHeight="1" s="305">
      <c r="A255" s="28" t="inlineStr">
        <is>
          <t>D 613</t>
        </is>
      </c>
      <c r="B255" s="29" t="n">
        <v>66</v>
      </c>
      <c r="C255" s="236" t="inlineStr">
        <is>
          <t>X</t>
        </is>
      </c>
      <c r="D255" s="29" t="n">
        <v>66</v>
      </c>
      <c r="E255" s="237">
        <f>B255*D255/10000</f>
        <v/>
      </c>
      <c r="F255" s="238">
        <f>B255/30.48</f>
        <v/>
      </c>
      <c r="G255" s="238">
        <f>D255/30.48</f>
        <v/>
      </c>
      <c r="H255" s="613" t="n"/>
      <c r="I255" s="273" t="n"/>
      <c r="J255" s="274" t="n"/>
      <c r="K255" s="275" t="n"/>
      <c r="L255" s="276" t="n"/>
      <c r="M255" s="270" t="n"/>
    </row>
    <row r="256" ht="18" customHeight="1" s="305">
      <c r="A256" s="28" t="inlineStr">
        <is>
          <t>D 615</t>
        </is>
      </c>
      <c r="B256" s="29" t="n">
        <v>48</v>
      </c>
      <c r="C256" s="236" t="inlineStr">
        <is>
          <t>X</t>
        </is>
      </c>
      <c r="D256" s="29" t="n">
        <v>98</v>
      </c>
      <c r="E256" s="237">
        <f>B256*D256/10000</f>
        <v/>
      </c>
      <c r="F256" s="238">
        <f>B256/30.48</f>
        <v/>
      </c>
      <c r="G256" s="238">
        <f>D256/30.48</f>
        <v/>
      </c>
      <c r="H256" s="613" t="n"/>
      <c r="I256" s="273" t="n"/>
      <c r="J256" s="274" t="n"/>
      <c r="K256" s="275" t="n"/>
      <c r="L256" s="276" t="n"/>
      <c r="M256" s="270" t="n"/>
    </row>
    <row r="257" ht="18" customHeight="1" s="305">
      <c r="A257" s="28" t="inlineStr">
        <is>
          <t>D 618</t>
        </is>
      </c>
      <c r="B257" s="29" t="n">
        <v>58</v>
      </c>
      <c r="C257" s="236" t="inlineStr">
        <is>
          <t>X</t>
        </is>
      </c>
      <c r="D257" s="29" t="n">
        <v>58</v>
      </c>
      <c r="E257" s="237">
        <f>B257*D257/10000</f>
        <v/>
      </c>
      <c r="F257" s="238">
        <f>B257/30.48</f>
        <v/>
      </c>
      <c r="G257" s="238">
        <f>D257/30.48</f>
        <v/>
      </c>
      <c r="H257" s="613" t="n"/>
      <c r="I257" s="273" t="n"/>
      <c r="J257" s="274" t="n"/>
      <c r="K257" s="275" t="n"/>
      <c r="L257" s="276" t="n"/>
      <c r="M257" s="270" t="n"/>
    </row>
    <row r="258" ht="18" customHeight="1" s="305">
      <c r="A258" s="28" t="inlineStr">
        <is>
          <t>D 621</t>
        </is>
      </c>
      <c r="B258" s="29" t="n">
        <v>44</v>
      </c>
      <c r="C258" s="236" t="inlineStr">
        <is>
          <t>X</t>
        </is>
      </c>
      <c r="D258" s="29" t="n">
        <v>94</v>
      </c>
      <c r="E258" s="237">
        <f>B258*D258/10000</f>
        <v/>
      </c>
      <c r="F258" s="238">
        <f>B258/30.48</f>
        <v/>
      </c>
      <c r="G258" s="238">
        <f>D258/30.48</f>
        <v/>
      </c>
      <c r="H258" s="613" t="n"/>
      <c r="I258" s="273" t="n"/>
      <c r="J258" s="274" t="n"/>
      <c r="K258" s="275" t="n"/>
      <c r="L258" s="276" t="n"/>
      <c r="M258" s="270" t="n"/>
    </row>
    <row r="259" ht="18" customHeight="1" s="305">
      <c r="A259" s="28" t="inlineStr">
        <is>
          <t>D 623</t>
        </is>
      </c>
      <c r="B259" s="29" t="n">
        <v>51</v>
      </c>
      <c r="C259" s="236" t="inlineStr">
        <is>
          <t>X</t>
        </is>
      </c>
      <c r="D259" s="29" t="n">
        <v>106</v>
      </c>
      <c r="E259" s="237">
        <f>B259*D259/10000</f>
        <v/>
      </c>
      <c r="F259" s="238">
        <f>B259/30.48</f>
        <v/>
      </c>
      <c r="G259" s="238">
        <f>D259/30.48</f>
        <v/>
      </c>
      <c r="H259" s="613" t="n"/>
      <c r="I259" s="273" t="n"/>
      <c r="J259" s="274" t="n"/>
      <c r="K259" s="275" t="n"/>
      <c r="L259" s="276" t="n"/>
      <c r="M259" s="270" t="n"/>
    </row>
    <row r="260" ht="18" customHeight="1" s="305">
      <c r="A260" s="28" t="inlineStr">
        <is>
          <t>D 625</t>
        </is>
      </c>
      <c r="B260" s="29" t="n">
        <v>47</v>
      </c>
      <c r="C260" s="236" t="inlineStr">
        <is>
          <t>X</t>
        </is>
      </c>
      <c r="D260" s="29" t="n">
        <v>96</v>
      </c>
      <c r="E260" s="237">
        <f>B260*D260/10000</f>
        <v/>
      </c>
      <c r="F260" s="238">
        <f>B260/30.48</f>
        <v/>
      </c>
      <c r="G260" s="238">
        <f>D260/30.48</f>
        <v/>
      </c>
      <c r="H260" s="613" t="n"/>
      <c r="I260" s="273" t="n"/>
      <c r="J260" s="274" t="n"/>
      <c r="K260" s="275" t="n"/>
      <c r="L260" s="276" t="n"/>
      <c r="M260" s="270" t="n"/>
    </row>
    <row r="261" ht="18" customHeight="1" s="305">
      <c r="A261" s="28" t="inlineStr">
        <is>
          <t>D 626</t>
        </is>
      </c>
      <c r="B261" s="29" t="n">
        <v>37</v>
      </c>
      <c r="C261" s="236" t="inlineStr">
        <is>
          <t>X</t>
        </is>
      </c>
      <c r="D261" s="29" t="n">
        <v>80</v>
      </c>
      <c r="E261" s="237">
        <f>B261*D261/10000</f>
        <v/>
      </c>
      <c r="F261" s="238">
        <f>B261/30.48</f>
        <v/>
      </c>
      <c r="G261" s="238">
        <f>D261/30.48</f>
        <v/>
      </c>
      <c r="H261" s="613" t="n"/>
      <c r="I261" s="273" t="n"/>
      <c r="J261" s="274" t="n"/>
      <c r="K261" s="275" t="n"/>
      <c r="L261" s="276" t="n"/>
      <c r="M261" s="270" t="n"/>
    </row>
    <row r="262" ht="18" customHeight="1" s="305">
      <c r="A262" s="28" t="inlineStr">
        <is>
          <t>D 629</t>
        </is>
      </c>
      <c r="B262" s="29" t="n">
        <v>43</v>
      </c>
      <c r="C262" s="236" t="inlineStr">
        <is>
          <t>X</t>
        </is>
      </c>
      <c r="D262" s="29" t="n">
        <v>79</v>
      </c>
      <c r="E262" s="237">
        <f>B262*D262/10000</f>
        <v/>
      </c>
      <c r="F262" s="238">
        <f>B262/30.48</f>
        <v/>
      </c>
      <c r="G262" s="238">
        <f>D262/30.48</f>
        <v/>
      </c>
      <c r="H262" s="613" t="n"/>
      <c r="I262" s="273" t="n"/>
      <c r="J262" s="274" t="n"/>
      <c r="K262" s="275" t="n"/>
      <c r="L262" s="276" t="n"/>
      <c r="M262" s="270" t="n"/>
    </row>
    <row r="263" ht="18" customHeight="1" s="305">
      <c r="A263" s="28" t="inlineStr">
        <is>
          <t>D 630</t>
        </is>
      </c>
      <c r="B263" s="29" t="n">
        <v>47</v>
      </c>
      <c r="C263" s="236" t="inlineStr">
        <is>
          <t>X</t>
        </is>
      </c>
      <c r="D263" s="29" t="n">
        <v>104</v>
      </c>
      <c r="E263" s="237">
        <f>B263*D263/10000</f>
        <v/>
      </c>
      <c r="F263" s="238">
        <f>B263/30.48</f>
        <v/>
      </c>
      <c r="G263" s="238">
        <f>D263/30.48</f>
        <v/>
      </c>
      <c r="H263" s="613" t="n"/>
      <c r="I263" s="273" t="n"/>
      <c r="J263" s="274" t="n"/>
      <c r="K263" s="275" t="n"/>
      <c r="L263" s="276" t="n"/>
      <c r="M263" s="270" t="n"/>
    </row>
    <row r="264" ht="18" customHeight="1" s="305">
      <c r="A264" s="28" t="inlineStr">
        <is>
          <t>D 635</t>
        </is>
      </c>
      <c r="B264" s="29" t="n">
        <v>46</v>
      </c>
      <c r="C264" s="236" t="inlineStr">
        <is>
          <t>X</t>
        </is>
      </c>
      <c r="D264" s="29" t="n">
        <v>93</v>
      </c>
      <c r="E264" s="237">
        <f>B264*D264/10000</f>
        <v/>
      </c>
      <c r="F264" s="238">
        <f>B264/30.48</f>
        <v/>
      </c>
      <c r="G264" s="238">
        <f>D264/30.48</f>
        <v/>
      </c>
      <c r="H264" s="613" t="n"/>
      <c r="I264" s="273" t="n"/>
      <c r="J264" s="274" t="n"/>
      <c r="K264" s="275" t="n"/>
      <c r="L264" s="276" t="n"/>
      <c r="M264" s="270" t="n"/>
    </row>
    <row r="265" ht="18" customHeight="1" s="305">
      <c r="A265" s="28" t="inlineStr">
        <is>
          <t>D 640</t>
        </is>
      </c>
      <c r="B265" s="29" t="n">
        <v>45</v>
      </c>
      <c r="C265" s="236" t="inlineStr">
        <is>
          <t>X</t>
        </is>
      </c>
      <c r="D265" s="29" t="n">
        <v>79</v>
      </c>
      <c r="E265" s="237">
        <f>B265*D265/10000</f>
        <v/>
      </c>
      <c r="F265" s="238">
        <f>B265/30.48</f>
        <v/>
      </c>
      <c r="G265" s="238">
        <f>D265/30.48</f>
        <v/>
      </c>
      <c r="H265" s="613" t="n"/>
      <c r="I265" s="273" t="n"/>
      <c r="J265" s="274" t="n"/>
      <c r="K265" s="275" t="n"/>
      <c r="L265" s="276" t="n"/>
      <c r="M265" s="270" t="n"/>
    </row>
    <row r="266" ht="18" customHeight="1" s="305">
      <c r="A266" s="28" t="inlineStr">
        <is>
          <t>D 648</t>
        </is>
      </c>
      <c r="B266" s="29" t="n">
        <v>48</v>
      </c>
      <c r="C266" s="236" t="inlineStr">
        <is>
          <t>X</t>
        </is>
      </c>
      <c r="D266" s="29" t="n">
        <v>94</v>
      </c>
      <c r="E266" s="237">
        <f>B266*D266/10000</f>
        <v/>
      </c>
      <c r="F266" s="238">
        <f>B266/30.48</f>
        <v/>
      </c>
      <c r="G266" s="238">
        <f>D266/30.48</f>
        <v/>
      </c>
      <c r="H266" s="613" t="n"/>
      <c r="I266" s="273" t="n"/>
      <c r="J266" s="274" t="n"/>
      <c r="K266" s="275" t="n"/>
      <c r="L266" s="276" t="n"/>
      <c r="M266" s="270" t="n"/>
    </row>
    <row r="267" ht="18" customHeight="1" s="305">
      <c r="A267" s="28" t="inlineStr">
        <is>
          <t>D 649</t>
        </is>
      </c>
      <c r="B267" s="29" t="n">
        <v>42</v>
      </c>
      <c r="C267" s="236" t="inlineStr">
        <is>
          <t>X</t>
        </is>
      </c>
      <c r="D267" s="29" t="n">
        <v>88</v>
      </c>
      <c r="E267" s="237">
        <f>B267*D267/10000</f>
        <v/>
      </c>
      <c r="F267" s="238">
        <f>B267/30.48</f>
        <v/>
      </c>
      <c r="G267" s="238">
        <f>D267/30.48</f>
        <v/>
      </c>
      <c r="H267" s="613" t="n"/>
      <c r="I267" s="273" t="n"/>
      <c r="J267" s="274" t="n"/>
      <c r="K267" s="275" t="n"/>
      <c r="L267" s="276" t="n"/>
      <c r="M267" s="270" t="n"/>
    </row>
    <row r="268" ht="18" customHeight="1" s="305">
      <c r="A268" s="28" t="inlineStr">
        <is>
          <t>D 653</t>
        </is>
      </c>
      <c r="B268" s="29" t="n">
        <v>50</v>
      </c>
      <c r="C268" s="236" t="inlineStr">
        <is>
          <t>X</t>
        </is>
      </c>
      <c r="D268" s="29" t="n">
        <v>97</v>
      </c>
      <c r="E268" s="237">
        <f>B268*D268/10000</f>
        <v/>
      </c>
      <c r="F268" s="238">
        <f>B268/30.48</f>
        <v/>
      </c>
      <c r="G268" s="238">
        <f>D268/30.48</f>
        <v/>
      </c>
      <c r="H268" s="613" t="n"/>
      <c r="I268" s="273" t="n"/>
      <c r="J268" s="274" t="n"/>
      <c r="K268" s="275" t="n"/>
      <c r="L268" s="276" t="n"/>
      <c r="M268" s="270" t="n"/>
    </row>
    <row r="269" ht="18" customHeight="1" s="305">
      <c r="A269" s="28" t="inlineStr">
        <is>
          <t>D 655</t>
        </is>
      </c>
      <c r="B269" s="29" t="n">
        <v>52</v>
      </c>
      <c r="C269" s="236" t="inlineStr">
        <is>
          <t>X</t>
        </is>
      </c>
      <c r="D269" s="29" t="n">
        <v>91</v>
      </c>
      <c r="E269" s="237">
        <f>B269*D269/10000</f>
        <v/>
      </c>
      <c r="F269" s="238">
        <f>B269/30.48</f>
        <v/>
      </c>
      <c r="G269" s="238">
        <f>D269/30.48</f>
        <v/>
      </c>
      <c r="H269" s="613" t="n"/>
      <c r="I269" s="273" t="n"/>
      <c r="J269" s="274" t="n"/>
      <c r="K269" s="275" t="n"/>
      <c r="L269" s="276" t="n"/>
      <c r="M269" s="270" t="n"/>
    </row>
    <row r="270" ht="18" customHeight="1" s="305">
      <c r="A270" s="28" t="inlineStr">
        <is>
          <t>D 657</t>
        </is>
      </c>
      <c r="B270" s="29" t="n">
        <v>38</v>
      </c>
      <c r="C270" s="236" t="inlineStr">
        <is>
          <t>X</t>
        </is>
      </c>
      <c r="D270" s="29" t="n">
        <v>90</v>
      </c>
      <c r="E270" s="237">
        <f>B270*D270/10000</f>
        <v/>
      </c>
      <c r="F270" s="238">
        <f>B270/30.48</f>
        <v/>
      </c>
      <c r="G270" s="238">
        <f>D270/30.48</f>
        <v/>
      </c>
      <c r="H270" s="613" t="n"/>
      <c r="I270" s="273" t="n"/>
      <c r="J270" s="274" t="n"/>
      <c r="K270" s="275" t="n"/>
      <c r="L270" s="276" t="n"/>
      <c r="M270" s="270" t="n"/>
    </row>
    <row r="271" ht="18" customHeight="1" s="305">
      <c r="A271" s="28" t="inlineStr">
        <is>
          <t>D 658</t>
        </is>
      </c>
      <c r="B271" s="29" t="n">
        <v>51</v>
      </c>
      <c r="C271" s="236" t="inlineStr">
        <is>
          <t>X</t>
        </is>
      </c>
      <c r="D271" s="29" t="n">
        <v>95</v>
      </c>
      <c r="E271" s="237">
        <f>B271*D271/10000</f>
        <v/>
      </c>
      <c r="F271" s="238">
        <f>B271/30.48</f>
        <v/>
      </c>
      <c r="G271" s="238">
        <f>D271/30.48</f>
        <v/>
      </c>
      <c r="H271" s="613" t="n"/>
      <c r="I271" s="273" t="n"/>
      <c r="J271" s="274" t="n"/>
      <c r="K271" s="275" t="n"/>
      <c r="L271" s="276" t="n"/>
      <c r="M271" s="270" t="n"/>
    </row>
    <row r="272" ht="18" customHeight="1" s="305">
      <c r="A272" s="28" t="inlineStr">
        <is>
          <t>D 659</t>
        </is>
      </c>
      <c r="B272" s="29" t="n">
        <v>54</v>
      </c>
      <c r="C272" s="236" t="inlineStr">
        <is>
          <t>X</t>
        </is>
      </c>
      <c r="D272" s="29" t="n">
        <v>102</v>
      </c>
      <c r="E272" s="237">
        <f>B272*D272/10000</f>
        <v/>
      </c>
      <c r="F272" s="238">
        <f>B272/30.48</f>
        <v/>
      </c>
      <c r="G272" s="238">
        <f>D272/30.48</f>
        <v/>
      </c>
      <c r="H272" s="613" t="n"/>
      <c r="I272" s="273" t="n"/>
      <c r="J272" s="274" t="n"/>
      <c r="K272" s="275" t="n"/>
      <c r="L272" s="276" t="n"/>
      <c r="M272" s="270" t="n"/>
    </row>
    <row r="273" ht="18" customHeight="1" s="305">
      <c r="A273" s="28" t="inlineStr">
        <is>
          <t>D 666</t>
        </is>
      </c>
      <c r="B273" s="29" t="n">
        <v>55</v>
      </c>
      <c r="C273" s="236" t="inlineStr">
        <is>
          <t>X</t>
        </is>
      </c>
      <c r="D273" s="29" t="n">
        <v>97</v>
      </c>
      <c r="E273" s="237">
        <f>B273*D273/10000</f>
        <v/>
      </c>
      <c r="F273" s="238">
        <f>B273/30.48</f>
        <v/>
      </c>
      <c r="G273" s="238">
        <f>D273/30.48</f>
        <v/>
      </c>
      <c r="H273" s="613" t="n"/>
      <c r="I273" s="273" t="n"/>
      <c r="J273" s="274" t="n"/>
      <c r="K273" s="275" t="n"/>
      <c r="L273" s="276" t="n"/>
      <c r="M273" s="270" t="n"/>
    </row>
    <row r="274" ht="18" customHeight="1" s="305">
      <c r="A274" s="28" t="inlineStr">
        <is>
          <t>D 668</t>
        </is>
      </c>
      <c r="B274" s="29" t="n">
        <v>47</v>
      </c>
      <c r="C274" s="236" t="inlineStr">
        <is>
          <t>X</t>
        </is>
      </c>
      <c r="D274" s="29" t="n">
        <v>95</v>
      </c>
      <c r="E274" s="237">
        <f>B274*D274/10000</f>
        <v/>
      </c>
      <c r="F274" s="238">
        <f>B274/30.48</f>
        <v/>
      </c>
      <c r="G274" s="238">
        <f>D274/30.48</f>
        <v/>
      </c>
      <c r="H274" s="613" t="n"/>
      <c r="I274" s="273" t="n"/>
      <c r="J274" s="274" t="n"/>
      <c r="K274" s="275" t="n"/>
      <c r="L274" s="276" t="n"/>
      <c r="M274" s="270" t="n"/>
    </row>
    <row r="275" ht="18" customHeight="1" s="305">
      <c r="A275" s="28" t="inlineStr">
        <is>
          <t>D 669</t>
        </is>
      </c>
      <c r="B275" s="29" t="n">
        <v>44</v>
      </c>
      <c r="C275" s="236" t="inlineStr">
        <is>
          <t>X</t>
        </is>
      </c>
      <c r="D275" s="29" t="n">
        <v>97</v>
      </c>
      <c r="E275" s="237">
        <f>B275*D275/10000</f>
        <v/>
      </c>
      <c r="F275" s="238">
        <f>B275/30.48</f>
        <v/>
      </c>
      <c r="G275" s="238">
        <f>D275/30.48</f>
        <v/>
      </c>
      <c r="H275" s="613" t="n"/>
      <c r="I275" s="273" t="n"/>
      <c r="J275" s="274" t="n"/>
      <c r="K275" s="275" t="n"/>
      <c r="L275" s="276" t="n"/>
      <c r="M275" s="270" t="n"/>
    </row>
    <row r="276" ht="18" customHeight="1" s="305">
      <c r="A276" s="28" t="inlineStr">
        <is>
          <t>D 671</t>
        </is>
      </c>
      <c r="B276" s="29" t="n">
        <v>46</v>
      </c>
      <c r="C276" s="236" t="inlineStr">
        <is>
          <t>X</t>
        </is>
      </c>
      <c r="D276" s="29" t="n">
        <v>98</v>
      </c>
      <c r="E276" s="237">
        <f>B276*D276/10000</f>
        <v/>
      </c>
      <c r="F276" s="238">
        <f>B276/30.48</f>
        <v/>
      </c>
      <c r="G276" s="238">
        <f>D276/30.48</f>
        <v/>
      </c>
      <c r="H276" s="613" t="n"/>
      <c r="I276" s="273" t="n"/>
      <c r="J276" s="274" t="n"/>
      <c r="K276" s="275" t="n"/>
      <c r="L276" s="276" t="n"/>
      <c r="M276" s="270" t="n"/>
    </row>
    <row r="277" ht="18" customHeight="1" s="305">
      <c r="A277" s="28" t="inlineStr">
        <is>
          <t>D 672</t>
        </is>
      </c>
      <c r="B277" s="29" t="n">
        <v>42</v>
      </c>
      <c r="C277" s="236" t="inlineStr">
        <is>
          <t>X</t>
        </is>
      </c>
      <c r="D277" s="29" t="n">
        <v>80</v>
      </c>
      <c r="E277" s="237">
        <f>B277*D277/10000</f>
        <v/>
      </c>
      <c r="F277" s="238">
        <f>B277/30.48</f>
        <v/>
      </c>
      <c r="G277" s="238">
        <f>D277/30.48</f>
        <v/>
      </c>
      <c r="H277" s="613" t="n"/>
      <c r="I277" s="273" t="n"/>
      <c r="J277" s="274" t="n"/>
      <c r="K277" s="275" t="n"/>
      <c r="L277" s="276" t="n"/>
      <c r="M277" s="270" t="n"/>
    </row>
    <row r="278" ht="18" customHeight="1" s="305">
      <c r="A278" s="28" t="inlineStr">
        <is>
          <t>D 674</t>
        </is>
      </c>
      <c r="B278" s="29" t="n">
        <v>44</v>
      </c>
      <c r="C278" s="236" t="inlineStr">
        <is>
          <t>X</t>
        </is>
      </c>
      <c r="D278" s="29" t="n">
        <v>91</v>
      </c>
      <c r="E278" s="237">
        <f>B278*D278/10000</f>
        <v/>
      </c>
      <c r="F278" s="238">
        <f>B278/30.48</f>
        <v/>
      </c>
      <c r="G278" s="238">
        <f>D278/30.48</f>
        <v/>
      </c>
      <c r="H278" s="613" t="n"/>
      <c r="I278" s="273" t="n"/>
      <c r="J278" s="274" t="n"/>
      <c r="K278" s="275" t="n"/>
      <c r="L278" s="276" t="n"/>
      <c r="M278" s="270" t="n"/>
    </row>
    <row r="279" ht="18" customHeight="1" s="305">
      <c r="A279" s="28" t="inlineStr">
        <is>
          <t>D 675</t>
        </is>
      </c>
      <c r="B279" s="29" t="n">
        <v>40</v>
      </c>
      <c r="C279" s="236" t="inlineStr">
        <is>
          <t>X</t>
        </is>
      </c>
      <c r="D279" s="29" t="n">
        <v>95</v>
      </c>
      <c r="E279" s="237">
        <f>B279*D279/10000</f>
        <v/>
      </c>
      <c r="F279" s="238">
        <f>B279/30.48</f>
        <v/>
      </c>
      <c r="G279" s="238">
        <f>D279/30.48</f>
        <v/>
      </c>
      <c r="H279" s="613" t="n"/>
      <c r="I279" s="273" t="n"/>
      <c r="J279" s="274" t="n"/>
      <c r="K279" s="275" t="n"/>
      <c r="L279" s="276" t="n"/>
      <c r="M279" s="270" t="n"/>
    </row>
    <row r="280" ht="18" customHeight="1" s="305">
      <c r="A280" s="28" t="inlineStr">
        <is>
          <t>D 678</t>
        </is>
      </c>
      <c r="B280" s="29" t="n">
        <v>52</v>
      </c>
      <c r="C280" s="236" t="inlineStr">
        <is>
          <t>X</t>
        </is>
      </c>
      <c r="D280" s="29" t="n">
        <v>96</v>
      </c>
      <c r="E280" s="237">
        <f>B280*D280/10000</f>
        <v/>
      </c>
      <c r="F280" s="238">
        <f>B280/30.48</f>
        <v/>
      </c>
      <c r="G280" s="238">
        <f>D280/30.48</f>
        <v/>
      </c>
      <c r="H280" s="613" t="n"/>
      <c r="I280" s="273" t="n"/>
      <c r="J280" s="274" t="n"/>
      <c r="K280" s="275" t="n"/>
      <c r="L280" s="276" t="n"/>
      <c r="M280" s="270" t="n"/>
    </row>
    <row r="281" ht="18" customHeight="1" s="305">
      <c r="A281" s="28" t="inlineStr">
        <is>
          <t>D 680</t>
        </is>
      </c>
      <c r="B281" s="29" t="n">
        <v>40</v>
      </c>
      <c r="C281" s="236" t="inlineStr">
        <is>
          <t>X</t>
        </is>
      </c>
      <c r="D281" s="29" t="n">
        <v>95</v>
      </c>
      <c r="E281" s="237">
        <f>B281*D281/10000</f>
        <v/>
      </c>
      <c r="F281" s="238">
        <f>B281/30.48</f>
        <v/>
      </c>
      <c r="G281" s="238">
        <f>D281/30.48</f>
        <v/>
      </c>
      <c r="H281" s="613" t="n"/>
      <c r="I281" s="273" t="n"/>
      <c r="J281" s="274" t="n"/>
      <c r="K281" s="275" t="n"/>
      <c r="L281" s="276" t="n"/>
      <c r="M281" s="270" t="n"/>
    </row>
    <row r="282" ht="18" customHeight="1" s="305">
      <c r="A282" s="28" t="inlineStr">
        <is>
          <t>D 681</t>
        </is>
      </c>
      <c r="B282" s="29" t="n">
        <v>49</v>
      </c>
      <c r="C282" s="236" t="inlineStr">
        <is>
          <t>X</t>
        </is>
      </c>
      <c r="D282" s="29" t="n">
        <v>95</v>
      </c>
      <c r="E282" s="237">
        <f>B282*D282/10000</f>
        <v/>
      </c>
      <c r="F282" s="238">
        <f>B282/30.48</f>
        <v/>
      </c>
      <c r="G282" s="238">
        <f>D282/30.48</f>
        <v/>
      </c>
      <c r="H282" s="613" t="n"/>
      <c r="I282" s="273" t="n"/>
      <c r="J282" s="274" t="n"/>
      <c r="K282" s="275" t="n"/>
      <c r="L282" s="276" t="n"/>
      <c r="M282" s="270" t="n"/>
    </row>
    <row r="283" ht="18" customHeight="1" s="305">
      <c r="A283" s="28" t="inlineStr">
        <is>
          <t>D 682</t>
        </is>
      </c>
      <c r="B283" s="29" t="n">
        <v>45</v>
      </c>
      <c r="C283" s="236" t="inlineStr">
        <is>
          <t>X</t>
        </is>
      </c>
      <c r="D283" s="29" t="n">
        <v>90</v>
      </c>
      <c r="E283" s="237">
        <f>B283*D283/10000</f>
        <v/>
      </c>
      <c r="F283" s="238">
        <f>B283/30.48</f>
        <v/>
      </c>
      <c r="G283" s="238">
        <f>D283/30.48</f>
        <v/>
      </c>
      <c r="H283" s="613" t="n"/>
      <c r="I283" s="273" t="n"/>
      <c r="J283" s="274" t="n"/>
      <c r="K283" s="275" t="n"/>
      <c r="L283" s="276" t="n"/>
      <c r="M283" s="270" t="n"/>
    </row>
    <row r="284" ht="18" customHeight="1" s="305">
      <c r="A284" s="28" t="inlineStr">
        <is>
          <t>D 683</t>
        </is>
      </c>
      <c r="B284" s="29" t="n">
        <v>54</v>
      </c>
      <c r="C284" s="236" t="inlineStr">
        <is>
          <t>X</t>
        </is>
      </c>
      <c r="D284" s="29" t="n">
        <v>111</v>
      </c>
      <c r="E284" s="237">
        <f>B284*D284/10000</f>
        <v/>
      </c>
      <c r="F284" s="238">
        <f>B284/30.48</f>
        <v/>
      </c>
      <c r="G284" s="238">
        <f>D284/30.48</f>
        <v/>
      </c>
      <c r="H284" s="613" t="n"/>
      <c r="I284" s="273" t="n"/>
      <c r="J284" s="274" t="n"/>
      <c r="K284" s="275" t="n"/>
      <c r="L284" s="276" t="n"/>
      <c r="M284" s="270" t="n"/>
    </row>
    <row r="285" ht="18" customHeight="1" s="305">
      <c r="A285" s="28" t="inlineStr">
        <is>
          <t>D 685</t>
        </is>
      </c>
      <c r="B285" s="29" t="n">
        <v>43</v>
      </c>
      <c r="C285" s="236" t="inlineStr">
        <is>
          <t>X</t>
        </is>
      </c>
      <c r="D285" s="29" t="n">
        <v>78</v>
      </c>
      <c r="E285" s="237">
        <f>B285*D285/10000</f>
        <v/>
      </c>
      <c r="F285" s="238">
        <f>B285/30.48</f>
        <v/>
      </c>
      <c r="G285" s="238">
        <f>D285/30.48</f>
        <v/>
      </c>
      <c r="H285" s="613" t="n"/>
      <c r="I285" s="273" t="n"/>
      <c r="J285" s="274" t="n"/>
      <c r="K285" s="275" t="n"/>
      <c r="L285" s="276" t="n"/>
      <c r="M285" s="270" t="n"/>
    </row>
    <row r="286" ht="18" customHeight="1" s="305">
      <c r="A286" s="28" t="inlineStr">
        <is>
          <t>D 687</t>
        </is>
      </c>
      <c r="B286" s="29" t="n">
        <v>46</v>
      </c>
      <c r="C286" s="236" t="inlineStr">
        <is>
          <t>X</t>
        </is>
      </c>
      <c r="D286" s="29" t="n">
        <v>87</v>
      </c>
      <c r="E286" s="237">
        <f>B286*D286/10000</f>
        <v/>
      </c>
      <c r="F286" s="238">
        <f>B286/30.48</f>
        <v/>
      </c>
      <c r="G286" s="238">
        <f>D286/30.48</f>
        <v/>
      </c>
      <c r="H286" s="613" t="n"/>
      <c r="I286" s="273" t="n"/>
      <c r="J286" s="274" t="n"/>
      <c r="K286" s="275" t="n"/>
      <c r="L286" s="276" t="n"/>
      <c r="M286" s="270" t="n"/>
    </row>
    <row r="287" ht="18" customHeight="1" s="305">
      <c r="A287" s="28" t="inlineStr">
        <is>
          <t>D 690</t>
        </is>
      </c>
      <c r="B287" s="29" t="n">
        <v>44</v>
      </c>
      <c r="C287" s="236" t="inlineStr">
        <is>
          <t>X</t>
        </is>
      </c>
      <c r="D287" s="29" t="n">
        <v>80</v>
      </c>
      <c r="E287" s="237">
        <f>B287*D287/10000</f>
        <v/>
      </c>
      <c r="F287" s="238">
        <f>B287/30.48</f>
        <v/>
      </c>
      <c r="G287" s="238">
        <f>D287/30.48</f>
        <v/>
      </c>
      <c r="H287" s="613" t="n"/>
      <c r="I287" s="273" t="n"/>
      <c r="J287" s="274" t="n"/>
      <c r="K287" s="275" t="n"/>
      <c r="L287" s="276" t="n"/>
      <c r="M287" s="270" t="n"/>
    </row>
    <row r="288" ht="18" customHeight="1" s="305">
      <c r="A288" s="28" t="inlineStr">
        <is>
          <t>D 693</t>
        </is>
      </c>
      <c r="B288" s="29" t="n">
        <v>40</v>
      </c>
      <c r="C288" s="236" t="inlineStr">
        <is>
          <t>X</t>
        </is>
      </c>
      <c r="D288" s="29" t="n">
        <v>93</v>
      </c>
      <c r="E288" s="237">
        <f>B288*D288/10000</f>
        <v/>
      </c>
      <c r="F288" s="238">
        <f>B288/30.48</f>
        <v/>
      </c>
      <c r="G288" s="238">
        <f>D288/30.48</f>
        <v/>
      </c>
      <c r="H288" s="613" t="n"/>
      <c r="I288" s="273" t="n"/>
      <c r="J288" s="274" t="n"/>
      <c r="K288" s="275" t="n"/>
      <c r="L288" s="276" t="n"/>
      <c r="M288" s="270" t="n"/>
    </row>
    <row r="289" ht="18" customHeight="1" s="305">
      <c r="A289" s="28" t="inlineStr">
        <is>
          <t>D 694</t>
        </is>
      </c>
      <c r="B289" s="29" t="n">
        <v>41</v>
      </c>
      <c r="C289" s="236" t="inlineStr">
        <is>
          <t>X</t>
        </is>
      </c>
      <c r="D289" s="29" t="n">
        <v>89</v>
      </c>
      <c r="E289" s="237">
        <f>B289*D289/10000</f>
        <v/>
      </c>
      <c r="F289" s="238">
        <f>B289/30.48</f>
        <v/>
      </c>
      <c r="G289" s="238">
        <f>D289/30.48</f>
        <v/>
      </c>
      <c r="H289" s="613" t="n"/>
      <c r="I289" s="273" t="n"/>
      <c r="J289" s="274" t="n"/>
      <c r="K289" s="275" t="n"/>
      <c r="L289" s="276" t="n"/>
      <c r="M289" s="270" t="n"/>
    </row>
    <row r="290" ht="18" customHeight="1" s="305">
      <c r="A290" s="28" t="inlineStr">
        <is>
          <t>D 695</t>
        </is>
      </c>
      <c r="B290" s="29" t="n">
        <v>43</v>
      </c>
      <c r="C290" s="236" t="inlineStr">
        <is>
          <t>X</t>
        </is>
      </c>
      <c r="D290" s="29" t="n">
        <v>99</v>
      </c>
      <c r="E290" s="237">
        <f>B290*D290/10000</f>
        <v/>
      </c>
      <c r="F290" s="238">
        <f>B290/30.48</f>
        <v/>
      </c>
      <c r="G290" s="238">
        <f>D290/30.48</f>
        <v/>
      </c>
      <c r="H290" s="613" t="n"/>
      <c r="I290" s="273" t="n"/>
      <c r="J290" s="274" t="n"/>
      <c r="K290" s="275" t="n"/>
      <c r="L290" s="276" t="n"/>
      <c r="M290" s="270" t="n"/>
    </row>
    <row r="291" ht="18" customHeight="1" s="305">
      <c r="A291" s="28" t="inlineStr">
        <is>
          <t>D 696</t>
        </is>
      </c>
      <c r="B291" s="29" t="n">
        <v>49</v>
      </c>
      <c r="C291" s="236" t="inlineStr">
        <is>
          <t>X</t>
        </is>
      </c>
      <c r="D291" s="29" t="n">
        <v>104</v>
      </c>
      <c r="E291" s="237">
        <f>B291*D291/10000</f>
        <v/>
      </c>
      <c r="F291" s="238">
        <f>B291/30.48</f>
        <v/>
      </c>
      <c r="G291" s="238">
        <f>D291/30.48</f>
        <v/>
      </c>
      <c r="H291" s="613" t="n"/>
      <c r="I291" s="273" t="n"/>
      <c r="J291" s="274" t="n"/>
      <c r="K291" s="275" t="n"/>
      <c r="L291" s="276" t="n"/>
      <c r="M291" s="270" t="n"/>
    </row>
    <row r="292" ht="18" customHeight="1" s="305">
      <c r="A292" s="28" t="inlineStr">
        <is>
          <t>D 699</t>
        </is>
      </c>
      <c r="B292" s="29" t="n">
        <v>42</v>
      </c>
      <c r="C292" s="236" t="inlineStr">
        <is>
          <t>X</t>
        </is>
      </c>
      <c r="D292" s="29" t="n">
        <v>80</v>
      </c>
      <c r="E292" s="237">
        <f>B292*D292/10000</f>
        <v/>
      </c>
      <c r="F292" s="238">
        <f>B292/30.48</f>
        <v/>
      </c>
      <c r="G292" s="238">
        <f>D292/30.48</f>
        <v/>
      </c>
      <c r="H292" s="613" t="n"/>
      <c r="I292" s="273" t="n"/>
      <c r="J292" s="274" t="n"/>
      <c r="K292" s="275" t="n"/>
      <c r="L292" s="276" t="n"/>
      <c r="M292" s="270" t="n"/>
    </row>
    <row r="293" ht="18" customHeight="1" s="305">
      <c r="A293" s="28" t="inlineStr">
        <is>
          <t>D 701</t>
        </is>
      </c>
      <c r="B293" s="29" t="n">
        <v>43</v>
      </c>
      <c r="C293" s="236" t="inlineStr">
        <is>
          <t>X</t>
        </is>
      </c>
      <c r="D293" s="29" t="n">
        <v>76</v>
      </c>
      <c r="E293" s="237">
        <f>B293*D293/10000</f>
        <v/>
      </c>
      <c r="F293" s="238">
        <f>B293/30.48</f>
        <v/>
      </c>
      <c r="G293" s="238">
        <f>D293/30.48</f>
        <v/>
      </c>
      <c r="H293" s="613" t="n"/>
      <c r="I293" s="273" t="n"/>
      <c r="J293" s="274" t="n"/>
      <c r="K293" s="275" t="n"/>
      <c r="L293" s="276" t="n"/>
      <c r="M293" s="270" t="n"/>
    </row>
    <row r="294" ht="18" customHeight="1" s="305">
      <c r="A294" s="28" t="inlineStr">
        <is>
          <t>D 704</t>
        </is>
      </c>
      <c r="B294" s="29" t="n">
        <v>55</v>
      </c>
      <c r="C294" s="236" t="inlineStr">
        <is>
          <t>X</t>
        </is>
      </c>
      <c r="D294" s="29" t="n">
        <v>88</v>
      </c>
      <c r="E294" s="237">
        <f>B294*D294/10000</f>
        <v/>
      </c>
      <c r="F294" s="238">
        <f>B294/30.48</f>
        <v/>
      </c>
      <c r="G294" s="238">
        <f>D294/30.48</f>
        <v/>
      </c>
      <c r="H294" s="613" t="n"/>
      <c r="I294" s="273" t="n"/>
      <c r="J294" s="274" t="n"/>
      <c r="K294" s="275" t="n"/>
      <c r="L294" s="276" t="n"/>
      <c r="M294" s="270" t="n"/>
    </row>
    <row r="295" ht="18" customHeight="1" s="305">
      <c r="A295" s="28" t="inlineStr">
        <is>
          <t>D 705</t>
        </is>
      </c>
      <c r="B295" s="29" t="n">
        <v>62</v>
      </c>
      <c r="C295" s="236" t="inlineStr">
        <is>
          <t>X</t>
        </is>
      </c>
      <c r="D295" s="29" t="n">
        <v>91</v>
      </c>
      <c r="E295" s="237">
        <f>B295*D295/10000</f>
        <v/>
      </c>
      <c r="F295" s="238">
        <f>B295/30.48</f>
        <v/>
      </c>
      <c r="G295" s="238">
        <f>D295/30.48</f>
        <v/>
      </c>
      <c r="H295" s="613" t="n"/>
      <c r="I295" s="273" t="n"/>
      <c r="J295" s="274" t="n"/>
      <c r="K295" s="275" t="n"/>
      <c r="L295" s="276" t="n"/>
      <c r="M295" s="270" t="n"/>
    </row>
    <row r="296" ht="18" customHeight="1" s="305">
      <c r="A296" s="28" t="inlineStr">
        <is>
          <t>D 706</t>
        </is>
      </c>
      <c r="B296" s="29" t="n">
        <v>48</v>
      </c>
      <c r="C296" s="236" t="inlineStr">
        <is>
          <t>X</t>
        </is>
      </c>
      <c r="D296" s="29" t="n">
        <v>102</v>
      </c>
      <c r="E296" s="237">
        <f>B296*D296/10000</f>
        <v/>
      </c>
      <c r="F296" s="238">
        <f>B296/30.48</f>
        <v/>
      </c>
      <c r="G296" s="238">
        <f>D296/30.48</f>
        <v/>
      </c>
      <c r="H296" s="613" t="n"/>
      <c r="I296" s="273" t="n"/>
      <c r="J296" s="274" t="n"/>
      <c r="K296" s="275" t="n"/>
      <c r="L296" s="276" t="n"/>
      <c r="M296" s="270" t="n"/>
    </row>
    <row r="297" ht="18" customHeight="1" s="305">
      <c r="A297" s="28" t="inlineStr">
        <is>
          <t>D 708</t>
        </is>
      </c>
      <c r="B297" s="29" t="n">
        <v>58</v>
      </c>
      <c r="C297" s="236" t="inlineStr">
        <is>
          <t>X</t>
        </is>
      </c>
      <c r="D297" s="29" t="n">
        <v>99</v>
      </c>
      <c r="E297" s="237">
        <f>B297*D297/10000</f>
        <v/>
      </c>
      <c r="F297" s="238">
        <f>B297/30.48</f>
        <v/>
      </c>
      <c r="G297" s="238">
        <f>D297/30.48</f>
        <v/>
      </c>
      <c r="H297" s="613" t="n"/>
      <c r="I297" s="273" t="n"/>
      <c r="J297" s="274" t="n"/>
      <c r="K297" s="275" t="n"/>
      <c r="L297" s="276" t="n"/>
      <c r="M297" s="270" t="n"/>
    </row>
    <row r="298" ht="18" customHeight="1" s="305">
      <c r="A298" s="28" t="inlineStr">
        <is>
          <t>D 709</t>
        </is>
      </c>
      <c r="B298" s="29" t="n">
        <v>47</v>
      </c>
      <c r="C298" s="236" t="inlineStr">
        <is>
          <t>X</t>
        </is>
      </c>
      <c r="D298" s="29" t="n">
        <v>106</v>
      </c>
      <c r="E298" s="237">
        <f>B298*D298/10000</f>
        <v/>
      </c>
      <c r="F298" s="238">
        <f>B298/30.48</f>
        <v/>
      </c>
      <c r="G298" s="238">
        <f>D298/30.48</f>
        <v/>
      </c>
      <c r="H298" s="613" t="n"/>
      <c r="I298" s="273" t="n"/>
      <c r="J298" s="274" t="n"/>
      <c r="K298" s="275" t="n"/>
      <c r="L298" s="276" t="n"/>
      <c r="M298" s="270" t="n"/>
    </row>
    <row r="299" ht="18" customHeight="1" s="305">
      <c r="A299" s="28" t="inlineStr">
        <is>
          <t>D 710</t>
        </is>
      </c>
      <c r="B299" s="29" t="n">
        <v>47</v>
      </c>
      <c r="C299" s="236" t="inlineStr">
        <is>
          <t>X</t>
        </is>
      </c>
      <c r="D299" s="29" t="n">
        <v>89</v>
      </c>
      <c r="E299" s="237">
        <f>B299*D299/10000</f>
        <v/>
      </c>
      <c r="F299" s="238">
        <f>B299/30.48</f>
        <v/>
      </c>
      <c r="G299" s="238">
        <f>D299/30.48</f>
        <v/>
      </c>
      <c r="H299" s="613" t="n"/>
      <c r="I299" s="273" t="n"/>
      <c r="J299" s="274" t="n"/>
      <c r="K299" s="275" t="n"/>
      <c r="L299" s="276" t="n"/>
      <c r="M299" s="270" t="n"/>
    </row>
    <row r="300" ht="18" customHeight="1" s="305">
      <c r="A300" s="28" t="inlineStr">
        <is>
          <t>D 712</t>
        </is>
      </c>
      <c r="B300" s="29" t="n">
        <v>44</v>
      </c>
      <c r="C300" s="236" t="inlineStr">
        <is>
          <t>X</t>
        </is>
      </c>
      <c r="D300" s="29" t="n">
        <v>90</v>
      </c>
      <c r="E300" s="237">
        <f>B300*D300/10000</f>
        <v/>
      </c>
      <c r="F300" s="238">
        <f>B300/30.48</f>
        <v/>
      </c>
      <c r="G300" s="238">
        <f>D300/30.48</f>
        <v/>
      </c>
      <c r="H300" s="613" t="n"/>
      <c r="I300" s="273" t="n"/>
      <c r="J300" s="274" t="n"/>
      <c r="K300" s="275" t="n"/>
      <c r="L300" s="276" t="n"/>
      <c r="M300" s="270" t="n"/>
    </row>
    <row r="301" ht="18" customHeight="1" s="305">
      <c r="A301" s="28" t="inlineStr">
        <is>
          <t>D 713</t>
        </is>
      </c>
      <c r="B301" s="29" t="n">
        <v>51</v>
      </c>
      <c r="C301" s="236" t="inlineStr">
        <is>
          <t>X</t>
        </is>
      </c>
      <c r="D301" s="29" t="n">
        <v>101</v>
      </c>
      <c r="E301" s="237">
        <f>B301*D301/10000</f>
        <v/>
      </c>
      <c r="F301" s="238">
        <f>B301/30.48</f>
        <v/>
      </c>
      <c r="G301" s="238">
        <f>D301/30.48</f>
        <v/>
      </c>
      <c r="H301" s="613" t="n"/>
      <c r="I301" s="273" t="n"/>
      <c r="J301" s="274" t="n"/>
      <c r="K301" s="275" t="n"/>
      <c r="L301" s="276" t="n"/>
      <c r="M301" s="270" t="n"/>
    </row>
    <row r="302" ht="18" customHeight="1" s="305">
      <c r="A302" s="28" t="inlineStr">
        <is>
          <t>D 714</t>
        </is>
      </c>
      <c r="B302" s="29" t="n">
        <v>59</v>
      </c>
      <c r="C302" s="236" t="inlineStr">
        <is>
          <t>X</t>
        </is>
      </c>
      <c r="D302" s="29" t="n">
        <v>89</v>
      </c>
      <c r="E302" s="237">
        <f>B302*D302/10000</f>
        <v/>
      </c>
      <c r="F302" s="238">
        <f>B302/30.48</f>
        <v/>
      </c>
      <c r="G302" s="238">
        <f>D302/30.48</f>
        <v/>
      </c>
      <c r="H302" s="613" t="n"/>
      <c r="I302" s="273" t="n"/>
      <c r="J302" s="274" t="n"/>
      <c r="K302" s="275" t="n"/>
      <c r="L302" s="276" t="n"/>
      <c r="M302" s="270" t="n"/>
    </row>
    <row r="303" ht="18" customHeight="1" s="305">
      <c r="A303" s="28" t="inlineStr">
        <is>
          <t>D 715</t>
        </is>
      </c>
      <c r="B303" s="29" t="n">
        <v>37</v>
      </c>
      <c r="C303" s="236" t="inlineStr">
        <is>
          <t>X</t>
        </is>
      </c>
      <c r="D303" s="29" t="n">
        <v>77</v>
      </c>
      <c r="E303" s="237">
        <f>B303*D303/10000</f>
        <v/>
      </c>
      <c r="F303" s="238">
        <f>B303/30.48</f>
        <v/>
      </c>
      <c r="G303" s="238">
        <f>D303/30.48</f>
        <v/>
      </c>
      <c r="H303" s="613" t="n"/>
      <c r="I303" s="273" t="n"/>
      <c r="J303" s="274" t="n"/>
      <c r="K303" s="275" t="n"/>
      <c r="L303" s="276" t="n"/>
      <c r="M303" s="270" t="n"/>
    </row>
    <row r="304" ht="18" customHeight="1" s="305">
      <c r="A304" s="28" t="inlineStr">
        <is>
          <t>D 719</t>
        </is>
      </c>
      <c r="B304" s="29" t="n">
        <v>38</v>
      </c>
      <c r="C304" s="236" t="inlineStr">
        <is>
          <t>X</t>
        </is>
      </c>
      <c r="D304" s="29" t="n">
        <v>90</v>
      </c>
      <c r="E304" s="237">
        <f>B304*D304/10000</f>
        <v/>
      </c>
      <c r="F304" s="238">
        <f>B304/30.48</f>
        <v/>
      </c>
      <c r="G304" s="238">
        <f>D304/30.48</f>
        <v/>
      </c>
      <c r="H304" s="613" t="n"/>
      <c r="I304" s="273" t="n"/>
      <c r="J304" s="274" t="n"/>
      <c r="K304" s="275" t="n"/>
      <c r="L304" s="276" t="n"/>
      <c r="M304" s="270" t="n"/>
    </row>
    <row r="305">
      <c r="H305" s="613" t="n"/>
      <c r="I305" s="273" t="n"/>
      <c r="J305" s="274" t="n"/>
      <c r="K305" s="275" t="n"/>
      <c r="L305" s="276" t="n"/>
      <c r="M305" s="270" t="n"/>
    </row>
    <row r="306" ht="18" customHeight="1" s="305">
      <c r="A306" s="28" t="inlineStr">
        <is>
          <t>D 722</t>
        </is>
      </c>
      <c r="B306" s="29" t="n">
        <v>52</v>
      </c>
      <c r="C306" s="236" t="inlineStr">
        <is>
          <t>X</t>
        </is>
      </c>
      <c r="D306" s="29" t="n">
        <v>82</v>
      </c>
      <c r="E306" s="237">
        <f>B306*D306/10000</f>
        <v/>
      </c>
      <c r="F306" s="238">
        <f>B306/30.48</f>
        <v/>
      </c>
      <c r="G306" s="238">
        <f>D306/30.48</f>
        <v/>
      </c>
      <c r="H306" s="613" t="n"/>
      <c r="I306" s="273" t="n"/>
      <c r="J306" s="274" t="n"/>
      <c r="K306" s="275" t="n"/>
      <c r="L306" s="276" t="n"/>
      <c r="M306" s="270" t="n"/>
    </row>
    <row r="307" ht="18" customHeight="1" s="305">
      <c r="A307" s="28" t="inlineStr">
        <is>
          <t>D 724</t>
        </is>
      </c>
      <c r="B307" s="29" t="n">
        <v>37</v>
      </c>
      <c r="C307" s="236" t="inlineStr">
        <is>
          <t>X</t>
        </is>
      </c>
      <c r="D307" s="29" t="n">
        <v>70</v>
      </c>
      <c r="E307" s="237">
        <f>B307*D307/10000</f>
        <v/>
      </c>
      <c r="F307" s="238">
        <f>B307/30.48</f>
        <v/>
      </c>
      <c r="G307" s="238">
        <f>D307/30.48</f>
        <v/>
      </c>
      <c r="H307" s="613" t="n"/>
      <c r="I307" s="273" t="n"/>
      <c r="J307" s="274" t="n"/>
      <c r="K307" s="275" t="n"/>
      <c r="L307" s="276" t="n"/>
      <c r="M307" s="270" t="n"/>
    </row>
    <row r="308" ht="18" customHeight="1" s="305">
      <c r="A308" s="28" t="inlineStr">
        <is>
          <t>D 725</t>
        </is>
      </c>
      <c r="B308" s="29" t="n">
        <v>51</v>
      </c>
      <c r="C308" s="236" t="inlineStr">
        <is>
          <t>X</t>
        </is>
      </c>
      <c r="D308" s="29" t="n">
        <v>84</v>
      </c>
      <c r="E308" s="237">
        <f>B308*D308/10000</f>
        <v/>
      </c>
      <c r="F308" s="238">
        <f>B308/30.48</f>
        <v/>
      </c>
      <c r="G308" s="238">
        <f>D308/30.48</f>
        <v/>
      </c>
      <c r="H308" s="613" t="n"/>
      <c r="I308" s="273" t="n"/>
      <c r="J308" s="274" t="n"/>
      <c r="K308" s="275" t="n"/>
      <c r="L308" s="276" t="n"/>
      <c r="M308" s="270" t="n"/>
    </row>
    <row r="309" ht="18" customHeight="1" s="305">
      <c r="A309" s="28" t="inlineStr">
        <is>
          <t>D 726</t>
        </is>
      </c>
      <c r="B309" s="29" t="n">
        <v>55</v>
      </c>
      <c r="C309" s="236" t="inlineStr">
        <is>
          <t>X</t>
        </is>
      </c>
      <c r="D309" s="29" t="n">
        <v>106</v>
      </c>
      <c r="E309" s="237">
        <f>B309*D309/10000</f>
        <v/>
      </c>
      <c r="F309" s="238">
        <f>B309/30.48</f>
        <v/>
      </c>
      <c r="G309" s="238">
        <f>D309/30.48</f>
        <v/>
      </c>
      <c r="H309" s="613" t="n"/>
      <c r="I309" s="273" t="n"/>
      <c r="J309" s="274" t="n"/>
      <c r="K309" s="275" t="n"/>
      <c r="L309" s="276" t="n"/>
      <c r="M309" s="270" t="n"/>
    </row>
    <row r="310" ht="18" customHeight="1" s="305">
      <c r="A310" s="28" t="inlineStr">
        <is>
          <t>D 727</t>
        </is>
      </c>
      <c r="B310" s="29" t="n">
        <v>60</v>
      </c>
      <c r="C310" s="236" t="inlineStr">
        <is>
          <t>X</t>
        </is>
      </c>
      <c r="D310" s="29" t="n">
        <v>103</v>
      </c>
      <c r="E310" s="237">
        <f>B310*D310/10000</f>
        <v/>
      </c>
      <c r="F310" s="238">
        <f>B310/30.48</f>
        <v/>
      </c>
      <c r="G310" s="238">
        <f>D310/30.48</f>
        <v/>
      </c>
      <c r="H310" s="613" t="n"/>
      <c r="I310" s="273" t="n"/>
      <c r="J310" s="274" t="n"/>
      <c r="K310" s="275" t="n"/>
      <c r="L310" s="276" t="n"/>
      <c r="M310" s="270" t="n"/>
    </row>
    <row r="311" ht="18" customHeight="1" s="305">
      <c r="A311" s="28" t="inlineStr">
        <is>
          <t>D 728</t>
        </is>
      </c>
      <c r="B311" s="29" t="n">
        <v>50</v>
      </c>
      <c r="C311" s="236" t="inlineStr">
        <is>
          <t>X</t>
        </is>
      </c>
      <c r="D311" s="29" t="n">
        <v>94</v>
      </c>
      <c r="E311" s="237">
        <f>B311*D311/10000</f>
        <v/>
      </c>
      <c r="F311" s="238">
        <f>B311/30.48</f>
        <v/>
      </c>
      <c r="G311" s="238">
        <f>D311/30.48</f>
        <v/>
      </c>
      <c r="H311" s="613" t="n"/>
      <c r="I311" s="273" t="n"/>
      <c r="J311" s="274" t="n"/>
      <c r="K311" s="275" t="n"/>
      <c r="L311" s="276" t="n"/>
      <c r="M311" s="270" t="n"/>
    </row>
    <row r="312" ht="18" customHeight="1" s="305">
      <c r="A312" s="28" t="inlineStr">
        <is>
          <t>D 729</t>
        </is>
      </c>
      <c r="B312" s="29" t="n">
        <v>52</v>
      </c>
      <c r="C312" s="236" t="inlineStr">
        <is>
          <t>X</t>
        </is>
      </c>
      <c r="D312" s="29" t="n">
        <v>97</v>
      </c>
      <c r="E312" s="237">
        <f>B312*D312/10000</f>
        <v/>
      </c>
      <c r="F312" s="238">
        <f>B312/30.48</f>
        <v/>
      </c>
      <c r="G312" s="238">
        <f>D312/30.48</f>
        <v/>
      </c>
      <c r="H312" s="613" t="n"/>
      <c r="I312" s="273" t="n"/>
      <c r="J312" s="274" t="n"/>
      <c r="K312" s="275" t="n"/>
      <c r="L312" s="276" t="n"/>
      <c r="M312" s="270" t="n"/>
    </row>
    <row r="313" ht="18" customHeight="1" s="305">
      <c r="A313" s="28" t="inlineStr">
        <is>
          <t>D 730</t>
        </is>
      </c>
      <c r="B313" s="29" t="n">
        <v>55</v>
      </c>
      <c r="C313" s="236" t="inlineStr">
        <is>
          <t>X</t>
        </is>
      </c>
      <c r="D313" s="29" t="n">
        <v>99</v>
      </c>
      <c r="E313" s="237">
        <f>B313*D313/10000</f>
        <v/>
      </c>
      <c r="F313" s="238">
        <f>B313/30.48</f>
        <v/>
      </c>
      <c r="G313" s="238">
        <f>D313/30.48</f>
        <v/>
      </c>
      <c r="H313" s="613" t="n"/>
      <c r="I313" s="273" t="n"/>
      <c r="J313" s="274" t="n"/>
      <c r="K313" s="275" t="n"/>
      <c r="L313" s="276" t="n"/>
      <c r="M313" s="270" t="n"/>
    </row>
    <row r="314" ht="18" customHeight="1" s="305">
      <c r="A314" s="28" t="inlineStr">
        <is>
          <t>D 731</t>
        </is>
      </c>
      <c r="B314" s="29" t="n">
        <v>38</v>
      </c>
      <c r="C314" s="236" t="inlineStr">
        <is>
          <t>X</t>
        </is>
      </c>
      <c r="D314" s="29" t="n">
        <v>95</v>
      </c>
      <c r="E314" s="237">
        <f>B314*D314/10000</f>
        <v/>
      </c>
      <c r="F314" s="238">
        <f>B314/30.48</f>
        <v/>
      </c>
      <c r="G314" s="238">
        <f>D314/30.48</f>
        <v/>
      </c>
      <c r="H314" s="613" t="n"/>
      <c r="I314" s="273" t="n"/>
      <c r="J314" s="274" t="n"/>
      <c r="K314" s="275" t="n"/>
      <c r="L314" s="276" t="n"/>
      <c r="M314" s="270" t="n"/>
    </row>
    <row r="315" ht="18" customHeight="1" s="305">
      <c r="A315" s="28" t="inlineStr">
        <is>
          <t>D 732</t>
        </is>
      </c>
      <c r="B315" s="29" t="n">
        <v>50</v>
      </c>
      <c r="C315" s="236" t="inlineStr">
        <is>
          <t>X</t>
        </is>
      </c>
      <c r="D315" s="29" t="n">
        <v>107</v>
      </c>
      <c r="E315" s="237">
        <f>B315*D315/10000</f>
        <v/>
      </c>
      <c r="F315" s="238">
        <f>B315/30.48</f>
        <v/>
      </c>
      <c r="G315" s="238">
        <f>D315/30.48</f>
        <v/>
      </c>
      <c r="H315" s="613" t="n"/>
      <c r="I315" s="273" t="n"/>
      <c r="J315" s="274" t="n"/>
      <c r="K315" s="275" t="n"/>
      <c r="L315" s="276" t="n"/>
      <c r="M315" s="270" t="n"/>
    </row>
    <row r="316" ht="18" customHeight="1" s="305">
      <c r="A316" s="28" t="inlineStr">
        <is>
          <t>D 733</t>
        </is>
      </c>
      <c r="B316" s="29" t="n">
        <v>42</v>
      </c>
      <c r="C316" s="236" t="inlineStr">
        <is>
          <t>X</t>
        </is>
      </c>
      <c r="D316" s="29" t="n">
        <v>106</v>
      </c>
      <c r="E316" s="237">
        <f>B316*D316/10000</f>
        <v/>
      </c>
      <c r="F316" s="238">
        <f>B316/30.48</f>
        <v/>
      </c>
      <c r="G316" s="238">
        <f>D316/30.48</f>
        <v/>
      </c>
      <c r="H316" s="613" t="n"/>
      <c r="I316" s="273" t="n"/>
      <c r="J316" s="274" t="n"/>
      <c r="K316" s="275" t="n"/>
      <c r="L316" s="276" t="n"/>
      <c r="M316" s="270" t="n"/>
    </row>
    <row r="317" ht="18" customHeight="1" s="305">
      <c r="A317" s="28" t="inlineStr">
        <is>
          <t>D 734</t>
        </is>
      </c>
      <c r="B317" s="29" t="n">
        <v>38</v>
      </c>
      <c r="C317" s="236" t="inlineStr">
        <is>
          <t>X</t>
        </is>
      </c>
      <c r="D317" s="29" t="n">
        <v>80</v>
      </c>
      <c r="E317" s="237">
        <f>B317*D317/10000</f>
        <v/>
      </c>
      <c r="F317" s="238">
        <f>B317/30.48</f>
        <v/>
      </c>
      <c r="G317" s="238">
        <f>D317/30.48</f>
        <v/>
      </c>
      <c r="H317" s="613" t="n"/>
      <c r="I317" s="273" t="n"/>
      <c r="J317" s="274" t="n"/>
      <c r="K317" s="275" t="n"/>
      <c r="L317" s="276" t="n"/>
      <c r="M317" s="270" t="n"/>
    </row>
    <row r="318" ht="18" customHeight="1" s="305">
      <c r="A318" s="28" t="inlineStr">
        <is>
          <t>D 735</t>
        </is>
      </c>
      <c r="B318" s="29" t="n">
        <v>39</v>
      </c>
      <c r="C318" s="236" t="inlineStr">
        <is>
          <t>X</t>
        </is>
      </c>
      <c r="D318" s="29" t="n">
        <v>91</v>
      </c>
      <c r="E318" s="237">
        <f>B318*D318/10000</f>
        <v/>
      </c>
      <c r="F318" s="238">
        <f>B318/30.48</f>
        <v/>
      </c>
      <c r="G318" s="238">
        <f>D318/30.48</f>
        <v/>
      </c>
      <c r="H318" s="613" t="n"/>
      <c r="I318" s="273" t="n"/>
      <c r="J318" s="274" t="n"/>
      <c r="K318" s="275" t="n"/>
      <c r="L318" s="276" t="n"/>
      <c r="M318" s="270" t="n"/>
    </row>
    <row r="319" ht="18" customHeight="1" s="305">
      <c r="A319" s="28" t="inlineStr">
        <is>
          <t>D 736</t>
        </is>
      </c>
      <c r="B319" s="29" t="n">
        <v>50</v>
      </c>
      <c r="C319" s="236" t="inlineStr">
        <is>
          <t>X</t>
        </is>
      </c>
      <c r="D319" s="29" t="n">
        <v>105</v>
      </c>
      <c r="E319" s="237">
        <f>B319*D319/10000</f>
        <v/>
      </c>
      <c r="F319" s="238">
        <f>B319/30.48</f>
        <v/>
      </c>
      <c r="G319" s="238">
        <f>D319/30.48</f>
        <v/>
      </c>
      <c r="H319" s="613" t="n"/>
      <c r="I319" s="273" t="n"/>
      <c r="J319" s="274" t="n"/>
      <c r="K319" s="275" t="n"/>
      <c r="L319" s="276" t="n"/>
      <c r="M319" s="270" t="n"/>
    </row>
    <row r="320" ht="18" customHeight="1" s="305">
      <c r="A320" s="28" t="inlineStr">
        <is>
          <t>D 738</t>
        </is>
      </c>
      <c r="B320" s="29" t="n">
        <v>51</v>
      </c>
      <c r="C320" s="236" t="inlineStr">
        <is>
          <t>X</t>
        </is>
      </c>
      <c r="D320" s="29" t="n">
        <v>82</v>
      </c>
      <c r="E320" s="237">
        <f>B320*D320/10000</f>
        <v/>
      </c>
      <c r="F320" s="238">
        <f>B320/30.48</f>
        <v/>
      </c>
      <c r="G320" s="238">
        <f>D320/30.48</f>
        <v/>
      </c>
      <c r="H320" s="613" t="n"/>
      <c r="I320" s="273" t="n"/>
      <c r="J320" s="274" t="n"/>
      <c r="K320" s="275" t="n"/>
      <c r="L320" s="276" t="n"/>
      <c r="M320" s="270" t="n"/>
    </row>
    <row r="321" ht="18" customHeight="1" s="305">
      <c r="A321" s="28" t="inlineStr">
        <is>
          <t>D 739</t>
        </is>
      </c>
      <c r="B321" s="29" t="n">
        <v>48</v>
      </c>
      <c r="C321" s="236" t="inlineStr">
        <is>
          <t>X</t>
        </is>
      </c>
      <c r="D321" s="29" t="n">
        <v>83</v>
      </c>
      <c r="E321" s="237">
        <f>B321*D321/10000</f>
        <v/>
      </c>
      <c r="F321" s="238">
        <f>B321/30.48</f>
        <v/>
      </c>
      <c r="G321" s="238">
        <f>D321/30.48</f>
        <v/>
      </c>
      <c r="H321" s="613" t="n"/>
      <c r="I321" s="273" t="n"/>
      <c r="J321" s="274" t="n"/>
      <c r="K321" s="275" t="n"/>
      <c r="L321" s="276" t="n"/>
      <c r="M321" s="270" t="n"/>
    </row>
    <row r="322" ht="18" customHeight="1" s="305">
      <c r="A322" s="28" t="inlineStr">
        <is>
          <t>D 741</t>
        </is>
      </c>
      <c r="B322" s="29" t="n">
        <v>45</v>
      </c>
      <c r="C322" s="236" t="inlineStr">
        <is>
          <t>X</t>
        </is>
      </c>
      <c r="D322" s="29" t="n">
        <v>94</v>
      </c>
      <c r="E322" s="237">
        <f>B322*D322/10000</f>
        <v/>
      </c>
      <c r="F322" s="238">
        <f>B322/30.48</f>
        <v/>
      </c>
      <c r="G322" s="238">
        <f>D322/30.48</f>
        <v/>
      </c>
      <c r="H322" s="613" t="n"/>
      <c r="I322" s="273" t="n"/>
      <c r="J322" s="274" t="n"/>
      <c r="K322" s="275" t="n"/>
      <c r="L322" s="276" t="n"/>
      <c r="M322" s="270" t="n"/>
    </row>
    <row r="323" ht="18" customHeight="1" s="305">
      <c r="A323" s="28" t="inlineStr">
        <is>
          <t>D 742</t>
        </is>
      </c>
      <c r="B323" s="29" t="n">
        <v>50</v>
      </c>
      <c r="C323" s="236" t="inlineStr">
        <is>
          <t>X</t>
        </is>
      </c>
      <c r="D323" s="29" t="n">
        <v>105</v>
      </c>
      <c r="E323" s="237">
        <f>B323*D323/10000</f>
        <v/>
      </c>
      <c r="F323" s="238">
        <f>B323/30.48</f>
        <v/>
      </c>
      <c r="G323" s="238">
        <f>D323/30.48</f>
        <v/>
      </c>
      <c r="H323" s="613" t="n"/>
      <c r="I323" s="273" t="n"/>
      <c r="J323" s="274" t="n"/>
      <c r="K323" s="275" t="n"/>
      <c r="L323" s="276" t="n"/>
      <c r="M323" s="270" t="n"/>
    </row>
    <row r="324" ht="18" customHeight="1" s="305">
      <c r="A324" s="28" t="inlineStr">
        <is>
          <t>D 743</t>
        </is>
      </c>
      <c r="B324" s="29" t="n">
        <v>53</v>
      </c>
      <c r="C324" s="236" t="inlineStr">
        <is>
          <t>X</t>
        </is>
      </c>
      <c r="D324" s="29" t="n">
        <v>58</v>
      </c>
      <c r="E324" s="237">
        <f>B324*D324/10000</f>
        <v/>
      </c>
      <c r="F324" s="238">
        <f>B324/30.48</f>
        <v/>
      </c>
      <c r="G324" s="238">
        <f>D324/30.48</f>
        <v/>
      </c>
      <c r="H324" s="613" t="n"/>
      <c r="I324" s="273" t="n"/>
      <c r="J324" s="274" t="n"/>
      <c r="K324" s="275" t="n"/>
      <c r="L324" s="276" t="n"/>
      <c r="M324" s="270" t="n"/>
    </row>
    <row r="325" ht="18" customHeight="1" s="305">
      <c r="A325" s="28" t="inlineStr">
        <is>
          <t>D 745</t>
        </is>
      </c>
      <c r="B325" s="29" t="n">
        <v>48</v>
      </c>
      <c r="C325" s="236" t="inlineStr">
        <is>
          <t>X</t>
        </is>
      </c>
      <c r="D325" s="29" t="n">
        <v>107</v>
      </c>
      <c r="E325" s="237">
        <f>B325*D325/10000</f>
        <v/>
      </c>
      <c r="F325" s="238">
        <f>B325/30.48</f>
        <v/>
      </c>
      <c r="G325" s="238">
        <f>D325/30.48</f>
        <v/>
      </c>
      <c r="H325" s="613" t="n"/>
      <c r="I325" s="273" t="n"/>
      <c r="J325" s="274" t="n"/>
      <c r="K325" s="275" t="n"/>
      <c r="L325" s="276" t="n"/>
      <c r="M325" s="270" t="n"/>
    </row>
    <row r="326" ht="18" customHeight="1" s="305">
      <c r="A326" s="28" t="inlineStr">
        <is>
          <t>D 746</t>
        </is>
      </c>
      <c r="B326" s="29" t="n">
        <v>47</v>
      </c>
      <c r="C326" s="236" t="inlineStr">
        <is>
          <t>X</t>
        </is>
      </c>
      <c r="D326" s="29" t="n">
        <v>87</v>
      </c>
      <c r="E326" s="237">
        <f>B326*D326/10000</f>
        <v/>
      </c>
      <c r="F326" s="238">
        <f>B326/30.48</f>
        <v/>
      </c>
      <c r="G326" s="238">
        <f>D326/30.48</f>
        <v/>
      </c>
      <c r="H326" s="613" t="n"/>
      <c r="I326" s="273" t="n"/>
      <c r="J326" s="274" t="n"/>
      <c r="K326" s="275" t="n"/>
      <c r="L326" s="276" t="n"/>
      <c r="M326" s="270" t="n"/>
    </row>
    <row r="327" ht="18" customHeight="1" s="305">
      <c r="A327" s="28" t="inlineStr">
        <is>
          <t>D 748</t>
        </is>
      </c>
      <c r="B327" s="29" t="n">
        <v>42</v>
      </c>
      <c r="C327" s="236" t="inlineStr">
        <is>
          <t>X</t>
        </is>
      </c>
      <c r="D327" s="29" t="n">
        <v>105</v>
      </c>
      <c r="E327" s="237">
        <f>B327*D327/10000</f>
        <v/>
      </c>
      <c r="F327" s="238">
        <f>B327/30.48</f>
        <v/>
      </c>
      <c r="G327" s="238">
        <f>D327/30.48</f>
        <v/>
      </c>
      <c r="H327" s="613" t="n"/>
      <c r="I327" s="273" t="n"/>
      <c r="J327" s="274" t="n"/>
      <c r="K327" s="275" t="n"/>
      <c r="L327" s="276" t="n"/>
      <c r="M327" s="270" t="n"/>
    </row>
    <row r="328" ht="18" customHeight="1" s="305">
      <c r="A328" s="28" t="inlineStr">
        <is>
          <t>D 749</t>
        </is>
      </c>
      <c r="B328" s="29" t="n">
        <v>58</v>
      </c>
      <c r="C328" s="236" t="inlineStr">
        <is>
          <t>X</t>
        </is>
      </c>
      <c r="D328" s="29" t="n">
        <v>102</v>
      </c>
      <c r="E328" s="237">
        <f>B328*D328/10000</f>
        <v/>
      </c>
      <c r="F328" s="238">
        <f>B328/30.48</f>
        <v/>
      </c>
      <c r="G328" s="238">
        <f>D328/30.48</f>
        <v/>
      </c>
      <c r="H328" s="613" t="n"/>
      <c r="I328" s="273" t="n"/>
      <c r="J328" s="274" t="n"/>
      <c r="K328" s="275" t="n"/>
      <c r="L328" s="276" t="n"/>
      <c r="M328" s="270" t="n"/>
    </row>
    <row r="329" ht="18" customHeight="1" s="305">
      <c r="A329" s="28" t="inlineStr">
        <is>
          <t>D 751</t>
        </is>
      </c>
      <c r="B329" s="29" t="n">
        <v>42</v>
      </c>
      <c r="C329" s="236" t="inlineStr">
        <is>
          <t>X</t>
        </is>
      </c>
      <c r="D329" s="29" t="n">
        <v>92</v>
      </c>
      <c r="E329" s="237">
        <f>B329*D329/10000</f>
        <v/>
      </c>
      <c r="F329" s="238">
        <f>B329/30.48</f>
        <v/>
      </c>
      <c r="G329" s="238">
        <f>D329/30.48</f>
        <v/>
      </c>
      <c r="H329" s="613" t="n"/>
      <c r="I329" s="273" t="n"/>
      <c r="J329" s="274" t="n"/>
      <c r="K329" s="275" t="n"/>
      <c r="L329" s="276" t="n"/>
      <c r="M329" s="270" t="n"/>
    </row>
    <row r="330" ht="18" customHeight="1" s="305">
      <c r="A330" s="28" t="inlineStr">
        <is>
          <t>D 752</t>
        </is>
      </c>
      <c r="B330" s="29" t="n">
        <v>44</v>
      </c>
      <c r="C330" s="236" t="inlineStr">
        <is>
          <t>X</t>
        </is>
      </c>
      <c r="D330" s="29" t="n">
        <v>90</v>
      </c>
      <c r="E330" s="237">
        <f>B330*D330/10000</f>
        <v/>
      </c>
      <c r="F330" s="238">
        <f>B330/30.48</f>
        <v/>
      </c>
      <c r="G330" s="238">
        <f>D330/30.48</f>
        <v/>
      </c>
      <c r="H330" s="613" t="n"/>
      <c r="I330" s="273" t="n"/>
      <c r="J330" s="274" t="n"/>
      <c r="K330" s="275" t="n"/>
      <c r="L330" s="276" t="n"/>
      <c r="M330" s="270" t="n"/>
    </row>
    <row r="331" ht="18" customHeight="1" s="305">
      <c r="A331" s="28" t="inlineStr">
        <is>
          <t>D 753</t>
        </is>
      </c>
      <c r="B331" s="29" t="n">
        <v>46</v>
      </c>
      <c r="C331" s="236" t="inlineStr">
        <is>
          <t>X</t>
        </is>
      </c>
      <c r="D331" s="29" t="n">
        <v>85</v>
      </c>
      <c r="E331" s="237">
        <f>B331*D331/10000</f>
        <v/>
      </c>
      <c r="F331" s="238">
        <f>B331/30.48</f>
        <v/>
      </c>
      <c r="G331" s="238">
        <f>D331/30.48</f>
        <v/>
      </c>
      <c r="H331" s="613" t="n"/>
      <c r="I331" s="273" t="n"/>
      <c r="J331" s="274" t="n"/>
      <c r="K331" s="275" t="n"/>
      <c r="L331" s="276" t="n"/>
      <c r="M331" s="270" t="n"/>
    </row>
    <row r="332" ht="18" customHeight="1" s="305">
      <c r="A332" s="28" t="inlineStr">
        <is>
          <t>D 754</t>
        </is>
      </c>
      <c r="B332" s="29" t="n">
        <v>40</v>
      </c>
      <c r="C332" s="236" t="inlineStr">
        <is>
          <t>X</t>
        </is>
      </c>
      <c r="D332" s="29" t="n">
        <v>86</v>
      </c>
      <c r="E332" s="237">
        <f>B332*D332/10000</f>
        <v/>
      </c>
      <c r="F332" s="238">
        <f>B332/30.48</f>
        <v/>
      </c>
      <c r="G332" s="238">
        <f>D332/30.48</f>
        <v/>
      </c>
      <c r="H332" s="613" t="n"/>
      <c r="I332" s="273" t="n"/>
      <c r="J332" s="274" t="n"/>
      <c r="K332" s="275" t="n"/>
      <c r="L332" s="276" t="n"/>
      <c r="M332" s="270" t="n"/>
    </row>
    <row r="333" ht="18" customHeight="1" s="305">
      <c r="A333" s="28" t="inlineStr">
        <is>
          <t>D 755</t>
        </is>
      </c>
      <c r="B333" s="29" t="n">
        <v>52</v>
      </c>
      <c r="C333" s="236" t="inlineStr">
        <is>
          <t>X</t>
        </is>
      </c>
      <c r="D333" s="29" t="n">
        <v>83</v>
      </c>
      <c r="E333" s="237">
        <f>B333*D333/10000</f>
        <v/>
      </c>
      <c r="F333" s="238">
        <f>B333/30.48</f>
        <v/>
      </c>
      <c r="G333" s="238">
        <f>D333/30.48</f>
        <v/>
      </c>
      <c r="H333" s="613" t="n"/>
      <c r="I333" s="273" t="n"/>
      <c r="J333" s="274" t="n"/>
      <c r="K333" s="275" t="n"/>
      <c r="L333" s="276" t="n"/>
      <c r="M333" s="270" t="n"/>
    </row>
    <row r="334" ht="18" customHeight="1" s="305">
      <c r="A334" s="28" t="inlineStr">
        <is>
          <t>D 758</t>
        </is>
      </c>
      <c r="B334" s="29" t="n">
        <v>50</v>
      </c>
      <c r="C334" s="236" t="inlineStr">
        <is>
          <t>X</t>
        </is>
      </c>
      <c r="D334" s="29" t="n">
        <v>98</v>
      </c>
      <c r="E334" s="237">
        <f>B334*D334/10000</f>
        <v/>
      </c>
      <c r="F334" s="238">
        <f>B334/30.48</f>
        <v/>
      </c>
      <c r="G334" s="238">
        <f>D334/30.48</f>
        <v/>
      </c>
      <c r="H334" s="613" t="n"/>
      <c r="I334" s="273" t="n"/>
      <c r="J334" s="274" t="n"/>
      <c r="K334" s="275" t="n"/>
      <c r="L334" s="276" t="n"/>
      <c r="M334" s="270" t="n"/>
    </row>
    <row r="335" ht="18" customHeight="1" s="305">
      <c r="A335" s="28" t="inlineStr">
        <is>
          <t>D 761</t>
        </is>
      </c>
      <c r="B335" s="29" t="n">
        <v>60</v>
      </c>
      <c r="C335" s="236" t="inlineStr">
        <is>
          <t>X</t>
        </is>
      </c>
      <c r="D335" s="29" t="n">
        <v>89</v>
      </c>
      <c r="E335" s="237">
        <f>B335*D335/10000</f>
        <v/>
      </c>
      <c r="F335" s="238">
        <f>B335/30.48</f>
        <v/>
      </c>
      <c r="G335" s="238">
        <f>D335/30.48</f>
        <v/>
      </c>
      <c r="H335" s="613" t="n"/>
      <c r="I335" s="273" t="n"/>
      <c r="J335" s="274" t="n"/>
      <c r="K335" s="275" t="n"/>
      <c r="L335" s="276" t="n"/>
      <c r="M335" s="270" t="n"/>
    </row>
    <row r="336" ht="18" customHeight="1" s="305">
      <c r="A336" s="28" t="inlineStr">
        <is>
          <t>D 762</t>
        </is>
      </c>
      <c r="B336" s="29" t="n">
        <v>60</v>
      </c>
      <c r="C336" s="236" t="inlineStr">
        <is>
          <t>X</t>
        </is>
      </c>
      <c r="D336" s="29" t="n">
        <v>93</v>
      </c>
      <c r="E336" s="237">
        <f>B336*D336/10000</f>
        <v/>
      </c>
      <c r="F336" s="238">
        <f>B336/30.48</f>
        <v/>
      </c>
      <c r="G336" s="238">
        <f>D336/30.48</f>
        <v/>
      </c>
      <c r="H336" s="613" t="n"/>
      <c r="I336" s="273" t="n"/>
      <c r="J336" s="274" t="n"/>
      <c r="K336" s="275" t="n"/>
      <c r="L336" s="276" t="n"/>
      <c r="M336" s="270" t="n"/>
    </row>
    <row r="337" ht="18" customHeight="1" s="305">
      <c r="A337" s="28" t="inlineStr">
        <is>
          <t>D 763</t>
        </is>
      </c>
      <c r="B337" s="29" t="n">
        <v>50</v>
      </c>
      <c r="C337" s="236" t="inlineStr">
        <is>
          <t>X</t>
        </is>
      </c>
      <c r="D337" s="29" t="n">
        <v>100</v>
      </c>
      <c r="E337" s="237">
        <f>B337*D337/10000</f>
        <v/>
      </c>
      <c r="F337" s="238">
        <f>B337/30.48</f>
        <v/>
      </c>
      <c r="G337" s="238">
        <f>D337/30.48</f>
        <v/>
      </c>
      <c r="H337" s="613" t="n"/>
      <c r="I337" s="273" t="n"/>
      <c r="J337" s="274" t="n"/>
      <c r="K337" s="275" t="n"/>
      <c r="L337" s="276" t="n"/>
      <c r="M337" s="270" t="n"/>
    </row>
    <row r="338" ht="18" customHeight="1" s="305">
      <c r="A338" s="28" t="inlineStr">
        <is>
          <t>D 764</t>
        </is>
      </c>
      <c r="B338" s="29" t="n">
        <v>39</v>
      </c>
      <c r="C338" s="236" t="inlineStr">
        <is>
          <t>X</t>
        </is>
      </c>
      <c r="D338" s="29" t="n">
        <v>79</v>
      </c>
      <c r="E338" s="237">
        <f>B338*D338/10000</f>
        <v/>
      </c>
      <c r="F338" s="238">
        <f>B338/30.48</f>
        <v/>
      </c>
      <c r="G338" s="238">
        <f>D338/30.48</f>
        <v/>
      </c>
      <c r="H338" s="613" t="n"/>
      <c r="I338" s="273" t="n"/>
      <c r="J338" s="274" t="n"/>
      <c r="K338" s="275" t="n"/>
      <c r="L338" s="276" t="n"/>
      <c r="M338" s="270" t="n"/>
    </row>
    <row r="339" ht="18" customHeight="1" s="305">
      <c r="A339" s="28" t="inlineStr">
        <is>
          <t>D 766</t>
        </is>
      </c>
      <c r="B339" s="29" t="n">
        <v>50</v>
      </c>
      <c r="C339" s="236" t="inlineStr">
        <is>
          <t>X</t>
        </is>
      </c>
      <c r="D339" s="29" t="n">
        <v>108</v>
      </c>
      <c r="E339" s="237">
        <f>B339*D339/10000</f>
        <v/>
      </c>
      <c r="F339" s="238">
        <f>B339/30.48</f>
        <v/>
      </c>
      <c r="G339" s="238">
        <f>D339/30.48</f>
        <v/>
      </c>
      <c r="H339" s="613" t="n"/>
      <c r="I339" s="273" t="n"/>
      <c r="J339" s="274" t="n"/>
      <c r="K339" s="275" t="n"/>
      <c r="L339" s="276" t="n"/>
      <c r="M339" s="270" t="n"/>
    </row>
    <row r="340" ht="18" customHeight="1" s="305">
      <c r="A340" s="28" t="inlineStr">
        <is>
          <t>D 767</t>
        </is>
      </c>
      <c r="B340" s="29" t="n"/>
      <c r="C340" s="236" t="inlineStr">
        <is>
          <t>X</t>
        </is>
      </c>
      <c r="D340" s="29" t="n"/>
      <c r="E340" s="237">
        <f>B340*D340/10000</f>
        <v/>
      </c>
      <c r="F340" s="238">
        <f>B340/30.48</f>
        <v/>
      </c>
      <c r="G340" s="238">
        <f>D340/30.48</f>
        <v/>
      </c>
      <c r="H340" s="613" t="n"/>
      <c r="I340" s="273" t="n"/>
      <c r="J340" s="274" t="n"/>
      <c r="K340" s="275" t="n"/>
      <c r="L340" s="276" t="n"/>
      <c r="M340" s="270" t="n"/>
    </row>
    <row r="341" ht="18" customHeight="1" s="305">
      <c r="A341" s="28" t="inlineStr">
        <is>
          <t>D 768</t>
        </is>
      </c>
      <c r="B341" s="29" t="n"/>
      <c r="C341" s="236" t="inlineStr">
        <is>
          <t>X</t>
        </is>
      </c>
      <c r="D341" s="29" t="n"/>
      <c r="E341" s="237">
        <f>B341*D341/10000</f>
        <v/>
      </c>
      <c r="F341" s="238">
        <f>B341/30.48</f>
        <v/>
      </c>
      <c r="G341" s="238">
        <f>D341/30.48</f>
        <v/>
      </c>
      <c r="H341" s="613" t="n"/>
      <c r="I341" s="273" t="n"/>
      <c r="J341" s="274" t="n"/>
      <c r="K341" s="275" t="n"/>
      <c r="L341" s="276" t="n"/>
      <c r="M341" s="270" t="n"/>
    </row>
    <row r="342" ht="18" customHeight="1" s="305">
      <c r="A342" s="28" t="inlineStr">
        <is>
          <t>D 769</t>
        </is>
      </c>
      <c r="B342" s="29" t="n"/>
      <c r="C342" s="236" t="inlineStr">
        <is>
          <t>X</t>
        </is>
      </c>
      <c r="D342" s="29" t="n"/>
      <c r="E342" s="237">
        <f>B342*D342/10000</f>
        <v/>
      </c>
      <c r="F342" s="238">
        <f>B342/30.48</f>
        <v/>
      </c>
      <c r="G342" s="238">
        <f>D342/30.48</f>
        <v/>
      </c>
      <c r="H342" s="613" t="n"/>
      <c r="I342" s="273" t="n"/>
      <c r="J342" s="274" t="n"/>
      <c r="K342" s="275" t="n"/>
      <c r="L342" s="276" t="n"/>
      <c r="M342" s="270" t="n"/>
    </row>
    <row r="343" ht="18" customHeight="1" s="305">
      <c r="A343" s="28" t="inlineStr">
        <is>
          <t>D 770</t>
        </is>
      </c>
      <c r="B343" s="29" t="n"/>
      <c r="C343" s="236" t="inlineStr">
        <is>
          <t>X</t>
        </is>
      </c>
      <c r="D343" s="29" t="n"/>
      <c r="E343" s="237">
        <f>B343*D343/10000</f>
        <v/>
      </c>
      <c r="F343" s="238">
        <f>B343/30.48</f>
        <v/>
      </c>
      <c r="G343" s="238">
        <f>D343/30.48</f>
        <v/>
      </c>
      <c r="H343" s="613" t="n"/>
      <c r="I343" s="273" t="n"/>
      <c r="J343" s="274" t="n"/>
      <c r="K343" s="275" t="n"/>
      <c r="L343" s="276" t="n"/>
      <c r="M343" s="270" t="n"/>
    </row>
    <row r="344" ht="18" customHeight="1" s="305">
      <c r="A344" s="28" t="inlineStr">
        <is>
          <t>D 771</t>
        </is>
      </c>
      <c r="B344" s="29" t="n"/>
      <c r="C344" s="236" t="inlineStr">
        <is>
          <t>X</t>
        </is>
      </c>
      <c r="D344" s="29" t="n"/>
      <c r="E344" s="237">
        <f>B344*D344/10000</f>
        <v/>
      </c>
      <c r="F344" s="238">
        <f>B344/30.48</f>
        <v/>
      </c>
      <c r="G344" s="238">
        <f>D344/30.48</f>
        <v/>
      </c>
      <c r="H344" s="613" t="n"/>
      <c r="I344" s="273" t="n"/>
      <c r="J344" s="274" t="n"/>
      <c r="K344" s="275" t="n"/>
      <c r="L344" s="276" t="n"/>
      <c r="M344" s="270" t="n"/>
    </row>
    <row r="345" ht="18" customHeight="1" s="305">
      <c r="A345" s="28" t="inlineStr">
        <is>
          <t>D 772</t>
        </is>
      </c>
      <c r="B345" s="29" t="n"/>
      <c r="C345" s="236" t="inlineStr">
        <is>
          <t>X</t>
        </is>
      </c>
      <c r="D345" s="29" t="n"/>
      <c r="E345" s="237">
        <f>B345*D345/10000</f>
        <v/>
      </c>
      <c r="F345" s="238">
        <f>B345/30.48</f>
        <v/>
      </c>
      <c r="G345" s="238">
        <f>D345/30.48</f>
        <v/>
      </c>
      <c r="H345" s="613" t="n"/>
      <c r="I345" s="273" t="n"/>
      <c r="J345" s="274" t="n"/>
      <c r="K345" s="275" t="n"/>
      <c r="L345" s="276" t="n"/>
      <c r="M345" s="270" t="n"/>
    </row>
    <row r="346" ht="18" customHeight="1" s="305">
      <c r="A346" s="28" t="inlineStr">
        <is>
          <t>D 773</t>
        </is>
      </c>
      <c r="B346" s="29" t="n"/>
      <c r="C346" s="236" t="inlineStr">
        <is>
          <t>X</t>
        </is>
      </c>
      <c r="D346" s="29" t="n"/>
      <c r="E346" s="237">
        <f>B346*D346/10000</f>
        <v/>
      </c>
      <c r="F346" s="238">
        <f>B346/30.48</f>
        <v/>
      </c>
      <c r="G346" s="238">
        <f>D346/30.48</f>
        <v/>
      </c>
      <c r="H346" s="613" t="n"/>
      <c r="I346" s="273" t="n"/>
      <c r="J346" s="274" t="n"/>
      <c r="K346" s="275" t="n"/>
      <c r="L346" s="276" t="n"/>
      <c r="M346" s="270" t="n"/>
    </row>
    <row r="347" ht="18" customHeight="1" s="305">
      <c r="A347" s="28" t="inlineStr">
        <is>
          <t>D 774</t>
        </is>
      </c>
      <c r="B347" s="29" t="n"/>
      <c r="C347" s="236" t="inlineStr">
        <is>
          <t>X</t>
        </is>
      </c>
      <c r="D347" s="29" t="n"/>
      <c r="E347" s="237">
        <f>B347*D347/10000</f>
        <v/>
      </c>
      <c r="F347" s="238">
        <f>B347/30.48</f>
        <v/>
      </c>
      <c r="G347" s="238">
        <f>D347/30.48</f>
        <v/>
      </c>
      <c r="H347" s="613" t="n"/>
      <c r="I347" s="273" t="n"/>
      <c r="J347" s="274" t="n"/>
      <c r="K347" s="275" t="n"/>
      <c r="L347" s="276" t="n"/>
      <c r="M347" s="270" t="n"/>
    </row>
    <row r="348" ht="18" customHeight="1" s="305">
      <c r="A348" s="28" t="inlineStr">
        <is>
          <t>D 775</t>
        </is>
      </c>
      <c r="B348" s="29" t="n"/>
      <c r="C348" s="236" t="inlineStr">
        <is>
          <t>X</t>
        </is>
      </c>
      <c r="D348" s="29" t="n"/>
      <c r="E348" s="237">
        <f>B348*D348/10000</f>
        <v/>
      </c>
      <c r="F348" s="238">
        <f>B348/30.48</f>
        <v/>
      </c>
      <c r="G348" s="238">
        <f>D348/30.48</f>
        <v/>
      </c>
      <c r="H348" s="613" t="n"/>
      <c r="I348" s="273" t="n"/>
      <c r="J348" s="274" t="n"/>
      <c r="K348" s="275" t="n"/>
      <c r="L348" s="276" t="n"/>
      <c r="M348" s="270" t="n"/>
    </row>
    <row r="349" ht="18" customHeight="1" s="305">
      <c r="A349" s="28" t="inlineStr">
        <is>
          <t>D 776</t>
        </is>
      </c>
      <c r="B349" s="29" t="n"/>
      <c r="C349" s="236" t="inlineStr">
        <is>
          <t>X</t>
        </is>
      </c>
      <c r="D349" s="29" t="n"/>
      <c r="E349" s="237">
        <f>B349*D349/10000</f>
        <v/>
      </c>
      <c r="F349" s="238">
        <f>B349/30.48</f>
        <v/>
      </c>
      <c r="G349" s="238">
        <f>D349/30.48</f>
        <v/>
      </c>
      <c r="H349" s="613" t="n"/>
      <c r="I349" s="273" t="n"/>
      <c r="J349" s="274" t="n"/>
      <c r="K349" s="275" t="n"/>
      <c r="L349" s="276" t="n"/>
      <c r="M349" s="270" t="n"/>
    </row>
    <row r="350" ht="18" customHeight="1" s="305">
      <c r="A350" s="28" t="inlineStr">
        <is>
          <t>D 777</t>
        </is>
      </c>
      <c r="B350" s="29" t="n">
        <v>43</v>
      </c>
      <c r="C350" s="236" t="inlineStr">
        <is>
          <t>X</t>
        </is>
      </c>
      <c r="D350" s="29" t="n">
        <v>85</v>
      </c>
      <c r="E350" s="237">
        <f>B350*D350/10000</f>
        <v/>
      </c>
      <c r="F350" s="238">
        <f>B350/30.48</f>
        <v/>
      </c>
      <c r="G350" s="238">
        <f>D350/30.48</f>
        <v/>
      </c>
      <c r="H350" s="613" t="n"/>
      <c r="I350" s="273" t="n"/>
      <c r="J350" s="274" t="n"/>
      <c r="K350" s="275" t="n"/>
      <c r="L350" s="276" t="n"/>
      <c r="M350" s="270" t="n"/>
    </row>
    <row r="351" ht="18" customHeight="1" s="305">
      <c r="A351" s="28" t="inlineStr">
        <is>
          <t>D 778</t>
        </is>
      </c>
      <c r="B351" s="29" t="n">
        <v>49</v>
      </c>
      <c r="C351" s="236" t="inlineStr">
        <is>
          <t>X</t>
        </is>
      </c>
      <c r="D351" s="29" t="n">
        <v>86</v>
      </c>
      <c r="E351" s="237">
        <f>B351*D351/10000</f>
        <v/>
      </c>
      <c r="F351" s="238">
        <f>B351/30.48</f>
        <v/>
      </c>
      <c r="G351" s="238">
        <f>D351/30.48</f>
        <v/>
      </c>
      <c r="H351" s="613" t="n"/>
      <c r="I351" s="273" t="n"/>
      <c r="J351" s="274" t="n"/>
      <c r="K351" s="275" t="n"/>
      <c r="L351" s="276" t="n"/>
      <c r="M351" s="270" t="n"/>
    </row>
    <row r="352" ht="18" customHeight="1" s="305">
      <c r="A352" s="28" t="inlineStr">
        <is>
          <t>D 779</t>
        </is>
      </c>
      <c r="B352" s="29" t="n">
        <v>49</v>
      </c>
      <c r="C352" s="236" t="inlineStr">
        <is>
          <t>X</t>
        </is>
      </c>
      <c r="D352" s="29" t="n">
        <v>80</v>
      </c>
      <c r="E352" s="237">
        <f>B352*D352/10000</f>
        <v/>
      </c>
      <c r="F352" s="238">
        <f>B352/30.48</f>
        <v/>
      </c>
      <c r="G352" s="238">
        <f>D352/30.48</f>
        <v/>
      </c>
      <c r="H352" s="613" t="n"/>
      <c r="I352" s="273" t="n"/>
      <c r="J352" s="274" t="n"/>
      <c r="K352" s="275" t="n"/>
      <c r="L352" s="276" t="n"/>
      <c r="M352" s="270" t="n"/>
    </row>
    <row r="353" ht="18" customHeight="1" s="305">
      <c r="A353" s="28" t="inlineStr">
        <is>
          <t>D 780</t>
        </is>
      </c>
      <c r="B353" s="29" t="n">
        <v>50</v>
      </c>
      <c r="C353" s="236" t="inlineStr">
        <is>
          <t>X</t>
        </is>
      </c>
      <c r="D353" s="29" t="n">
        <v>90</v>
      </c>
      <c r="E353" s="237">
        <f>B353*D353/10000</f>
        <v/>
      </c>
      <c r="F353" s="238">
        <f>B353/30.48</f>
        <v/>
      </c>
      <c r="G353" s="238">
        <f>D353/30.48</f>
        <v/>
      </c>
      <c r="H353" s="613" t="n"/>
      <c r="I353" s="273" t="n"/>
      <c r="J353" s="274" t="n"/>
      <c r="K353" s="275" t="n"/>
      <c r="L353" s="276" t="n"/>
      <c r="M353" s="270" t="n"/>
    </row>
    <row r="354" ht="18" customHeight="1" s="305">
      <c r="A354" s="28" t="inlineStr">
        <is>
          <t>D 782</t>
        </is>
      </c>
      <c r="B354" s="29" t="n">
        <v>52</v>
      </c>
      <c r="C354" s="236" t="inlineStr">
        <is>
          <t>X</t>
        </is>
      </c>
      <c r="D354" s="29" t="n">
        <v>91</v>
      </c>
      <c r="E354" s="237">
        <f>B354*D354/10000</f>
        <v/>
      </c>
      <c r="F354" s="238">
        <f>B354/30.48</f>
        <v/>
      </c>
      <c r="G354" s="238">
        <f>D354/30.48</f>
        <v/>
      </c>
      <c r="H354" s="613" t="n"/>
      <c r="I354" s="273" t="n"/>
      <c r="J354" s="274" t="n"/>
      <c r="K354" s="275" t="n"/>
      <c r="L354" s="276" t="n"/>
      <c r="M354" s="270" t="n"/>
    </row>
    <row r="355" ht="18" customHeight="1" s="305">
      <c r="A355" s="28" t="inlineStr">
        <is>
          <t>D 783</t>
        </is>
      </c>
      <c r="B355" s="29" t="n">
        <v>53</v>
      </c>
      <c r="C355" s="236" t="inlineStr">
        <is>
          <t>X</t>
        </is>
      </c>
      <c r="D355" s="29" t="n">
        <v>103</v>
      </c>
      <c r="E355" s="237">
        <f>B355*D355/10000</f>
        <v/>
      </c>
      <c r="F355" s="238">
        <f>B355/30.48</f>
        <v/>
      </c>
      <c r="G355" s="238">
        <f>D355/30.48</f>
        <v/>
      </c>
      <c r="H355" s="613" t="n"/>
      <c r="I355" s="273" t="n"/>
      <c r="J355" s="274" t="n"/>
      <c r="K355" s="275" t="n"/>
      <c r="L355" s="276" t="n"/>
      <c r="M355" s="270" t="n"/>
    </row>
    <row r="356" ht="18" customHeight="1" s="305">
      <c r="A356" s="28" t="inlineStr">
        <is>
          <t>D 785</t>
        </is>
      </c>
      <c r="B356" s="29" t="n">
        <v>43</v>
      </c>
      <c r="C356" s="236" t="inlineStr">
        <is>
          <t>X</t>
        </is>
      </c>
      <c r="D356" s="29" t="n">
        <v>90</v>
      </c>
      <c r="E356" s="237">
        <f>B356*D356/10000</f>
        <v/>
      </c>
      <c r="F356" s="238">
        <f>B356/30.48</f>
        <v/>
      </c>
      <c r="G356" s="238">
        <f>D356/30.48</f>
        <v/>
      </c>
      <c r="H356" s="613" t="n"/>
      <c r="I356" s="273" t="n"/>
      <c r="J356" s="274" t="n"/>
      <c r="K356" s="275" t="n"/>
      <c r="L356" s="276" t="n"/>
      <c r="M356" s="270" t="n"/>
    </row>
    <row r="357" ht="18" customHeight="1" s="305">
      <c r="A357" s="28" t="inlineStr">
        <is>
          <t>D 787</t>
        </is>
      </c>
      <c r="B357" s="29" t="n">
        <v>61</v>
      </c>
      <c r="C357" s="236" t="inlineStr">
        <is>
          <t>X</t>
        </is>
      </c>
      <c r="D357" s="29" t="n">
        <v>65</v>
      </c>
      <c r="E357" s="237">
        <f>B357*D357/10000</f>
        <v/>
      </c>
      <c r="F357" s="238">
        <f>B357/30.48</f>
        <v/>
      </c>
      <c r="G357" s="238">
        <f>D357/30.48</f>
        <v/>
      </c>
      <c r="H357" s="613" t="n"/>
      <c r="I357" s="273" t="n"/>
      <c r="J357" s="274" t="n"/>
      <c r="K357" s="275" t="n"/>
      <c r="L357" s="276" t="n"/>
      <c r="M357" s="270" t="n"/>
    </row>
    <row r="358" ht="18" customHeight="1" s="305">
      <c r="A358" s="28" t="inlineStr">
        <is>
          <t>D 789</t>
        </is>
      </c>
      <c r="B358" s="29" t="n">
        <v>44</v>
      </c>
      <c r="C358" s="236" t="inlineStr">
        <is>
          <t>X</t>
        </is>
      </c>
      <c r="D358" s="29" t="n">
        <v>83</v>
      </c>
      <c r="E358" s="237">
        <f>B358*D358/10000</f>
        <v/>
      </c>
      <c r="F358" s="238">
        <f>B358/30.48</f>
        <v/>
      </c>
      <c r="G358" s="238">
        <f>D358/30.48</f>
        <v/>
      </c>
      <c r="H358" s="613" t="n"/>
      <c r="I358" s="273" t="n"/>
      <c r="J358" s="274" t="n"/>
      <c r="K358" s="275" t="n"/>
      <c r="L358" s="276" t="n"/>
      <c r="M358" s="270" t="n"/>
    </row>
    <row r="359" ht="18" customHeight="1" s="305">
      <c r="A359" s="28" t="inlineStr">
        <is>
          <t>D 790</t>
        </is>
      </c>
      <c r="B359" s="29" t="n">
        <v>45</v>
      </c>
      <c r="C359" s="236" t="inlineStr">
        <is>
          <t>X</t>
        </is>
      </c>
      <c r="D359" s="29" t="n">
        <v>94</v>
      </c>
      <c r="E359" s="237">
        <f>B359*D359/10000</f>
        <v/>
      </c>
      <c r="F359" s="238">
        <f>B359/30.48</f>
        <v/>
      </c>
      <c r="G359" s="238">
        <f>D359/30.48</f>
        <v/>
      </c>
      <c r="H359" s="613" t="n"/>
      <c r="I359" s="273" t="n"/>
      <c r="J359" s="274" t="n"/>
      <c r="K359" s="275" t="n"/>
      <c r="L359" s="276" t="n"/>
      <c r="M359" s="270" t="n"/>
    </row>
    <row r="360" ht="18" customHeight="1" s="305">
      <c r="A360" s="28" t="inlineStr">
        <is>
          <t>D 791</t>
        </is>
      </c>
      <c r="B360" s="29" t="n">
        <v>61</v>
      </c>
      <c r="C360" s="236" t="inlineStr">
        <is>
          <t>X</t>
        </is>
      </c>
      <c r="D360" s="29" t="n">
        <v>105</v>
      </c>
      <c r="E360" s="237">
        <f>B360*D360/10000</f>
        <v/>
      </c>
      <c r="F360" s="238">
        <f>B360/30.48</f>
        <v/>
      </c>
      <c r="G360" s="238">
        <f>D360/30.48</f>
        <v/>
      </c>
      <c r="H360" s="613" t="n"/>
      <c r="I360" s="273" t="n"/>
      <c r="J360" s="274" t="n"/>
      <c r="K360" s="275" t="n"/>
      <c r="L360" s="276" t="n"/>
      <c r="M360" s="270" t="n"/>
    </row>
    <row r="361" ht="18" customHeight="1" s="305">
      <c r="A361" s="28" t="inlineStr">
        <is>
          <t>D 796</t>
        </is>
      </c>
      <c r="B361" s="29" t="n">
        <v>58</v>
      </c>
      <c r="C361" s="236" t="inlineStr">
        <is>
          <t>X</t>
        </is>
      </c>
      <c r="D361" s="29" t="n">
        <v>93</v>
      </c>
      <c r="E361" s="237">
        <f>B361*D361/10000</f>
        <v/>
      </c>
      <c r="F361" s="238">
        <f>B361/30.48</f>
        <v/>
      </c>
      <c r="G361" s="238">
        <f>D361/30.48</f>
        <v/>
      </c>
      <c r="H361" s="613" t="n"/>
      <c r="I361" s="273" t="n"/>
      <c r="J361" s="274" t="n"/>
      <c r="K361" s="275" t="n"/>
      <c r="L361" s="276" t="n"/>
      <c r="M361" s="270" t="n"/>
    </row>
    <row r="362" ht="18" customHeight="1" s="305">
      <c r="A362" s="28" t="n">
        <v>80</v>
      </c>
      <c r="B362" s="29" t="n">
        <v>48</v>
      </c>
      <c r="C362" s="236" t="inlineStr">
        <is>
          <t>X</t>
        </is>
      </c>
      <c r="D362" s="29" t="n">
        <v>88</v>
      </c>
      <c r="E362" s="237">
        <f>B362*D362/10000</f>
        <v/>
      </c>
      <c r="F362" s="238">
        <f>B362/30.48</f>
        <v/>
      </c>
      <c r="G362" s="238">
        <f>D362/30.48</f>
        <v/>
      </c>
      <c r="H362" s="613" t="n"/>
      <c r="I362" s="273" t="n"/>
      <c r="J362" s="274" t="n"/>
      <c r="K362" s="275" t="n"/>
      <c r="L362" s="276" t="n"/>
      <c r="M362" s="270" t="n"/>
    </row>
    <row r="363" ht="18" customHeight="1" s="305">
      <c r="A363" s="28" t="inlineStr">
        <is>
          <t>D 798</t>
        </is>
      </c>
      <c r="B363" s="29" t="n">
        <v>48</v>
      </c>
      <c r="C363" s="236" t="inlineStr">
        <is>
          <t>X</t>
        </is>
      </c>
      <c r="D363" s="29" t="n">
        <v>98</v>
      </c>
      <c r="E363" s="237">
        <f>B363*D363/10000</f>
        <v/>
      </c>
      <c r="F363" s="238">
        <f>B363/30.48</f>
        <v/>
      </c>
      <c r="G363" s="238">
        <f>D363/30.48</f>
        <v/>
      </c>
      <c r="H363" s="613" t="n"/>
      <c r="I363" s="273" t="n"/>
      <c r="J363" s="274" t="n"/>
      <c r="K363" s="275" t="n"/>
      <c r="L363" s="276" t="n"/>
      <c r="M363" s="270" t="n"/>
    </row>
    <row r="364" ht="18" customHeight="1" s="305">
      <c r="A364" s="28" t="inlineStr">
        <is>
          <t>D 799</t>
        </is>
      </c>
      <c r="B364" s="29" t="n">
        <v>47</v>
      </c>
      <c r="C364" s="236" t="inlineStr">
        <is>
          <t>X</t>
        </is>
      </c>
      <c r="D364" s="29" t="n">
        <v>83</v>
      </c>
      <c r="E364" s="237">
        <f>B364*D364/10000</f>
        <v/>
      </c>
      <c r="F364" s="238">
        <f>B364/30.48</f>
        <v/>
      </c>
      <c r="G364" s="238">
        <f>D364/30.48</f>
        <v/>
      </c>
      <c r="H364" s="613" t="n"/>
      <c r="I364" s="273" t="n"/>
      <c r="J364" s="274" t="n"/>
      <c r="K364" s="275" t="n"/>
      <c r="L364" s="276" t="n"/>
      <c r="M364" s="270" t="n"/>
    </row>
    <row r="365" ht="18" customHeight="1" s="305">
      <c r="A365" s="28" t="inlineStr">
        <is>
          <t>D 800</t>
        </is>
      </c>
      <c r="B365" s="29" t="n">
        <v>56</v>
      </c>
      <c r="C365" s="236" t="inlineStr">
        <is>
          <t>X</t>
        </is>
      </c>
      <c r="D365" s="29" t="n">
        <v>102</v>
      </c>
      <c r="E365" s="237">
        <f>B365*D365/10000</f>
        <v/>
      </c>
      <c r="F365" s="238">
        <f>B365/30.48</f>
        <v/>
      </c>
      <c r="G365" s="238">
        <f>D365/30.48</f>
        <v/>
      </c>
      <c r="H365" s="613" t="n"/>
      <c r="I365" s="273" t="n"/>
      <c r="J365" s="274" t="n"/>
      <c r="K365" s="275" t="n"/>
      <c r="L365" s="276" t="n"/>
      <c r="M365" s="270" t="n"/>
    </row>
    <row r="366" ht="18" customHeight="1" s="305">
      <c r="A366" s="28" t="inlineStr">
        <is>
          <t>D 801</t>
        </is>
      </c>
      <c r="B366" s="29" t="n">
        <v>51</v>
      </c>
      <c r="C366" s="236" t="inlineStr">
        <is>
          <t>X</t>
        </is>
      </c>
      <c r="D366" s="29" t="n">
        <v>93</v>
      </c>
      <c r="E366" s="237">
        <f>B366*D366/10000</f>
        <v/>
      </c>
      <c r="F366" s="238">
        <f>B366/30.48</f>
        <v/>
      </c>
      <c r="G366" s="238">
        <f>D366/30.48</f>
        <v/>
      </c>
      <c r="H366" s="613" t="n"/>
      <c r="I366" s="273" t="n"/>
      <c r="J366" s="274" t="n"/>
      <c r="K366" s="275" t="n"/>
      <c r="L366" s="276" t="n"/>
      <c r="M366" s="270" t="n"/>
    </row>
    <row r="367" ht="18" customHeight="1" s="305">
      <c r="A367" s="28" t="inlineStr">
        <is>
          <t>D 802</t>
        </is>
      </c>
      <c r="B367" s="29" t="n">
        <v>52</v>
      </c>
      <c r="C367" s="236" t="inlineStr">
        <is>
          <t>X</t>
        </is>
      </c>
      <c r="D367" s="29" t="n">
        <v>89</v>
      </c>
      <c r="E367" s="237">
        <f>B367*D367/10000</f>
        <v/>
      </c>
      <c r="F367" s="238">
        <f>B367/30.48</f>
        <v/>
      </c>
      <c r="G367" s="238">
        <f>D367/30.48</f>
        <v/>
      </c>
      <c r="H367" s="613" t="n"/>
      <c r="I367" s="273" t="n"/>
      <c r="J367" s="274" t="n"/>
      <c r="K367" s="275" t="n"/>
      <c r="L367" s="276" t="n"/>
      <c r="M367" s="270" t="n"/>
    </row>
    <row r="368" ht="18" customHeight="1" s="305">
      <c r="A368" s="28" t="inlineStr">
        <is>
          <t>D 803</t>
        </is>
      </c>
      <c r="B368" s="29" t="n">
        <v>48</v>
      </c>
      <c r="C368" s="236" t="inlineStr">
        <is>
          <t>X</t>
        </is>
      </c>
      <c r="D368" s="29" t="n">
        <v>86</v>
      </c>
      <c r="E368" s="237">
        <f>B368*D368/10000</f>
        <v/>
      </c>
      <c r="F368" s="238">
        <f>B368/30.48</f>
        <v/>
      </c>
      <c r="G368" s="238">
        <f>D368/30.48</f>
        <v/>
      </c>
      <c r="H368" s="613" t="n"/>
      <c r="I368" s="273" t="n"/>
      <c r="J368" s="274" t="n"/>
      <c r="K368" s="275" t="n"/>
      <c r="L368" s="276" t="n"/>
      <c r="M368" s="270" t="n"/>
    </row>
    <row r="369" ht="18" customHeight="1" s="305">
      <c r="A369" s="28" t="inlineStr">
        <is>
          <t>D 805</t>
        </is>
      </c>
      <c r="B369" s="29" t="n">
        <v>52</v>
      </c>
      <c r="C369" s="236" t="inlineStr">
        <is>
          <t>X</t>
        </is>
      </c>
      <c r="D369" s="29" t="n">
        <v>95</v>
      </c>
      <c r="E369" s="237">
        <f>B369*D369/10000</f>
        <v/>
      </c>
      <c r="F369" s="238">
        <f>B369/30.48</f>
        <v/>
      </c>
      <c r="G369" s="238">
        <f>D369/30.48</f>
        <v/>
      </c>
      <c r="H369" s="613" t="n"/>
      <c r="I369" s="273" t="n"/>
      <c r="J369" s="274" t="n"/>
      <c r="K369" s="275" t="n"/>
      <c r="L369" s="276" t="n"/>
      <c r="M369" s="270" t="n"/>
    </row>
    <row r="370" ht="18" customHeight="1" s="305">
      <c r="A370" s="28" t="inlineStr">
        <is>
          <t>D 806</t>
        </is>
      </c>
      <c r="B370" s="29" t="n">
        <v>50</v>
      </c>
      <c r="C370" s="236" t="inlineStr">
        <is>
          <t>X</t>
        </is>
      </c>
      <c r="D370" s="29" t="n">
        <v>97</v>
      </c>
      <c r="E370" s="237">
        <f>B370*D370/10000</f>
        <v/>
      </c>
      <c r="F370" s="238">
        <f>B370/30.48</f>
        <v/>
      </c>
      <c r="G370" s="238">
        <f>D370/30.48</f>
        <v/>
      </c>
      <c r="H370" s="613" t="n"/>
      <c r="I370" s="273" t="n"/>
      <c r="J370" s="274" t="n"/>
      <c r="K370" s="275" t="n"/>
      <c r="L370" s="276" t="n"/>
      <c r="M370" s="270" t="n"/>
    </row>
    <row r="371" ht="18" customHeight="1" s="305">
      <c r="A371" s="28" t="inlineStr">
        <is>
          <t>D 807</t>
        </is>
      </c>
      <c r="B371" s="29" t="n">
        <v>52</v>
      </c>
      <c r="C371" s="236" t="inlineStr">
        <is>
          <t>X</t>
        </is>
      </c>
      <c r="D371" s="29" t="n">
        <v>111</v>
      </c>
      <c r="E371" s="237">
        <f>B371*D371/10000</f>
        <v/>
      </c>
      <c r="F371" s="238">
        <f>B371/30.48</f>
        <v/>
      </c>
      <c r="G371" s="238">
        <f>D371/30.48</f>
        <v/>
      </c>
      <c r="H371" s="613" t="n"/>
      <c r="I371" s="273" t="n"/>
      <c r="J371" s="274" t="n"/>
      <c r="K371" s="275" t="n"/>
      <c r="L371" s="276" t="n"/>
      <c r="M371" s="270" t="n"/>
    </row>
    <row r="372" ht="18" customHeight="1" s="305">
      <c r="A372" s="28" t="inlineStr">
        <is>
          <t>D 807</t>
        </is>
      </c>
      <c r="B372" s="29" t="n">
        <v>52</v>
      </c>
      <c r="C372" s="236" t="inlineStr">
        <is>
          <t>X</t>
        </is>
      </c>
      <c r="D372" s="29" t="n">
        <v>111</v>
      </c>
      <c r="E372" s="237">
        <f>B372*D372/10000</f>
        <v/>
      </c>
      <c r="F372" s="238">
        <f>B372/30.48</f>
        <v/>
      </c>
      <c r="G372" s="238">
        <f>D372/30.48</f>
        <v/>
      </c>
      <c r="H372" s="613" t="n"/>
      <c r="I372" s="273" t="n"/>
      <c r="J372" s="274" t="n"/>
      <c r="K372" s="275" t="n"/>
      <c r="L372" s="276" t="n"/>
      <c r="M372" s="270" t="n"/>
    </row>
    <row r="373" ht="18" customHeight="1" s="305">
      <c r="A373" s="28" t="inlineStr">
        <is>
          <t>D 809</t>
        </is>
      </c>
      <c r="B373" s="29" t="n">
        <v>52</v>
      </c>
      <c r="C373" s="236" t="inlineStr">
        <is>
          <t>X</t>
        </is>
      </c>
      <c r="D373" s="29" t="n">
        <v>98</v>
      </c>
      <c r="E373" s="237">
        <f>B373*D373/10000</f>
        <v/>
      </c>
      <c r="F373" s="238">
        <f>B373/30.48</f>
        <v/>
      </c>
      <c r="G373" s="238">
        <f>D373/30.48</f>
        <v/>
      </c>
      <c r="H373" s="613" t="n"/>
      <c r="I373" s="273" t="n"/>
      <c r="J373" s="274" t="n"/>
      <c r="K373" s="275" t="n"/>
      <c r="L373" s="276" t="n"/>
      <c r="M373" s="270" t="n"/>
    </row>
    <row r="374" ht="18" customHeight="1" s="305">
      <c r="A374" s="28" t="inlineStr">
        <is>
          <t>D 810</t>
        </is>
      </c>
      <c r="B374" s="29" t="n">
        <v>45</v>
      </c>
      <c r="C374" s="236" t="inlineStr">
        <is>
          <t>X</t>
        </is>
      </c>
      <c r="D374" s="29" t="n">
        <v>93</v>
      </c>
      <c r="E374" s="237">
        <f>B374*D374/10000</f>
        <v/>
      </c>
      <c r="F374" s="238">
        <f>B374/30.48</f>
        <v/>
      </c>
      <c r="G374" s="238">
        <f>D374/30.48</f>
        <v/>
      </c>
      <c r="H374" s="613" t="n"/>
      <c r="I374" s="273" t="n"/>
      <c r="J374" s="274" t="n"/>
      <c r="K374" s="275" t="n"/>
      <c r="L374" s="276" t="n"/>
      <c r="M374" s="270" t="n"/>
    </row>
    <row r="375" ht="18" customHeight="1" s="305">
      <c r="A375" s="28" t="inlineStr">
        <is>
          <t>D 815</t>
        </is>
      </c>
      <c r="B375" s="29" t="n">
        <v>48</v>
      </c>
      <c r="C375" s="236" t="inlineStr">
        <is>
          <t>X</t>
        </is>
      </c>
      <c r="D375" s="29" t="n">
        <v>92</v>
      </c>
      <c r="E375" s="237">
        <f>B375*D375/10000</f>
        <v/>
      </c>
      <c r="F375" s="238">
        <f>B375/30.48</f>
        <v/>
      </c>
      <c r="G375" s="238">
        <f>D375/30.48</f>
        <v/>
      </c>
      <c r="H375" s="613" t="n"/>
      <c r="I375" s="273" t="n"/>
      <c r="J375" s="274" t="n"/>
      <c r="K375" s="275" t="n"/>
      <c r="L375" s="276" t="n"/>
      <c r="M375" s="270" t="n"/>
    </row>
    <row r="376" ht="18" customHeight="1" s="305">
      <c r="A376" s="28" t="inlineStr">
        <is>
          <t>D 817</t>
        </is>
      </c>
      <c r="B376" s="29" t="n">
        <v>52</v>
      </c>
      <c r="C376" s="236" t="inlineStr">
        <is>
          <t>X</t>
        </is>
      </c>
      <c r="D376" s="29" t="n">
        <v>87</v>
      </c>
      <c r="E376" s="237">
        <f>B376*D376/10000</f>
        <v/>
      </c>
      <c r="F376" s="238">
        <f>B376/30.48</f>
        <v/>
      </c>
      <c r="G376" s="238">
        <f>D376/30.48</f>
        <v/>
      </c>
      <c r="H376" s="613" t="n"/>
      <c r="I376" s="273" t="n"/>
      <c r="J376" s="274" t="n"/>
      <c r="K376" s="275" t="n"/>
      <c r="L376" s="276" t="n"/>
      <c r="M376" s="270" t="n"/>
    </row>
    <row r="377" ht="18" customHeight="1" s="305">
      <c r="A377" s="28" t="inlineStr">
        <is>
          <t>D 820</t>
        </is>
      </c>
      <c r="B377" s="29" t="n">
        <v>37</v>
      </c>
      <c r="C377" s="236" t="inlineStr">
        <is>
          <t>X</t>
        </is>
      </c>
      <c r="D377" s="29" t="n">
        <v>82</v>
      </c>
      <c r="E377" s="237">
        <f>B377*D377/10000</f>
        <v/>
      </c>
      <c r="F377" s="238">
        <f>B377/30.48</f>
        <v/>
      </c>
      <c r="G377" s="238">
        <f>D377/30.48</f>
        <v/>
      </c>
      <c r="H377" s="613" t="n"/>
      <c r="I377" s="273" t="n"/>
      <c r="J377" s="274" t="n"/>
      <c r="K377" s="275" t="n"/>
      <c r="L377" s="276" t="n"/>
      <c r="M377" s="270" t="n"/>
    </row>
    <row r="378" ht="18" customHeight="1" s="305">
      <c r="A378" s="28" t="inlineStr">
        <is>
          <t>D 822</t>
        </is>
      </c>
      <c r="B378" s="29" t="n">
        <v>37</v>
      </c>
      <c r="C378" s="236" t="inlineStr">
        <is>
          <t>X</t>
        </is>
      </c>
      <c r="D378" s="29" t="n">
        <v>101</v>
      </c>
      <c r="E378" s="237">
        <f>B378*D378/10000</f>
        <v/>
      </c>
      <c r="F378" s="238">
        <f>B378/30.48</f>
        <v/>
      </c>
      <c r="G378" s="238">
        <f>D378/30.48</f>
        <v/>
      </c>
      <c r="H378" s="613" t="n"/>
      <c r="I378" s="273" t="n"/>
      <c r="J378" s="274" t="n"/>
      <c r="K378" s="275" t="n"/>
      <c r="L378" s="276" t="n"/>
      <c r="M378" s="270" t="n"/>
    </row>
    <row r="379" ht="18" customHeight="1" s="305">
      <c r="A379" s="28" t="inlineStr">
        <is>
          <t>D 823</t>
        </is>
      </c>
      <c r="B379" s="29" t="n">
        <v>46</v>
      </c>
      <c r="C379" s="236" t="inlineStr">
        <is>
          <t>X</t>
        </is>
      </c>
      <c r="D379" s="29" t="n">
        <v>84</v>
      </c>
      <c r="E379" s="237">
        <f>B379*D379/10000</f>
        <v/>
      </c>
      <c r="F379" s="238">
        <f>B379/30.48</f>
        <v/>
      </c>
      <c r="G379" s="238">
        <f>D379/30.48</f>
        <v/>
      </c>
      <c r="H379" s="613" t="n"/>
      <c r="I379" s="273" t="n"/>
      <c r="J379" s="274" t="n"/>
      <c r="K379" s="275" t="n"/>
      <c r="L379" s="276" t="n"/>
      <c r="M379" s="270" t="n"/>
    </row>
    <row r="380" ht="18" customHeight="1" s="305">
      <c r="A380" s="28" t="inlineStr">
        <is>
          <t>D 825</t>
        </is>
      </c>
      <c r="B380" s="29" t="n">
        <v>56</v>
      </c>
      <c r="C380" s="236" t="inlineStr">
        <is>
          <t>X</t>
        </is>
      </c>
      <c r="D380" s="29" t="n">
        <v>97</v>
      </c>
      <c r="E380" s="237">
        <f>B380*D380/10000</f>
        <v/>
      </c>
      <c r="F380" s="238">
        <f>B380/30.48</f>
        <v/>
      </c>
      <c r="G380" s="238">
        <f>D380/30.48</f>
        <v/>
      </c>
      <c r="H380" s="613" t="n"/>
      <c r="I380" s="273" t="n"/>
      <c r="J380" s="274" t="n"/>
      <c r="K380" s="275" t="n"/>
      <c r="L380" s="276" t="n"/>
      <c r="M380" s="270" t="n"/>
    </row>
    <row r="381" ht="18" customHeight="1" s="305">
      <c r="A381" s="28" t="inlineStr">
        <is>
          <t>D 826</t>
        </is>
      </c>
      <c r="B381" s="29" t="n">
        <v>55</v>
      </c>
      <c r="C381" s="236" t="inlineStr">
        <is>
          <t>X</t>
        </is>
      </c>
      <c r="D381" s="29" t="n">
        <v>87</v>
      </c>
      <c r="E381" s="237">
        <f>B381*D381/10000</f>
        <v/>
      </c>
      <c r="F381" s="238">
        <f>B381/30.48</f>
        <v/>
      </c>
      <c r="G381" s="238">
        <f>D381/30.48</f>
        <v/>
      </c>
      <c r="H381" s="613" t="n"/>
      <c r="I381" s="273" t="n"/>
      <c r="J381" s="274" t="n"/>
      <c r="K381" s="275" t="n"/>
      <c r="L381" s="276" t="n"/>
      <c r="M381" s="270" t="n"/>
    </row>
    <row r="382" ht="18" customHeight="1" s="305">
      <c r="A382" s="28" t="inlineStr">
        <is>
          <t>D 827</t>
        </is>
      </c>
      <c r="B382" s="29" t="n">
        <v>49</v>
      </c>
      <c r="C382" s="236" t="inlineStr">
        <is>
          <t>X</t>
        </is>
      </c>
      <c r="D382" s="29" t="n">
        <v>90</v>
      </c>
      <c r="E382" s="237">
        <f>B382*D382/10000</f>
        <v/>
      </c>
      <c r="F382" s="238">
        <f>B382/30.48</f>
        <v/>
      </c>
      <c r="G382" s="238">
        <f>D382/30.48</f>
        <v/>
      </c>
      <c r="H382" s="613" t="n"/>
      <c r="I382" s="273" t="n"/>
      <c r="J382" s="274" t="n"/>
      <c r="K382" s="275" t="n"/>
      <c r="L382" s="276" t="n"/>
      <c r="M382" s="270" t="n"/>
    </row>
    <row r="383" ht="18" customHeight="1" s="305">
      <c r="A383" s="28" t="inlineStr">
        <is>
          <t>D 829</t>
        </is>
      </c>
      <c r="B383" s="29" t="n">
        <v>41</v>
      </c>
      <c r="C383" s="236" t="inlineStr">
        <is>
          <t>X</t>
        </is>
      </c>
      <c r="D383" s="29" t="n">
        <v>78</v>
      </c>
      <c r="E383" s="237">
        <f>B383*D383/10000</f>
        <v/>
      </c>
      <c r="F383" s="238">
        <f>B383/30.48</f>
        <v/>
      </c>
      <c r="G383" s="238">
        <f>D383/30.48</f>
        <v/>
      </c>
      <c r="H383" s="613" t="n"/>
      <c r="I383" s="273" t="n"/>
      <c r="J383" s="274" t="n"/>
      <c r="K383" s="275" t="n"/>
      <c r="L383" s="276" t="n"/>
      <c r="M383" s="270" t="n"/>
    </row>
    <row r="384" ht="18" customHeight="1" s="305">
      <c r="A384" s="28" t="inlineStr">
        <is>
          <t>D 830</t>
        </is>
      </c>
      <c r="B384" s="29" t="n">
        <v>48</v>
      </c>
      <c r="C384" s="236" t="inlineStr">
        <is>
          <t>X</t>
        </is>
      </c>
      <c r="D384" s="29" t="n">
        <v>90</v>
      </c>
      <c r="E384" s="237">
        <f>B384*D384/10000</f>
        <v/>
      </c>
      <c r="F384" s="238">
        <f>B384/30.48</f>
        <v/>
      </c>
      <c r="G384" s="238">
        <f>D384/30.48</f>
        <v/>
      </c>
      <c r="H384" s="613" t="n"/>
      <c r="I384" s="273" t="n"/>
      <c r="J384" s="274" t="n"/>
      <c r="K384" s="275" t="n"/>
      <c r="L384" s="276" t="n"/>
      <c r="M384" s="270" t="n"/>
    </row>
    <row r="385" ht="18" customHeight="1" s="305">
      <c r="A385" s="28" t="inlineStr">
        <is>
          <t>D 831</t>
        </is>
      </c>
      <c r="B385" s="29" t="n">
        <v>43</v>
      </c>
      <c r="C385" s="236" t="inlineStr">
        <is>
          <t>X</t>
        </is>
      </c>
      <c r="D385" s="29" t="n">
        <v>110</v>
      </c>
      <c r="E385" s="237">
        <f>B385*D385/10000</f>
        <v/>
      </c>
      <c r="F385" s="238">
        <f>B385/30.48</f>
        <v/>
      </c>
      <c r="G385" s="238">
        <f>D385/30.48</f>
        <v/>
      </c>
      <c r="H385" s="613" t="n"/>
      <c r="I385" s="273" t="n"/>
      <c r="J385" s="274" t="n"/>
      <c r="K385" s="275" t="n"/>
      <c r="L385" s="276" t="n"/>
      <c r="M385" s="270" t="n"/>
    </row>
    <row r="386" ht="18" customHeight="1" s="305">
      <c r="A386" s="28" t="inlineStr">
        <is>
          <t>D 832</t>
        </is>
      </c>
      <c r="B386" s="29" t="n">
        <v>52</v>
      </c>
      <c r="C386" s="236" t="inlineStr">
        <is>
          <t>X</t>
        </is>
      </c>
      <c r="D386" s="29" t="n">
        <v>109</v>
      </c>
      <c r="E386" s="237">
        <f>B386*D386/10000</f>
        <v/>
      </c>
      <c r="F386" s="238">
        <f>B386/30.48</f>
        <v/>
      </c>
      <c r="G386" s="238">
        <f>D386/30.48</f>
        <v/>
      </c>
      <c r="H386" s="613" t="n"/>
      <c r="I386" s="273" t="n"/>
      <c r="J386" s="274" t="n"/>
      <c r="K386" s="275" t="n"/>
      <c r="L386" s="276" t="n"/>
      <c r="M386" s="270" t="n"/>
    </row>
    <row r="387" ht="18" customHeight="1" s="305">
      <c r="A387" s="28" t="inlineStr">
        <is>
          <t>D 834</t>
        </is>
      </c>
      <c r="B387" s="29" t="n">
        <v>50</v>
      </c>
      <c r="C387" s="236" t="inlineStr">
        <is>
          <t>X</t>
        </is>
      </c>
      <c r="D387" s="29" t="n">
        <v>99</v>
      </c>
      <c r="E387" s="237">
        <f>B387*D387/10000</f>
        <v/>
      </c>
      <c r="F387" s="238">
        <f>B387/30.48</f>
        <v/>
      </c>
      <c r="G387" s="238">
        <f>D387/30.48</f>
        <v/>
      </c>
      <c r="H387" s="613" t="n"/>
      <c r="I387" s="273" t="n"/>
      <c r="J387" s="274" t="n"/>
      <c r="K387" s="275" t="n"/>
      <c r="L387" s="276" t="n"/>
      <c r="M387" s="270" t="n"/>
    </row>
    <row r="388" ht="18" customHeight="1" s="305">
      <c r="A388" s="28" t="inlineStr">
        <is>
          <t>D 836</t>
        </is>
      </c>
      <c r="B388" s="29" t="n">
        <v>56</v>
      </c>
      <c r="C388" s="236" t="inlineStr">
        <is>
          <t>X</t>
        </is>
      </c>
      <c r="D388" s="29" t="n">
        <v>100</v>
      </c>
      <c r="E388" s="237">
        <f>B388*D388/10000</f>
        <v/>
      </c>
      <c r="F388" s="238">
        <f>B388/30.48</f>
        <v/>
      </c>
      <c r="G388" s="238">
        <f>D388/30.48</f>
        <v/>
      </c>
      <c r="H388" s="613" t="n"/>
      <c r="I388" s="273" t="n"/>
      <c r="J388" s="274" t="n"/>
      <c r="K388" s="275" t="n"/>
      <c r="L388" s="276" t="n"/>
      <c r="M388" s="270" t="n"/>
    </row>
    <row r="389" ht="18" customHeight="1" s="305">
      <c r="A389" s="28" t="inlineStr">
        <is>
          <t>D 837</t>
        </is>
      </c>
      <c r="B389" s="29" t="n">
        <v>42</v>
      </c>
      <c r="C389" s="236" t="inlineStr">
        <is>
          <t>X</t>
        </is>
      </c>
      <c r="D389" s="29" t="n">
        <v>78</v>
      </c>
      <c r="E389" s="237">
        <f>B389*D389/10000</f>
        <v/>
      </c>
      <c r="F389" s="238">
        <f>B389/30.48</f>
        <v/>
      </c>
      <c r="G389" s="238">
        <f>D389/30.48</f>
        <v/>
      </c>
      <c r="H389" s="613" t="n"/>
      <c r="I389" s="273" t="n"/>
      <c r="J389" s="274" t="n"/>
      <c r="K389" s="275" t="n"/>
      <c r="L389" s="276" t="n"/>
      <c r="M389" s="270" t="n"/>
    </row>
    <row r="390" ht="18" customHeight="1" s="305">
      <c r="A390" s="28" t="inlineStr">
        <is>
          <t>D 839</t>
        </is>
      </c>
      <c r="B390" s="29" t="n">
        <v>49</v>
      </c>
      <c r="C390" s="236" t="inlineStr">
        <is>
          <t>X</t>
        </is>
      </c>
      <c r="D390" s="29" t="n">
        <v>101</v>
      </c>
      <c r="E390" s="237">
        <f>B390*D390/10000</f>
        <v/>
      </c>
      <c r="F390" s="238">
        <f>B390/30.48</f>
        <v/>
      </c>
      <c r="G390" s="238">
        <f>D390/30.48</f>
        <v/>
      </c>
      <c r="H390" s="613" t="n"/>
      <c r="I390" s="273" t="n"/>
      <c r="J390" s="274" t="n"/>
      <c r="K390" s="275" t="n"/>
      <c r="L390" s="276" t="n"/>
      <c r="M390" s="270" t="n"/>
    </row>
    <row r="391" ht="18" customHeight="1" s="305">
      <c r="A391" s="28" t="inlineStr">
        <is>
          <t>D 842</t>
        </is>
      </c>
      <c r="B391" s="29" t="n">
        <v>44</v>
      </c>
      <c r="C391" s="236" t="inlineStr">
        <is>
          <t>X</t>
        </is>
      </c>
      <c r="D391" s="29" t="n">
        <v>74</v>
      </c>
      <c r="E391" s="237">
        <f>B391*D391/10000</f>
        <v/>
      </c>
      <c r="F391" s="238">
        <f>B391/30.48</f>
        <v/>
      </c>
      <c r="G391" s="238">
        <f>D391/30.48</f>
        <v/>
      </c>
      <c r="H391" s="613" t="n"/>
      <c r="I391" s="273" t="n"/>
      <c r="J391" s="274" t="n"/>
      <c r="K391" s="275" t="n"/>
      <c r="L391" s="276" t="n"/>
      <c r="M391" s="270" t="n"/>
    </row>
    <row r="392" ht="18" customHeight="1" s="305">
      <c r="A392" s="28" t="inlineStr">
        <is>
          <t>D 843</t>
        </is>
      </c>
      <c r="B392" s="29" t="n">
        <v>45</v>
      </c>
      <c r="C392" s="236" t="inlineStr">
        <is>
          <t>X</t>
        </is>
      </c>
      <c r="D392" s="29" t="n">
        <v>92</v>
      </c>
      <c r="E392" s="237">
        <f>B392*D392/10000</f>
        <v/>
      </c>
      <c r="F392" s="238">
        <f>B392/30.48</f>
        <v/>
      </c>
      <c r="G392" s="238">
        <f>D392/30.48</f>
        <v/>
      </c>
      <c r="H392" s="613" t="n"/>
      <c r="I392" s="273" t="n"/>
      <c r="J392" s="274" t="n"/>
      <c r="K392" s="275" t="n"/>
      <c r="L392" s="276" t="n"/>
      <c r="M392" s="270" t="n"/>
    </row>
    <row r="393" ht="18" customHeight="1" s="305">
      <c r="A393" s="28" t="inlineStr">
        <is>
          <t>D 844</t>
        </is>
      </c>
      <c r="B393" s="29" t="n">
        <v>43</v>
      </c>
      <c r="C393" s="236" t="inlineStr">
        <is>
          <t>X</t>
        </is>
      </c>
      <c r="D393" s="29" t="n">
        <v>78</v>
      </c>
      <c r="E393" s="237">
        <f>B393*D393/10000</f>
        <v/>
      </c>
      <c r="F393" s="238">
        <f>B393/30.48</f>
        <v/>
      </c>
      <c r="G393" s="238">
        <f>D393/30.48</f>
        <v/>
      </c>
      <c r="H393" s="613" t="n"/>
      <c r="I393" s="273" t="n"/>
      <c r="J393" s="274" t="n"/>
      <c r="K393" s="275" t="n"/>
      <c r="L393" s="276" t="n"/>
      <c r="M393" s="270" t="n"/>
    </row>
    <row r="394" ht="18" customHeight="1" s="305">
      <c r="A394" s="28" t="inlineStr">
        <is>
          <t>D 845</t>
        </is>
      </c>
      <c r="B394" s="29" t="n">
        <v>50</v>
      </c>
      <c r="C394" s="236" t="inlineStr">
        <is>
          <t>X</t>
        </is>
      </c>
      <c r="D394" s="29" t="n">
        <v>74</v>
      </c>
      <c r="E394" s="237">
        <f>B394*D394/10000</f>
        <v/>
      </c>
      <c r="F394" s="238">
        <f>B394/30.48</f>
        <v/>
      </c>
      <c r="G394" s="238">
        <f>D394/30.48</f>
        <v/>
      </c>
      <c r="H394" s="613" t="n"/>
      <c r="I394" s="273" t="n"/>
      <c r="J394" s="274" t="n"/>
      <c r="K394" s="275" t="n"/>
      <c r="L394" s="276" t="n"/>
      <c r="M394" s="270" t="n"/>
    </row>
    <row r="395" ht="18" customHeight="1" s="305">
      <c r="A395" s="28" t="inlineStr">
        <is>
          <t>D 846</t>
        </is>
      </c>
      <c r="B395" s="29" t="n">
        <v>55</v>
      </c>
      <c r="C395" s="236" t="inlineStr">
        <is>
          <t>X</t>
        </is>
      </c>
      <c r="D395" s="29" t="n">
        <v>87</v>
      </c>
      <c r="E395" s="237">
        <f>B395*D395/10000</f>
        <v/>
      </c>
      <c r="F395" s="238">
        <f>B395/30.48</f>
        <v/>
      </c>
      <c r="G395" s="238">
        <f>D395/30.48</f>
        <v/>
      </c>
      <c r="H395" s="613" t="n"/>
      <c r="I395" s="273" t="n"/>
      <c r="J395" s="274" t="n"/>
      <c r="K395" s="275" t="n"/>
      <c r="L395" s="276" t="n"/>
      <c r="M395" s="270" t="n"/>
    </row>
    <row r="396" ht="18" customHeight="1" s="305">
      <c r="A396" s="28" t="inlineStr">
        <is>
          <t>D 847</t>
        </is>
      </c>
      <c r="B396" s="29" t="n">
        <v>48</v>
      </c>
      <c r="C396" s="236" t="inlineStr">
        <is>
          <t>X</t>
        </is>
      </c>
      <c r="D396" s="29" t="n">
        <v>107</v>
      </c>
      <c r="E396" s="237">
        <f>B396*D396/10000</f>
        <v/>
      </c>
      <c r="F396" s="238">
        <f>B396/30.48</f>
        <v/>
      </c>
      <c r="G396" s="238">
        <f>D396/30.48</f>
        <v/>
      </c>
      <c r="H396" s="613" t="n"/>
      <c r="I396" s="273" t="n"/>
      <c r="J396" s="274" t="n"/>
      <c r="K396" s="275" t="n"/>
      <c r="L396" s="276" t="n"/>
      <c r="M396" s="270" t="n"/>
    </row>
    <row r="397" ht="18" customHeight="1" s="305">
      <c r="A397" s="28" t="inlineStr">
        <is>
          <t>D 848</t>
        </is>
      </c>
      <c r="B397" s="29" t="n">
        <v>42</v>
      </c>
      <c r="C397" s="236" t="inlineStr">
        <is>
          <t>X</t>
        </is>
      </c>
      <c r="D397" s="29" t="n">
        <v>91</v>
      </c>
      <c r="E397" s="237">
        <f>B397*D397/10000</f>
        <v/>
      </c>
      <c r="F397" s="238">
        <f>B397/30.48</f>
        <v/>
      </c>
      <c r="G397" s="238">
        <f>D397/30.48</f>
        <v/>
      </c>
      <c r="H397" s="613" t="n"/>
      <c r="I397" s="273" t="n"/>
      <c r="J397" s="274" t="n"/>
      <c r="K397" s="275" t="n"/>
      <c r="L397" s="276" t="n"/>
      <c r="M397" s="270" t="n"/>
    </row>
    <row r="398" ht="18" customHeight="1" s="305">
      <c r="A398" s="28" t="inlineStr">
        <is>
          <t>D 849</t>
        </is>
      </c>
      <c r="B398" s="29" t="n">
        <v>51</v>
      </c>
      <c r="C398" s="236" t="inlineStr">
        <is>
          <t>X</t>
        </is>
      </c>
      <c r="D398" s="29" t="n">
        <v>91</v>
      </c>
      <c r="E398" s="237">
        <f>B398*D398/10000</f>
        <v/>
      </c>
      <c r="F398" s="238">
        <f>B398/30.48</f>
        <v/>
      </c>
      <c r="G398" s="238">
        <f>D398/30.48</f>
        <v/>
      </c>
      <c r="H398" s="613" t="n"/>
      <c r="I398" s="273" t="n"/>
      <c r="J398" s="274" t="n"/>
      <c r="K398" s="275" t="n"/>
      <c r="L398" s="276" t="n"/>
      <c r="M398" s="270" t="n"/>
    </row>
    <row r="399" ht="18" customHeight="1" s="305">
      <c r="A399" s="28" t="inlineStr">
        <is>
          <t>D 850</t>
        </is>
      </c>
      <c r="B399" s="29" t="n">
        <v>44</v>
      </c>
      <c r="C399" s="236" t="inlineStr">
        <is>
          <t>X</t>
        </is>
      </c>
      <c r="D399" s="29" t="n">
        <v>99</v>
      </c>
      <c r="E399" s="237">
        <f>B399*D399/10000</f>
        <v/>
      </c>
      <c r="F399" s="238">
        <f>B399/30.48</f>
        <v/>
      </c>
      <c r="G399" s="238">
        <f>D399/30.48</f>
        <v/>
      </c>
      <c r="H399" s="613" t="n"/>
      <c r="I399" s="273" t="n"/>
      <c r="J399" s="274" t="n"/>
      <c r="K399" s="275" t="n"/>
      <c r="L399" s="276" t="n"/>
      <c r="M399" s="270" t="n"/>
    </row>
    <row r="400" ht="18" customHeight="1" s="305">
      <c r="A400" s="28" t="inlineStr">
        <is>
          <t>D 852</t>
        </is>
      </c>
      <c r="B400" s="29" t="n">
        <v>51</v>
      </c>
      <c r="C400" s="236" t="inlineStr">
        <is>
          <t>X</t>
        </is>
      </c>
      <c r="D400" s="29" t="n">
        <v>103</v>
      </c>
      <c r="E400" s="237">
        <f>B400*D400/10000</f>
        <v/>
      </c>
      <c r="F400" s="238">
        <f>B400/30.48</f>
        <v/>
      </c>
      <c r="G400" s="238">
        <f>D400/30.48</f>
        <v/>
      </c>
      <c r="H400" s="613" t="n"/>
      <c r="I400" s="273" t="n"/>
      <c r="J400" s="274" t="n"/>
      <c r="K400" s="275" t="n"/>
      <c r="L400" s="276" t="n"/>
      <c r="M400" s="270" t="n"/>
    </row>
    <row r="401" ht="18" customHeight="1" s="305">
      <c r="A401" s="28" t="inlineStr">
        <is>
          <t>D 853</t>
        </is>
      </c>
      <c r="B401" s="29" t="n">
        <v>52</v>
      </c>
      <c r="C401" s="236" t="inlineStr">
        <is>
          <t>X</t>
        </is>
      </c>
      <c r="D401" s="29" t="n">
        <v>80</v>
      </c>
      <c r="E401" s="237">
        <f>B401*D401/10000</f>
        <v/>
      </c>
      <c r="F401" s="238">
        <f>B401/30.48</f>
        <v/>
      </c>
      <c r="G401" s="238">
        <f>D401/30.48</f>
        <v/>
      </c>
      <c r="H401" s="613" t="n"/>
      <c r="I401" s="273" t="n"/>
      <c r="J401" s="274" t="n"/>
      <c r="K401" s="275" t="n"/>
      <c r="L401" s="276" t="n"/>
      <c r="M401" s="270" t="n"/>
    </row>
    <row r="402" ht="18" customHeight="1" s="305">
      <c r="A402" s="28" t="inlineStr">
        <is>
          <t>D 854</t>
        </is>
      </c>
      <c r="B402" s="29" t="n">
        <v>48</v>
      </c>
      <c r="C402" s="236" t="inlineStr">
        <is>
          <t>X</t>
        </is>
      </c>
      <c r="D402" s="29" t="n">
        <v>96</v>
      </c>
      <c r="E402" s="237">
        <f>B402*D402/10000</f>
        <v/>
      </c>
      <c r="F402" s="238">
        <f>B402/30.48</f>
        <v/>
      </c>
      <c r="G402" s="238">
        <f>D402/30.48</f>
        <v/>
      </c>
      <c r="H402" s="613" t="n"/>
      <c r="I402" s="273" t="n"/>
      <c r="J402" s="274" t="n"/>
      <c r="K402" s="275" t="n"/>
      <c r="L402" s="276" t="n"/>
      <c r="M402" s="270" t="n"/>
    </row>
    <row r="403" ht="18" customHeight="1" s="305">
      <c r="A403" s="28" t="inlineStr">
        <is>
          <t>D 855</t>
        </is>
      </c>
      <c r="B403" s="29" t="n">
        <v>56</v>
      </c>
      <c r="C403" s="236" t="inlineStr">
        <is>
          <t>X</t>
        </is>
      </c>
      <c r="D403" s="29" t="n">
        <v>88</v>
      </c>
      <c r="E403" s="237">
        <f>B403*D403/10000</f>
        <v/>
      </c>
      <c r="F403" s="238">
        <f>B403/30.48</f>
        <v/>
      </c>
      <c r="G403" s="238">
        <f>D403/30.48</f>
        <v/>
      </c>
      <c r="H403" s="613" t="n"/>
      <c r="I403" s="273" t="n"/>
      <c r="J403" s="274" t="n"/>
      <c r="K403" s="275" t="n"/>
      <c r="L403" s="276" t="n"/>
      <c r="M403" s="270" t="n"/>
    </row>
    <row r="404" ht="18" customHeight="1" s="305">
      <c r="A404" s="28" t="inlineStr">
        <is>
          <t>D 857</t>
        </is>
      </c>
      <c r="B404" s="29" t="n">
        <v>52</v>
      </c>
      <c r="C404" s="236" t="inlineStr">
        <is>
          <t>X</t>
        </is>
      </c>
      <c r="D404" s="29" t="n">
        <v>108</v>
      </c>
      <c r="E404" s="237">
        <f>B404*D404/10000</f>
        <v/>
      </c>
      <c r="F404" s="238">
        <f>B404/30.48</f>
        <v/>
      </c>
      <c r="G404" s="238">
        <f>D404/30.48</f>
        <v/>
      </c>
      <c r="H404" s="613" t="n"/>
      <c r="I404" s="273" t="n"/>
      <c r="J404" s="274" t="n"/>
      <c r="K404" s="275" t="n"/>
      <c r="L404" s="276" t="n"/>
      <c r="M404" s="270" t="n"/>
    </row>
    <row r="405" ht="18" customHeight="1" s="305">
      <c r="A405" s="28" t="inlineStr">
        <is>
          <t>D 858</t>
        </is>
      </c>
      <c r="B405" s="29" t="n">
        <v>49</v>
      </c>
      <c r="C405" s="236" t="inlineStr">
        <is>
          <t>X</t>
        </is>
      </c>
      <c r="D405" s="29" t="n">
        <v>94</v>
      </c>
      <c r="E405" s="237">
        <f>B405*D405/10000</f>
        <v/>
      </c>
      <c r="F405" s="238">
        <f>B405/30.48</f>
        <v/>
      </c>
      <c r="G405" s="238">
        <f>D405/30.48</f>
        <v/>
      </c>
      <c r="H405" s="613" t="n"/>
      <c r="I405" s="273" t="n"/>
      <c r="J405" s="274" t="n"/>
      <c r="K405" s="275" t="n"/>
      <c r="L405" s="276" t="n"/>
      <c r="M405" s="270" t="n"/>
    </row>
    <row r="406" ht="18" customHeight="1" s="305">
      <c r="A406" s="28" t="inlineStr">
        <is>
          <t>D 859</t>
        </is>
      </c>
      <c r="B406" s="29" t="n">
        <v>50</v>
      </c>
      <c r="C406" s="236" t="inlineStr">
        <is>
          <t>X</t>
        </is>
      </c>
      <c r="D406" s="29" t="n">
        <v>84</v>
      </c>
      <c r="E406" s="237">
        <f>B406*D406/10000</f>
        <v/>
      </c>
      <c r="F406" s="238">
        <f>B406/30.48</f>
        <v/>
      </c>
      <c r="G406" s="238">
        <f>D406/30.48</f>
        <v/>
      </c>
      <c r="H406" s="613" t="n"/>
      <c r="I406" s="273" t="n"/>
      <c r="J406" s="274" t="n"/>
      <c r="K406" s="275" t="n"/>
      <c r="L406" s="276" t="n"/>
      <c r="M406" s="270" t="n"/>
    </row>
    <row r="407" ht="18" customHeight="1" s="305">
      <c r="A407" s="28" t="inlineStr">
        <is>
          <t>D 862</t>
        </is>
      </c>
      <c r="B407" s="29" t="n">
        <v>49</v>
      </c>
      <c r="C407" s="236" t="inlineStr">
        <is>
          <t>X</t>
        </is>
      </c>
      <c r="D407" s="29" t="n">
        <v>104</v>
      </c>
      <c r="E407" s="237">
        <f>B407*D407/10000</f>
        <v/>
      </c>
      <c r="F407" s="238">
        <f>B407/30.48</f>
        <v/>
      </c>
      <c r="G407" s="238">
        <f>D407/30.48</f>
        <v/>
      </c>
      <c r="H407" s="613" t="n"/>
      <c r="I407" s="273" t="n"/>
      <c r="J407" s="274" t="n"/>
      <c r="K407" s="275" t="n"/>
      <c r="L407" s="276" t="n"/>
      <c r="M407" s="270" t="n"/>
    </row>
    <row r="408" ht="18" customHeight="1" s="305">
      <c r="A408" s="28" t="inlineStr">
        <is>
          <t>D 863</t>
        </is>
      </c>
      <c r="B408" s="29" t="n">
        <v>47</v>
      </c>
      <c r="C408" s="236" t="inlineStr">
        <is>
          <t>X</t>
        </is>
      </c>
      <c r="D408" s="29" t="n">
        <v>80</v>
      </c>
      <c r="E408" s="237">
        <f>B408*D408/10000</f>
        <v/>
      </c>
      <c r="F408" s="238">
        <f>B408/30.48</f>
        <v/>
      </c>
      <c r="G408" s="238">
        <f>D408/30.48</f>
        <v/>
      </c>
      <c r="H408" s="613" t="n"/>
      <c r="I408" s="273" t="n"/>
      <c r="J408" s="274" t="n"/>
      <c r="K408" s="275" t="n"/>
      <c r="L408" s="276" t="n"/>
      <c r="M408" s="270" t="n"/>
    </row>
    <row r="409" ht="18" customHeight="1" s="305">
      <c r="A409" s="28" t="inlineStr">
        <is>
          <t>D 864</t>
        </is>
      </c>
      <c r="B409" s="29" t="n">
        <v>54</v>
      </c>
      <c r="C409" s="236" t="inlineStr">
        <is>
          <t>X</t>
        </is>
      </c>
      <c r="D409" s="29" t="n">
        <v>101</v>
      </c>
      <c r="E409" s="237">
        <f>B409*D409/10000</f>
        <v/>
      </c>
      <c r="F409" s="238">
        <f>B409/30.48</f>
        <v/>
      </c>
      <c r="G409" s="238">
        <f>D409/30.48</f>
        <v/>
      </c>
      <c r="H409" s="613" t="n"/>
      <c r="I409" s="273" t="n"/>
      <c r="J409" s="274" t="n"/>
      <c r="K409" s="275" t="n"/>
      <c r="L409" s="276" t="n"/>
      <c r="M409" s="270" t="n"/>
    </row>
    <row r="410" ht="18" customHeight="1" s="305">
      <c r="A410" s="28" t="inlineStr">
        <is>
          <t>D 865</t>
        </is>
      </c>
      <c r="B410" s="29" t="n">
        <v>51</v>
      </c>
      <c r="C410" s="236" t="inlineStr">
        <is>
          <t>X</t>
        </is>
      </c>
      <c r="D410" s="29" t="n">
        <v>109</v>
      </c>
      <c r="E410" s="237">
        <f>B410*D410/10000</f>
        <v/>
      </c>
      <c r="F410" s="238">
        <f>B410/30.48</f>
        <v/>
      </c>
      <c r="G410" s="238">
        <f>D410/30.48</f>
        <v/>
      </c>
      <c r="H410" s="613" t="n"/>
      <c r="I410" s="273" t="n"/>
      <c r="J410" s="274" t="n"/>
      <c r="K410" s="275" t="n"/>
      <c r="L410" s="276" t="n"/>
      <c r="M410" s="270" t="n"/>
    </row>
    <row r="411" ht="18" customHeight="1" s="305">
      <c r="A411" s="28" t="inlineStr">
        <is>
          <t>D 866</t>
        </is>
      </c>
      <c r="B411" s="29" t="n">
        <v>47</v>
      </c>
      <c r="C411" s="236" t="inlineStr">
        <is>
          <t>X</t>
        </is>
      </c>
      <c r="D411" s="29" t="n">
        <v>86</v>
      </c>
      <c r="E411" s="237">
        <f>B411*D411/10000</f>
        <v/>
      </c>
      <c r="F411" s="238">
        <f>B411/30.48</f>
        <v/>
      </c>
      <c r="G411" s="238">
        <f>D411/30.48</f>
        <v/>
      </c>
      <c r="H411" s="613" t="n"/>
      <c r="I411" s="273" t="n"/>
      <c r="J411" s="274" t="n"/>
      <c r="K411" s="275" t="n"/>
      <c r="L411" s="276" t="n"/>
      <c r="M411" s="270" t="n"/>
    </row>
    <row r="412" ht="18" customHeight="1" s="305">
      <c r="A412" s="28" t="inlineStr">
        <is>
          <t>D 867</t>
        </is>
      </c>
      <c r="B412" s="29" t="n">
        <v>43</v>
      </c>
      <c r="C412" s="236" t="inlineStr">
        <is>
          <t>X</t>
        </is>
      </c>
      <c r="D412" s="29" t="n">
        <v>75</v>
      </c>
      <c r="E412" s="237">
        <f>B412*D412/10000</f>
        <v/>
      </c>
      <c r="F412" s="238">
        <f>B412/30.48</f>
        <v/>
      </c>
      <c r="G412" s="238">
        <f>D412/30.48</f>
        <v/>
      </c>
      <c r="H412" s="613" t="n"/>
      <c r="I412" s="273" t="n"/>
      <c r="J412" s="274" t="n"/>
      <c r="K412" s="275" t="n"/>
      <c r="L412" s="276" t="n"/>
      <c r="M412" s="270" t="n"/>
    </row>
    <row r="413" ht="18" customHeight="1" s="305">
      <c r="A413" s="28" t="inlineStr">
        <is>
          <t>D 868</t>
        </is>
      </c>
      <c r="B413" s="29" t="n">
        <v>51</v>
      </c>
      <c r="C413" s="236" t="inlineStr">
        <is>
          <t>X</t>
        </is>
      </c>
      <c r="D413" s="29" t="n">
        <v>97</v>
      </c>
      <c r="E413" s="237">
        <f>B413*D413/10000</f>
        <v/>
      </c>
      <c r="F413" s="238">
        <f>B413/30.48</f>
        <v/>
      </c>
      <c r="G413" s="238">
        <f>D413/30.48</f>
        <v/>
      </c>
      <c r="H413" s="613" t="n"/>
      <c r="I413" s="273" t="n"/>
      <c r="J413" s="274" t="n"/>
      <c r="K413" s="275" t="n"/>
      <c r="L413" s="276" t="n"/>
      <c r="M413" s="270" t="n"/>
    </row>
    <row r="414" ht="18" customHeight="1" s="305">
      <c r="A414" s="28" t="inlineStr">
        <is>
          <t>D 869</t>
        </is>
      </c>
      <c r="B414" s="29" t="n">
        <v>91</v>
      </c>
      <c r="C414" s="236" t="inlineStr">
        <is>
          <t>X</t>
        </is>
      </c>
      <c r="D414" s="29" t="n">
        <v>39</v>
      </c>
      <c r="E414" s="237">
        <f>B414*D414/10000</f>
        <v/>
      </c>
      <c r="F414" s="238">
        <f>B414/30.48</f>
        <v/>
      </c>
      <c r="G414" s="238">
        <f>D414/30.48</f>
        <v/>
      </c>
      <c r="H414" s="613" t="n"/>
      <c r="I414" s="273" t="n"/>
      <c r="J414" s="274" t="n"/>
      <c r="K414" s="275" t="n"/>
      <c r="L414" s="276" t="n"/>
      <c r="M414" s="270" t="n"/>
    </row>
    <row r="415" ht="18" customHeight="1" s="305">
      <c r="A415" s="28" t="inlineStr">
        <is>
          <t>D 870</t>
        </is>
      </c>
      <c r="B415" s="29" t="n">
        <v>54</v>
      </c>
      <c r="C415" s="236" t="inlineStr">
        <is>
          <t>X</t>
        </is>
      </c>
      <c r="D415" s="29" t="n">
        <v>94</v>
      </c>
      <c r="E415" s="237">
        <f>B415*D415/10000</f>
        <v/>
      </c>
      <c r="F415" s="238">
        <f>B415/30.48</f>
        <v/>
      </c>
      <c r="G415" s="238">
        <f>D415/30.48</f>
        <v/>
      </c>
      <c r="H415" s="613" t="n"/>
      <c r="I415" s="273" t="n"/>
      <c r="J415" s="274" t="n"/>
      <c r="K415" s="275" t="n"/>
      <c r="L415" s="276" t="n"/>
      <c r="M415" s="270" t="n"/>
    </row>
    <row r="416" ht="18" customHeight="1" s="305">
      <c r="A416" s="28" t="inlineStr">
        <is>
          <t>D 871</t>
        </is>
      </c>
      <c r="B416" s="29" t="n">
        <v>41</v>
      </c>
      <c r="C416" s="236" t="inlineStr">
        <is>
          <t>X</t>
        </is>
      </c>
      <c r="D416" s="29" t="n">
        <v>87</v>
      </c>
      <c r="E416" s="237">
        <f>B416*D416/10000</f>
        <v/>
      </c>
      <c r="F416" s="238">
        <f>B416/30.48</f>
        <v/>
      </c>
      <c r="G416" s="238">
        <f>D416/30.48</f>
        <v/>
      </c>
      <c r="H416" s="613" t="n"/>
      <c r="I416" s="273" t="n"/>
      <c r="J416" s="274" t="n"/>
      <c r="K416" s="275" t="n"/>
      <c r="L416" s="276" t="n"/>
      <c r="M416" s="270" t="n"/>
    </row>
    <row r="417" ht="18" customHeight="1" s="305">
      <c r="A417" s="28" t="inlineStr">
        <is>
          <t>D 872</t>
        </is>
      </c>
      <c r="B417" s="29" t="n">
        <v>43</v>
      </c>
      <c r="C417" s="236" t="inlineStr">
        <is>
          <t>X</t>
        </is>
      </c>
      <c r="D417" s="29" t="n">
        <v>68</v>
      </c>
      <c r="E417" s="237">
        <f>B417*D417/10000</f>
        <v/>
      </c>
      <c r="F417" s="238">
        <f>B417/30.48</f>
        <v/>
      </c>
      <c r="G417" s="238">
        <f>D417/30.48</f>
        <v/>
      </c>
      <c r="H417" s="613" t="n"/>
      <c r="I417" s="273" t="n"/>
      <c r="J417" s="274" t="n"/>
      <c r="K417" s="275" t="n"/>
      <c r="L417" s="276" t="n"/>
      <c r="M417" s="270" t="n"/>
    </row>
    <row r="418" ht="18" customHeight="1" s="305">
      <c r="A418" s="28" t="inlineStr">
        <is>
          <t>D 873</t>
        </is>
      </c>
      <c r="B418" s="29" t="n">
        <v>50</v>
      </c>
      <c r="C418" s="236" t="inlineStr">
        <is>
          <t>X</t>
        </is>
      </c>
      <c r="D418" s="29" t="n">
        <v>89</v>
      </c>
      <c r="E418" s="237">
        <f>B418*D418/10000</f>
        <v/>
      </c>
      <c r="F418" s="238">
        <f>B418/30.48</f>
        <v/>
      </c>
      <c r="G418" s="238">
        <f>D418/30.48</f>
        <v/>
      </c>
      <c r="H418" s="613" t="n"/>
      <c r="I418" s="273" t="n"/>
      <c r="J418" s="274" t="n"/>
      <c r="K418" s="275" t="n"/>
      <c r="L418" s="276" t="n"/>
      <c r="M418" s="270" t="n"/>
    </row>
    <row r="419" ht="18" customHeight="1" s="305">
      <c r="A419" s="28" t="inlineStr">
        <is>
          <t>D 874</t>
        </is>
      </c>
      <c r="B419" s="29" t="n">
        <v>54</v>
      </c>
      <c r="C419" s="236" t="inlineStr">
        <is>
          <t>X</t>
        </is>
      </c>
      <c r="D419" s="29" t="n">
        <v>86</v>
      </c>
      <c r="E419" s="237">
        <f>B419*D419/10000</f>
        <v/>
      </c>
      <c r="F419" s="238">
        <f>B419/30.48</f>
        <v/>
      </c>
      <c r="G419" s="238">
        <f>D419/30.48</f>
        <v/>
      </c>
      <c r="H419" s="613" t="n"/>
      <c r="I419" s="273" t="n"/>
      <c r="J419" s="274" t="n"/>
      <c r="K419" s="275" t="n"/>
      <c r="L419" s="276" t="n"/>
      <c r="M419" s="270" t="n"/>
    </row>
    <row r="420" ht="18" customHeight="1" s="305">
      <c r="A420" s="28" t="inlineStr">
        <is>
          <t>D 875</t>
        </is>
      </c>
      <c r="B420" s="29" t="n">
        <v>44</v>
      </c>
      <c r="C420" s="236" t="inlineStr">
        <is>
          <t>X</t>
        </is>
      </c>
      <c r="D420" s="29" t="n">
        <v>77</v>
      </c>
      <c r="E420" s="237">
        <f>B420*D420/10000</f>
        <v/>
      </c>
      <c r="F420" s="238">
        <f>B420/30.48</f>
        <v/>
      </c>
      <c r="G420" s="238">
        <f>D420/30.48</f>
        <v/>
      </c>
      <c r="H420" s="613" t="n"/>
      <c r="I420" s="273" t="n"/>
      <c r="J420" s="274" t="n"/>
      <c r="K420" s="275" t="n"/>
      <c r="L420" s="276" t="n"/>
      <c r="M420" s="270" t="n"/>
    </row>
    <row r="421" ht="18" customHeight="1" s="305">
      <c r="A421" s="28" t="inlineStr">
        <is>
          <t>D 876</t>
        </is>
      </c>
      <c r="B421" s="29" t="n">
        <v>50</v>
      </c>
      <c r="C421" s="236" t="inlineStr">
        <is>
          <t>X</t>
        </is>
      </c>
      <c r="D421" s="29" t="n">
        <v>87</v>
      </c>
      <c r="E421" s="237">
        <f>B421*D421/10000</f>
        <v/>
      </c>
      <c r="F421" s="238">
        <f>B421/30.48</f>
        <v/>
      </c>
      <c r="G421" s="238">
        <f>D421/30.48</f>
        <v/>
      </c>
      <c r="H421" s="613" t="n"/>
      <c r="I421" s="273" t="n"/>
      <c r="J421" s="274" t="n"/>
      <c r="K421" s="275" t="n"/>
      <c r="L421" s="276" t="n"/>
      <c r="M421" s="270" t="n"/>
    </row>
    <row r="422" ht="18" customHeight="1" s="305">
      <c r="A422" s="28" t="inlineStr">
        <is>
          <t>D 877</t>
        </is>
      </c>
      <c r="B422" s="29" t="n">
        <v>49</v>
      </c>
      <c r="C422" s="236" t="inlineStr">
        <is>
          <t>X</t>
        </is>
      </c>
      <c r="D422" s="29" t="n">
        <v>106</v>
      </c>
      <c r="E422" s="237">
        <f>B422*D422/10000</f>
        <v/>
      </c>
      <c r="F422" s="238">
        <f>B422/30.48</f>
        <v/>
      </c>
      <c r="G422" s="238">
        <f>D422/30.48</f>
        <v/>
      </c>
      <c r="H422" s="613" t="n"/>
      <c r="I422" s="273" t="n"/>
      <c r="J422" s="274" t="n"/>
      <c r="K422" s="275" t="n"/>
      <c r="L422" s="276" t="n"/>
      <c r="M422" s="270" t="n"/>
    </row>
    <row r="423" ht="18" customHeight="1" s="305">
      <c r="A423" s="28" t="inlineStr">
        <is>
          <t>D 880</t>
        </is>
      </c>
      <c r="B423" s="29" t="n">
        <v>52</v>
      </c>
      <c r="C423" s="236" t="inlineStr">
        <is>
          <t>X</t>
        </is>
      </c>
      <c r="D423" s="29" t="n">
        <v>87</v>
      </c>
      <c r="E423" s="237">
        <f>B423*D423/10000</f>
        <v/>
      </c>
      <c r="F423" s="238">
        <f>B423/30.48</f>
        <v/>
      </c>
      <c r="G423" s="238">
        <f>D423/30.48</f>
        <v/>
      </c>
      <c r="H423" s="613" t="n"/>
      <c r="I423" s="273" t="n"/>
      <c r="J423" s="274" t="n"/>
      <c r="K423" s="275" t="n"/>
      <c r="L423" s="276" t="n"/>
      <c r="M423" s="270" t="n"/>
    </row>
    <row r="424" ht="18" customHeight="1" s="305">
      <c r="A424" s="28" t="inlineStr">
        <is>
          <t>D 882</t>
        </is>
      </c>
      <c r="B424" s="29" t="n">
        <v>50</v>
      </c>
      <c r="C424" s="236" t="inlineStr">
        <is>
          <t>X</t>
        </is>
      </c>
      <c r="D424" s="29" t="n">
        <v>94</v>
      </c>
      <c r="E424" s="237">
        <f>B424*D424/10000</f>
        <v/>
      </c>
      <c r="F424" s="238">
        <f>B424/30.48</f>
        <v/>
      </c>
      <c r="G424" s="238">
        <f>D424/30.48</f>
        <v/>
      </c>
      <c r="H424" s="613" t="n"/>
      <c r="I424" s="273" t="n"/>
      <c r="J424" s="274" t="n"/>
      <c r="K424" s="275" t="n"/>
      <c r="L424" s="276" t="n"/>
      <c r="M424" s="270" t="n"/>
    </row>
    <row r="425" ht="18" customHeight="1" s="305">
      <c r="A425" s="28" t="inlineStr">
        <is>
          <t>D 883</t>
        </is>
      </c>
      <c r="B425" s="29" t="n">
        <v>44</v>
      </c>
      <c r="C425" s="236" t="inlineStr">
        <is>
          <t>X</t>
        </is>
      </c>
      <c r="D425" s="29" t="n">
        <v>96</v>
      </c>
      <c r="E425" s="237">
        <f>B425*D425/10000</f>
        <v/>
      </c>
      <c r="F425" s="238">
        <f>B425/30.48</f>
        <v/>
      </c>
      <c r="G425" s="238">
        <f>D425/30.48</f>
        <v/>
      </c>
      <c r="H425" s="613" t="n"/>
      <c r="I425" s="273" t="n"/>
      <c r="J425" s="274" t="n"/>
      <c r="K425" s="275" t="n"/>
      <c r="L425" s="276" t="n"/>
      <c r="M425" s="270" t="n"/>
    </row>
    <row r="426" ht="18" customHeight="1" s="305">
      <c r="A426" s="28" t="inlineStr">
        <is>
          <t>D 884</t>
        </is>
      </c>
      <c r="B426" s="29" t="n">
        <v>54</v>
      </c>
      <c r="C426" s="236" t="inlineStr">
        <is>
          <t>X</t>
        </is>
      </c>
      <c r="D426" s="29" t="n">
        <v>86</v>
      </c>
      <c r="E426" s="237">
        <f>B426*D426/10000</f>
        <v/>
      </c>
      <c r="F426" s="238">
        <f>B426/30.48</f>
        <v/>
      </c>
      <c r="G426" s="238">
        <f>D426/30.48</f>
        <v/>
      </c>
      <c r="H426" s="613" t="n"/>
      <c r="I426" s="273" t="n"/>
      <c r="J426" s="274" t="n"/>
      <c r="K426" s="275" t="n"/>
      <c r="L426" s="276" t="n"/>
      <c r="M426" s="270" t="n"/>
    </row>
    <row r="427" ht="18" customHeight="1" s="305">
      <c r="A427" s="28" t="inlineStr">
        <is>
          <t>D 885</t>
        </is>
      </c>
      <c r="B427" s="29" t="n">
        <v>52</v>
      </c>
      <c r="C427" s="236" t="inlineStr">
        <is>
          <t>X</t>
        </is>
      </c>
      <c r="D427" s="29" t="n">
        <v>100</v>
      </c>
      <c r="E427" s="237">
        <f>B427*D427/10000</f>
        <v/>
      </c>
      <c r="F427" s="238">
        <f>B427/30.48</f>
        <v/>
      </c>
      <c r="G427" s="238">
        <f>D427/30.48</f>
        <v/>
      </c>
      <c r="H427" s="613" t="n"/>
      <c r="I427" s="273" t="n"/>
      <c r="J427" s="274" t="n"/>
      <c r="K427" s="275" t="n"/>
      <c r="L427" s="276" t="n"/>
      <c r="M427" s="270" t="n"/>
    </row>
    <row r="428" ht="18" customHeight="1" s="305">
      <c r="A428" s="28" t="inlineStr">
        <is>
          <t>D 886</t>
        </is>
      </c>
      <c r="B428" s="29" t="n">
        <v>54</v>
      </c>
      <c r="C428" s="236" t="inlineStr">
        <is>
          <t>X</t>
        </is>
      </c>
      <c r="D428" s="29" t="n">
        <v>72</v>
      </c>
      <c r="E428" s="237">
        <f>B428*D428/10000</f>
        <v/>
      </c>
      <c r="F428" s="238">
        <f>B428/30.48</f>
        <v/>
      </c>
      <c r="G428" s="238">
        <f>D428/30.48</f>
        <v/>
      </c>
      <c r="H428" s="613" t="n"/>
      <c r="I428" s="273" t="n"/>
      <c r="J428" s="274" t="n"/>
      <c r="K428" s="275" t="n"/>
      <c r="L428" s="276" t="n"/>
      <c r="M428" s="270" t="n"/>
    </row>
    <row r="429" ht="18" customHeight="1" s="305">
      <c r="A429" s="28" t="inlineStr">
        <is>
          <t>D 887</t>
        </is>
      </c>
      <c r="B429" s="29" t="n">
        <v>46</v>
      </c>
      <c r="C429" s="236" t="inlineStr">
        <is>
          <t>X</t>
        </is>
      </c>
      <c r="D429" s="29" t="n">
        <v>97</v>
      </c>
      <c r="E429" s="237">
        <f>B429*D429/10000</f>
        <v/>
      </c>
      <c r="F429" s="238">
        <f>B429/30.48</f>
        <v/>
      </c>
      <c r="G429" s="238">
        <f>D429/30.48</f>
        <v/>
      </c>
      <c r="H429" s="613" t="n"/>
      <c r="I429" s="273" t="n"/>
      <c r="J429" s="274" t="n"/>
      <c r="K429" s="275" t="n"/>
      <c r="L429" s="276" t="n"/>
      <c r="M429" s="270" t="n"/>
    </row>
    <row r="430" ht="18" customHeight="1" s="305">
      <c r="A430" s="28" t="inlineStr">
        <is>
          <t>D 889</t>
        </is>
      </c>
      <c r="B430" s="29" t="n">
        <v>47</v>
      </c>
      <c r="C430" s="236" t="inlineStr">
        <is>
          <t>X</t>
        </is>
      </c>
      <c r="D430" s="29" t="n">
        <v>95</v>
      </c>
      <c r="E430" s="237">
        <f>B430*D430/10000</f>
        <v/>
      </c>
      <c r="F430" s="238">
        <f>B430/30.48</f>
        <v/>
      </c>
      <c r="G430" s="238">
        <f>D430/30.48</f>
        <v/>
      </c>
      <c r="H430" s="613" t="n"/>
      <c r="I430" s="273" t="n"/>
      <c r="J430" s="274" t="n"/>
      <c r="K430" s="275" t="n"/>
      <c r="L430" s="276" t="n"/>
      <c r="M430" s="270" t="n"/>
    </row>
    <row r="431" ht="18" customHeight="1" s="305">
      <c r="A431" s="28" t="inlineStr">
        <is>
          <t>D 890</t>
        </is>
      </c>
      <c r="B431" s="29" t="n">
        <v>42</v>
      </c>
      <c r="C431" s="236" t="inlineStr">
        <is>
          <t>X</t>
        </is>
      </c>
      <c r="D431" s="29" t="n">
        <v>90</v>
      </c>
      <c r="E431" s="237">
        <f>B431*D431/10000</f>
        <v/>
      </c>
      <c r="F431" s="238">
        <f>B431/30.48</f>
        <v/>
      </c>
      <c r="G431" s="238">
        <f>D431/30.48</f>
        <v/>
      </c>
      <c r="H431" s="613" t="n"/>
      <c r="I431" s="273" t="n"/>
      <c r="J431" s="274" t="n"/>
      <c r="K431" s="275" t="n"/>
      <c r="L431" s="276" t="n"/>
      <c r="M431" s="270" t="n"/>
    </row>
    <row r="432" ht="18" customHeight="1" s="305">
      <c r="A432" s="28" t="inlineStr">
        <is>
          <t>D 891</t>
        </is>
      </c>
      <c r="B432" s="29" t="n">
        <v>48</v>
      </c>
      <c r="C432" s="236" t="inlineStr">
        <is>
          <t>X</t>
        </is>
      </c>
      <c r="D432" s="29" t="n">
        <v>97</v>
      </c>
      <c r="E432" s="237">
        <f>B432*D432/10000</f>
        <v/>
      </c>
      <c r="F432" s="238">
        <f>B432/30.48</f>
        <v/>
      </c>
      <c r="G432" s="238">
        <f>D432/30.48</f>
        <v/>
      </c>
      <c r="H432" s="613" t="n"/>
      <c r="I432" s="273" t="n"/>
      <c r="J432" s="274" t="n"/>
      <c r="K432" s="275" t="n"/>
      <c r="L432" s="276" t="n"/>
      <c r="M432" s="270" t="n"/>
    </row>
    <row r="433" ht="18" customHeight="1" s="305">
      <c r="A433" s="28" t="inlineStr">
        <is>
          <t>D 892</t>
        </is>
      </c>
      <c r="B433" s="29" t="n">
        <v>45</v>
      </c>
      <c r="C433" s="236" t="inlineStr">
        <is>
          <t>X</t>
        </is>
      </c>
      <c r="D433" s="29" t="n">
        <v>113</v>
      </c>
      <c r="E433" s="237">
        <f>B433*D433/10000</f>
        <v/>
      </c>
      <c r="F433" s="238">
        <f>B433/30.48</f>
        <v/>
      </c>
      <c r="G433" s="238">
        <f>D433/30.48</f>
        <v/>
      </c>
      <c r="H433" s="613" t="n"/>
      <c r="I433" s="273" t="n"/>
      <c r="J433" s="274" t="n"/>
      <c r="K433" s="275" t="n"/>
      <c r="L433" s="276" t="n"/>
      <c r="M433" s="270" t="n"/>
    </row>
    <row r="434" ht="18" customHeight="1" s="305">
      <c r="A434" s="28" t="inlineStr">
        <is>
          <t>D 893</t>
        </is>
      </c>
      <c r="B434" s="29" t="n">
        <v>54</v>
      </c>
      <c r="C434" s="236" t="inlineStr">
        <is>
          <t>X</t>
        </is>
      </c>
      <c r="D434" s="29" t="n">
        <v>99</v>
      </c>
      <c r="E434" s="237">
        <f>B434*D434/10000</f>
        <v/>
      </c>
      <c r="F434" s="238">
        <f>B434/30.48</f>
        <v/>
      </c>
      <c r="G434" s="238">
        <f>D434/30.48</f>
        <v/>
      </c>
      <c r="H434" s="613" t="n"/>
      <c r="I434" s="273" t="n"/>
      <c r="J434" s="274" t="n"/>
      <c r="K434" s="275" t="n"/>
      <c r="L434" s="276" t="n"/>
      <c r="M434" s="270" t="n"/>
    </row>
    <row r="435" ht="18" customHeight="1" s="305">
      <c r="A435" s="28" t="inlineStr">
        <is>
          <t>D 894</t>
        </is>
      </c>
      <c r="B435" s="29" t="n">
        <v>55</v>
      </c>
      <c r="C435" s="236" t="inlineStr">
        <is>
          <t>X</t>
        </is>
      </c>
      <c r="D435" s="29" t="n">
        <v>105</v>
      </c>
      <c r="E435" s="237">
        <f>B435*D435/10000</f>
        <v/>
      </c>
      <c r="F435" s="238">
        <f>B435/30.48</f>
        <v/>
      </c>
      <c r="G435" s="238">
        <f>D435/30.48</f>
        <v/>
      </c>
      <c r="H435" s="613" t="n"/>
      <c r="I435" s="273" t="n"/>
      <c r="J435" s="274" t="n"/>
      <c r="K435" s="275" t="n"/>
      <c r="L435" s="276" t="n"/>
      <c r="M435" s="270" t="n"/>
    </row>
    <row r="436" ht="18" customHeight="1" s="305">
      <c r="A436" s="28" t="inlineStr">
        <is>
          <t>D 895</t>
        </is>
      </c>
      <c r="B436" s="29" t="n">
        <v>46</v>
      </c>
      <c r="C436" s="236" t="inlineStr">
        <is>
          <t>X</t>
        </is>
      </c>
      <c r="D436" s="29" t="n">
        <v>94</v>
      </c>
      <c r="E436" s="237">
        <f>B436*D436/10000</f>
        <v/>
      </c>
      <c r="F436" s="238">
        <f>B436/30.48</f>
        <v/>
      </c>
      <c r="G436" s="238">
        <f>D436/30.48</f>
        <v/>
      </c>
      <c r="H436" s="613" t="n"/>
      <c r="I436" s="273" t="n"/>
      <c r="J436" s="274" t="n"/>
      <c r="K436" s="275" t="n"/>
      <c r="L436" s="276" t="n"/>
      <c r="M436" s="270" t="n"/>
    </row>
    <row r="437" ht="18" customHeight="1" s="305">
      <c r="A437" s="28" t="inlineStr">
        <is>
          <t>D 896</t>
        </is>
      </c>
      <c r="B437" s="29" t="n">
        <v>42</v>
      </c>
      <c r="C437" s="236" t="inlineStr">
        <is>
          <t>X</t>
        </is>
      </c>
      <c r="D437" s="29" t="n">
        <v>82</v>
      </c>
      <c r="E437" s="237">
        <f>B437*D437/10000</f>
        <v/>
      </c>
      <c r="F437" s="238">
        <f>B437/30.48</f>
        <v/>
      </c>
      <c r="G437" s="238">
        <f>D437/30.48</f>
        <v/>
      </c>
      <c r="H437" s="613" t="n"/>
      <c r="I437" s="273" t="n"/>
      <c r="J437" s="274" t="n"/>
      <c r="K437" s="275" t="n"/>
      <c r="L437" s="276" t="n"/>
      <c r="M437" s="270" t="n"/>
    </row>
    <row r="438" ht="18" customHeight="1" s="305">
      <c r="A438" s="28" t="inlineStr">
        <is>
          <t>D 898</t>
        </is>
      </c>
      <c r="B438" s="29" t="n">
        <v>39</v>
      </c>
      <c r="C438" s="236" t="inlineStr">
        <is>
          <t>X</t>
        </is>
      </c>
      <c r="D438" s="29" t="n">
        <v>99</v>
      </c>
      <c r="E438" s="237">
        <f>B438*D438/10000</f>
        <v/>
      </c>
      <c r="F438" s="238">
        <f>B438/30.48</f>
        <v/>
      </c>
      <c r="G438" s="238">
        <f>D438/30.48</f>
        <v/>
      </c>
      <c r="H438" s="613" t="n"/>
      <c r="I438" s="273" t="n"/>
      <c r="J438" s="274" t="n"/>
      <c r="K438" s="275" t="n"/>
      <c r="L438" s="276" t="n"/>
      <c r="M438" s="270" t="n"/>
    </row>
    <row r="439" ht="18" customHeight="1" s="305">
      <c r="A439" s="28" t="inlineStr">
        <is>
          <t>D 899</t>
        </is>
      </c>
      <c r="B439" s="29" t="n">
        <v>40</v>
      </c>
      <c r="C439" s="236" t="inlineStr">
        <is>
          <t>X</t>
        </is>
      </c>
      <c r="D439" s="29" t="n">
        <v>91</v>
      </c>
      <c r="E439" s="237">
        <f>B439*D439/10000</f>
        <v/>
      </c>
      <c r="F439" s="238">
        <f>B439/30.48</f>
        <v/>
      </c>
      <c r="G439" s="238">
        <f>D439/30.48</f>
        <v/>
      </c>
      <c r="H439" s="613" t="n"/>
      <c r="I439" s="273" t="n"/>
      <c r="J439" s="274" t="n"/>
      <c r="K439" s="275" t="n"/>
      <c r="L439" s="276" t="n"/>
      <c r="M439" s="270" t="n"/>
    </row>
    <row r="440" ht="18" customHeight="1" s="305">
      <c r="A440" s="28" t="inlineStr">
        <is>
          <t>D 900</t>
        </is>
      </c>
      <c r="B440" s="29" t="n">
        <v>48</v>
      </c>
      <c r="C440" s="236" t="inlineStr">
        <is>
          <t>X</t>
        </is>
      </c>
      <c r="D440" s="29" t="n">
        <v>90</v>
      </c>
      <c r="E440" s="237">
        <f>B440*D440/10000</f>
        <v/>
      </c>
      <c r="F440" s="238">
        <f>B440/30.48</f>
        <v/>
      </c>
      <c r="G440" s="238">
        <f>D440/30.48</f>
        <v/>
      </c>
      <c r="H440" s="613" t="n"/>
      <c r="I440" s="273" t="n"/>
      <c r="J440" s="274" t="n"/>
      <c r="K440" s="275" t="n"/>
      <c r="L440" s="276" t="n"/>
      <c r="M440" s="270" t="n"/>
    </row>
    <row r="441" ht="18" customHeight="1" s="305">
      <c r="A441" s="28" t="inlineStr">
        <is>
          <t>D 901</t>
        </is>
      </c>
      <c r="B441" s="29" t="n">
        <v>49</v>
      </c>
      <c r="C441" s="236" t="inlineStr">
        <is>
          <t>X</t>
        </is>
      </c>
      <c r="D441" s="29" t="n">
        <v>72</v>
      </c>
      <c r="E441" s="237">
        <f>B441*D441/10000</f>
        <v/>
      </c>
      <c r="F441" s="238">
        <f>B441/30.48</f>
        <v/>
      </c>
      <c r="G441" s="238">
        <f>D441/30.48</f>
        <v/>
      </c>
      <c r="H441" s="613" t="n"/>
      <c r="I441" s="273" t="n"/>
      <c r="J441" s="274" t="n"/>
      <c r="K441" s="275" t="n"/>
      <c r="L441" s="276" t="n"/>
      <c r="M441" s="270" t="n"/>
    </row>
    <row r="442" ht="18" customHeight="1" s="305">
      <c r="A442" s="28" t="inlineStr">
        <is>
          <t>D 903</t>
        </is>
      </c>
      <c r="B442" s="29" t="n">
        <v>44</v>
      </c>
      <c r="C442" s="236" t="inlineStr">
        <is>
          <t>X</t>
        </is>
      </c>
      <c r="D442" s="29" t="n">
        <v>97</v>
      </c>
      <c r="E442" s="237">
        <f>B442*D442/10000</f>
        <v/>
      </c>
      <c r="F442" s="238">
        <f>B442/30.48</f>
        <v/>
      </c>
      <c r="G442" s="238">
        <f>D442/30.48</f>
        <v/>
      </c>
      <c r="H442" s="613" t="n"/>
      <c r="I442" s="273" t="n"/>
      <c r="J442" s="274" t="n"/>
      <c r="K442" s="275" t="n"/>
      <c r="L442" s="276" t="n"/>
      <c r="M442" s="270" t="n"/>
    </row>
    <row r="443" ht="18" customHeight="1" s="305">
      <c r="A443" s="28" t="inlineStr">
        <is>
          <t>D 904</t>
        </is>
      </c>
      <c r="B443" s="29" t="n">
        <v>42</v>
      </c>
      <c r="C443" s="236" t="inlineStr">
        <is>
          <t>X</t>
        </is>
      </c>
      <c r="D443" s="29" t="n">
        <v>116</v>
      </c>
      <c r="E443" s="237">
        <f>B443*D443/10000</f>
        <v/>
      </c>
      <c r="F443" s="238">
        <f>B443/30.48</f>
        <v/>
      </c>
      <c r="G443" s="238">
        <f>D443/30.48</f>
        <v/>
      </c>
      <c r="H443" s="613" t="n"/>
      <c r="I443" s="273" t="n"/>
      <c r="J443" s="274" t="n"/>
      <c r="K443" s="275" t="n"/>
      <c r="L443" s="276" t="n"/>
      <c r="M443" s="270" t="n"/>
    </row>
    <row r="444" ht="18" customHeight="1" s="305">
      <c r="A444" s="28" t="inlineStr">
        <is>
          <t>D 906</t>
        </is>
      </c>
      <c r="B444" s="29" t="n">
        <v>42</v>
      </c>
      <c r="C444" s="236" t="inlineStr">
        <is>
          <t>X</t>
        </is>
      </c>
      <c r="D444" s="29" t="n">
        <v>112</v>
      </c>
      <c r="E444" s="237">
        <f>B444*D444/10000</f>
        <v/>
      </c>
      <c r="F444" s="238">
        <f>B444/30.48</f>
        <v/>
      </c>
      <c r="G444" s="238">
        <f>D444/30.48</f>
        <v/>
      </c>
      <c r="H444" s="613" t="n"/>
      <c r="I444" s="273" t="n"/>
      <c r="J444" s="274" t="n"/>
      <c r="K444" s="275" t="n"/>
      <c r="L444" s="276" t="n"/>
      <c r="M444" s="270" t="n"/>
    </row>
    <row r="445" ht="18" customHeight="1" s="305">
      <c r="A445" s="28" t="inlineStr">
        <is>
          <t>D 907</t>
        </is>
      </c>
      <c r="B445" s="29" t="n">
        <v>52</v>
      </c>
      <c r="C445" s="236" t="inlineStr">
        <is>
          <t>X</t>
        </is>
      </c>
      <c r="D445" s="29" t="n">
        <v>100</v>
      </c>
      <c r="E445" s="237">
        <f>B445*D445/10000</f>
        <v/>
      </c>
      <c r="F445" s="238">
        <f>B445/30.48</f>
        <v/>
      </c>
      <c r="G445" s="238">
        <f>D445/30.48</f>
        <v/>
      </c>
      <c r="H445" s="613" t="n"/>
      <c r="I445" s="273" t="n"/>
      <c r="J445" s="274" t="n"/>
      <c r="K445" s="275" t="n"/>
      <c r="L445" s="276" t="n"/>
      <c r="M445" s="270" t="n"/>
    </row>
    <row r="446" ht="18" customHeight="1" s="305">
      <c r="A446" s="28" t="inlineStr">
        <is>
          <t>D 908</t>
        </is>
      </c>
      <c r="B446" s="29" t="n">
        <v>50</v>
      </c>
      <c r="C446" s="236" t="inlineStr">
        <is>
          <t>X</t>
        </is>
      </c>
      <c r="D446" s="29" t="n">
        <v>105</v>
      </c>
      <c r="E446" s="237">
        <f>B446*D446/10000</f>
        <v/>
      </c>
      <c r="F446" s="238">
        <f>B446/30.48</f>
        <v/>
      </c>
      <c r="G446" s="238">
        <f>D446/30.48</f>
        <v/>
      </c>
      <c r="H446" s="613" t="n"/>
      <c r="I446" s="273" t="n"/>
      <c r="J446" s="274" t="n"/>
      <c r="K446" s="275" t="n"/>
      <c r="L446" s="276" t="n"/>
      <c r="M446" s="270" t="n"/>
    </row>
    <row r="447" ht="18" customHeight="1" s="305">
      <c r="A447" s="28" t="inlineStr">
        <is>
          <t>D 909</t>
        </is>
      </c>
      <c r="B447" s="29" t="n">
        <v>44</v>
      </c>
      <c r="C447" s="236" t="inlineStr">
        <is>
          <t>X</t>
        </is>
      </c>
      <c r="D447" s="29" t="n">
        <v>86</v>
      </c>
      <c r="E447" s="237">
        <f>B447*D447/10000</f>
        <v/>
      </c>
      <c r="F447" s="238">
        <f>B447/30.48</f>
        <v/>
      </c>
      <c r="G447" s="238">
        <f>D447/30.48</f>
        <v/>
      </c>
      <c r="H447" s="613" t="n"/>
      <c r="I447" s="273" t="n"/>
      <c r="J447" s="274" t="n"/>
      <c r="K447" s="275" t="n"/>
      <c r="L447" s="276" t="n"/>
      <c r="M447" s="270" t="n"/>
    </row>
    <row r="448" ht="18" customHeight="1" s="305">
      <c r="A448" s="28" t="inlineStr">
        <is>
          <t>D 910</t>
        </is>
      </c>
      <c r="B448" s="29" t="n">
        <v>43</v>
      </c>
      <c r="C448" s="236" t="inlineStr">
        <is>
          <t>X</t>
        </is>
      </c>
      <c r="D448" s="29" t="n">
        <v>102</v>
      </c>
      <c r="E448" s="237">
        <f>B448*D448/10000</f>
        <v/>
      </c>
      <c r="F448" s="238">
        <f>B448/30.48</f>
        <v/>
      </c>
      <c r="G448" s="238">
        <f>D448/30.48</f>
        <v/>
      </c>
      <c r="H448" s="613" t="n"/>
      <c r="I448" s="273" t="n"/>
      <c r="J448" s="274" t="n"/>
      <c r="K448" s="275" t="n"/>
      <c r="L448" s="276" t="n"/>
      <c r="M448" s="270" t="n"/>
    </row>
    <row r="449" ht="18" customHeight="1" s="305">
      <c r="A449" s="28" t="inlineStr">
        <is>
          <t>D 911</t>
        </is>
      </c>
      <c r="B449" s="29" t="n">
        <v>47</v>
      </c>
      <c r="C449" s="236" t="inlineStr">
        <is>
          <t>X</t>
        </is>
      </c>
      <c r="D449" s="29" t="n">
        <v>98</v>
      </c>
      <c r="E449" s="237">
        <f>B449*D449/10000</f>
        <v/>
      </c>
      <c r="F449" s="238">
        <f>B449/30.48</f>
        <v/>
      </c>
      <c r="G449" s="238">
        <f>D449/30.48</f>
        <v/>
      </c>
      <c r="H449" s="613" t="n"/>
      <c r="I449" s="273" t="n"/>
      <c r="J449" s="274" t="n"/>
      <c r="K449" s="275" t="n"/>
      <c r="L449" s="276" t="n"/>
      <c r="M449" s="270" t="n"/>
    </row>
    <row r="450" ht="18" customHeight="1" s="305">
      <c r="A450" s="28" t="inlineStr">
        <is>
          <t>D 912</t>
        </is>
      </c>
      <c r="B450" s="29" t="n">
        <v>51</v>
      </c>
      <c r="C450" s="236" t="inlineStr">
        <is>
          <t>X</t>
        </is>
      </c>
      <c r="D450" s="29" t="n">
        <v>103</v>
      </c>
      <c r="E450" s="237">
        <f>B450*D450/10000</f>
        <v/>
      </c>
      <c r="F450" s="238">
        <f>B450/30.48</f>
        <v/>
      </c>
      <c r="G450" s="238">
        <f>D450/30.48</f>
        <v/>
      </c>
      <c r="H450" s="613" t="n"/>
      <c r="I450" s="273" t="n"/>
      <c r="J450" s="274" t="n"/>
      <c r="K450" s="275" t="n"/>
      <c r="L450" s="276" t="n"/>
      <c r="M450" s="270" t="n"/>
    </row>
    <row r="451" ht="18" customHeight="1" s="305">
      <c r="A451" s="28" t="inlineStr">
        <is>
          <t>D 913</t>
        </is>
      </c>
      <c r="B451" s="29" t="n">
        <v>51</v>
      </c>
      <c r="C451" s="236" t="inlineStr">
        <is>
          <t>X</t>
        </is>
      </c>
      <c r="D451" s="29" t="n">
        <v>103</v>
      </c>
      <c r="E451" s="237">
        <f>B451*D451/10000</f>
        <v/>
      </c>
      <c r="F451" s="238">
        <f>B451/30.48</f>
        <v/>
      </c>
      <c r="G451" s="238">
        <f>D451/30.48</f>
        <v/>
      </c>
      <c r="H451" s="613" t="n"/>
      <c r="I451" s="273" t="n"/>
      <c r="J451" s="274" t="n"/>
      <c r="K451" s="275" t="n"/>
      <c r="L451" s="276" t="n"/>
      <c r="M451" s="270" t="n"/>
    </row>
    <row r="452" ht="18" customHeight="1" s="305">
      <c r="A452" s="28" t="inlineStr">
        <is>
          <t>D 914</t>
        </is>
      </c>
      <c r="B452" s="29" t="n">
        <v>43</v>
      </c>
      <c r="C452" s="236" t="inlineStr">
        <is>
          <t>X</t>
        </is>
      </c>
      <c r="D452" s="29" t="n">
        <v>70</v>
      </c>
      <c r="E452" s="237">
        <f>B452*D452/10000</f>
        <v/>
      </c>
      <c r="F452" s="238">
        <f>B452/30.48</f>
        <v/>
      </c>
      <c r="G452" s="238">
        <f>D452/30.48</f>
        <v/>
      </c>
      <c r="H452" s="613" t="n"/>
      <c r="I452" s="273" t="n"/>
      <c r="J452" s="274" t="n"/>
      <c r="K452" s="275" t="n"/>
      <c r="L452" s="276" t="n"/>
      <c r="M452" s="270" t="n"/>
    </row>
    <row r="453" ht="18" customHeight="1" s="305">
      <c r="A453" s="28" t="inlineStr">
        <is>
          <t>D 916</t>
        </is>
      </c>
      <c r="B453" s="29" t="n">
        <v>47</v>
      </c>
      <c r="C453" s="236" t="inlineStr">
        <is>
          <t>X</t>
        </is>
      </c>
      <c r="D453" s="29" t="n">
        <v>109</v>
      </c>
      <c r="E453" s="237">
        <f>B453*D453/10000</f>
        <v/>
      </c>
      <c r="F453" s="238">
        <f>B453/30.48</f>
        <v/>
      </c>
      <c r="G453" s="238">
        <f>D453/30.48</f>
        <v/>
      </c>
      <c r="H453" s="613" t="n"/>
      <c r="I453" s="273" t="n"/>
      <c r="J453" s="274" t="n"/>
      <c r="K453" s="275" t="n"/>
      <c r="L453" s="276" t="n"/>
      <c r="M453" s="270" t="n"/>
    </row>
    <row r="454" ht="18" customHeight="1" s="305">
      <c r="A454" s="28" t="inlineStr">
        <is>
          <t>D 917</t>
        </is>
      </c>
      <c r="B454" s="29" t="n">
        <v>46</v>
      </c>
      <c r="C454" s="236" t="inlineStr">
        <is>
          <t>X</t>
        </is>
      </c>
      <c r="D454" s="29" t="n">
        <v>96</v>
      </c>
      <c r="E454" s="237">
        <f>B454*D454/10000</f>
        <v/>
      </c>
      <c r="F454" s="238">
        <f>B454/30.48</f>
        <v/>
      </c>
      <c r="G454" s="238">
        <f>D454/30.48</f>
        <v/>
      </c>
      <c r="H454" s="613" t="n"/>
      <c r="I454" s="273" t="n"/>
      <c r="J454" s="274" t="n"/>
      <c r="K454" s="275" t="n"/>
      <c r="L454" s="276" t="n"/>
      <c r="M454" s="270" t="n"/>
    </row>
    <row r="455" ht="18" customHeight="1" s="305">
      <c r="A455" s="28" t="inlineStr">
        <is>
          <t>D 918</t>
        </is>
      </c>
      <c r="B455" s="29" t="n">
        <v>42</v>
      </c>
      <c r="C455" s="236" t="inlineStr">
        <is>
          <t>X</t>
        </is>
      </c>
      <c r="D455" s="29" t="n">
        <v>90</v>
      </c>
      <c r="E455" s="237">
        <f>B455*D455/10000</f>
        <v/>
      </c>
      <c r="F455" s="238">
        <f>B455/30.48</f>
        <v/>
      </c>
      <c r="G455" s="238">
        <f>D455/30.48</f>
        <v/>
      </c>
      <c r="H455" s="613" t="n"/>
      <c r="I455" s="273" t="n"/>
      <c r="J455" s="274" t="n"/>
      <c r="K455" s="275" t="n"/>
      <c r="L455" s="276" t="n"/>
      <c r="M455" s="270" t="n"/>
    </row>
    <row r="456" ht="18" customHeight="1" s="305">
      <c r="A456" s="28" t="inlineStr">
        <is>
          <t>D 919</t>
        </is>
      </c>
      <c r="B456" s="29" t="n"/>
      <c r="C456" s="236" t="inlineStr">
        <is>
          <t>X</t>
        </is>
      </c>
      <c r="D456" s="29" t="n"/>
      <c r="E456" s="237">
        <f>B456*D456/10000</f>
        <v/>
      </c>
      <c r="F456" s="238">
        <f>B456/30.48</f>
        <v/>
      </c>
      <c r="G456" s="238">
        <f>D456/30.48</f>
        <v/>
      </c>
      <c r="H456" s="613" t="n"/>
      <c r="I456" s="273" t="n"/>
      <c r="J456" s="274" t="n"/>
      <c r="K456" s="275" t="n"/>
      <c r="L456" s="276" t="n"/>
      <c r="M456" s="270" t="n"/>
    </row>
    <row r="457" ht="18" customHeight="1" s="305">
      <c r="A457" s="28" t="inlineStr">
        <is>
          <t>D 920</t>
        </is>
      </c>
      <c r="B457" s="29" t="n">
        <v>54</v>
      </c>
      <c r="C457" s="236" t="inlineStr">
        <is>
          <t>X</t>
        </is>
      </c>
      <c r="D457" s="29" t="n">
        <v>94</v>
      </c>
      <c r="E457" s="237">
        <f>B457*D457/10000</f>
        <v/>
      </c>
      <c r="F457" s="238">
        <f>B457/30.48</f>
        <v/>
      </c>
      <c r="G457" s="238">
        <f>D457/30.48</f>
        <v/>
      </c>
      <c r="H457" s="613" t="n"/>
      <c r="I457" s="273" t="n"/>
      <c r="J457" s="274" t="n"/>
      <c r="K457" s="275" t="n"/>
      <c r="L457" s="276" t="n"/>
      <c r="M457" s="270" t="n"/>
    </row>
    <row r="458" ht="18" customHeight="1" s="305">
      <c r="A458" s="28" t="inlineStr">
        <is>
          <t>D 921</t>
        </is>
      </c>
      <c r="B458" s="29" t="n">
        <v>53</v>
      </c>
      <c r="C458" s="236" t="inlineStr">
        <is>
          <t>X</t>
        </is>
      </c>
      <c r="D458" s="29" t="n">
        <v>87</v>
      </c>
      <c r="E458" s="237">
        <f>B458*D458/10000</f>
        <v/>
      </c>
      <c r="F458" s="238">
        <f>B458/30.48</f>
        <v/>
      </c>
      <c r="G458" s="238">
        <f>D458/30.48</f>
        <v/>
      </c>
      <c r="H458" s="613" t="n"/>
      <c r="I458" s="273" t="n"/>
      <c r="J458" s="274" t="n"/>
      <c r="K458" s="275" t="n"/>
      <c r="L458" s="276" t="n"/>
      <c r="M458" s="270" t="n"/>
    </row>
    <row r="459" ht="18" customHeight="1" s="305">
      <c r="A459" s="28" t="inlineStr">
        <is>
          <t>D 925</t>
        </is>
      </c>
      <c r="B459" s="29" t="n">
        <v>44</v>
      </c>
      <c r="C459" s="236" t="inlineStr">
        <is>
          <t>X</t>
        </is>
      </c>
      <c r="D459" s="29" t="n">
        <v>73</v>
      </c>
      <c r="E459" s="237">
        <f>B459*D459/10000</f>
        <v/>
      </c>
      <c r="F459" s="238">
        <f>B459/30.48</f>
        <v/>
      </c>
      <c r="G459" s="238">
        <f>D459/30.48</f>
        <v/>
      </c>
      <c r="H459" s="613" t="n"/>
      <c r="I459" s="273" t="n"/>
      <c r="J459" s="274" t="n"/>
      <c r="K459" s="275" t="n"/>
      <c r="L459" s="276" t="n"/>
      <c r="M459" s="270" t="n"/>
    </row>
    <row r="460" ht="18" customHeight="1" s="305">
      <c r="A460" s="28" t="inlineStr">
        <is>
          <t>D 926</t>
        </is>
      </c>
      <c r="B460" s="29" t="n">
        <v>50</v>
      </c>
      <c r="C460" s="236" t="inlineStr">
        <is>
          <t>X</t>
        </is>
      </c>
      <c r="D460" s="29" t="n">
        <v>92</v>
      </c>
      <c r="E460" s="237">
        <f>B460*D460/10000</f>
        <v/>
      </c>
      <c r="F460" s="238">
        <f>B460/30.48</f>
        <v/>
      </c>
      <c r="G460" s="238">
        <f>D460/30.48</f>
        <v/>
      </c>
      <c r="H460" s="613" t="n"/>
      <c r="I460" s="273" t="n"/>
      <c r="J460" s="274" t="n"/>
      <c r="K460" s="275" t="n"/>
      <c r="L460" s="276" t="n"/>
      <c r="M460" s="270" t="n"/>
    </row>
    <row r="461" ht="18" customHeight="1" s="305">
      <c r="A461" s="28" t="inlineStr">
        <is>
          <t>D 927</t>
        </is>
      </c>
      <c r="B461" s="29" t="n">
        <v>56</v>
      </c>
      <c r="C461" s="236" t="inlineStr">
        <is>
          <t>X</t>
        </is>
      </c>
      <c r="D461" s="29" t="n">
        <v>86</v>
      </c>
      <c r="E461" s="237">
        <f>B461*D461/10000</f>
        <v/>
      </c>
      <c r="F461" s="238">
        <f>B461/30.48</f>
        <v/>
      </c>
      <c r="G461" s="238">
        <f>D461/30.48</f>
        <v/>
      </c>
      <c r="H461" s="613" t="n"/>
      <c r="I461" s="273" t="n"/>
      <c r="J461" s="274" t="n"/>
      <c r="K461" s="275" t="n"/>
      <c r="L461" s="276" t="n"/>
      <c r="M461" s="270" t="n"/>
    </row>
    <row r="462" ht="18" customHeight="1" s="305">
      <c r="A462" s="28" t="inlineStr">
        <is>
          <t>D 930</t>
        </is>
      </c>
      <c r="B462" s="29" t="n">
        <v>46</v>
      </c>
      <c r="C462" s="236" t="inlineStr">
        <is>
          <t>X</t>
        </is>
      </c>
      <c r="D462" s="29" t="n">
        <v>104</v>
      </c>
      <c r="E462" s="237">
        <f>B462*D462/10000</f>
        <v/>
      </c>
      <c r="F462" s="238">
        <f>B462/30.48</f>
        <v/>
      </c>
      <c r="G462" s="238">
        <f>D462/30.48</f>
        <v/>
      </c>
      <c r="H462" s="613" t="n"/>
      <c r="I462" s="273" t="n"/>
      <c r="J462" s="274" t="n"/>
      <c r="K462" s="275" t="n"/>
      <c r="L462" s="276" t="n"/>
      <c r="M462" s="270" t="n"/>
    </row>
    <row r="463" ht="18" customHeight="1" s="305">
      <c r="A463" s="28" t="inlineStr">
        <is>
          <t>D 931</t>
        </is>
      </c>
      <c r="B463" s="29" t="n">
        <v>51</v>
      </c>
      <c r="C463" s="236" t="inlineStr">
        <is>
          <t>X</t>
        </is>
      </c>
      <c r="D463" s="29" t="n">
        <v>111</v>
      </c>
      <c r="E463" s="237">
        <f>B463*D463/10000</f>
        <v/>
      </c>
      <c r="F463" s="238">
        <f>B463/30.48</f>
        <v/>
      </c>
      <c r="G463" s="238">
        <f>D463/30.48</f>
        <v/>
      </c>
      <c r="H463" s="613" t="n"/>
      <c r="I463" s="273" t="n"/>
      <c r="J463" s="274" t="n"/>
      <c r="K463" s="275" t="n"/>
      <c r="L463" s="276" t="n"/>
      <c r="M463" s="270" t="n"/>
    </row>
    <row r="464" ht="18" customHeight="1" s="305">
      <c r="A464" s="28" t="inlineStr">
        <is>
          <t>D 932</t>
        </is>
      </c>
      <c r="B464" s="29" t="n">
        <v>49</v>
      </c>
      <c r="C464" s="236" t="inlineStr">
        <is>
          <t>X</t>
        </is>
      </c>
      <c r="D464" s="29" t="n">
        <v>81</v>
      </c>
      <c r="E464" s="237">
        <f>B464*D464/10000</f>
        <v/>
      </c>
      <c r="F464" s="238">
        <f>B464/30.48</f>
        <v/>
      </c>
      <c r="G464" s="238">
        <f>D464/30.48</f>
        <v/>
      </c>
      <c r="H464" s="613" t="n"/>
      <c r="I464" s="273" t="n"/>
      <c r="J464" s="274" t="n"/>
      <c r="K464" s="275" t="n"/>
      <c r="L464" s="276" t="n"/>
      <c r="M464" s="270" t="n"/>
    </row>
    <row r="465" ht="18" customHeight="1" s="305">
      <c r="A465" s="28" t="inlineStr">
        <is>
          <t>D 933</t>
        </is>
      </c>
      <c r="B465" s="29" t="n">
        <v>45</v>
      </c>
      <c r="C465" s="236" t="inlineStr">
        <is>
          <t>X</t>
        </is>
      </c>
      <c r="D465" s="29" t="n">
        <v>91</v>
      </c>
      <c r="E465" s="237">
        <f>B465*D465/10000</f>
        <v/>
      </c>
      <c r="F465" s="238">
        <f>B465/30.48</f>
        <v/>
      </c>
      <c r="G465" s="238">
        <f>D465/30.48</f>
        <v/>
      </c>
      <c r="H465" s="613" t="n"/>
      <c r="I465" s="273" t="n"/>
      <c r="J465" s="274" t="n"/>
      <c r="K465" s="275" t="n"/>
      <c r="L465" s="276" t="n"/>
      <c r="M465" s="270" t="n"/>
    </row>
    <row r="466" ht="18" customHeight="1" s="305">
      <c r="A466" s="28" t="inlineStr">
        <is>
          <t>D 934</t>
        </is>
      </c>
      <c r="B466" s="29" t="n">
        <v>51</v>
      </c>
      <c r="C466" s="236" t="inlineStr">
        <is>
          <t>X</t>
        </is>
      </c>
      <c r="D466" s="29" t="n">
        <v>104</v>
      </c>
      <c r="E466" s="237">
        <f>B466*D466/10000</f>
        <v/>
      </c>
      <c r="F466" s="238">
        <f>B466/30.48</f>
        <v/>
      </c>
      <c r="G466" s="238">
        <f>D466/30.48</f>
        <v/>
      </c>
      <c r="H466" s="613" t="n"/>
      <c r="I466" s="273" t="n"/>
      <c r="J466" s="274" t="n"/>
      <c r="K466" s="275" t="n"/>
      <c r="L466" s="276" t="n"/>
      <c r="M466" s="270" t="n"/>
    </row>
    <row r="467" ht="18" customHeight="1" s="305">
      <c r="A467" s="28" t="inlineStr">
        <is>
          <t>D 935</t>
        </is>
      </c>
      <c r="B467" s="29" t="n">
        <v>47</v>
      </c>
      <c r="C467" s="236" t="inlineStr">
        <is>
          <t>X</t>
        </is>
      </c>
      <c r="D467" s="29" t="n">
        <v>74</v>
      </c>
      <c r="E467" s="237">
        <f>B467*D467/10000</f>
        <v/>
      </c>
      <c r="F467" s="238">
        <f>B467/30.48</f>
        <v/>
      </c>
      <c r="G467" s="238">
        <f>D467/30.48</f>
        <v/>
      </c>
      <c r="H467" s="613" t="n"/>
      <c r="I467" s="273" t="n"/>
      <c r="J467" s="274" t="n"/>
      <c r="K467" s="275" t="n"/>
      <c r="L467" s="276" t="n"/>
      <c r="M467" s="270" t="n"/>
    </row>
    <row r="468" ht="18" customHeight="1" s="305">
      <c r="A468" s="28" t="inlineStr">
        <is>
          <t>D 936</t>
        </is>
      </c>
      <c r="B468" s="29" t="n">
        <v>55</v>
      </c>
      <c r="C468" s="236" t="inlineStr">
        <is>
          <t>X</t>
        </is>
      </c>
      <c r="D468" s="29" t="n">
        <v>101</v>
      </c>
      <c r="E468" s="237">
        <f>B468*D468/10000</f>
        <v/>
      </c>
      <c r="F468" s="238">
        <f>B468/30.48</f>
        <v/>
      </c>
      <c r="G468" s="238">
        <f>D468/30.48</f>
        <v/>
      </c>
      <c r="H468" s="613" t="n"/>
      <c r="I468" s="273" t="n"/>
      <c r="J468" s="274" t="n"/>
      <c r="K468" s="275" t="n"/>
      <c r="L468" s="276" t="n"/>
      <c r="M468" s="270" t="n"/>
    </row>
    <row r="469" ht="18" customHeight="1" s="305">
      <c r="A469" s="28" t="inlineStr">
        <is>
          <t>D 937</t>
        </is>
      </c>
      <c r="B469" s="29" t="n">
        <v>53</v>
      </c>
      <c r="C469" s="236" t="inlineStr">
        <is>
          <t>X</t>
        </is>
      </c>
      <c r="D469" s="29" t="n">
        <v>89</v>
      </c>
      <c r="E469" s="237">
        <f>B469*D469/10000</f>
        <v/>
      </c>
      <c r="F469" s="238">
        <f>B469/30.48</f>
        <v/>
      </c>
      <c r="G469" s="238">
        <f>D469/30.48</f>
        <v/>
      </c>
      <c r="H469" s="613" t="n"/>
      <c r="I469" s="273" t="n"/>
      <c r="J469" s="274" t="n"/>
      <c r="K469" s="275" t="n"/>
      <c r="L469" s="276" t="n"/>
      <c r="M469" s="270" t="n"/>
    </row>
    <row r="470" ht="18" customHeight="1" s="305">
      <c r="A470" s="28" t="inlineStr">
        <is>
          <t>D 938</t>
        </is>
      </c>
      <c r="B470" s="29" t="n">
        <v>47</v>
      </c>
      <c r="C470" s="236" t="inlineStr">
        <is>
          <t>X</t>
        </is>
      </c>
      <c r="D470" s="29" t="n">
        <v>88</v>
      </c>
      <c r="E470" s="237">
        <f>B470*D470/10000</f>
        <v/>
      </c>
      <c r="F470" s="238">
        <f>B470/30.48</f>
        <v/>
      </c>
      <c r="G470" s="238">
        <f>D470/30.48</f>
        <v/>
      </c>
      <c r="H470" s="613" t="n"/>
      <c r="I470" s="273" t="n"/>
      <c r="J470" s="274" t="n"/>
      <c r="K470" s="275" t="n"/>
      <c r="L470" s="276" t="n"/>
      <c r="M470" s="270" t="n"/>
    </row>
    <row r="471" ht="18" customHeight="1" s="305">
      <c r="A471" s="28" t="inlineStr">
        <is>
          <t>D 939</t>
        </is>
      </c>
      <c r="B471" s="29" t="n">
        <v>55</v>
      </c>
      <c r="C471" s="236" t="inlineStr">
        <is>
          <t>X</t>
        </is>
      </c>
      <c r="D471" s="29" t="n">
        <v>104</v>
      </c>
      <c r="E471" s="237">
        <f>B471*D471/10000</f>
        <v/>
      </c>
      <c r="F471" s="238">
        <f>B471/30.48</f>
        <v/>
      </c>
      <c r="G471" s="238">
        <f>D471/30.48</f>
        <v/>
      </c>
      <c r="H471" s="613" t="n"/>
      <c r="I471" s="273" t="n"/>
      <c r="J471" s="274" t="n"/>
      <c r="K471" s="275" t="n"/>
      <c r="L471" s="276" t="n"/>
      <c r="M471" s="270" t="n"/>
    </row>
    <row r="472" ht="18" customHeight="1" s="305">
      <c r="A472" s="28" t="inlineStr">
        <is>
          <t>D 940</t>
        </is>
      </c>
      <c r="B472" s="29" t="n">
        <v>55</v>
      </c>
      <c r="C472" s="236" t="inlineStr">
        <is>
          <t>X</t>
        </is>
      </c>
      <c r="D472" s="29" t="n">
        <v>80</v>
      </c>
      <c r="E472" s="237">
        <f>B472*D472/10000</f>
        <v/>
      </c>
      <c r="F472" s="238">
        <f>B472/30.48</f>
        <v/>
      </c>
      <c r="G472" s="238">
        <f>D472/30.48</f>
        <v/>
      </c>
      <c r="H472" s="613" t="n"/>
      <c r="I472" s="273" t="n"/>
      <c r="J472" s="274" t="n"/>
      <c r="K472" s="275" t="n"/>
      <c r="L472" s="276" t="n"/>
      <c r="M472" s="270" t="n"/>
    </row>
    <row r="473" ht="18" customHeight="1" s="305">
      <c r="A473" s="28" t="inlineStr">
        <is>
          <t>D 941</t>
        </is>
      </c>
      <c r="B473" s="29" t="n">
        <v>54</v>
      </c>
      <c r="C473" s="236" t="inlineStr">
        <is>
          <t>X</t>
        </is>
      </c>
      <c r="D473" s="29" t="n">
        <v>96</v>
      </c>
      <c r="E473" s="237">
        <f>B473*D473/10000</f>
        <v/>
      </c>
      <c r="F473" s="238">
        <f>B473/30.48</f>
        <v/>
      </c>
      <c r="G473" s="238">
        <f>D473/30.48</f>
        <v/>
      </c>
      <c r="H473" s="613" t="n"/>
      <c r="I473" s="273" t="n"/>
      <c r="J473" s="274" t="n"/>
      <c r="K473" s="275" t="n"/>
      <c r="L473" s="276" t="n"/>
      <c r="M473" s="270" t="n"/>
    </row>
    <row r="474" ht="18" customHeight="1" s="305">
      <c r="A474" s="28" t="inlineStr">
        <is>
          <t>D 942</t>
        </is>
      </c>
      <c r="B474" s="29" t="n">
        <v>50</v>
      </c>
      <c r="C474" s="236" t="inlineStr">
        <is>
          <t>X</t>
        </is>
      </c>
      <c r="D474" s="29" t="n">
        <v>82</v>
      </c>
      <c r="E474" s="237">
        <f>B474*D474/10000</f>
        <v/>
      </c>
      <c r="F474" s="238">
        <f>B474/30.48</f>
        <v/>
      </c>
      <c r="G474" s="238">
        <f>D474/30.48</f>
        <v/>
      </c>
      <c r="H474" s="613" t="n"/>
      <c r="I474" s="273" t="n"/>
      <c r="J474" s="274" t="n"/>
      <c r="K474" s="275" t="n"/>
      <c r="L474" s="276" t="n"/>
      <c r="M474" s="270" t="n"/>
    </row>
    <row r="475" ht="18" customHeight="1" s="305">
      <c r="A475" s="28" t="inlineStr">
        <is>
          <t>D 944</t>
        </is>
      </c>
      <c r="B475" s="29" t="n">
        <v>49</v>
      </c>
      <c r="C475" s="236" t="inlineStr">
        <is>
          <t>X</t>
        </is>
      </c>
      <c r="D475" s="29" t="n">
        <v>107</v>
      </c>
      <c r="E475" s="237">
        <f>B475*D475/10000</f>
        <v/>
      </c>
      <c r="F475" s="238">
        <f>B475/30.48</f>
        <v/>
      </c>
      <c r="G475" s="238">
        <f>D475/30.48</f>
        <v/>
      </c>
      <c r="H475" s="613" t="n"/>
      <c r="I475" s="273" t="n"/>
      <c r="J475" s="274" t="n"/>
      <c r="K475" s="275" t="n"/>
      <c r="L475" s="276" t="n"/>
      <c r="M475" s="270" t="n"/>
    </row>
    <row r="476" ht="18" customHeight="1" s="305">
      <c r="A476" s="28" t="inlineStr">
        <is>
          <t>D 945</t>
        </is>
      </c>
      <c r="B476" s="29" t="n">
        <v>51</v>
      </c>
      <c r="C476" s="236" t="inlineStr">
        <is>
          <t>X</t>
        </is>
      </c>
      <c r="D476" s="29" t="n">
        <v>92</v>
      </c>
      <c r="E476" s="237">
        <f>B476*D476/10000</f>
        <v/>
      </c>
      <c r="F476" s="238">
        <f>B476/30.48</f>
        <v/>
      </c>
      <c r="G476" s="238">
        <f>D476/30.48</f>
        <v/>
      </c>
      <c r="H476" s="613" t="n"/>
      <c r="I476" s="273" t="n"/>
      <c r="J476" s="274" t="n"/>
      <c r="K476" s="275" t="n"/>
      <c r="L476" s="276" t="n"/>
      <c r="M476" s="270" t="n"/>
    </row>
    <row r="477" ht="18" customHeight="1" s="305">
      <c r="A477" s="28" t="inlineStr">
        <is>
          <t>D 946</t>
        </is>
      </c>
      <c r="B477" s="29" t="n">
        <v>42</v>
      </c>
      <c r="C477" s="236" t="inlineStr">
        <is>
          <t>X</t>
        </is>
      </c>
      <c r="D477" s="29" t="n">
        <v>81</v>
      </c>
      <c r="E477" s="237">
        <f>B477*D477/10000</f>
        <v/>
      </c>
      <c r="F477" s="238">
        <f>B477/30.48</f>
        <v/>
      </c>
      <c r="G477" s="238">
        <f>D477/30.48</f>
        <v/>
      </c>
      <c r="H477" s="613" t="n"/>
      <c r="I477" s="273" t="n"/>
      <c r="J477" s="274" t="n"/>
      <c r="K477" s="275" t="n"/>
      <c r="L477" s="276" t="n"/>
      <c r="M477" s="270" t="n"/>
    </row>
    <row r="478" ht="18" customHeight="1" s="305">
      <c r="A478" s="28" t="inlineStr">
        <is>
          <t>D 947</t>
        </is>
      </c>
      <c r="B478" s="29" t="n">
        <v>45</v>
      </c>
      <c r="C478" s="236" t="inlineStr">
        <is>
          <t>X</t>
        </is>
      </c>
      <c r="D478" s="29" t="n">
        <v>97</v>
      </c>
      <c r="E478" s="237">
        <f>B478*D478/10000</f>
        <v/>
      </c>
      <c r="F478" s="238">
        <f>B478/30.48</f>
        <v/>
      </c>
      <c r="G478" s="238">
        <f>D478/30.48</f>
        <v/>
      </c>
      <c r="H478" s="613" t="n"/>
      <c r="I478" s="273" t="n"/>
      <c r="J478" s="274" t="n"/>
      <c r="K478" s="275" t="n"/>
      <c r="L478" s="276" t="n"/>
      <c r="M478" s="270" t="n"/>
    </row>
    <row r="479" ht="18" customHeight="1" s="305">
      <c r="A479" s="28" t="inlineStr">
        <is>
          <t>D 948</t>
        </is>
      </c>
      <c r="B479" s="29" t="n">
        <v>44</v>
      </c>
      <c r="C479" s="236" t="inlineStr">
        <is>
          <t>X</t>
        </is>
      </c>
      <c r="D479" s="29" t="n">
        <v>90</v>
      </c>
      <c r="E479" s="237">
        <f>B479*D479/10000</f>
        <v/>
      </c>
      <c r="F479" s="238">
        <f>B479/30.48</f>
        <v/>
      </c>
      <c r="G479" s="238">
        <f>D479/30.48</f>
        <v/>
      </c>
      <c r="H479" s="613" t="n"/>
      <c r="I479" s="273" t="n"/>
      <c r="J479" s="274" t="n"/>
      <c r="K479" s="275" t="n"/>
      <c r="L479" s="276" t="n"/>
      <c r="M479" s="270" t="n"/>
    </row>
    <row r="480" ht="18" customHeight="1" s="305">
      <c r="A480" s="28" t="inlineStr">
        <is>
          <t>D 949</t>
        </is>
      </c>
      <c r="B480" s="29" t="n">
        <v>43</v>
      </c>
      <c r="C480" s="236" t="inlineStr">
        <is>
          <t>X</t>
        </is>
      </c>
      <c r="D480" s="29" t="n">
        <v>93</v>
      </c>
      <c r="E480" s="237">
        <f>B480*D480/10000</f>
        <v/>
      </c>
      <c r="F480" s="238">
        <f>B480/30.48</f>
        <v/>
      </c>
      <c r="G480" s="238">
        <f>D480/30.48</f>
        <v/>
      </c>
      <c r="H480" s="613" t="n"/>
      <c r="I480" s="273" t="n"/>
      <c r="J480" s="274" t="n"/>
      <c r="K480" s="275" t="n"/>
      <c r="L480" s="276" t="n"/>
      <c r="M480" s="270" t="n"/>
    </row>
    <row r="481" ht="18" customHeight="1" s="305">
      <c r="A481" s="28" t="inlineStr">
        <is>
          <t>D 950</t>
        </is>
      </c>
      <c r="B481" s="29" t="n">
        <v>47</v>
      </c>
      <c r="C481" s="236" t="inlineStr">
        <is>
          <t>X</t>
        </is>
      </c>
      <c r="D481" s="29" t="n">
        <v>107</v>
      </c>
      <c r="E481" s="237">
        <f>B481*D481/10000</f>
        <v/>
      </c>
      <c r="F481" s="238">
        <f>B481/30.48</f>
        <v/>
      </c>
      <c r="G481" s="238">
        <f>D481/30.48</f>
        <v/>
      </c>
      <c r="H481" s="613" t="n"/>
      <c r="I481" s="273" t="n"/>
      <c r="J481" s="274" t="n"/>
      <c r="K481" s="275" t="n"/>
      <c r="L481" s="276" t="n"/>
      <c r="M481" s="270" t="n"/>
    </row>
    <row r="482" ht="18" customHeight="1" s="305">
      <c r="A482" s="28" t="inlineStr">
        <is>
          <t>D 951</t>
        </is>
      </c>
      <c r="B482" s="29" t="n">
        <v>52</v>
      </c>
      <c r="C482" s="236" t="inlineStr">
        <is>
          <t>X</t>
        </is>
      </c>
      <c r="D482" s="29" t="n">
        <v>94</v>
      </c>
      <c r="E482" s="237">
        <f>B482*D482/10000</f>
        <v/>
      </c>
      <c r="F482" s="238">
        <f>B482/30.48</f>
        <v/>
      </c>
      <c r="G482" s="238">
        <f>D482/30.48</f>
        <v/>
      </c>
      <c r="H482" s="613" t="n"/>
      <c r="I482" s="273" t="n"/>
      <c r="J482" s="274" t="n"/>
      <c r="K482" s="275" t="n"/>
      <c r="L482" s="276" t="n"/>
      <c r="M482" s="270" t="n"/>
    </row>
    <row r="483" ht="18" customHeight="1" s="305">
      <c r="A483" s="28" t="inlineStr">
        <is>
          <t>D 952</t>
        </is>
      </c>
      <c r="B483" s="29" t="n">
        <v>47</v>
      </c>
      <c r="C483" s="236" t="inlineStr">
        <is>
          <t>X</t>
        </is>
      </c>
      <c r="D483" s="29" t="n">
        <v>95</v>
      </c>
      <c r="E483" s="237">
        <f>B483*D483/10000</f>
        <v/>
      </c>
      <c r="F483" s="238">
        <f>B483/30.48</f>
        <v/>
      </c>
      <c r="G483" s="238">
        <f>D483/30.48</f>
        <v/>
      </c>
      <c r="H483" s="613" t="n"/>
      <c r="I483" s="273" t="n"/>
      <c r="J483" s="274" t="n"/>
      <c r="K483" s="275" t="n"/>
      <c r="L483" s="276" t="n"/>
      <c r="M483" s="270" t="n"/>
    </row>
    <row r="484" ht="18" customHeight="1" s="305">
      <c r="A484" s="28" t="inlineStr">
        <is>
          <t>D 953</t>
        </is>
      </c>
      <c r="B484" s="29" t="n">
        <v>64</v>
      </c>
      <c r="C484" s="236" t="inlineStr">
        <is>
          <t>X</t>
        </is>
      </c>
      <c r="D484" s="29" t="n">
        <v>115</v>
      </c>
      <c r="E484" s="237">
        <f>B484*D484/10000</f>
        <v/>
      </c>
      <c r="F484" s="238">
        <f>B484/30.48</f>
        <v/>
      </c>
      <c r="G484" s="238">
        <f>D484/30.48</f>
        <v/>
      </c>
      <c r="H484" s="613" t="n"/>
      <c r="I484" s="273" t="n"/>
      <c r="J484" s="274" t="n"/>
      <c r="K484" s="275" t="n"/>
      <c r="L484" s="276" t="n"/>
      <c r="M484" s="270" t="n"/>
    </row>
    <row r="485" ht="18" customHeight="1" s="305">
      <c r="A485" s="28" t="inlineStr">
        <is>
          <t>D 955</t>
        </is>
      </c>
      <c r="B485" s="29" t="n">
        <v>47</v>
      </c>
      <c r="C485" s="236" t="inlineStr">
        <is>
          <t>X</t>
        </is>
      </c>
      <c r="D485" s="29" t="n">
        <v>115</v>
      </c>
      <c r="E485" s="237">
        <f>B485*D485/10000</f>
        <v/>
      </c>
      <c r="F485" s="238">
        <f>B485/30.48</f>
        <v/>
      </c>
      <c r="G485" s="238">
        <f>D485/30.48</f>
        <v/>
      </c>
      <c r="H485" s="613" t="n"/>
      <c r="I485" s="273" t="n"/>
      <c r="J485" s="274" t="n"/>
      <c r="K485" s="275" t="n"/>
      <c r="L485" s="276" t="n"/>
      <c r="M485" s="270" t="n"/>
    </row>
    <row r="486" ht="18" customHeight="1" s="305">
      <c r="A486" s="28" t="inlineStr">
        <is>
          <t>D 956</t>
        </is>
      </c>
      <c r="B486" s="29" t="n">
        <v>49</v>
      </c>
      <c r="C486" s="236" t="inlineStr">
        <is>
          <t>X</t>
        </is>
      </c>
      <c r="D486" s="29" t="n">
        <v>80</v>
      </c>
      <c r="E486" s="237">
        <f>B486*D486/10000</f>
        <v/>
      </c>
      <c r="F486" s="238">
        <f>B486/30.48</f>
        <v/>
      </c>
      <c r="G486" s="238">
        <f>D486/30.48</f>
        <v/>
      </c>
      <c r="H486" s="613" t="n"/>
      <c r="I486" s="273" t="n"/>
      <c r="J486" s="274" t="n"/>
      <c r="K486" s="275" t="n"/>
      <c r="L486" s="276" t="n"/>
      <c r="M486" s="270" t="n"/>
    </row>
    <row r="487" ht="18" customHeight="1" s="305">
      <c r="A487" s="28" t="inlineStr">
        <is>
          <t>D 957</t>
        </is>
      </c>
      <c r="B487" s="29" t="n">
        <v>54</v>
      </c>
      <c r="C487" s="236" t="inlineStr">
        <is>
          <t>X</t>
        </is>
      </c>
      <c r="D487" s="29" t="n">
        <v>110</v>
      </c>
      <c r="E487" s="237">
        <f>B487*D487/10000</f>
        <v/>
      </c>
      <c r="F487" s="238">
        <f>B487/30.48</f>
        <v/>
      </c>
      <c r="G487" s="238">
        <f>D487/30.48</f>
        <v/>
      </c>
      <c r="H487" s="613" t="n"/>
      <c r="I487" s="273" t="n"/>
      <c r="J487" s="274" t="n"/>
      <c r="K487" s="275" t="n"/>
      <c r="L487" s="276" t="n"/>
      <c r="M487" s="270" t="n"/>
    </row>
    <row r="488" ht="18" customHeight="1" s="305">
      <c r="A488" s="28" t="inlineStr">
        <is>
          <t>D 959</t>
        </is>
      </c>
      <c r="B488" s="29" t="n">
        <v>52</v>
      </c>
      <c r="C488" s="236" t="inlineStr">
        <is>
          <t>X</t>
        </is>
      </c>
      <c r="D488" s="29" t="n">
        <v>96</v>
      </c>
      <c r="E488" s="237">
        <f>B488*D488/10000</f>
        <v/>
      </c>
      <c r="F488" s="238">
        <f>B488/30.48</f>
        <v/>
      </c>
      <c r="G488" s="238">
        <f>D488/30.48</f>
        <v/>
      </c>
      <c r="H488" s="613" t="n"/>
      <c r="I488" s="273" t="n"/>
      <c r="J488" s="274" t="n"/>
      <c r="K488" s="275" t="n"/>
      <c r="L488" s="276" t="n"/>
      <c r="M488" s="270" t="n"/>
    </row>
    <row r="489" ht="18" customHeight="1" s="305">
      <c r="A489" s="28" t="inlineStr">
        <is>
          <t>D 960</t>
        </is>
      </c>
      <c r="B489" s="29" t="n">
        <v>76</v>
      </c>
      <c r="C489" s="236" t="inlineStr">
        <is>
          <t>X</t>
        </is>
      </c>
      <c r="D489" s="29" t="n">
        <v>125</v>
      </c>
      <c r="E489" s="237">
        <f>B489*D489/10000</f>
        <v/>
      </c>
      <c r="F489" s="238">
        <f>B489/30.48</f>
        <v/>
      </c>
      <c r="G489" s="238">
        <f>D489/30.48</f>
        <v/>
      </c>
      <c r="H489" s="613" t="n"/>
      <c r="I489" s="273" t="n"/>
      <c r="J489" s="274" t="n"/>
      <c r="K489" s="275" t="n"/>
      <c r="L489" s="276" t="n"/>
      <c r="M489" s="270" t="n"/>
    </row>
    <row r="490" ht="18" customHeight="1" s="305">
      <c r="A490" s="28" t="inlineStr">
        <is>
          <t>D 961</t>
        </is>
      </c>
      <c r="B490" s="29" t="n">
        <v>50</v>
      </c>
      <c r="C490" s="236" t="inlineStr">
        <is>
          <t>X</t>
        </is>
      </c>
      <c r="D490" s="29" t="n">
        <v>89</v>
      </c>
      <c r="E490" s="237">
        <f>B490*D490/10000</f>
        <v/>
      </c>
      <c r="F490" s="238">
        <f>B490/30.48</f>
        <v/>
      </c>
      <c r="G490" s="238">
        <f>D490/30.48</f>
        <v/>
      </c>
      <c r="H490" s="613" t="n"/>
      <c r="I490" s="273" t="n"/>
      <c r="J490" s="274" t="n"/>
      <c r="K490" s="275" t="n"/>
      <c r="L490" s="276" t="n"/>
      <c r="M490" s="270" t="n"/>
    </row>
    <row r="491" ht="18" customHeight="1" s="305">
      <c r="A491" s="28" t="inlineStr">
        <is>
          <t>D 962</t>
        </is>
      </c>
      <c r="B491" s="29" t="n">
        <v>43</v>
      </c>
      <c r="C491" s="236" t="inlineStr">
        <is>
          <t>X</t>
        </is>
      </c>
      <c r="D491" s="29" t="n">
        <v>83</v>
      </c>
      <c r="E491" s="237">
        <f>B491*D491/10000</f>
        <v/>
      </c>
      <c r="F491" s="238">
        <f>B491/30.48</f>
        <v/>
      </c>
      <c r="G491" s="238">
        <f>D491/30.48</f>
        <v/>
      </c>
      <c r="H491" s="613" t="n"/>
      <c r="I491" s="273" t="n"/>
      <c r="J491" s="274" t="n"/>
      <c r="K491" s="275" t="n"/>
      <c r="L491" s="276" t="n"/>
      <c r="M491" s="270" t="n"/>
    </row>
    <row r="492" ht="18" customHeight="1" s="305">
      <c r="A492" s="28" t="inlineStr">
        <is>
          <t>D 963</t>
        </is>
      </c>
      <c r="B492" s="29" t="n">
        <v>49</v>
      </c>
      <c r="C492" s="236" t="inlineStr">
        <is>
          <t>X</t>
        </is>
      </c>
      <c r="D492" s="29" t="n">
        <v>84</v>
      </c>
      <c r="E492" s="237">
        <f>B492*D492/10000</f>
        <v/>
      </c>
      <c r="F492" s="238">
        <f>B492/30.48</f>
        <v/>
      </c>
      <c r="G492" s="238">
        <f>D492/30.48</f>
        <v/>
      </c>
      <c r="H492" s="613" t="n"/>
      <c r="I492" s="273" t="n"/>
      <c r="J492" s="274" t="n"/>
      <c r="K492" s="275" t="n"/>
      <c r="L492" s="276" t="n"/>
      <c r="M492" s="270" t="n"/>
    </row>
    <row r="493" ht="18" customHeight="1" s="305">
      <c r="A493" s="28" t="inlineStr">
        <is>
          <t>D 964</t>
        </is>
      </c>
      <c r="B493" s="29" t="n">
        <v>39</v>
      </c>
      <c r="C493" s="236" t="inlineStr">
        <is>
          <t>X</t>
        </is>
      </c>
      <c r="D493" s="29" t="n">
        <v>101</v>
      </c>
      <c r="E493" s="237">
        <f>B493*D493/10000</f>
        <v/>
      </c>
      <c r="F493" s="238">
        <f>B493/30.48</f>
        <v/>
      </c>
      <c r="G493" s="238">
        <f>D493/30.48</f>
        <v/>
      </c>
      <c r="H493" s="613" t="n"/>
      <c r="I493" s="273" t="n"/>
      <c r="J493" s="274" t="n"/>
      <c r="K493" s="275" t="n"/>
      <c r="L493" s="276" t="n"/>
      <c r="M493" s="270" t="n"/>
    </row>
    <row r="494" ht="18" customHeight="1" s="305">
      <c r="A494" s="28" t="inlineStr">
        <is>
          <t>D 965</t>
        </is>
      </c>
      <c r="B494" s="29" t="n">
        <v>44</v>
      </c>
      <c r="C494" s="236" t="inlineStr">
        <is>
          <t>X</t>
        </is>
      </c>
      <c r="D494" s="29" t="n">
        <v>89</v>
      </c>
      <c r="E494" s="237">
        <f>B494*D494/10000</f>
        <v/>
      </c>
      <c r="F494" s="238">
        <f>B494/30.48</f>
        <v/>
      </c>
      <c r="G494" s="238">
        <f>D494/30.48</f>
        <v/>
      </c>
      <c r="H494" s="613" t="n"/>
      <c r="I494" s="273" t="n"/>
      <c r="J494" s="274" t="n"/>
      <c r="K494" s="275" t="n"/>
      <c r="L494" s="276" t="n"/>
      <c r="M494" s="270" t="n"/>
    </row>
    <row r="495" ht="18" customHeight="1" s="305">
      <c r="A495" s="28" t="inlineStr">
        <is>
          <t>D 967</t>
        </is>
      </c>
      <c r="B495" s="29" t="n">
        <v>48</v>
      </c>
      <c r="C495" s="236" t="inlineStr">
        <is>
          <t>X</t>
        </is>
      </c>
      <c r="D495" s="29" t="n">
        <v>78</v>
      </c>
      <c r="E495" s="237">
        <f>B495*D495/10000</f>
        <v/>
      </c>
      <c r="F495" s="238">
        <f>B495/30.48</f>
        <v/>
      </c>
      <c r="G495" s="238">
        <f>D495/30.48</f>
        <v/>
      </c>
      <c r="H495" s="613" t="n"/>
      <c r="I495" s="273" t="n"/>
      <c r="J495" s="274" t="n"/>
      <c r="K495" s="275" t="n"/>
      <c r="L495" s="276" t="n"/>
      <c r="M495" s="270" t="n"/>
    </row>
    <row r="496" ht="18" customHeight="1" s="305">
      <c r="A496" s="28" t="inlineStr">
        <is>
          <t>D 968</t>
        </is>
      </c>
      <c r="B496" s="29" t="n">
        <v>51</v>
      </c>
      <c r="C496" s="236" t="inlineStr">
        <is>
          <t>X</t>
        </is>
      </c>
      <c r="D496" s="29" t="n">
        <v>91</v>
      </c>
      <c r="E496" s="237">
        <f>B496*D496/10000</f>
        <v/>
      </c>
      <c r="F496" s="238">
        <f>B496/30.48</f>
        <v/>
      </c>
      <c r="G496" s="238">
        <f>D496/30.48</f>
        <v/>
      </c>
      <c r="H496" s="613" t="n"/>
      <c r="I496" s="273" t="n"/>
      <c r="J496" s="274" t="n"/>
      <c r="K496" s="275" t="n"/>
      <c r="L496" s="276" t="n"/>
      <c r="M496" s="270" t="n"/>
    </row>
    <row r="497" ht="18" customHeight="1" s="305">
      <c r="A497" s="28" t="inlineStr">
        <is>
          <t>D 972</t>
        </is>
      </c>
      <c r="B497" s="29" t="n">
        <v>49</v>
      </c>
      <c r="C497" s="236" t="inlineStr">
        <is>
          <t>X</t>
        </is>
      </c>
      <c r="D497" s="29" t="n">
        <v>91</v>
      </c>
      <c r="E497" s="237">
        <f>B497*D497/10000</f>
        <v/>
      </c>
      <c r="F497" s="238">
        <f>B497/30.48</f>
        <v/>
      </c>
      <c r="G497" s="238">
        <f>D497/30.48</f>
        <v/>
      </c>
      <c r="H497" s="613" t="n"/>
      <c r="I497" s="273" t="n"/>
      <c r="J497" s="274" t="n"/>
      <c r="K497" s="275" t="n"/>
      <c r="L497" s="276" t="n"/>
      <c r="M497" s="270" t="n"/>
    </row>
    <row r="498" ht="18" customHeight="1" s="305">
      <c r="A498" s="28" t="inlineStr">
        <is>
          <t>D 973</t>
        </is>
      </c>
      <c r="B498" s="29" t="n">
        <v>49</v>
      </c>
      <c r="C498" s="236" t="inlineStr">
        <is>
          <t>X</t>
        </is>
      </c>
      <c r="D498" s="29" t="n">
        <v>83</v>
      </c>
      <c r="E498" s="237">
        <f>B498*D498/10000</f>
        <v/>
      </c>
      <c r="F498" s="238">
        <f>B498/30.48</f>
        <v/>
      </c>
      <c r="G498" s="238">
        <f>D498/30.48</f>
        <v/>
      </c>
      <c r="H498" s="613" t="n"/>
      <c r="I498" s="273" t="n"/>
      <c r="J498" s="274" t="n"/>
      <c r="K498" s="275" t="n"/>
      <c r="L498" s="276" t="n"/>
      <c r="M498" s="270" t="n"/>
    </row>
    <row r="499" ht="18" customHeight="1" s="305">
      <c r="A499" s="28" t="inlineStr">
        <is>
          <t>D 975</t>
        </is>
      </c>
      <c r="B499" s="29" t="n">
        <v>53</v>
      </c>
      <c r="C499" s="236" t="inlineStr">
        <is>
          <t>X</t>
        </is>
      </c>
      <c r="D499" s="29" t="n">
        <v>87</v>
      </c>
      <c r="E499" s="237">
        <f>B499*D499/10000</f>
        <v/>
      </c>
      <c r="F499" s="238">
        <f>B499/30.48</f>
        <v/>
      </c>
      <c r="G499" s="238">
        <f>D499/30.48</f>
        <v/>
      </c>
      <c r="H499" s="613" t="n"/>
      <c r="I499" s="273" t="n"/>
      <c r="J499" s="274" t="n"/>
      <c r="K499" s="275" t="n"/>
      <c r="L499" s="276" t="n"/>
      <c r="M499" s="270" t="n"/>
    </row>
    <row r="500" ht="18" customHeight="1" s="305">
      <c r="A500" s="28" t="inlineStr">
        <is>
          <t>D 977</t>
        </is>
      </c>
      <c r="B500" s="29" t="n">
        <v>47</v>
      </c>
      <c r="C500" s="236" t="inlineStr">
        <is>
          <t>X</t>
        </is>
      </c>
      <c r="D500" s="29" t="n">
        <v>92</v>
      </c>
      <c r="E500" s="237">
        <f>B500*D500/10000</f>
        <v/>
      </c>
      <c r="F500" s="238">
        <f>B500/30.48</f>
        <v/>
      </c>
      <c r="G500" s="238">
        <f>D500/30.48</f>
        <v/>
      </c>
      <c r="H500" s="613" t="n"/>
      <c r="I500" s="273" t="n"/>
      <c r="J500" s="274" t="n"/>
      <c r="K500" s="275" t="n"/>
      <c r="L500" s="276" t="n"/>
      <c r="M500" s="270" t="n"/>
    </row>
    <row r="501" ht="18" customHeight="1" s="305">
      <c r="A501" s="28" t="inlineStr">
        <is>
          <t>D 978</t>
        </is>
      </c>
      <c r="B501" s="29" t="n">
        <v>58</v>
      </c>
      <c r="C501" s="236" t="inlineStr">
        <is>
          <t>X</t>
        </is>
      </c>
      <c r="D501" s="29" t="n">
        <v>92</v>
      </c>
      <c r="E501" s="237">
        <f>B501*D501/10000</f>
        <v/>
      </c>
      <c r="F501" s="238">
        <f>B501/30.48</f>
        <v/>
      </c>
      <c r="G501" s="238">
        <f>D501/30.48</f>
        <v/>
      </c>
      <c r="H501" s="613" t="n"/>
      <c r="I501" s="273" t="n"/>
      <c r="J501" s="274" t="n"/>
      <c r="K501" s="275" t="n"/>
      <c r="L501" s="276" t="n"/>
      <c r="M501" s="270" t="n"/>
    </row>
    <row r="502" ht="18" customHeight="1" s="305">
      <c r="A502" s="28" t="inlineStr">
        <is>
          <t>D 979</t>
        </is>
      </c>
      <c r="B502" s="29" t="n">
        <v>54</v>
      </c>
      <c r="C502" s="236" t="inlineStr">
        <is>
          <t>X</t>
        </is>
      </c>
      <c r="D502" s="29" t="n">
        <v>103</v>
      </c>
      <c r="E502" s="237">
        <f>B502*D502/10000</f>
        <v/>
      </c>
      <c r="F502" s="238">
        <f>B502/30.48</f>
        <v/>
      </c>
      <c r="G502" s="238">
        <f>D502/30.48</f>
        <v/>
      </c>
      <c r="H502" s="613" t="n"/>
      <c r="I502" s="273" t="n"/>
      <c r="J502" s="274" t="n"/>
      <c r="K502" s="275" t="n"/>
      <c r="L502" s="276" t="n"/>
      <c r="M502" s="270" t="n"/>
    </row>
    <row r="503" ht="18" customHeight="1" s="305">
      <c r="A503" s="28" t="inlineStr">
        <is>
          <t>D 980</t>
        </is>
      </c>
      <c r="B503" s="29" t="n">
        <v>38</v>
      </c>
      <c r="C503" s="236" t="inlineStr">
        <is>
          <t>X</t>
        </is>
      </c>
      <c r="D503" s="29" t="n">
        <v>90</v>
      </c>
      <c r="E503" s="237">
        <f>B503*D503/10000</f>
        <v/>
      </c>
      <c r="F503" s="238">
        <f>B503/30.48</f>
        <v/>
      </c>
      <c r="G503" s="238">
        <f>D503/30.48</f>
        <v/>
      </c>
      <c r="H503" s="613" t="n"/>
      <c r="I503" s="273" t="n"/>
      <c r="J503" s="274" t="n"/>
      <c r="K503" s="275" t="n"/>
      <c r="L503" s="276" t="n"/>
      <c r="M503" s="270" t="n"/>
    </row>
    <row r="504" ht="18" customHeight="1" s="305">
      <c r="A504" s="28" t="inlineStr">
        <is>
          <t>D 981</t>
        </is>
      </c>
      <c r="B504" s="29" t="n">
        <v>43</v>
      </c>
      <c r="C504" s="236" t="inlineStr">
        <is>
          <t>X</t>
        </is>
      </c>
      <c r="D504" s="29" t="n">
        <v>95</v>
      </c>
      <c r="E504" s="237">
        <f>B504*D504/10000</f>
        <v/>
      </c>
      <c r="F504" s="238">
        <f>B504/30.48</f>
        <v/>
      </c>
      <c r="G504" s="238">
        <f>D504/30.48</f>
        <v/>
      </c>
      <c r="H504" s="613" t="n"/>
      <c r="I504" s="273" t="n"/>
      <c r="J504" s="274" t="n"/>
      <c r="K504" s="275" t="n"/>
      <c r="L504" s="276" t="n"/>
      <c r="M504" s="270" t="n"/>
    </row>
    <row r="505" ht="18" customHeight="1" s="305">
      <c r="A505" s="28" t="inlineStr">
        <is>
          <t>D 982</t>
        </is>
      </c>
      <c r="B505" s="29" t="n">
        <v>57</v>
      </c>
      <c r="C505" s="236" t="inlineStr">
        <is>
          <t>X</t>
        </is>
      </c>
      <c r="D505" s="29" t="n">
        <v>87</v>
      </c>
      <c r="E505" s="237">
        <f>B505*D505/10000</f>
        <v/>
      </c>
      <c r="F505" s="238">
        <f>B505/30.48</f>
        <v/>
      </c>
      <c r="G505" s="238">
        <f>D505/30.48</f>
        <v/>
      </c>
      <c r="H505" s="613" t="n"/>
      <c r="I505" s="273" t="n"/>
      <c r="J505" s="274" t="n"/>
      <c r="K505" s="275" t="n"/>
      <c r="L505" s="276" t="n"/>
      <c r="M505" s="270" t="n"/>
    </row>
    <row r="506" ht="18" customHeight="1" s="305">
      <c r="A506" s="28" t="inlineStr">
        <is>
          <t>D 983</t>
        </is>
      </c>
      <c r="B506" s="29" t="n">
        <v>48</v>
      </c>
      <c r="C506" s="236" t="inlineStr">
        <is>
          <t>X</t>
        </is>
      </c>
      <c r="D506" s="29" t="n">
        <v>97</v>
      </c>
      <c r="E506" s="237">
        <f>B506*D506/10000</f>
        <v/>
      </c>
      <c r="F506" s="238">
        <f>B506/30.48</f>
        <v/>
      </c>
      <c r="G506" s="238">
        <f>D506/30.48</f>
        <v/>
      </c>
      <c r="H506" s="613" t="n"/>
      <c r="I506" s="273" t="n"/>
      <c r="J506" s="274" t="n"/>
      <c r="K506" s="275" t="n"/>
      <c r="L506" s="276" t="n"/>
      <c r="M506" s="270" t="n"/>
    </row>
    <row r="507" ht="18" customHeight="1" s="305">
      <c r="A507" s="28" t="inlineStr">
        <is>
          <t>D 984</t>
        </is>
      </c>
      <c r="B507" s="29" t="n">
        <v>47</v>
      </c>
      <c r="C507" s="236" t="inlineStr">
        <is>
          <t>X</t>
        </is>
      </c>
      <c r="D507" s="29" t="n">
        <v>90</v>
      </c>
      <c r="E507" s="237">
        <f>B507*D507/10000</f>
        <v/>
      </c>
      <c r="F507" s="238">
        <f>B507/30.48</f>
        <v/>
      </c>
      <c r="G507" s="238">
        <f>D507/30.48</f>
        <v/>
      </c>
      <c r="H507" s="613" t="n"/>
      <c r="I507" s="273" t="n"/>
      <c r="J507" s="274" t="n"/>
      <c r="K507" s="275" t="n"/>
      <c r="L507" s="276" t="n"/>
      <c r="M507" s="270" t="n"/>
    </row>
    <row r="508" ht="18" customHeight="1" s="305">
      <c r="A508" s="28" t="inlineStr">
        <is>
          <t>D 985</t>
        </is>
      </c>
      <c r="B508" s="29" t="n">
        <v>50</v>
      </c>
      <c r="C508" s="236" t="inlineStr">
        <is>
          <t>X</t>
        </is>
      </c>
      <c r="D508" s="29" t="n">
        <v>78</v>
      </c>
      <c r="E508" s="237">
        <f>B508*D508/10000</f>
        <v/>
      </c>
      <c r="F508" s="238">
        <f>B508/30.48</f>
        <v/>
      </c>
      <c r="G508" s="238">
        <f>D508/30.48</f>
        <v/>
      </c>
      <c r="H508" s="613" t="n"/>
      <c r="I508" s="273" t="n"/>
      <c r="J508" s="274" t="n"/>
      <c r="K508" s="275" t="n"/>
      <c r="L508" s="276" t="n"/>
      <c r="M508" s="270" t="n"/>
    </row>
    <row r="509" ht="18" customHeight="1" s="305">
      <c r="A509" s="28" t="inlineStr">
        <is>
          <t>D 986</t>
        </is>
      </c>
      <c r="B509" s="29" t="n">
        <v>53</v>
      </c>
      <c r="C509" s="236" t="inlineStr">
        <is>
          <t>X</t>
        </is>
      </c>
      <c r="D509" s="29" t="n">
        <v>104</v>
      </c>
      <c r="E509" s="237">
        <f>B509*D509/10000</f>
        <v/>
      </c>
      <c r="F509" s="238">
        <f>B509/30.48</f>
        <v/>
      </c>
      <c r="G509" s="238">
        <f>D509/30.48</f>
        <v/>
      </c>
      <c r="H509" s="613" t="n"/>
      <c r="I509" s="273" t="n"/>
      <c r="J509" s="274" t="n"/>
      <c r="K509" s="275" t="n"/>
      <c r="L509" s="276" t="n"/>
      <c r="M509" s="270" t="n"/>
    </row>
    <row r="510" ht="18" customHeight="1" s="305">
      <c r="A510" s="28" t="inlineStr">
        <is>
          <t>D 987</t>
        </is>
      </c>
      <c r="B510" s="29" t="n">
        <v>45</v>
      </c>
      <c r="C510" s="236" t="inlineStr">
        <is>
          <t>X</t>
        </is>
      </c>
      <c r="D510" s="29" t="n">
        <v>98</v>
      </c>
      <c r="E510" s="237">
        <f>B510*D510/10000</f>
        <v/>
      </c>
      <c r="F510" s="238">
        <f>B510/30.48</f>
        <v/>
      </c>
      <c r="G510" s="238">
        <f>D510/30.48</f>
        <v/>
      </c>
      <c r="H510" s="613" t="n"/>
      <c r="I510" s="273" t="n"/>
      <c r="J510" s="274" t="n"/>
      <c r="K510" s="275" t="n"/>
      <c r="L510" s="276" t="n"/>
      <c r="M510" s="270" t="n"/>
    </row>
    <row r="511" ht="18" customHeight="1" s="305">
      <c r="A511" s="28" t="inlineStr">
        <is>
          <t>D 989</t>
        </is>
      </c>
      <c r="B511" s="29" t="n">
        <v>43</v>
      </c>
      <c r="C511" s="236" t="inlineStr">
        <is>
          <t>X</t>
        </is>
      </c>
      <c r="D511" s="29" t="n">
        <v>98</v>
      </c>
      <c r="E511" s="237">
        <f>B511*D511/10000</f>
        <v/>
      </c>
      <c r="F511" s="238">
        <f>B511/30.48</f>
        <v/>
      </c>
      <c r="G511" s="238">
        <f>D511/30.48</f>
        <v/>
      </c>
      <c r="H511" s="613" t="n"/>
      <c r="I511" s="273" t="n"/>
      <c r="J511" s="274" t="n"/>
      <c r="K511" s="275" t="n"/>
      <c r="L511" s="276" t="n"/>
      <c r="M511" s="270" t="n"/>
    </row>
    <row r="512" ht="18" customHeight="1" s="305">
      <c r="A512" s="28" t="inlineStr">
        <is>
          <t>D 991</t>
        </is>
      </c>
      <c r="B512" s="29" t="n">
        <v>56</v>
      </c>
      <c r="C512" s="236" t="inlineStr">
        <is>
          <t>X</t>
        </is>
      </c>
      <c r="D512" s="29" t="n">
        <v>96</v>
      </c>
      <c r="E512" s="237">
        <f>B512*D512/10000</f>
        <v/>
      </c>
      <c r="F512" s="238">
        <f>B512/30.48</f>
        <v/>
      </c>
      <c r="G512" s="238">
        <f>D512/30.48</f>
        <v/>
      </c>
      <c r="H512" s="613" t="n"/>
      <c r="I512" s="273" t="n"/>
      <c r="J512" s="274" t="n"/>
      <c r="K512" s="275" t="n"/>
      <c r="L512" s="276" t="n"/>
      <c r="M512" s="270" t="n"/>
    </row>
    <row r="513" ht="18" customHeight="1" s="305">
      <c r="A513" s="28" t="inlineStr">
        <is>
          <t>D 992</t>
        </is>
      </c>
      <c r="B513" s="29" t="n">
        <v>39</v>
      </c>
      <c r="C513" s="236" t="inlineStr">
        <is>
          <t>X</t>
        </is>
      </c>
      <c r="D513" s="29" t="n">
        <v>83</v>
      </c>
      <c r="E513" s="237">
        <f>B513*D513/10000</f>
        <v/>
      </c>
      <c r="F513" s="238">
        <f>B513/30.48</f>
        <v/>
      </c>
      <c r="G513" s="238">
        <f>D513/30.48</f>
        <v/>
      </c>
      <c r="H513" s="613" t="n"/>
      <c r="I513" s="273" t="n"/>
      <c r="J513" s="274" t="n"/>
      <c r="K513" s="275" t="n"/>
      <c r="L513" s="276" t="n"/>
      <c r="M513" s="270" t="n"/>
    </row>
    <row r="514" ht="18" customHeight="1" s="305">
      <c r="A514" s="28" t="inlineStr">
        <is>
          <t>D 993</t>
        </is>
      </c>
      <c r="B514" s="29" t="n">
        <v>50</v>
      </c>
      <c r="C514" s="236" t="inlineStr">
        <is>
          <t>X</t>
        </is>
      </c>
      <c r="D514" s="29" t="n">
        <v>100</v>
      </c>
      <c r="E514" s="237">
        <f>B514*D514/10000</f>
        <v/>
      </c>
      <c r="F514" s="238">
        <f>B514/30.48</f>
        <v/>
      </c>
      <c r="G514" s="238">
        <f>D514/30.48</f>
        <v/>
      </c>
      <c r="H514" s="613" t="n"/>
      <c r="I514" s="273" t="n"/>
      <c r="J514" s="274" t="n"/>
      <c r="K514" s="275" t="n"/>
      <c r="L514" s="276" t="n"/>
      <c r="M514" s="270" t="n"/>
    </row>
    <row r="515" ht="18" customHeight="1" s="305">
      <c r="A515" s="28" t="inlineStr">
        <is>
          <t>D 994</t>
        </is>
      </c>
      <c r="B515" s="29" t="n">
        <v>46</v>
      </c>
      <c r="C515" s="236" t="inlineStr">
        <is>
          <t>X</t>
        </is>
      </c>
      <c r="D515" s="29" t="n">
        <v>97</v>
      </c>
      <c r="E515" s="237">
        <f>B515*D515/10000</f>
        <v/>
      </c>
      <c r="F515" s="238">
        <f>B515/30.48</f>
        <v/>
      </c>
      <c r="G515" s="238">
        <f>D515/30.48</f>
        <v/>
      </c>
      <c r="H515" s="613" t="n"/>
      <c r="I515" s="273" t="n"/>
      <c r="J515" s="274" t="n"/>
      <c r="K515" s="275" t="n"/>
      <c r="L515" s="276" t="n"/>
      <c r="M515" s="270" t="n"/>
    </row>
    <row r="516" ht="18" customHeight="1" s="305">
      <c r="A516" s="28" t="inlineStr">
        <is>
          <t>D 995</t>
        </is>
      </c>
      <c r="B516" s="29" t="n">
        <v>39</v>
      </c>
      <c r="C516" s="236" t="inlineStr">
        <is>
          <t>X</t>
        </is>
      </c>
      <c r="D516" s="29" t="n">
        <v>88</v>
      </c>
      <c r="E516" s="237">
        <f>B516*D516/10000</f>
        <v/>
      </c>
      <c r="F516" s="238">
        <f>B516/30.48</f>
        <v/>
      </c>
      <c r="G516" s="238">
        <f>D516/30.48</f>
        <v/>
      </c>
      <c r="H516" s="613" t="n"/>
      <c r="I516" s="273" t="n"/>
      <c r="J516" s="274" t="n"/>
      <c r="K516" s="275" t="n"/>
      <c r="L516" s="276" t="n"/>
      <c r="M516" s="270" t="n"/>
    </row>
    <row r="517" ht="18" customHeight="1" s="305">
      <c r="A517" s="28" t="inlineStr">
        <is>
          <t>D 996</t>
        </is>
      </c>
      <c r="B517" s="29" t="n">
        <v>51</v>
      </c>
      <c r="C517" s="236" t="inlineStr">
        <is>
          <t>X</t>
        </is>
      </c>
      <c r="D517" s="29" t="n">
        <v>98</v>
      </c>
      <c r="E517" s="237">
        <f>B517*D517/10000</f>
        <v/>
      </c>
      <c r="F517" s="238">
        <f>B517/30.48</f>
        <v/>
      </c>
      <c r="G517" s="238">
        <f>D517/30.48</f>
        <v/>
      </c>
      <c r="H517" s="613" t="n"/>
      <c r="I517" s="273" t="n"/>
      <c r="J517" s="274" t="n"/>
      <c r="K517" s="275" t="n"/>
      <c r="L517" s="276" t="n"/>
      <c r="M517" s="270" t="n"/>
    </row>
    <row r="518" ht="18" customHeight="1" s="305">
      <c r="A518" s="28" t="inlineStr">
        <is>
          <t>D 998</t>
        </is>
      </c>
      <c r="B518" s="29" t="n">
        <v>49</v>
      </c>
      <c r="C518" s="236" t="inlineStr">
        <is>
          <t>X</t>
        </is>
      </c>
      <c r="D518" s="29" t="n">
        <v>100</v>
      </c>
      <c r="E518" s="237">
        <f>B518*D518/10000</f>
        <v/>
      </c>
      <c r="F518" s="238">
        <f>B518/30.48</f>
        <v/>
      </c>
      <c r="G518" s="238">
        <f>D518/30.48</f>
        <v/>
      </c>
      <c r="H518" s="613" t="n"/>
      <c r="I518" s="273" t="n"/>
      <c r="J518" s="274" t="n"/>
      <c r="K518" s="275" t="n"/>
      <c r="L518" s="276" t="n"/>
      <c r="M518" s="270" t="n"/>
    </row>
    <row r="519" ht="18" customHeight="1" s="305">
      <c r="A519" s="28" t="inlineStr">
        <is>
          <t>D 999</t>
        </is>
      </c>
      <c r="B519" s="29" t="n">
        <v>48</v>
      </c>
      <c r="C519" s="236" t="inlineStr">
        <is>
          <t>X</t>
        </is>
      </c>
      <c r="D519" s="29" t="n">
        <v>86</v>
      </c>
      <c r="E519" s="237">
        <f>B519*D519/10000</f>
        <v/>
      </c>
      <c r="F519" s="238">
        <f>B519/30.48</f>
        <v/>
      </c>
      <c r="G519" s="238">
        <f>D519/30.48</f>
        <v/>
      </c>
      <c r="H519" s="613" t="n"/>
      <c r="I519" s="273" t="n"/>
      <c r="J519" s="274" t="n"/>
      <c r="K519" s="275" t="n"/>
      <c r="L519" s="276" t="n"/>
      <c r="M519" s="270" t="n"/>
    </row>
    <row r="520" ht="18" customHeight="1" s="305">
      <c r="A520" s="28" t="inlineStr">
        <is>
          <t>D 1000</t>
        </is>
      </c>
      <c r="B520" s="29" t="n">
        <v>50</v>
      </c>
      <c r="C520" s="236" t="inlineStr">
        <is>
          <t>X</t>
        </is>
      </c>
      <c r="D520" s="29" t="n">
        <v>106</v>
      </c>
      <c r="E520" s="237">
        <f>B520*D520/10000</f>
        <v/>
      </c>
      <c r="F520" s="238">
        <f>B520/30.48</f>
        <v/>
      </c>
      <c r="G520" s="238">
        <f>D520/30.48</f>
        <v/>
      </c>
      <c r="H520" s="613" t="n"/>
      <c r="I520" s="273" t="n"/>
      <c r="J520" s="274" t="n"/>
      <c r="K520" s="275" t="n"/>
      <c r="L520" s="276" t="n"/>
      <c r="M520" s="270" t="n"/>
    </row>
    <row r="521" ht="18" customHeight="1" s="305">
      <c r="A521" s="28" t="inlineStr">
        <is>
          <t>D 1001</t>
        </is>
      </c>
      <c r="B521" s="29" t="n">
        <v>49</v>
      </c>
      <c r="C521" s="236" t="inlineStr">
        <is>
          <t>X</t>
        </is>
      </c>
      <c r="D521" s="29" t="n">
        <v>84</v>
      </c>
      <c r="E521" s="237">
        <f>B521*D521/10000</f>
        <v/>
      </c>
      <c r="F521" s="238">
        <f>B521/30.48</f>
        <v/>
      </c>
      <c r="G521" s="238">
        <f>D521/30.48</f>
        <v/>
      </c>
      <c r="H521" s="613" t="n"/>
      <c r="I521" s="273" t="n"/>
      <c r="J521" s="274" t="n"/>
      <c r="K521" s="275" t="n"/>
      <c r="L521" s="276" t="n"/>
      <c r="M521" s="270" t="n"/>
    </row>
    <row r="522" ht="18" customHeight="1" s="305">
      <c r="A522" s="28" t="inlineStr">
        <is>
          <t>D 1002</t>
        </is>
      </c>
      <c r="B522" s="29" t="n">
        <v>51</v>
      </c>
      <c r="C522" s="236" t="inlineStr">
        <is>
          <t>X</t>
        </is>
      </c>
      <c r="D522" s="29" t="n">
        <v>100</v>
      </c>
      <c r="E522" s="237">
        <f>B522*D522/10000</f>
        <v/>
      </c>
      <c r="F522" s="238">
        <f>B522/30.48</f>
        <v/>
      </c>
      <c r="G522" s="238">
        <f>D522/30.48</f>
        <v/>
      </c>
      <c r="H522" s="613" t="n"/>
      <c r="I522" s="273" t="n"/>
      <c r="J522" s="274" t="n"/>
      <c r="K522" s="275" t="n"/>
      <c r="L522" s="276" t="n"/>
      <c r="M522" s="270" t="n"/>
    </row>
    <row r="523" ht="18" customHeight="1" s="305">
      <c r="A523" s="28" t="inlineStr">
        <is>
          <t>D 1003</t>
        </is>
      </c>
      <c r="B523" s="29" t="n">
        <v>56</v>
      </c>
      <c r="C523" s="236" t="inlineStr">
        <is>
          <t>X</t>
        </is>
      </c>
      <c r="D523" s="29" t="n">
        <v>99</v>
      </c>
      <c r="E523" s="237">
        <f>B523*D523/10000</f>
        <v/>
      </c>
      <c r="F523" s="238">
        <f>B523/30.48</f>
        <v/>
      </c>
      <c r="G523" s="238">
        <f>D523/30.48</f>
        <v/>
      </c>
      <c r="H523" s="613" t="n"/>
      <c r="I523" s="273" t="n"/>
      <c r="J523" s="274" t="n"/>
      <c r="K523" s="275" t="n"/>
      <c r="L523" s="276" t="n"/>
      <c r="M523" s="270" t="n"/>
    </row>
    <row r="524" ht="18" customHeight="1" s="305">
      <c r="A524" s="28" t="inlineStr">
        <is>
          <t>D 1004</t>
        </is>
      </c>
      <c r="B524" s="29" t="n">
        <v>51</v>
      </c>
      <c r="C524" s="236" t="inlineStr">
        <is>
          <t>X</t>
        </is>
      </c>
      <c r="D524" s="29" t="n">
        <v>109</v>
      </c>
      <c r="E524" s="237">
        <f>B524*D524/10000</f>
        <v/>
      </c>
      <c r="F524" s="238">
        <f>B524/30.48</f>
        <v/>
      </c>
      <c r="G524" s="238">
        <f>D524/30.48</f>
        <v/>
      </c>
      <c r="H524" s="613" t="n"/>
      <c r="I524" s="273" t="n"/>
      <c r="J524" s="274" t="n"/>
      <c r="K524" s="275" t="n"/>
      <c r="L524" s="276" t="n"/>
      <c r="M524" s="270" t="n"/>
    </row>
    <row r="525" ht="18" customHeight="1" s="305">
      <c r="A525" s="28" t="inlineStr">
        <is>
          <t>D 1005</t>
        </is>
      </c>
      <c r="B525" s="29" t="n">
        <v>45</v>
      </c>
      <c r="C525" s="236" t="inlineStr">
        <is>
          <t>X</t>
        </is>
      </c>
      <c r="D525" s="29" t="n">
        <v>73</v>
      </c>
      <c r="E525" s="237">
        <f>B525*D525/10000</f>
        <v/>
      </c>
      <c r="F525" s="238">
        <f>B525/30.48</f>
        <v/>
      </c>
      <c r="G525" s="238">
        <f>D525/30.48</f>
        <v/>
      </c>
      <c r="H525" s="613" t="n"/>
      <c r="I525" s="273" t="n"/>
      <c r="J525" s="274" t="n"/>
      <c r="K525" s="275" t="n"/>
      <c r="L525" s="276" t="n"/>
      <c r="M525" s="270" t="n"/>
    </row>
    <row r="526" ht="18" customHeight="1" s="305">
      <c r="A526" s="28" t="inlineStr">
        <is>
          <t>D 1006</t>
        </is>
      </c>
      <c r="B526" s="29" t="n">
        <v>47</v>
      </c>
      <c r="C526" s="236" t="inlineStr">
        <is>
          <t>X</t>
        </is>
      </c>
      <c r="D526" s="29" t="n">
        <v>103</v>
      </c>
      <c r="E526" s="237">
        <f>B526*D526/10000</f>
        <v/>
      </c>
      <c r="F526" s="238">
        <f>B526/30.48</f>
        <v/>
      </c>
      <c r="G526" s="238">
        <f>D526/30.48</f>
        <v/>
      </c>
      <c r="H526" s="613" t="n"/>
      <c r="I526" s="273" t="n"/>
      <c r="J526" s="274" t="n"/>
      <c r="K526" s="275" t="n"/>
      <c r="L526" s="276" t="n"/>
      <c r="M526" s="270" t="n"/>
    </row>
    <row r="527" ht="18" customHeight="1" s="305">
      <c r="A527" s="28" t="inlineStr">
        <is>
          <t>D 1010</t>
        </is>
      </c>
      <c r="B527" s="29" t="n">
        <v>45</v>
      </c>
      <c r="C527" s="236" t="inlineStr">
        <is>
          <t>X</t>
        </is>
      </c>
      <c r="D527" s="29" t="n">
        <v>94</v>
      </c>
      <c r="E527" s="237">
        <f>B527*D527/10000</f>
        <v/>
      </c>
      <c r="F527" s="238">
        <f>B527/30.48</f>
        <v/>
      </c>
      <c r="G527" s="238">
        <f>D527/30.48</f>
        <v/>
      </c>
      <c r="H527" s="613" t="n"/>
      <c r="I527" s="273" t="n"/>
      <c r="J527" s="274" t="n"/>
      <c r="K527" s="275" t="n"/>
      <c r="L527" s="276" t="n"/>
      <c r="M527" s="270" t="n"/>
    </row>
    <row r="528" ht="18" customHeight="1" s="305">
      <c r="A528" s="28" t="inlineStr">
        <is>
          <t>D 1011</t>
        </is>
      </c>
      <c r="B528" s="29" t="n">
        <v>50</v>
      </c>
      <c r="C528" s="236" t="inlineStr">
        <is>
          <t>X</t>
        </is>
      </c>
      <c r="D528" s="29" t="n">
        <v>93</v>
      </c>
      <c r="E528" s="237">
        <f>B528*D528/10000</f>
        <v/>
      </c>
      <c r="F528" s="238">
        <f>B528/30.48</f>
        <v/>
      </c>
      <c r="G528" s="238">
        <f>D528/30.48</f>
        <v/>
      </c>
      <c r="H528" s="613" t="n"/>
      <c r="I528" s="273" t="n"/>
      <c r="J528" s="274" t="n"/>
      <c r="K528" s="275" t="n"/>
      <c r="L528" s="276" t="n"/>
      <c r="M528" s="270" t="n"/>
    </row>
    <row r="529" ht="18" customHeight="1" s="305">
      <c r="A529" s="28" t="inlineStr">
        <is>
          <t>D 1012</t>
        </is>
      </c>
      <c r="B529" s="29" t="n">
        <v>48</v>
      </c>
      <c r="C529" s="236" t="inlineStr">
        <is>
          <t>X</t>
        </is>
      </c>
      <c r="D529" s="29" t="n">
        <v>87</v>
      </c>
      <c r="E529" s="237">
        <f>B529*D529/10000</f>
        <v/>
      </c>
      <c r="F529" s="238">
        <f>B529/30.48</f>
        <v/>
      </c>
      <c r="G529" s="238">
        <f>D529/30.48</f>
        <v/>
      </c>
      <c r="H529" s="613" t="n"/>
      <c r="I529" s="273" t="n"/>
      <c r="J529" s="274" t="n"/>
      <c r="K529" s="275" t="n"/>
      <c r="L529" s="276" t="n"/>
      <c r="M529" s="270" t="n"/>
    </row>
    <row r="530" ht="18" customHeight="1" s="305">
      <c r="A530" s="28" t="inlineStr">
        <is>
          <t>D 1013</t>
        </is>
      </c>
      <c r="B530" s="29" t="n">
        <v>51</v>
      </c>
      <c r="C530" s="236" t="inlineStr">
        <is>
          <t>X</t>
        </is>
      </c>
      <c r="D530" s="29" t="n">
        <v>84</v>
      </c>
      <c r="E530" s="237">
        <f>B530*D530/10000</f>
        <v/>
      </c>
      <c r="F530" s="238">
        <f>B530/30.48</f>
        <v/>
      </c>
      <c r="G530" s="238">
        <f>D530/30.48</f>
        <v/>
      </c>
      <c r="H530" s="613" t="n"/>
      <c r="I530" s="273" t="n"/>
      <c r="J530" s="274" t="n"/>
      <c r="K530" s="275" t="n"/>
      <c r="L530" s="276" t="n"/>
      <c r="M530" s="270" t="n"/>
    </row>
    <row r="531" ht="18" customHeight="1" s="305">
      <c r="A531" s="28" t="inlineStr">
        <is>
          <t>D 1016</t>
        </is>
      </c>
      <c r="B531" s="29" t="n">
        <v>37</v>
      </c>
      <c r="C531" s="236" t="inlineStr">
        <is>
          <t>X</t>
        </is>
      </c>
      <c r="D531" s="29" t="n">
        <v>68</v>
      </c>
      <c r="E531" s="237">
        <f>B531*D531/10000</f>
        <v/>
      </c>
      <c r="F531" s="238">
        <f>B531/30.48</f>
        <v/>
      </c>
      <c r="G531" s="238">
        <f>D531/30.48</f>
        <v/>
      </c>
      <c r="H531" s="613" t="n"/>
      <c r="I531" s="273" t="n"/>
      <c r="J531" s="274" t="n"/>
      <c r="K531" s="275" t="n"/>
      <c r="L531" s="276" t="n"/>
      <c r="M531" s="270" t="n"/>
    </row>
    <row r="532" ht="18" customHeight="1" s="305">
      <c r="A532" s="28" t="inlineStr">
        <is>
          <t>D 1017</t>
        </is>
      </c>
      <c r="B532" s="29" t="n">
        <v>53</v>
      </c>
      <c r="C532" s="236" t="inlineStr">
        <is>
          <t>X</t>
        </is>
      </c>
      <c r="D532" s="29" t="n">
        <v>99</v>
      </c>
      <c r="E532" s="237">
        <f>B532*D532/10000</f>
        <v/>
      </c>
      <c r="F532" s="238">
        <f>B532/30.48</f>
        <v/>
      </c>
      <c r="G532" s="238">
        <f>D532/30.48</f>
        <v/>
      </c>
      <c r="H532" s="613" t="n"/>
      <c r="I532" s="273" t="n"/>
      <c r="J532" s="274" t="n"/>
      <c r="K532" s="275" t="n"/>
      <c r="L532" s="276" t="n"/>
      <c r="M532" s="270" t="n"/>
    </row>
    <row r="533" ht="18" customHeight="1" s="305">
      <c r="A533" s="28" t="inlineStr">
        <is>
          <t>D 1018</t>
        </is>
      </c>
      <c r="B533" s="29" t="n">
        <v>56</v>
      </c>
      <c r="C533" s="236" t="inlineStr">
        <is>
          <t>X</t>
        </is>
      </c>
      <c r="D533" s="29" t="n">
        <v>90</v>
      </c>
      <c r="E533" s="237">
        <f>B533*D533/10000</f>
        <v/>
      </c>
      <c r="F533" s="238">
        <f>B533/30.48</f>
        <v/>
      </c>
      <c r="G533" s="238">
        <f>D533/30.48</f>
        <v/>
      </c>
      <c r="H533" s="613" t="n"/>
      <c r="I533" s="273" t="n"/>
      <c r="J533" s="274" t="n"/>
      <c r="K533" s="275" t="n"/>
      <c r="L533" s="276" t="n"/>
      <c r="M533" s="270" t="n"/>
    </row>
    <row r="534" ht="18" customHeight="1" s="305">
      <c r="A534" s="28" t="inlineStr">
        <is>
          <t>D 1020</t>
        </is>
      </c>
      <c r="B534" s="29" t="n">
        <v>41</v>
      </c>
      <c r="C534" s="236" t="inlineStr">
        <is>
          <t>X</t>
        </is>
      </c>
      <c r="D534" s="29" t="n">
        <v>87</v>
      </c>
      <c r="E534" s="237">
        <f>B534*D534/10000</f>
        <v/>
      </c>
      <c r="F534" s="238">
        <f>B534/30.48</f>
        <v/>
      </c>
      <c r="G534" s="238">
        <f>D534/30.48</f>
        <v/>
      </c>
      <c r="H534" s="613" t="n"/>
      <c r="I534" s="273" t="n"/>
      <c r="J534" s="274" t="n"/>
      <c r="K534" s="275" t="n"/>
      <c r="L534" s="276" t="n"/>
      <c r="M534" s="270" t="n"/>
    </row>
    <row r="535" ht="18" customHeight="1" s="305">
      <c r="A535" s="28" t="inlineStr">
        <is>
          <t>D 1021</t>
        </is>
      </c>
      <c r="B535" s="29" t="n">
        <v>40</v>
      </c>
      <c r="C535" s="236" t="inlineStr">
        <is>
          <t>X</t>
        </is>
      </c>
      <c r="D535" s="29" t="n">
        <v>86</v>
      </c>
      <c r="E535" s="237">
        <f>B535*D535/10000</f>
        <v/>
      </c>
      <c r="F535" s="238">
        <f>B535/30.48</f>
        <v/>
      </c>
      <c r="G535" s="238">
        <f>D535/30.48</f>
        <v/>
      </c>
      <c r="H535" s="613" t="n"/>
      <c r="I535" s="273" t="n"/>
      <c r="J535" s="274" t="n"/>
      <c r="K535" s="275" t="n"/>
      <c r="L535" s="276" t="n"/>
      <c r="M535" s="270" t="n"/>
    </row>
    <row r="536" ht="18" customHeight="1" s="305">
      <c r="A536" s="28" t="inlineStr">
        <is>
          <t>D 1022</t>
        </is>
      </c>
      <c r="B536" s="29" t="n">
        <v>50</v>
      </c>
      <c r="C536" s="236" t="inlineStr">
        <is>
          <t>X</t>
        </is>
      </c>
      <c r="D536" s="29" t="n">
        <v>94</v>
      </c>
      <c r="E536" s="237">
        <f>B536*D536/10000</f>
        <v/>
      </c>
      <c r="F536" s="238">
        <f>B536/30.48</f>
        <v/>
      </c>
      <c r="G536" s="238">
        <f>D536/30.48</f>
        <v/>
      </c>
      <c r="H536" s="613" t="n"/>
      <c r="I536" s="273" t="n"/>
      <c r="J536" s="274" t="n"/>
      <c r="K536" s="275" t="n"/>
      <c r="L536" s="276" t="n"/>
      <c r="M536" s="270" t="n"/>
    </row>
    <row r="537" ht="18" customHeight="1" s="305">
      <c r="A537" s="28" t="inlineStr">
        <is>
          <t>D 1023</t>
        </is>
      </c>
      <c r="B537" s="29" t="n">
        <v>47</v>
      </c>
      <c r="C537" s="236" t="inlineStr">
        <is>
          <t>X</t>
        </is>
      </c>
      <c r="D537" s="29" t="n">
        <v>70</v>
      </c>
      <c r="E537" s="237">
        <f>B537*D537/10000</f>
        <v/>
      </c>
      <c r="F537" s="238">
        <f>B537/30.48</f>
        <v/>
      </c>
      <c r="G537" s="238">
        <f>D537/30.48</f>
        <v/>
      </c>
      <c r="H537" s="613" t="n"/>
      <c r="I537" s="273" t="n"/>
      <c r="J537" s="274" t="n"/>
      <c r="K537" s="275" t="n"/>
      <c r="L537" s="276" t="n"/>
      <c r="M537" s="270" t="n"/>
    </row>
    <row r="538" ht="18" customHeight="1" s="305">
      <c r="A538" s="28" t="inlineStr">
        <is>
          <t>D 1024</t>
        </is>
      </c>
      <c r="B538" s="29" t="n">
        <v>58</v>
      </c>
      <c r="C538" s="236" t="inlineStr">
        <is>
          <t>X</t>
        </is>
      </c>
      <c r="D538" s="29" t="n">
        <v>98</v>
      </c>
      <c r="E538" s="237">
        <f>B538*D538/10000</f>
        <v/>
      </c>
      <c r="F538" s="238">
        <f>B538/30.48</f>
        <v/>
      </c>
      <c r="G538" s="238">
        <f>D538/30.48</f>
        <v/>
      </c>
      <c r="H538" s="613" t="n"/>
      <c r="I538" s="273" t="n"/>
      <c r="J538" s="274" t="n"/>
      <c r="K538" s="275" t="n"/>
      <c r="L538" s="276" t="n"/>
      <c r="M538" s="270" t="n"/>
    </row>
    <row r="539" ht="18" customHeight="1" s="305">
      <c r="A539" s="28" t="inlineStr">
        <is>
          <t>D 1026</t>
        </is>
      </c>
      <c r="B539" s="29" t="n">
        <v>48</v>
      </c>
      <c r="C539" s="236" t="inlineStr">
        <is>
          <t>X</t>
        </is>
      </c>
      <c r="D539" s="29" t="n">
        <v>95</v>
      </c>
      <c r="E539" s="237">
        <f>B539*D539/10000</f>
        <v/>
      </c>
      <c r="F539" s="238">
        <f>B539/30.48</f>
        <v/>
      </c>
      <c r="G539" s="238">
        <f>D539/30.48</f>
        <v/>
      </c>
      <c r="H539" s="613" t="n"/>
      <c r="I539" s="273" t="n"/>
      <c r="J539" s="274" t="n"/>
      <c r="K539" s="275" t="n"/>
      <c r="L539" s="276" t="n"/>
      <c r="M539" s="270" t="n"/>
    </row>
    <row r="540" ht="18" customHeight="1" s="305">
      <c r="A540" s="28" t="inlineStr">
        <is>
          <t>D 1027</t>
        </is>
      </c>
      <c r="B540" s="29" t="n">
        <v>55</v>
      </c>
      <c r="C540" s="236" t="inlineStr">
        <is>
          <t>X</t>
        </is>
      </c>
      <c r="D540" s="29" t="n">
        <v>103</v>
      </c>
      <c r="E540" s="237">
        <f>B540*D540/10000</f>
        <v/>
      </c>
      <c r="F540" s="238">
        <f>B540/30.48</f>
        <v/>
      </c>
      <c r="G540" s="238">
        <f>D540/30.48</f>
        <v/>
      </c>
      <c r="H540" s="613" t="n"/>
      <c r="I540" s="273" t="n"/>
      <c r="J540" s="274" t="n"/>
      <c r="K540" s="275" t="n"/>
      <c r="L540" s="276" t="n"/>
      <c r="M540" s="270" t="n"/>
    </row>
    <row r="541" ht="18" customHeight="1" s="305">
      <c r="A541" s="28" t="inlineStr">
        <is>
          <t>D 1028</t>
        </is>
      </c>
      <c r="B541" s="29" t="n">
        <v>52</v>
      </c>
      <c r="C541" s="236" t="inlineStr">
        <is>
          <t>X</t>
        </is>
      </c>
      <c r="D541" s="29" t="n">
        <v>100</v>
      </c>
      <c r="E541" s="237">
        <f>B541*D541/10000</f>
        <v/>
      </c>
      <c r="F541" s="238">
        <f>B541/30.48</f>
        <v/>
      </c>
      <c r="G541" s="238">
        <f>D541/30.48</f>
        <v/>
      </c>
      <c r="H541" s="613" t="n"/>
      <c r="I541" s="273" t="n"/>
      <c r="J541" s="274" t="n"/>
      <c r="K541" s="275" t="n"/>
      <c r="L541" s="276" t="n"/>
      <c r="M541" s="270" t="n"/>
    </row>
    <row r="542" ht="18" customHeight="1" s="305">
      <c r="A542" s="28" t="inlineStr">
        <is>
          <t>D 1029</t>
        </is>
      </c>
      <c r="B542" s="29" t="n">
        <v>62</v>
      </c>
      <c r="C542" s="236" t="inlineStr">
        <is>
          <t>X</t>
        </is>
      </c>
      <c r="D542" s="29" t="n">
        <v>78</v>
      </c>
      <c r="E542" s="237">
        <f>B542*D542/10000</f>
        <v/>
      </c>
      <c r="F542" s="238">
        <f>B542/30.48</f>
        <v/>
      </c>
      <c r="G542" s="238">
        <f>D542/30.48</f>
        <v/>
      </c>
      <c r="H542" s="613" t="n"/>
      <c r="I542" s="273" t="n"/>
      <c r="J542" s="274" t="n"/>
      <c r="K542" s="275" t="n"/>
      <c r="L542" s="276" t="n"/>
      <c r="M542" s="270" t="n"/>
    </row>
    <row r="543" ht="18" customHeight="1" s="305">
      <c r="A543" s="28" t="inlineStr">
        <is>
          <t>D 1030</t>
        </is>
      </c>
      <c r="B543" s="29" t="n">
        <v>57</v>
      </c>
      <c r="C543" s="236" t="inlineStr">
        <is>
          <t>X</t>
        </is>
      </c>
      <c r="D543" s="29" t="n">
        <v>103</v>
      </c>
      <c r="E543" s="237">
        <f>B543*D543/10000</f>
        <v/>
      </c>
      <c r="F543" s="238">
        <f>B543/30.48</f>
        <v/>
      </c>
      <c r="G543" s="238">
        <f>D543/30.48</f>
        <v/>
      </c>
      <c r="H543" s="613" t="n"/>
      <c r="I543" s="273" t="n"/>
      <c r="J543" s="274" t="n"/>
      <c r="K543" s="275" t="n"/>
      <c r="L543" s="276" t="n"/>
      <c r="M543" s="270" t="n"/>
    </row>
    <row r="544" ht="18" customHeight="1" s="305">
      <c r="A544" s="28" t="inlineStr">
        <is>
          <t>D 1031</t>
        </is>
      </c>
      <c r="B544" s="29" t="n">
        <v>54</v>
      </c>
      <c r="C544" s="236" t="inlineStr">
        <is>
          <t>X</t>
        </is>
      </c>
      <c r="D544" s="29" t="n">
        <v>100</v>
      </c>
      <c r="E544" s="237">
        <f>B544*D544/10000</f>
        <v/>
      </c>
      <c r="F544" s="238">
        <f>B544/30.48</f>
        <v/>
      </c>
      <c r="G544" s="238">
        <f>D544/30.48</f>
        <v/>
      </c>
      <c r="H544" s="613" t="n"/>
      <c r="I544" s="273" t="n"/>
      <c r="J544" s="274" t="n"/>
      <c r="K544" s="275" t="n"/>
      <c r="L544" s="276" t="n"/>
      <c r="M544" s="270" t="n"/>
    </row>
    <row r="545" ht="18" customHeight="1" s="305">
      <c r="A545" s="28" t="inlineStr">
        <is>
          <t>D 1032</t>
        </is>
      </c>
      <c r="B545" s="29" t="n">
        <v>45</v>
      </c>
      <c r="C545" s="236" t="inlineStr">
        <is>
          <t>X</t>
        </is>
      </c>
      <c r="D545" s="29" t="n">
        <v>84</v>
      </c>
      <c r="E545" s="237">
        <f>B545*D545/10000</f>
        <v/>
      </c>
      <c r="F545" s="238">
        <f>B545/30.48</f>
        <v/>
      </c>
      <c r="G545" s="238">
        <f>D545/30.48</f>
        <v/>
      </c>
      <c r="H545" s="613" t="n"/>
      <c r="I545" s="273" t="n"/>
      <c r="J545" s="274" t="n"/>
      <c r="K545" s="275" t="n"/>
      <c r="L545" s="276" t="n"/>
      <c r="M545" s="270" t="n"/>
    </row>
    <row r="546" ht="18" customHeight="1" s="305">
      <c r="A546" s="28" t="inlineStr">
        <is>
          <t>D 1033</t>
        </is>
      </c>
      <c r="B546" s="29" t="n">
        <v>49</v>
      </c>
      <c r="C546" s="236" t="inlineStr">
        <is>
          <t>X</t>
        </is>
      </c>
      <c r="D546" s="29" t="n">
        <v>106</v>
      </c>
      <c r="E546" s="237">
        <f>B546*D546/10000</f>
        <v/>
      </c>
      <c r="F546" s="238">
        <f>B546/30.48</f>
        <v/>
      </c>
      <c r="G546" s="238">
        <f>D546/30.48</f>
        <v/>
      </c>
      <c r="H546" s="613" t="n"/>
      <c r="I546" s="273" t="n"/>
      <c r="J546" s="274" t="n"/>
      <c r="K546" s="275" t="n"/>
      <c r="L546" s="276" t="n"/>
      <c r="M546" s="270" t="n"/>
    </row>
    <row r="547" ht="18" customHeight="1" s="305">
      <c r="A547" s="28" t="inlineStr">
        <is>
          <t>D 1034</t>
        </is>
      </c>
      <c r="B547" s="29" t="n">
        <v>54</v>
      </c>
      <c r="C547" s="236" t="inlineStr">
        <is>
          <t>X</t>
        </is>
      </c>
      <c r="D547" s="29" t="n">
        <v>92</v>
      </c>
      <c r="E547" s="237">
        <f>B547*D547/10000</f>
        <v/>
      </c>
      <c r="F547" s="238">
        <f>B547/30.48</f>
        <v/>
      </c>
      <c r="G547" s="238">
        <f>D547/30.48</f>
        <v/>
      </c>
      <c r="H547" s="613" t="n"/>
      <c r="I547" s="273" t="n"/>
      <c r="J547" s="274" t="n"/>
      <c r="K547" s="275" t="n"/>
      <c r="L547" s="276" t="n"/>
      <c r="M547" s="270" t="n"/>
    </row>
    <row r="548" ht="18" customHeight="1" s="305">
      <c r="A548" s="28" t="inlineStr">
        <is>
          <t>D 1035</t>
        </is>
      </c>
      <c r="B548" s="29" t="n">
        <v>48</v>
      </c>
      <c r="C548" s="236" t="inlineStr">
        <is>
          <t>X</t>
        </is>
      </c>
      <c r="D548" s="29" t="n">
        <v>96</v>
      </c>
      <c r="E548" s="237">
        <f>B548*D548/10000</f>
        <v/>
      </c>
      <c r="F548" s="238">
        <f>B548/30.48</f>
        <v/>
      </c>
      <c r="G548" s="238">
        <f>D548/30.48</f>
        <v/>
      </c>
      <c r="H548" s="613" t="n"/>
      <c r="I548" s="273" t="n"/>
      <c r="J548" s="274" t="n"/>
      <c r="K548" s="275" t="n"/>
      <c r="L548" s="276" t="n"/>
      <c r="M548" s="270" t="n"/>
    </row>
    <row r="549" ht="18" customHeight="1" s="305">
      <c r="A549" s="28" t="inlineStr">
        <is>
          <t>D 1036</t>
        </is>
      </c>
      <c r="B549" s="29" t="n">
        <v>46</v>
      </c>
      <c r="C549" s="236" t="inlineStr">
        <is>
          <t>X</t>
        </is>
      </c>
      <c r="D549" s="29" t="n">
        <v>93</v>
      </c>
      <c r="E549" s="237">
        <f>B549*D549/10000</f>
        <v/>
      </c>
      <c r="F549" s="238">
        <f>B549/30.48</f>
        <v/>
      </c>
      <c r="G549" s="238">
        <f>D549/30.48</f>
        <v/>
      </c>
      <c r="H549" s="613" t="n"/>
      <c r="I549" s="273" t="n"/>
      <c r="J549" s="274" t="n"/>
      <c r="K549" s="275" t="n"/>
      <c r="L549" s="276" t="n"/>
      <c r="M549" s="270" t="n"/>
    </row>
    <row r="550" ht="18" customHeight="1" s="305">
      <c r="A550" s="28" t="inlineStr">
        <is>
          <t>D 1037</t>
        </is>
      </c>
      <c r="B550" s="29" t="n">
        <v>73</v>
      </c>
      <c r="C550" s="236" t="inlineStr">
        <is>
          <t>X</t>
        </is>
      </c>
      <c r="D550" s="29" t="n">
        <v>123</v>
      </c>
      <c r="E550" s="237">
        <f>B550*D550/10000</f>
        <v/>
      </c>
      <c r="F550" s="238">
        <f>B550/30.48</f>
        <v/>
      </c>
      <c r="G550" s="238">
        <f>D550/30.48</f>
        <v/>
      </c>
      <c r="H550" s="613" t="n"/>
      <c r="I550" s="273" t="n"/>
      <c r="J550" s="274" t="n"/>
      <c r="K550" s="275" t="n"/>
      <c r="L550" s="276" t="n"/>
      <c r="M550" s="270" t="n"/>
    </row>
    <row r="551" ht="18" customHeight="1" s="305">
      <c r="A551" s="28" t="inlineStr">
        <is>
          <t>D 1038</t>
        </is>
      </c>
      <c r="B551" s="29" t="n">
        <v>57</v>
      </c>
      <c r="C551" s="236" t="inlineStr">
        <is>
          <t>X</t>
        </is>
      </c>
      <c r="D551" s="29" t="n">
        <v>81</v>
      </c>
      <c r="E551" s="237">
        <f>B551*D551/10000</f>
        <v/>
      </c>
      <c r="F551" s="238">
        <f>B551/30.48</f>
        <v/>
      </c>
      <c r="G551" s="238">
        <f>D551/30.48</f>
        <v/>
      </c>
      <c r="H551" s="613" t="n"/>
      <c r="I551" s="273" t="n"/>
      <c r="J551" s="274" t="n"/>
      <c r="K551" s="275" t="n"/>
      <c r="L551" s="276" t="n"/>
      <c r="M551" s="270" t="n"/>
    </row>
    <row r="552" ht="18" customHeight="1" s="305">
      <c r="A552" s="28" t="inlineStr">
        <is>
          <t>D 1042</t>
        </is>
      </c>
      <c r="B552" s="29" t="n">
        <v>41</v>
      </c>
      <c r="C552" s="236" t="inlineStr">
        <is>
          <t>X</t>
        </is>
      </c>
      <c r="D552" s="29" t="n">
        <v>89</v>
      </c>
      <c r="E552" s="237">
        <f>B552*D552/10000</f>
        <v/>
      </c>
      <c r="F552" s="238">
        <f>B552/30.48</f>
        <v/>
      </c>
      <c r="G552" s="238">
        <f>D552/30.48</f>
        <v/>
      </c>
      <c r="H552" s="613" t="n"/>
      <c r="I552" s="273" t="n"/>
      <c r="J552" s="274" t="n"/>
      <c r="K552" s="275" t="n"/>
      <c r="L552" s="276" t="n"/>
      <c r="M552" s="270" t="n"/>
    </row>
    <row r="553" ht="18" customHeight="1" s="305">
      <c r="A553" s="28" t="inlineStr">
        <is>
          <t>D 1043</t>
        </is>
      </c>
      <c r="B553" s="29" t="n">
        <v>50</v>
      </c>
      <c r="C553" s="236" t="inlineStr">
        <is>
          <t>X</t>
        </is>
      </c>
      <c r="D553" s="29" t="n">
        <v>94</v>
      </c>
      <c r="E553" s="237">
        <f>B553*D553/10000</f>
        <v/>
      </c>
      <c r="F553" s="238">
        <f>B553/30.48</f>
        <v/>
      </c>
      <c r="G553" s="238">
        <f>D553/30.48</f>
        <v/>
      </c>
      <c r="H553" s="613" t="n"/>
      <c r="I553" s="273" t="n"/>
      <c r="J553" s="274" t="n"/>
      <c r="K553" s="275" t="n"/>
      <c r="L553" s="276" t="n"/>
      <c r="M553" s="270" t="n"/>
    </row>
    <row r="554" ht="18" customHeight="1" s="305">
      <c r="A554" s="28" t="inlineStr">
        <is>
          <t>D 1045</t>
        </is>
      </c>
      <c r="B554" s="29" t="n">
        <v>48</v>
      </c>
      <c r="C554" s="236" t="inlineStr">
        <is>
          <t>X</t>
        </is>
      </c>
      <c r="D554" s="29" t="n">
        <v>103</v>
      </c>
      <c r="E554" s="237">
        <f>B554*D554/10000</f>
        <v/>
      </c>
      <c r="F554" s="238">
        <f>B554/30.48</f>
        <v/>
      </c>
      <c r="G554" s="238">
        <f>D554/30.48</f>
        <v/>
      </c>
      <c r="H554" s="613" t="n"/>
      <c r="I554" s="273" t="n"/>
      <c r="J554" s="274" t="n"/>
      <c r="K554" s="275" t="n"/>
      <c r="L554" s="276" t="n"/>
      <c r="M554" s="270" t="n"/>
    </row>
    <row r="555" ht="18" customHeight="1" s="305">
      <c r="A555" s="28" t="inlineStr">
        <is>
          <t>D 1046</t>
        </is>
      </c>
      <c r="B555" s="29" t="n">
        <v>61</v>
      </c>
      <c r="C555" s="236" t="inlineStr">
        <is>
          <t>X</t>
        </is>
      </c>
      <c r="D555" s="29" t="n">
        <v>108</v>
      </c>
      <c r="E555" s="237">
        <f>B555*D555/10000</f>
        <v/>
      </c>
      <c r="F555" s="238">
        <f>B555/30.48</f>
        <v/>
      </c>
      <c r="G555" s="238">
        <f>D555/30.48</f>
        <v/>
      </c>
      <c r="H555" s="613" t="n"/>
      <c r="I555" s="273" t="n"/>
      <c r="J555" s="274" t="n"/>
      <c r="K555" s="275" t="n"/>
      <c r="L555" s="276" t="n"/>
      <c r="M555" s="270" t="n"/>
    </row>
    <row r="556" ht="18" customHeight="1" s="305">
      <c r="A556" s="28" t="inlineStr">
        <is>
          <t>D 1047</t>
        </is>
      </c>
      <c r="B556" s="29" t="n">
        <v>50</v>
      </c>
      <c r="C556" s="236" t="inlineStr">
        <is>
          <t>X</t>
        </is>
      </c>
      <c r="D556" s="29" t="n">
        <v>96</v>
      </c>
      <c r="E556" s="237">
        <f>B556*D556/10000</f>
        <v/>
      </c>
      <c r="F556" s="238">
        <f>B556/30.48</f>
        <v/>
      </c>
      <c r="G556" s="238">
        <f>D556/30.48</f>
        <v/>
      </c>
      <c r="H556" s="613" t="n"/>
      <c r="I556" s="273" t="n"/>
      <c r="J556" s="274" t="n"/>
      <c r="K556" s="275" t="n"/>
      <c r="L556" s="276" t="n"/>
      <c r="M556" s="270" t="n"/>
    </row>
    <row r="557" ht="18" customHeight="1" s="305">
      <c r="A557" s="28" t="inlineStr">
        <is>
          <t>D 1048</t>
        </is>
      </c>
      <c r="B557" s="29" t="n">
        <v>50</v>
      </c>
      <c r="C557" s="236" t="inlineStr">
        <is>
          <t>X</t>
        </is>
      </c>
      <c r="D557" s="29" t="n">
        <v>84</v>
      </c>
      <c r="E557" s="237">
        <f>B557*D557/10000</f>
        <v/>
      </c>
      <c r="F557" s="238">
        <f>B557/30.48</f>
        <v/>
      </c>
      <c r="G557" s="238">
        <f>D557/30.48</f>
        <v/>
      </c>
      <c r="H557" s="613" t="n"/>
      <c r="I557" s="273" t="n"/>
      <c r="J557" s="274" t="n"/>
      <c r="K557" s="275" t="n"/>
      <c r="L557" s="276" t="n"/>
      <c r="M557" s="270" t="n"/>
    </row>
    <row r="558" ht="18" customHeight="1" s="305">
      <c r="A558" s="28" t="inlineStr">
        <is>
          <t>D 1049</t>
        </is>
      </c>
      <c r="B558" s="29" t="n">
        <v>45</v>
      </c>
      <c r="C558" s="236" t="inlineStr">
        <is>
          <t>X</t>
        </is>
      </c>
      <c r="D558" s="29" t="n">
        <v>88</v>
      </c>
      <c r="E558" s="237">
        <f>B558*D558/10000</f>
        <v/>
      </c>
      <c r="F558" s="238">
        <f>B558/30.48</f>
        <v/>
      </c>
      <c r="G558" s="238">
        <f>D558/30.48</f>
        <v/>
      </c>
      <c r="H558" s="613" t="n"/>
      <c r="I558" s="273" t="n"/>
      <c r="J558" s="274" t="n"/>
      <c r="K558" s="275" t="n"/>
      <c r="L558" s="276" t="n"/>
      <c r="M558" s="270" t="n"/>
    </row>
    <row r="559" ht="18" customHeight="1" s="305">
      <c r="A559" s="28" t="inlineStr">
        <is>
          <t>D 1051</t>
        </is>
      </c>
      <c r="B559" s="29" t="n">
        <v>43</v>
      </c>
      <c r="C559" s="236" t="inlineStr">
        <is>
          <t>X</t>
        </is>
      </c>
      <c r="D559" s="29" t="n">
        <v>83</v>
      </c>
      <c r="E559" s="237">
        <f>B559*D559/10000</f>
        <v/>
      </c>
      <c r="F559" s="238">
        <f>B559/30.48</f>
        <v/>
      </c>
      <c r="G559" s="238">
        <f>D559/30.48</f>
        <v/>
      </c>
      <c r="H559" s="613" t="n"/>
      <c r="I559" s="273" t="n"/>
      <c r="J559" s="274" t="n"/>
      <c r="K559" s="275" t="n"/>
      <c r="L559" s="276" t="n"/>
      <c r="M559" s="270" t="n"/>
    </row>
    <row r="560" ht="18" customHeight="1" s="305">
      <c r="A560" s="28" t="inlineStr">
        <is>
          <t>D 1052</t>
        </is>
      </c>
      <c r="B560" s="29" t="n">
        <v>51</v>
      </c>
      <c r="C560" s="236" t="inlineStr">
        <is>
          <t>X</t>
        </is>
      </c>
      <c r="D560" s="29" t="n">
        <v>85</v>
      </c>
      <c r="E560" s="237">
        <f>B560*D560/10000</f>
        <v/>
      </c>
      <c r="F560" s="238">
        <f>B560/30.48</f>
        <v/>
      </c>
      <c r="G560" s="238">
        <f>D560/30.48</f>
        <v/>
      </c>
      <c r="H560" s="613" t="n"/>
      <c r="I560" s="273" t="n"/>
      <c r="J560" s="274" t="n"/>
      <c r="K560" s="275" t="n"/>
      <c r="L560" s="276" t="n"/>
      <c r="M560" s="270" t="n"/>
    </row>
    <row r="561" ht="18" customHeight="1" s="305">
      <c r="A561" s="28" t="inlineStr">
        <is>
          <t>D 1053</t>
        </is>
      </c>
      <c r="B561" s="29" t="n">
        <v>45</v>
      </c>
      <c r="C561" s="236" t="inlineStr">
        <is>
          <t>X</t>
        </is>
      </c>
      <c r="D561" s="29" t="n">
        <v>90</v>
      </c>
      <c r="E561" s="237">
        <f>B561*D561/10000</f>
        <v/>
      </c>
      <c r="F561" s="238">
        <f>B561/30.48</f>
        <v/>
      </c>
      <c r="G561" s="238">
        <f>D561/30.48</f>
        <v/>
      </c>
      <c r="H561" s="613" t="n"/>
      <c r="I561" s="273" t="n"/>
      <c r="J561" s="274" t="n"/>
      <c r="K561" s="275" t="n"/>
      <c r="L561" s="276" t="n"/>
      <c r="M561" s="270" t="n"/>
    </row>
    <row r="562" ht="18" customHeight="1" s="305">
      <c r="A562" s="28" t="inlineStr">
        <is>
          <t>D 1054</t>
        </is>
      </c>
      <c r="B562" s="29" t="n">
        <v>47</v>
      </c>
      <c r="C562" s="236" t="inlineStr">
        <is>
          <t>X</t>
        </is>
      </c>
      <c r="D562" s="29" t="n">
        <v>98</v>
      </c>
      <c r="E562" s="237">
        <f>B562*D562/10000</f>
        <v/>
      </c>
      <c r="F562" s="238">
        <f>B562/30.48</f>
        <v/>
      </c>
      <c r="G562" s="238">
        <f>D562/30.48</f>
        <v/>
      </c>
      <c r="H562" s="613" t="n"/>
      <c r="I562" s="273" t="n"/>
      <c r="J562" s="274" t="n"/>
      <c r="K562" s="275" t="n"/>
      <c r="L562" s="276" t="n"/>
      <c r="M562" s="270" t="n"/>
    </row>
    <row r="563" ht="18" customHeight="1" s="305">
      <c r="A563" s="28" t="inlineStr">
        <is>
          <t>D 1059</t>
        </is>
      </c>
      <c r="B563" s="29" t="n">
        <v>55</v>
      </c>
      <c r="C563" s="236" t="inlineStr">
        <is>
          <t>X</t>
        </is>
      </c>
      <c r="D563" s="29" t="n">
        <v>92</v>
      </c>
      <c r="E563" s="237">
        <f>B563*D563/10000</f>
        <v/>
      </c>
      <c r="F563" s="238">
        <f>B563/30.48</f>
        <v/>
      </c>
      <c r="G563" s="238">
        <f>D563/30.48</f>
        <v/>
      </c>
      <c r="H563" s="613" t="n"/>
      <c r="I563" s="273" t="n"/>
      <c r="J563" s="274" t="n"/>
      <c r="K563" s="275" t="n"/>
      <c r="L563" s="276" t="n"/>
      <c r="M563" s="270" t="n"/>
    </row>
    <row r="564" ht="18" customHeight="1" s="305">
      <c r="A564" s="28" t="inlineStr">
        <is>
          <t>D 1060</t>
        </is>
      </c>
      <c r="B564" s="29" t="n">
        <v>70</v>
      </c>
      <c r="C564" s="236" t="inlineStr">
        <is>
          <t>X</t>
        </is>
      </c>
      <c r="D564" s="29" t="n">
        <v>74</v>
      </c>
      <c r="E564" s="237">
        <f>B564*D564/10000</f>
        <v/>
      </c>
      <c r="F564" s="238">
        <f>B564/30.48</f>
        <v/>
      </c>
      <c r="G564" s="238">
        <f>D564/30.48</f>
        <v/>
      </c>
      <c r="H564" s="613" t="n"/>
      <c r="I564" s="273" t="n"/>
      <c r="J564" s="274" t="n"/>
      <c r="K564" s="275" t="n"/>
      <c r="L564" s="276" t="n"/>
      <c r="M564" s="270" t="n"/>
    </row>
    <row r="565" ht="18" customHeight="1" s="305">
      <c r="A565" s="28" t="inlineStr">
        <is>
          <t>D 1061</t>
        </is>
      </c>
      <c r="B565" s="29" t="n">
        <v>43</v>
      </c>
      <c r="C565" s="236" t="inlineStr">
        <is>
          <t>X</t>
        </is>
      </c>
      <c r="D565" s="29" t="n">
        <v>56</v>
      </c>
      <c r="E565" s="237">
        <f>B565*D565/10000</f>
        <v/>
      </c>
      <c r="F565" s="238">
        <f>B565/30.48</f>
        <v/>
      </c>
      <c r="G565" s="238">
        <f>D565/30.48</f>
        <v/>
      </c>
      <c r="H565" s="613" t="n"/>
      <c r="I565" s="273" t="n"/>
      <c r="J565" s="274" t="n"/>
      <c r="K565" s="275" t="n"/>
      <c r="L565" s="276" t="n"/>
      <c r="M565" s="270" t="n"/>
    </row>
    <row r="566" ht="18" customHeight="1" s="305">
      <c r="A566" s="28" t="inlineStr">
        <is>
          <t>D 1062</t>
        </is>
      </c>
      <c r="B566" s="29" t="n">
        <v>48</v>
      </c>
      <c r="C566" s="236" t="inlineStr">
        <is>
          <t>X</t>
        </is>
      </c>
      <c r="D566" s="29" t="n">
        <v>96</v>
      </c>
      <c r="E566" s="237">
        <f>B566*D566/10000</f>
        <v/>
      </c>
      <c r="F566" s="238">
        <f>B566/30.48</f>
        <v/>
      </c>
      <c r="G566" s="238">
        <f>D566/30.48</f>
        <v/>
      </c>
      <c r="H566" s="613" t="n"/>
      <c r="I566" s="273" t="n"/>
      <c r="J566" s="274" t="n"/>
      <c r="K566" s="275" t="n"/>
      <c r="L566" s="276" t="n"/>
      <c r="M566" s="270" t="n"/>
    </row>
    <row r="567" ht="18" customHeight="1" s="305">
      <c r="A567" s="28" t="inlineStr">
        <is>
          <t>D 1063</t>
        </is>
      </c>
      <c r="B567" s="29" t="n">
        <v>44</v>
      </c>
      <c r="C567" s="236" t="inlineStr">
        <is>
          <t>X</t>
        </is>
      </c>
      <c r="D567" s="29" t="n">
        <v>90</v>
      </c>
      <c r="E567" s="237">
        <f>B567*D567/10000</f>
        <v/>
      </c>
      <c r="F567" s="238">
        <f>B567/30.48</f>
        <v/>
      </c>
      <c r="G567" s="238">
        <f>D567/30.48</f>
        <v/>
      </c>
      <c r="H567" s="613" t="n"/>
      <c r="I567" s="273" t="n"/>
      <c r="J567" s="274" t="n"/>
      <c r="K567" s="275" t="n"/>
      <c r="L567" s="276" t="n"/>
      <c r="M567" s="270" t="n"/>
    </row>
    <row r="568" ht="18" customHeight="1" s="305">
      <c r="A568" s="28" t="inlineStr">
        <is>
          <t>D 1065</t>
        </is>
      </c>
      <c r="B568" s="29" t="n">
        <v>57</v>
      </c>
      <c r="C568" s="236" t="inlineStr">
        <is>
          <t>X</t>
        </is>
      </c>
      <c r="D568" s="29" t="n">
        <v>113</v>
      </c>
      <c r="E568" s="237">
        <f>B568*D568/10000</f>
        <v/>
      </c>
      <c r="F568" s="238">
        <f>B568/30.48</f>
        <v/>
      </c>
      <c r="G568" s="238">
        <f>D568/30.48</f>
        <v/>
      </c>
      <c r="H568" s="613" t="n"/>
      <c r="I568" s="273" t="n"/>
      <c r="J568" s="274" t="n"/>
      <c r="K568" s="275" t="n"/>
      <c r="L568" s="276" t="n"/>
      <c r="M568" s="270" t="n"/>
    </row>
    <row r="569" ht="18" customHeight="1" s="305">
      <c r="A569" s="28" t="inlineStr">
        <is>
          <t>D 1066</t>
        </is>
      </c>
      <c r="B569" s="29" t="n">
        <v>56</v>
      </c>
      <c r="C569" s="236" t="inlineStr">
        <is>
          <t>X</t>
        </is>
      </c>
      <c r="D569" s="29" t="n">
        <v>117</v>
      </c>
      <c r="E569" s="237">
        <f>B569*D569/10000</f>
        <v/>
      </c>
      <c r="F569" s="238">
        <f>B569/30.48</f>
        <v/>
      </c>
      <c r="G569" s="238">
        <f>D569/30.48</f>
        <v/>
      </c>
      <c r="H569" s="613" t="n"/>
      <c r="I569" s="273" t="n"/>
      <c r="J569" s="274" t="n"/>
      <c r="K569" s="275" t="n"/>
      <c r="L569" s="276" t="n"/>
      <c r="M569" s="270" t="n"/>
    </row>
    <row r="570" ht="18" customHeight="1" s="305">
      <c r="A570" s="28" t="inlineStr">
        <is>
          <t>D 1067</t>
        </is>
      </c>
      <c r="B570" s="29" t="n">
        <v>51</v>
      </c>
      <c r="C570" s="236" t="inlineStr">
        <is>
          <t>X</t>
        </is>
      </c>
      <c r="D570" s="29" t="n">
        <v>89</v>
      </c>
      <c r="E570" s="237">
        <f>B570*D570/10000</f>
        <v/>
      </c>
      <c r="F570" s="238">
        <f>B570/30.48</f>
        <v/>
      </c>
      <c r="G570" s="238">
        <f>D570/30.48</f>
        <v/>
      </c>
      <c r="H570" s="613" t="n"/>
      <c r="I570" s="273" t="n"/>
      <c r="J570" s="274" t="n"/>
      <c r="K570" s="275" t="n"/>
      <c r="L570" s="276" t="n"/>
      <c r="M570" s="270" t="n"/>
    </row>
    <row r="571" ht="18" customHeight="1" s="305">
      <c r="A571" s="28" t="inlineStr">
        <is>
          <t xml:space="preserve">D 1070 </t>
        </is>
      </c>
      <c r="B571" s="29" t="n">
        <v>53</v>
      </c>
      <c r="C571" s="236" t="inlineStr">
        <is>
          <t>X</t>
        </is>
      </c>
      <c r="D571" s="29" t="n">
        <v>94</v>
      </c>
      <c r="E571" s="237">
        <f>B571*D571/10000</f>
        <v/>
      </c>
      <c r="F571" s="238">
        <f>B571/30.48</f>
        <v/>
      </c>
      <c r="G571" s="238">
        <f>D571/30.48</f>
        <v/>
      </c>
      <c r="H571" s="613" t="n"/>
      <c r="I571" s="273" t="n"/>
      <c r="J571" s="274" t="n"/>
      <c r="K571" s="275" t="n"/>
      <c r="L571" s="276" t="n"/>
      <c r="M571" s="270" t="n"/>
    </row>
    <row r="572" ht="18" customHeight="1" s="305">
      <c r="A572" s="28" t="inlineStr">
        <is>
          <t>D 1071</t>
        </is>
      </c>
      <c r="B572" s="29" t="n">
        <v>54</v>
      </c>
      <c r="C572" s="236" t="inlineStr">
        <is>
          <t>X</t>
        </is>
      </c>
      <c r="D572" s="29" t="n">
        <v>94</v>
      </c>
      <c r="E572" s="237">
        <f>B572*D572/10000</f>
        <v/>
      </c>
      <c r="F572" s="238">
        <f>B572/30.48</f>
        <v/>
      </c>
      <c r="G572" s="238">
        <f>D572/30.48</f>
        <v/>
      </c>
      <c r="H572" s="613" t="n"/>
      <c r="I572" s="273" t="n"/>
      <c r="J572" s="274" t="n"/>
      <c r="K572" s="275" t="n"/>
      <c r="L572" s="276" t="n"/>
      <c r="M572" s="270" t="n"/>
    </row>
    <row r="573" ht="18" customHeight="1" s="305">
      <c r="A573" s="28" t="inlineStr">
        <is>
          <t>D 1072</t>
        </is>
      </c>
      <c r="B573" s="29" t="n">
        <v>50</v>
      </c>
      <c r="C573" s="236" t="inlineStr">
        <is>
          <t>X</t>
        </is>
      </c>
      <c r="D573" s="29" t="n">
        <v>96</v>
      </c>
      <c r="E573" s="237">
        <f>B573*D573/10000</f>
        <v/>
      </c>
      <c r="F573" s="238">
        <f>B573/30.48</f>
        <v/>
      </c>
      <c r="G573" s="238">
        <f>D573/30.48</f>
        <v/>
      </c>
      <c r="H573" s="613" t="n"/>
      <c r="I573" s="273" t="n"/>
      <c r="J573" s="274" t="n"/>
      <c r="K573" s="275" t="n"/>
      <c r="L573" s="276" t="n"/>
      <c r="M573" s="270" t="n"/>
    </row>
    <row r="574" ht="18" customHeight="1" s="305">
      <c r="A574" s="28" t="inlineStr">
        <is>
          <t>D 1073</t>
        </is>
      </c>
      <c r="B574" s="29" t="n">
        <v>53</v>
      </c>
      <c r="C574" s="236" t="inlineStr">
        <is>
          <t>X</t>
        </is>
      </c>
      <c r="D574" s="29" t="n">
        <v>98</v>
      </c>
      <c r="E574" s="237">
        <f>B574*D574/10000</f>
        <v/>
      </c>
      <c r="F574" s="238">
        <f>B574/30.48</f>
        <v/>
      </c>
      <c r="G574" s="238">
        <f>D574/30.48</f>
        <v/>
      </c>
      <c r="H574" s="613" t="n"/>
      <c r="I574" s="273" t="n"/>
      <c r="J574" s="274" t="n"/>
      <c r="K574" s="275" t="n"/>
      <c r="L574" s="276" t="n"/>
      <c r="M574" s="270" t="n"/>
    </row>
    <row r="575" ht="18" customHeight="1" s="305">
      <c r="A575" s="28" t="inlineStr">
        <is>
          <t>D 1074</t>
        </is>
      </c>
      <c r="B575" s="29" t="n">
        <v>63</v>
      </c>
      <c r="C575" s="236" t="inlineStr">
        <is>
          <t>X</t>
        </is>
      </c>
      <c r="D575" s="29" t="n">
        <v>95</v>
      </c>
      <c r="E575" s="237">
        <f>B575*D575/10000</f>
        <v/>
      </c>
      <c r="F575" s="238">
        <f>B575/30.48</f>
        <v/>
      </c>
      <c r="G575" s="238">
        <f>D575/30.48</f>
        <v/>
      </c>
      <c r="H575" s="613" t="n"/>
      <c r="I575" s="273" t="n"/>
      <c r="J575" s="274" t="n"/>
      <c r="K575" s="275" t="n"/>
      <c r="L575" s="276" t="n"/>
      <c r="M575" s="270" t="n"/>
    </row>
    <row r="576" ht="18" customHeight="1" s="305">
      <c r="A576" s="28" t="inlineStr">
        <is>
          <t>D 1077</t>
        </is>
      </c>
      <c r="B576" s="29" t="n">
        <v>57</v>
      </c>
      <c r="C576" s="236" t="inlineStr">
        <is>
          <t>X</t>
        </is>
      </c>
      <c r="D576" s="29" t="n">
        <v>102</v>
      </c>
      <c r="E576" s="237">
        <f>B576*D576/10000</f>
        <v/>
      </c>
      <c r="F576" s="238">
        <f>B576/30.48</f>
        <v/>
      </c>
      <c r="G576" s="238">
        <f>D576/30.48</f>
        <v/>
      </c>
      <c r="H576" s="613" t="n"/>
      <c r="I576" s="273" t="n"/>
      <c r="J576" s="274" t="n"/>
      <c r="K576" s="275" t="n"/>
      <c r="L576" s="276" t="n"/>
      <c r="M576" s="270" t="n"/>
    </row>
    <row r="577" ht="18" customHeight="1" s="305">
      <c r="A577" s="28" t="inlineStr">
        <is>
          <t>D 1078</t>
        </is>
      </c>
      <c r="B577" s="29" t="n">
        <v>43</v>
      </c>
      <c r="C577" s="236" t="inlineStr">
        <is>
          <t>X</t>
        </is>
      </c>
      <c r="D577" s="29" t="n">
        <v>88</v>
      </c>
      <c r="E577" s="237">
        <f>B577*D577/10000</f>
        <v/>
      </c>
      <c r="F577" s="238">
        <f>B577/30.48</f>
        <v/>
      </c>
      <c r="G577" s="238">
        <f>D577/30.48</f>
        <v/>
      </c>
      <c r="H577" s="613" t="n"/>
      <c r="I577" s="273" t="n"/>
      <c r="J577" s="274" t="n"/>
      <c r="K577" s="275" t="n"/>
      <c r="L577" s="276" t="n"/>
      <c r="M577" s="270" t="n"/>
    </row>
    <row r="578" ht="18" customHeight="1" s="305">
      <c r="A578" s="28" t="inlineStr">
        <is>
          <t>D 1079</t>
        </is>
      </c>
      <c r="B578" s="29" t="n">
        <v>43</v>
      </c>
      <c r="C578" s="236" t="inlineStr">
        <is>
          <t>X</t>
        </is>
      </c>
      <c r="D578" s="29" t="n">
        <v>77</v>
      </c>
      <c r="E578" s="237">
        <f>B578*D578/10000</f>
        <v/>
      </c>
      <c r="F578" s="238">
        <f>B578/30.48</f>
        <v/>
      </c>
      <c r="G578" s="238">
        <f>D578/30.48</f>
        <v/>
      </c>
      <c r="H578" s="613" t="n"/>
      <c r="I578" s="273" t="n"/>
      <c r="J578" s="274" t="n"/>
      <c r="K578" s="275" t="n"/>
      <c r="L578" s="276" t="n"/>
      <c r="M578" s="270" t="n"/>
    </row>
    <row r="579" ht="18" customHeight="1" s="305">
      <c r="A579" s="28" t="inlineStr">
        <is>
          <t>D 1080</t>
        </is>
      </c>
      <c r="B579" s="29" t="n">
        <v>47</v>
      </c>
      <c r="C579" s="236" t="inlineStr">
        <is>
          <t>X</t>
        </is>
      </c>
      <c r="D579" s="29" t="n">
        <v>87</v>
      </c>
      <c r="E579" s="237">
        <f>B579*D579/10000</f>
        <v/>
      </c>
      <c r="F579" s="238">
        <f>B579/30.48</f>
        <v/>
      </c>
      <c r="G579" s="238">
        <f>D579/30.48</f>
        <v/>
      </c>
      <c r="H579" s="613" t="n"/>
      <c r="I579" s="273" t="n"/>
      <c r="J579" s="274" t="n"/>
      <c r="K579" s="275" t="n"/>
      <c r="L579" s="276" t="n"/>
      <c r="M579" s="270" t="n"/>
    </row>
    <row r="580" ht="18" customHeight="1" s="305">
      <c r="A580" s="28" t="inlineStr">
        <is>
          <t>D 1081</t>
        </is>
      </c>
      <c r="B580" s="29" t="n">
        <v>55</v>
      </c>
      <c r="C580" s="236" t="inlineStr">
        <is>
          <t>X</t>
        </is>
      </c>
      <c r="D580" s="29" t="n">
        <v>95</v>
      </c>
      <c r="E580" s="237">
        <f>B580*D580/10000</f>
        <v/>
      </c>
      <c r="F580" s="238">
        <f>B580/30.48</f>
        <v/>
      </c>
      <c r="G580" s="238">
        <f>D580/30.48</f>
        <v/>
      </c>
      <c r="H580" s="613" t="n"/>
      <c r="I580" s="273" t="n"/>
      <c r="J580" s="274" t="n"/>
      <c r="K580" s="275" t="n"/>
      <c r="L580" s="276" t="n"/>
      <c r="M580" s="270" t="n"/>
    </row>
    <row r="581" ht="18" customHeight="1" s="305">
      <c r="A581" s="28" t="inlineStr">
        <is>
          <t>D 1082</t>
        </is>
      </c>
      <c r="B581" s="29" t="n">
        <v>60</v>
      </c>
      <c r="C581" s="236" t="inlineStr">
        <is>
          <t>X</t>
        </is>
      </c>
      <c r="D581" s="29" t="n">
        <v>65</v>
      </c>
      <c r="E581" s="237">
        <f>B581*D581/10000</f>
        <v/>
      </c>
      <c r="F581" s="238">
        <f>B581/30.48</f>
        <v/>
      </c>
      <c r="G581" s="238">
        <f>D581/30.48</f>
        <v/>
      </c>
      <c r="H581" s="613" t="n"/>
      <c r="I581" s="273" t="n"/>
      <c r="J581" s="274" t="n"/>
      <c r="K581" s="275" t="n"/>
      <c r="L581" s="276" t="n"/>
      <c r="M581" s="270" t="n"/>
    </row>
    <row r="582" ht="18" customHeight="1" s="305">
      <c r="A582" s="28" t="inlineStr">
        <is>
          <t>D 1083</t>
        </is>
      </c>
      <c r="B582" s="29" t="n">
        <v>41</v>
      </c>
      <c r="C582" s="236" t="inlineStr">
        <is>
          <t>X</t>
        </is>
      </c>
      <c r="D582" s="29" t="n">
        <v>100</v>
      </c>
      <c r="E582" s="237">
        <f>B582*D582/10000</f>
        <v/>
      </c>
      <c r="F582" s="238">
        <f>B582/30.48</f>
        <v/>
      </c>
      <c r="G582" s="238">
        <f>D582/30.48</f>
        <v/>
      </c>
      <c r="H582" s="613" t="n"/>
      <c r="I582" s="273" t="n"/>
      <c r="J582" s="274" t="n"/>
      <c r="K582" s="275" t="n"/>
      <c r="L582" s="276" t="n"/>
      <c r="M582" s="270" t="n"/>
    </row>
    <row r="583" ht="18" customHeight="1" s="305">
      <c r="A583" s="28" t="inlineStr">
        <is>
          <t>D 1085</t>
        </is>
      </c>
      <c r="B583" s="29" t="n">
        <v>48</v>
      </c>
      <c r="C583" s="236" t="inlineStr">
        <is>
          <t>X</t>
        </is>
      </c>
      <c r="D583" s="29" t="n">
        <v>94</v>
      </c>
      <c r="E583" s="237">
        <f>B583*D583/10000</f>
        <v/>
      </c>
      <c r="F583" s="238">
        <f>B583/30.48</f>
        <v/>
      </c>
      <c r="G583" s="238">
        <f>D583/30.48</f>
        <v/>
      </c>
      <c r="H583" s="613" t="n"/>
      <c r="I583" s="273" t="n"/>
      <c r="J583" s="274" t="n"/>
      <c r="K583" s="275" t="n"/>
      <c r="L583" s="276" t="n"/>
      <c r="M583" s="270" t="n"/>
    </row>
    <row r="584" ht="18" customHeight="1" s="305">
      <c r="A584" s="28" t="inlineStr">
        <is>
          <t>D 1086</t>
        </is>
      </c>
      <c r="B584" s="29" t="n">
        <v>49</v>
      </c>
      <c r="C584" s="236" t="inlineStr">
        <is>
          <t>X</t>
        </is>
      </c>
      <c r="D584" s="29" t="n">
        <v>62</v>
      </c>
      <c r="E584" s="237">
        <f>B584*D584/10000</f>
        <v/>
      </c>
      <c r="F584" s="238">
        <f>B584/30.48</f>
        <v/>
      </c>
      <c r="G584" s="238">
        <f>D584/30.48</f>
        <v/>
      </c>
      <c r="H584" s="613" t="n"/>
      <c r="I584" s="273" t="n"/>
      <c r="J584" s="274" t="n"/>
      <c r="K584" s="275" t="n"/>
      <c r="L584" s="276" t="n"/>
      <c r="M584" s="270" t="n"/>
    </row>
    <row r="585" ht="18" customHeight="1" s="305">
      <c r="A585" s="28" t="inlineStr">
        <is>
          <t>D 1087</t>
        </is>
      </c>
      <c r="B585" s="29" t="n">
        <v>87</v>
      </c>
      <c r="C585" s="236" t="inlineStr">
        <is>
          <t>X</t>
        </is>
      </c>
      <c r="D585" s="29" t="n">
        <v>49</v>
      </c>
      <c r="E585" s="237">
        <f>B585*D585/10000</f>
        <v/>
      </c>
      <c r="F585" s="238">
        <f>B585/30.48</f>
        <v/>
      </c>
      <c r="G585" s="238">
        <f>D585/30.48</f>
        <v/>
      </c>
      <c r="H585" s="613" t="n"/>
      <c r="I585" s="273" t="n"/>
      <c r="J585" s="274" t="n"/>
      <c r="K585" s="275" t="n"/>
      <c r="L585" s="276" t="n"/>
      <c r="M585" s="270" t="n"/>
    </row>
    <row r="586" ht="18" customHeight="1" s="305">
      <c r="A586" s="28" t="inlineStr">
        <is>
          <t>D 1088</t>
        </is>
      </c>
      <c r="B586" s="29" t="n">
        <v>36</v>
      </c>
      <c r="C586" s="236" t="inlineStr">
        <is>
          <t>X</t>
        </is>
      </c>
      <c r="D586" s="29" t="n">
        <v>69</v>
      </c>
      <c r="E586" s="237">
        <f>B586*D586/10000</f>
        <v/>
      </c>
      <c r="F586" s="238">
        <f>B586/30.48</f>
        <v/>
      </c>
      <c r="G586" s="238">
        <f>D586/30.48</f>
        <v/>
      </c>
      <c r="H586" s="613" t="n"/>
      <c r="I586" s="273" t="n"/>
      <c r="J586" s="274" t="n"/>
      <c r="K586" s="275" t="n"/>
      <c r="L586" s="276" t="n"/>
      <c r="M586" s="270" t="n"/>
    </row>
    <row r="587" ht="18" customHeight="1" s="305">
      <c r="A587" s="28" t="inlineStr">
        <is>
          <t>D 1089</t>
        </is>
      </c>
      <c r="B587" s="29" t="n">
        <v>46</v>
      </c>
      <c r="C587" s="236" t="inlineStr">
        <is>
          <t>X</t>
        </is>
      </c>
      <c r="D587" s="29" t="n">
        <v>100</v>
      </c>
      <c r="E587" s="237">
        <f>B587*D587/10000</f>
        <v/>
      </c>
      <c r="F587" s="238">
        <f>B587/30.48</f>
        <v/>
      </c>
      <c r="G587" s="238">
        <f>D587/30.48</f>
        <v/>
      </c>
      <c r="H587" s="613" t="n"/>
      <c r="I587" s="273" t="n"/>
      <c r="J587" s="274" t="n"/>
      <c r="K587" s="275" t="n"/>
      <c r="L587" s="276" t="n"/>
      <c r="M587" s="270" t="n"/>
    </row>
    <row r="588" ht="18" customHeight="1" s="305">
      <c r="A588" s="28" t="inlineStr">
        <is>
          <t>D 1090</t>
        </is>
      </c>
      <c r="B588" s="29" t="n">
        <v>57</v>
      </c>
      <c r="C588" s="236" t="inlineStr">
        <is>
          <t>X</t>
        </is>
      </c>
      <c r="D588" s="29" t="n">
        <v>64</v>
      </c>
      <c r="E588" s="237">
        <f>B588*D588/10000</f>
        <v/>
      </c>
      <c r="F588" s="238">
        <f>B588/30.48</f>
        <v/>
      </c>
      <c r="G588" s="238">
        <f>D588/30.48</f>
        <v/>
      </c>
      <c r="H588" s="613" t="n"/>
      <c r="I588" s="273" t="n"/>
      <c r="J588" s="274" t="n"/>
      <c r="K588" s="275" t="n"/>
      <c r="L588" s="276" t="n"/>
      <c r="M588" s="270" t="n"/>
    </row>
    <row r="589" ht="18" customHeight="1" s="305">
      <c r="A589" s="28" t="inlineStr">
        <is>
          <t>D 1091</t>
        </is>
      </c>
      <c r="B589" s="29" t="n">
        <v>37</v>
      </c>
      <c r="C589" s="236" t="inlineStr">
        <is>
          <t>X</t>
        </is>
      </c>
      <c r="D589" s="29" t="n">
        <v>68</v>
      </c>
      <c r="E589" s="237">
        <f>B589*D589/10000</f>
        <v/>
      </c>
      <c r="F589" s="238">
        <f>B589/30.48</f>
        <v/>
      </c>
      <c r="G589" s="238">
        <f>D589/30.48</f>
        <v/>
      </c>
      <c r="H589" s="613" t="n"/>
      <c r="I589" s="273" t="n"/>
      <c r="J589" s="274" t="n"/>
      <c r="K589" s="275" t="n"/>
      <c r="L589" s="276" t="n"/>
      <c r="M589" s="270" t="n"/>
    </row>
    <row r="590" ht="18" customHeight="1" s="305">
      <c r="A590" s="28" t="inlineStr">
        <is>
          <t>D 1092</t>
        </is>
      </c>
      <c r="B590" s="29" t="n">
        <v>46</v>
      </c>
      <c r="C590" s="236" t="inlineStr">
        <is>
          <t>X</t>
        </is>
      </c>
      <c r="D590" s="29" t="n">
        <v>100</v>
      </c>
      <c r="E590" s="237">
        <f>B590*D590/10000</f>
        <v/>
      </c>
      <c r="F590" s="238">
        <f>B590/30.48</f>
        <v/>
      </c>
      <c r="G590" s="238">
        <f>D590/30.48</f>
        <v/>
      </c>
      <c r="H590" s="613" t="n"/>
      <c r="I590" s="273" t="n"/>
      <c r="J590" s="274" t="n"/>
      <c r="K590" s="275" t="n"/>
      <c r="L590" s="276" t="n"/>
      <c r="M590" s="270" t="n"/>
    </row>
    <row r="591" ht="18" customHeight="1" s="305">
      <c r="A591" s="28" t="inlineStr">
        <is>
          <t>D 1093</t>
        </is>
      </c>
      <c r="B591" s="29" t="n">
        <v>51</v>
      </c>
      <c r="C591" s="236" t="inlineStr">
        <is>
          <t>X</t>
        </is>
      </c>
      <c r="D591" s="29" t="n">
        <v>103</v>
      </c>
      <c r="E591" s="237">
        <f>B591*D591/10000</f>
        <v/>
      </c>
      <c r="F591" s="238">
        <f>B591/30.48</f>
        <v/>
      </c>
      <c r="G591" s="238">
        <f>D591/30.48</f>
        <v/>
      </c>
      <c r="H591" s="613" t="n"/>
      <c r="I591" s="273" t="n"/>
      <c r="J591" s="274" t="n"/>
      <c r="K591" s="275" t="n"/>
      <c r="L591" s="276" t="n"/>
      <c r="M591" s="270" t="n"/>
    </row>
    <row r="592" ht="18" customHeight="1" s="305">
      <c r="A592" s="28" t="inlineStr">
        <is>
          <t>D 1094</t>
        </is>
      </c>
      <c r="B592" s="29" t="n">
        <v>56</v>
      </c>
      <c r="C592" s="236" t="inlineStr">
        <is>
          <t>X</t>
        </is>
      </c>
      <c r="D592" s="29" t="n">
        <v>97</v>
      </c>
      <c r="E592" s="237">
        <f>B592*D592/10000</f>
        <v/>
      </c>
      <c r="F592" s="238">
        <f>B592/30.48</f>
        <v/>
      </c>
      <c r="G592" s="238">
        <f>D592/30.48</f>
        <v/>
      </c>
      <c r="H592" s="613" t="n"/>
      <c r="I592" s="273" t="n"/>
      <c r="J592" s="274" t="n"/>
      <c r="K592" s="275" t="n"/>
      <c r="L592" s="276" t="n"/>
      <c r="M592" s="270" t="n"/>
    </row>
    <row r="593" ht="18" customHeight="1" s="305">
      <c r="A593" s="28" t="inlineStr">
        <is>
          <t>D 1098</t>
        </is>
      </c>
      <c r="B593" s="29" t="n">
        <v>51</v>
      </c>
      <c r="C593" s="236" t="inlineStr">
        <is>
          <t>X</t>
        </is>
      </c>
      <c r="D593" s="29" t="n">
        <v>105</v>
      </c>
      <c r="E593" s="237">
        <f>B593*D593/10000</f>
        <v/>
      </c>
      <c r="F593" s="238">
        <f>B593/30.48</f>
        <v/>
      </c>
      <c r="G593" s="238">
        <f>D593/30.48</f>
        <v/>
      </c>
      <c r="H593" s="613" t="n"/>
      <c r="I593" s="273" t="n"/>
      <c r="J593" s="274" t="n"/>
      <c r="K593" s="275" t="n"/>
      <c r="L593" s="276" t="n"/>
      <c r="M593" s="270" t="n"/>
    </row>
    <row r="594" ht="18" customHeight="1" s="305">
      <c r="A594" s="28" t="inlineStr">
        <is>
          <t>D 1099</t>
        </is>
      </c>
      <c r="B594" s="29" t="n">
        <v>60</v>
      </c>
      <c r="C594" s="236" t="inlineStr">
        <is>
          <t>X</t>
        </is>
      </c>
      <c r="D594" s="29" t="n">
        <v>94</v>
      </c>
      <c r="E594" s="237">
        <f>B594*D594/10000</f>
        <v/>
      </c>
      <c r="F594" s="238">
        <f>B594/30.48</f>
        <v/>
      </c>
      <c r="G594" s="238">
        <f>D594/30.48</f>
        <v/>
      </c>
      <c r="H594" s="613" t="n"/>
      <c r="I594" s="273" t="n"/>
      <c r="J594" s="274" t="n"/>
      <c r="K594" s="275" t="n"/>
      <c r="L594" s="276" t="n"/>
      <c r="M594" s="270" t="n"/>
    </row>
    <row r="595" ht="18" customHeight="1" s="305">
      <c r="A595" s="28" t="inlineStr">
        <is>
          <t>D 1100</t>
        </is>
      </c>
      <c r="B595" s="29" t="n">
        <v>47</v>
      </c>
      <c r="C595" s="236" t="inlineStr">
        <is>
          <t>X</t>
        </is>
      </c>
      <c r="D595" s="29" t="n">
        <v>104</v>
      </c>
      <c r="E595" s="237">
        <f>B595*D595/10000</f>
        <v/>
      </c>
      <c r="F595" s="238">
        <f>B595/30.48</f>
        <v/>
      </c>
      <c r="G595" s="238">
        <f>D595/30.48</f>
        <v/>
      </c>
      <c r="H595" s="613" t="n"/>
      <c r="I595" s="273" t="n"/>
      <c r="J595" s="274" t="n"/>
      <c r="K595" s="275" t="n"/>
      <c r="L595" s="276" t="n"/>
      <c r="M595" s="270" t="n"/>
    </row>
    <row r="596" ht="18" customHeight="1" s="305">
      <c r="A596" s="28" t="inlineStr">
        <is>
          <t>D 1101</t>
        </is>
      </c>
      <c r="B596" s="29" t="n">
        <v>52</v>
      </c>
      <c r="C596" s="236" t="inlineStr">
        <is>
          <t>X</t>
        </is>
      </c>
      <c r="D596" s="29" t="n">
        <v>80</v>
      </c>
      <c r="E596" s="237">
        <f>B596*D596/10000</f>
        <v/>
      </c>
      <c r="F596" s="238">
        <f>B596/30.48</f>
        <v/>
      </c>
      <c r="G596" s="238">
        <f>D596/30.48</f>
        <v/>
      </c>
      <c r="H596" s="613" t="n"/>
      <c r="I596" s="273" t="n"/>
      <c r="J596" s="274" t="n"/>
      <c r="K596" s="275" t="n"/>
      <c r="L596" s="276" t="n"/>
      <c r="M596" s="270" t="n"/>
    </row>
    <row r="597" ht="18" customHeight="1" s="305">
      <c r="A597" s="28" t="inlineStr">
        <is>
          <t>D 1102</t>
        </is>
      </c>
      <c r="B597" s="29" t="n">
        <v>50</v>
      </c>
      <c r="C597" s="236" t="inlineStr">
        <is>
          <t>X</t>
        </is>
      </c>
      <c r="D597" s="29" t="n">
        <v>94</v>
      </c>
      <c r="E597" s="237">
        <f>B597*D597/10000</f>
        <v/>
      </c>
      <c r="F597" s="238">
        <f>B597/30.48</f>
        <v/>
      </c>
      <c r="G597" s="238">
        <f>D597/30.48</f>
        <v/>
      </c>
      <c r="H597" s="613" t="n"/>
      <c r="I597" s="273" t="n"/>
      <c r="J597" s="274" t="n"/>
      <c r="K597" s="275" t="n"/>
      <c r="L597" s="276" t="n"/>
      <c r="M597" s="270" t="n"/>
    </row>
    <row r="598" ht="18" customHeight="1" s="305">
      <c r="A598" s="28" t="inlineStr">
        <is>
          <t>D 1103</t>
        </is>
      </c>
      <c r="B598" s="29" t="n">
        <v>44</v>
      </c>
      <c r="C598" s="236" t="inlineStr">
        <is>
          <t>X</t>
        </is>
      </c>
      <c r="D598" s="29" t="n">
        <v>90</v>
      </c>
      <c r="E598" s="237">
        <f>B598*D598/10000</f>
        <v/>
      </c>
      <c r="F598" s="238">
        <f>B598/30.48</f>
        <v/>
      </c>
      <c r="G598" s="238">
        <f>D598/30.48</f>
        <v/>
      </c>
      <c r="H598" s="613" t="n"/>
      <c r="I598" s="273" t="n"/>
      <c r="J598" s="274" t="n"/>
      <c r="K598" s="275" t="n"/>
      <c r="L598" s="276" t="n"/>
      <c r="M598" s="270" t="n"/>
    </row>
    <row r="599" ht="18" customHeight="1" s="305">
      <c r="A599" s="28" t="inlineStr">
        <is>
          <t>D 1104</t>
        </is>
      </c>
      <c r="B599" s="29" t="n">
        <v>47</v>
      </c>
      <c r="C599" s="236" t="inlineStr">
        <is>
          <t>X</t>
        </is>
      </c>
      <c r="D599" s="29" t="n">
        <v>87</v>
      </c>
      <c r="E599" s="237">
        <f>B599*D599/10000</f>
        <v/>
      </c>
      <c r="F599" s="238">
        <f>B599/30.48</f>
        <v/>
      </c>
      <c r="G599" s="238">
        <f>D599/30.48</f>
        <v/>
      </c>
      <c r="H599" s="613" t="n"/>
      <c r="I599" s="273" t="n"/>
      <c r="J599" s="274" t="n"/>
      <c r="K599" s="275" t="n"/>
      <c r="L599" s="276" t="n"/>
      <c r="M599" s="270" t="n"/>
    </row>
    <row r="600" ht="18" customHeight="1" s="305">
      <c r="A600" s="28" t="inlineStr">
        <is>
          <t>D 1105</t>
        </is>
      </c>
      <c r="B600" s="29" t="n">
        <v>43</v>
      </c>
      <c r="C600" s="236" t="inlineStr">
        <is>
          <t>X</t>
        </is>
      </c>
      <c r="D600" s="29" t="n">
        <v>91</v>
      </c>
      <c r="E600" s="237">
        <f>B600*D600/10000</f>
        <v/>
      </c>
      <c r="F600" s="238">
        <f>B600/30.48</f>
        <v/>
      </c>
      <c r="G600" s="238">
        <f>D600/30.48</f>
        <v/>
      </c>
      <c r="H600" s="613" t="n"/>
      <c r="I600" s="273" t="n"/>
      <c r="J600" s="274" t="n"/>
      <c r="K600" s="275" t="n"/>
      <c r="L600" s="276" t="n"/>
      <c r="M600" s="270" t="n"/>
    </row>
    <row r="601" ht="18" customHeight="1" s="305">
      <c r="A601" s="28" t="inlineStr">
        <is>
          <t>D 1107</t>
        </is>
      </c>
      <c r="B601" s="29" t="n">
        <v>54</v>
      </c>
      <c r="C601" s="236" t="inlineStr">
        <is>
          <t>X</t>
        </is>
      </c>
      <c r="D601" s="29" t="n">
        <v>66</v>
      </c>
      <c r="E601" s="237">
        <f>B601*D601/10000</f>
        <v/>
      </c>
      <c r="F601" s="238">
        <f>B601/30.48</f>
        <v/>
      </c>
      <c r="G601" s="238">
        <f>D601/30.48</f>
        <v/>
      </c>
      <c r="H601" s="613" t="n"/>
      <c r="I601" s="273" t="n"/>
      <c r="J601" s="274" t="n"/>
      <c r="K601" s="275" t="n"/>
      <c r="L601" s="276" t="n"/>
      <c r="M601" s="270" t="n"/>
    </row>
    <row r="602" ht="18" customHeight="1" s="305">
      <c r="A602" s="28" t="inlineStr">
        <is>
          <t>D 1109</t>
        </is>
      </c>
      <c r="B602" s="29" t="n">
        <v>50</v>
      </c>
      <c r="C602" s="236" t="inlineStr">
        <is>
          <t>X</t>
        </is>
      </c>
      <c r="D602" s="29" t="n">
        <v>87</v>
      </c>
      <c r="E602" s="237">
        <f>B602*D602/10000</f>
        <v/>
      </c>
      <c r="F602" s="238">
        <f>B602/30.48</f>
        <v/>
      </c>
      <c r="G602" s="238">
        <f>D602/30.48</f>
        <v/>
      </c>
      <c r="H602" s="613" t="n"/>
      <c r="I602" s="273" t="n"/>
      <c r="J602" s="274" t="n"/>
      <c r="K602" s="275" t="n"/>
      <c r="L602" s="276" t="n"/>
      <c r="M602" s="270" t="n"/>
    </row>
    <row r="603" ht="18" customHeight="1" s="305">
      <c r="A603" s="28" t="inlineStr">
        <is>
          <t>D 1111</t>
        </is>
      </c>
      <c r="B603" s="29" t="n">
        <v>44</v>
      </c>
      <c r="C603" s="236" t="inlineStr">
        <is>
          <t>X</t>
        </is>
      </c>
      <c r="D603" s="29" t="n">
        <v>98</v>
      </c>
      <c r="E603" s="237">
        <f>B603*D603/10000</f>
        <v/>
      </c>
      <c r="F603" s="238">
        <f>B603/30.48</f>
        <v/>
      </c>
      <c r="G603" s="238">
        <f>D603/30.48</f>
        <v/>
      </c>
      <c r="H603" s="613" t="n"/>
      <c r="I603" s="273" t="n"/>
      <c r="J603" s="274" t="n"/>
      <c r="K603" s="275" t="n"/>
      <c r="L603" s="276" t="n"/>
      <c r="M603" s="270" t="n"/>
    </row>
    <row r="604" ht="18" customHeight="1" s="305">
      <c r="A604" s="28" t="inlineStr">
        <is>
          <t>D 1112</t>
        </is>
      </c>
      <c r="B604" s="29" t="n">
        <v>61</v>
      </c>
      <c r="C604" s="236" t="inlineStr">
        <is>
          <t>X</t>
        </is>
      </c>
      <c r="D604" s="29" t="n">
        <v>100</v>
      </c>
      <c r="E604" s="237">
        <f>B604*D604/10000</f>
        <v/>
      </c>
      <c r="F604" s="238">
        <f>B604/30.48</f>
        <v/>
      </c>
      <c r="G604" s="238">
        <f>D604/30.48</f>
        <v/>
      </c>
      <c r="H604" s="613" t="n"/>
      <c r="I604" s="273" t="n"/>
      <c r="J604" s="274" t="n"/>
      <c r="K604" s="275" t="n"/>
      <c r="L604" s="276" t="n"/>
      <c r="M604" s="270" t="n"/>
    </row>
    <row r="605" ht="18" customHeight="1" s="305">
      <c r="A605" s="28" t="inlineStr">
        <is>
          <t>D 1114</t>
        </is>
      </c>
      <c r="B605" s="29" t="n">
        <v>61</v>
      </c>
      <c r="C605" s="236" t="inlineStr">
        <is>
          <t>X</t>
        </is>
      </c>
      <c r="D605" s="29" t="n">
        <v>108</v>
      </c>
      <c r="E605" s="237">
        <f>B605*D605/10000</f>
        <v/>
      </c>
      <c r="F605" s="238">
        <f>B605/30.48</f>
        <v/>
      </c>
      <c r="G605" s="238">
        <f>D605/30.48</f>
        <v/>
      </c>
      <c r="H605" s="613" t="n"/>
      <c r="I605" s="273" t="n"/>
      <c r="J605" s="274" t="n"/>
      <c r="K605" s="275" t="n"/>
      <c r="L605" s="276" t="n"/>
      <c r="M605" s="270" t="n"/>
    </row>
    <row r="606" ht="18" customHeight="1" s="305">
      <c r="A606" s="28" t="inlineStr">
        <is>
          <t>D 1116</t>
        </is>
      </c>
      <c r="B606" s="29" t="n">
        <v>48</v>
      </c>
      <c r="C606" s="236" t="inlineStr">
        <is>
          <t>X</t>
        </is>
      </c>
      <c r="D606" s="29" t="n">
        <v>93</v>
      </c>
      <c r="E606" s="237">
        <f>B606*D606/10000</f>
        <v/>
      </c>
      <c r="F606" s="238">
        <f>B606/30.48</f>
        <v/>
      </c>
      <c r="G606" s="238">
        <f>D606/30.48</f>
        <v/>
      </c>
      <c r="H606" s="613" t="n"/>
      <c r="I606" s="273" t="n"/>
      <c r="J606" s="274" t="n"/>
      <c r="K606" s="275" t="n"/>
      <c r="L606" s="276" t="n"/>
      <c r="M606" s="270" t="n"/>
    </row>
    <row r="607" ht="18" customHeight="1" s="305">
      <c r="A607" s="28" t="inlineStr">
        <is>
          <t>D 1118</t>
        </is>
      </c>
      <c r="B607" s="29" t="n">
        <v>50</v>
      </c>
      <c r="C607" s="236" t="inlineStr">
        <is>
          <t>X</t>
        </is>
      </c>
      <c r="D607" s="29" t="n">
        <v>100</v>
      </c>
      <c r="E607" s="237">
        <f>B607*D607/10000</f>
        <v/>
      </c>
      <c r="F607" s="238">
        <f>B607/30.48</f>
        <v/>
      </c>
      <c r="G607" s="238">
        <f>D607/30.48</f>
        <v/>
      </c>
      <c r="H607" s="613" t="n"/>
      <c r="I607" s="273" t="n"/>
      <c r="J607" s="274" t="n"/>
      <c r="K607" s="275" t="n"/>
      <c r="L607" s="276" t="n"/>
      <c r="M607" s="270" t="n"/>
    </row>
    <row r="608" ht="18" customHeight="1" s="305">
      <c r="A608" s="28" t="inlineStr">
        <is>
          <t>D 1119</t>
        </is>
      </c>
      <c r="B608" s="29" t="n">
        <v>52</v>
      </c>
      <c r="C608" s="236" t="inlineStr">
        <is>
          <t>X</t>
        </is>
      </c>
      <c r="D608" s="29" t="n">
        <v>96</v>
      </c>
      <c r="E608" s="237">
        <f>B608*D608/10000</f>
        <v/>
      </c>
      <c r="F608" s="238">
        <f>B608/30.48</f>
        <v/>
      </c>
      <c r="G608" s="238">
        <f>D608/30.48</f>
        <v/>
      </c>
      <c r="H608" s="613" t="n"/>
      <c r="I608" s="273" t="n"/>
      <c r="J608" s="274" t="n"/>
      <c r="K608" s="275" t="n"/>
      <c r="L608" s="276" t="n"/>
      <c r="M608" s="270" t="n"/>
    </row>
    <row r="609" ht="18" customHeight="1" s="305">
      <c r="A609" s="28" t="inlineStr">
        <is>
          <t>D 1120</t>
        </is>
      </c>
      <c r="B609" s="29" t="n">
        <v>52</v>
      </c>
      <c r="C609" s="236" t="inlineStr">
        <is>
          <t>X</t>
        </is>
      </c>
      <c r="D609" s="29" t="n">
        <v>99</v>
      </c>
      <c r="E609" s="237">
        <f>B609*D609/10000</f>
        <v/>
      </c>
      <c r="F609" s="238">
        <f>B609/30.48</f>
        <v/>
      </c>
      <c r="G609" s="238">
        <f>D609/30.48</f>
        <v/>
      </c>
      <c r="H609" s="613" t="n"/>
      <c r="I609" s="273" t="n"/>
      <c r="J609" s="274" t="n"/>
      <c r="K609" s="275" t="n"/>
      <c r="L609" s="276" t="n"/>
      <c r="M609" s="270" t="n"/>
    </row>
    <row r="610" ht="18" customHeight="1" s="305">
      <c r="A610" s="28" t="inlineStr">
        <is>
          <t>D 1121</t>
        </is>
      </c>
      <c r="B610" s="29" t="n">
        <v>57</v>
      </c>
      <c r="C610" s="236" t="inlineStr">
        <is>
          <t>X</t>
        </is>
      </c>
      <c r="D610" s="29" t="n">
        <v>86</v>
      </c>
      <c r="E610" s="237">
        <f>B610*D610/10000</f>
        <v/>
      </c>
      <c r="F610" s="238">
        <f>B610/30.48</f>
        <v/>
      </c>
      <c r="G610" s="238">
        <f>D610/30.48</f>
        <v/>
      </c>
      <c r="H610" s="613" t="n"/>
      <c r="I610" s="273" t="n"/>
      <c r="J610" s="274" t="n"/>
      <c r="K610" s="275" t="n"/>
      <c r="L610" s="276" t="n"/>
      <c r="M610" s="270" t="n"/>
    </row>
    <row r="611" ht="18" customHeight="1" s="305">
      <c r="A611" s="28" t="inlineStr">
        <is>
          <t>D 1124</t>
        </is>
      </c>
      <c r="B611" s="29" t="n">
        <v>50</v>
      </c>
      <c r="C611" s="236" t="inlineStr">
        <is>
          <t>X</t>
        </is>
      </c>
      <c r="D611" s="29" t="n">
        <v>88</v>
      </c>
      <c r="E611" s="237">
        <f>B611*D611/10000</f>
        <v/>
      </c>
      <c r="F611" s="238">
        <f>B611/30.48</f>
        <v/>
      </c>
      <c r="G611" s="238">
        <f>D611/30.48</f>
        <v/>
      </c>
      <c r="H611" s="613" t="n"/>
      <c r="I611" s="273" t="n"/>
      <c r="J611" s="274" t="n"/>
      <c r="K611" s="275" t="n"/>
      <c r="L611" s="276" t="n"/>
      <c r="M611" s="270" t="n"/>
    </row>
    <row r="612" ht="18" customHeight="1" s="305">
      <c r="A612" s="28" t="inlineStr">
        <is>
          <t>D 1125</t>
        </is>
      </c>
      <c r="B612" s="29" t="n">
        <v>49</v>
      </c>
      <c r="C612" s="236" t="inlineStr">
        <is>
          <t>X</t>
        </is>
      </c>
      <c r="D612" s="29" t="n">
        <v>93</v>
      </c>
      <c r="E612" s="237">
        <f>B612*D612/10000</f>
        <v/>
      </c>
      <c r="F612" s="238">
        <f>B612/30.48</f>
        <v/>
      </c>
      <c r="G612" s="238">
        <f>D612/30.48</f>
        <v/>
      </c>
      <c r="H612" s="613" t="n"/>
      <c r="I612" s="273" t="n"/>
      <c r="J612" s="274" t="n"/>
      <c r="K612" s="275" t="n"/>
      <c r="L612" s="276" t="n"/>
      <c r="M612" s="270" t="n"/>
    </row>
    <row r="613" ht="18" customHeight="1" s="305">
      <c r="A613" s="28" t="inlineStr">
        <is>
          <t>D 1126</t>
        </is>
      </c>
      <c r="B613" s="29" t="n">
        <v>53</v>
      </c>
      <c r="C613" s="236" t="inlineStr">
        <is>
          <t>X</t>
        </is>
      </c>
      <c r="D613" s="29" t="n">
        <v>82</v>
      </c>
      <c r="E613" s="237">
        <f>B613*D613/10000</f>
        <v/>
      </c>
      <c r="F613" s="238">
        <f>B613/30.48</f>
        <v/>
      </c>
      <c r="G613" s="238">
        <f>D613/30.48</f>
        <v/>
      </c>
      <c r="H613" s="613" t="n"/>
      <c r="I613" s="273" t="n"/>
      <c r="J613" s="274" t="n"/>
      <c r="K613" s="275" t="n"/>
      <c r="L613" s="276" t="n"/>
      <c r="M613" s="270" t="n"/>
    </row>
    <row r="614" ht="18" customHeight="1" s="305">
      <c r="A614" s="28" t="inlineStr">
        <is>
          <t>D 1129</t>
        </is>
      </c>
      <c r="B614" s="29" t="n">
        <v>60</v>
      </c>
      <c r="C614" s="236" t="inlineStr">
        <is>
          <t>X</t>
        </is>
      </c>
      <c r="D614" s="29" t="n">
        <v>60</v>
      </c>
      <c r="E614" s="237">
        <f>B614*D614/10000</f>
        <v/>
      </c>
      <c r="F614" s="238">
        <f>B614/30.48</f>
        <v/>
      </c>
      <c r="G614" s="238">
        <f>D614/30.48</f>
        <v/>
      </c>
      <c r="H614" s="613" t="n"/>
      <c r="I614" s="273" t="n"/>
      <c r="J614" s="274" t="n"/>
      <c r="K614" s="275" t="n"/>
      <c r="L614" s="276" t="n"/>
      <c r="M614" s="270" t="n"/>
    </row>
    <row r="615" ht="18" customHeight="1" s="305">
      <c r="A615" s="28" t="inlineStr">
        <is>
          <t>D 1130</t>
        </is>
      </c>
      <c r="B615" s="29" t="n">
        <v>46</v>
      </c>
      <c r="C615" s="236" t="inlineStr">
        <is>
          <t>X</t>
        </is>
      </c>
      <c r="D615" s="29" t="n">
        <v>75</v>
      </c>
      <c r="E615" s="237">
        <f>B615*D615/10000</f>
        <v/>
      </c>
      <c r="F615" s="238">
        <f>B615/30.48</f>
        <v/>
      </c>
      <c r="G615" s="238">
        <f>D615/30.48</f>
        <v/>
      </c>
      <c r="H615" s="613" t="n"/>
      <c r="I615" s="273" t="n"/>
      <c r="J615" s="274" t="n"/>
      <c r="K615" s="275" t="n"/>
      <c r="L615" s="276" t="n"/>
      <c r="M615" s="270" t="n"/>
    </row>
    <row r="616" ht="18" customHeight="1" s="305">
      <c r="A616" s="28" t="inlineStr">
        <is>
          <t>D 1132</t>
        </is>
      </c>
      <c r="B616" s="29" t="n">
        <v>46</v>
      </c>
      <c r="C616" s="236" t="inlineStr">
        <is>
          <t>X</t>
        </is>
      </c>
      <c r="D616" s="29" t="n">
        <v>96</v>
      </c>
      <c r="E616" s="237">
        <f>B616*D616/10000</f>
        <v/>
      </c>
      <c r="F616" s="238">
        <f>B616/30.48</f>
        <v/>
      </c>
      <c r="G616" s="238">
        <f>D616/30.48</f>
        <v/>
      </c>
      <c r="H616" s="613" t="n"/>
      <c r="I616" s="273" t="n"/>
      <c r="J616" s="274" t="n"/>
      <c r="K616" s="275" t="n"/>
      <c r="L616" s="276" t="n"/>
      <c r="M616" s="270" t="n"/>
    </row>
    <row r="617" ht="18" customHeight="1" s="305">
      <c r="A617" s="28" t="inlineStr">
        <is>
          <t>D 1133</t>
        </is>
      </c>
      <c r="B617" s="29" t="n">
        <v>53</v>
      </c>
      <c r="C617" s="236" t="inlineStr">
        <is>
          <t>X</t>
        </is>
      </c>
      <c r="D617" s="29" t="n">
        <v>98</v>
      </c>
      <c r="E617" s="237">
        <f>B617*D617/10000</f>
        <v/>
      </c>
      <c r="F617" s="238">
        <f>B617/30.48</f>
        <v/>
      </c>
      <c r="G617" s="238">
        <f>D617/30.48</f>
        <v/>
      </c>
      <c r="H617" s="613" t="n"/>
      <c r="I617" s="273" t="n"/>
      <c r="J617" s="274" t="n"/>
      <c r="K617" s="275" t="n"/>
      <c r="L617" s="276" t="n"/>
      <c r="M617" s="270" t="n"/>
    </row>
    <row r="618" ht="18" customHeight="1" s="305">
      <c r="A618" s="28" t="inlineStr">
        <is>
          <t>D 1134</t>
        </is>
      </c>
      <c r="B618" s="29" t="n">
        <v>56</v>
      </c>
      <c r="C618" s="236" t="inlineStr">
        <is>
          <t>X</t>
        </is>
      </c>
      <c r="D618" s="29" t="n">
        <v>86</v>
      </c>
      <c r="E618" s="237">
        <f>B618*D618/10000</f>
        <v/>
      </c>
      <c r="F618" s="238">
        <f>B618/30.48</f>
        <v/>
      </c>
      <c r="G618" s="238">
        <f>D618/30.48</f>
        <v/>
      </c>
      <c r="H618" s="613" t="n"/>
      <c r="I618" s="273" t="n"/>
      <c r="J618" s="274" t="n"/>
      <c r="K618" s="275" t="n"/>
      <c r="L618" s="276" t="n"/>
      <c r="M618" s="270" t="n"/>
    </row>
    <row r="619" ht="18" customHeight="1" s="305">
      <c r="A619" s="28" t="inlineStr">
        <is>
          <t>D 1135</t>
        </is>
      </c>
      <c r="B619" s="29" t="n">
        <v>47</v>
      </c>
      <c r="C619" s="236" t="inlineStr">
        <is>
          <t>X</t>
        </is>
      </c>
      <c r="D619" s="29" t="n">
        <v>74</v>
      </c>
      <c r="E619" s="237">
        <f>B619*D619/10000</f>
        <v/>
      </c>
      <c r="F619" s="238">
        <f>B619/30.48</f>
        <v/>
      </c>
      <c r="G619" s="238">
        <f>D619/30.48</f>
        <v/>
      </c>
      <c r="H619" s="613" t="n"/>
      <c r="I619" s="273" t="n"/>
      <c r="J619" s="274" t="n"/>
      <c r="K619" s="275" t="n"/>
      <c r="L619" s="276" t="n"/>
      <c r="M619" s="270" t="n"/>
    </row>
    <row r="620" ht="18" customHeight="1" s="305">
      <c r="A620" s="28" t="inlineStr">
        <is>
          <t>D 1136</t>
        </is>
      </c>
      <c r="B620" s="29" t="n">
        <v>53</v>
      </c>
      <c r="C620" s="236" t="inlineStr">
        <is>
          <t>X</t>
        </is>
      </c>
      <c r="D620" s="29" t="n">
        <v>108</v>
      </c>
      <c r="E620" s="237">
        <f>B620*D620/10000</f>
        <v/>
      </c>
      <c r="F620" s="238">
        <f>B620/30.48</f>
        <v/>
      </c>
      <c r="G620" s="238">
        <f>D620/30.48</f>
        <v/>
      </c>
      <c r="H620" s="613" t="n"/>
      <c r="I620" s="273" t="n"/>
      <c r="J620" s="274" t="n"/>
      <c r="K620" s="275" t="n"/>
      <c r="L620" s="276" t="n"/>
      <c r="M620" s="270" t="n"/>
    </row>
    <row r="621" ht="18" customHeight="1" s="305">
      <c r="A621" s="28" t="inlineStr">
        <is>
          <t>D 1137</t>
        </is>
      </c>
      <c r="B621" s="29" t="n">
        <v>51</v>
      </c>
      <c r="C621" s="236" t="inlineStr">
        <is>
          <t>X</t>
        </is>
      </c>
      <c r="D621" s="29" t="n">
        <v>88</v>
      </c>
      <c r="E621" s="237">
        <f>B621*D621/10000</f>
        <v/>
      </c>
      <c r="F621" s="238">
        <f>B621/30.48</f>
        <v/>
      </c>
      <c r="G621" s="238">
        <f>D621/30.48</f>
        <v/>
      </c>
      <c r="H621" s="613" t="n"/>
      <c r="I621" s="273" t="n"/>
      <c r="J621" s="274" t="n"/>
      <c r="K621" s="275" t="n"/>
      <c r="L621" s="276" t="n"/>
      <c r="M621" s="270" t="n"/>
    </row>
    <row r="622" ht="18" customHeight="1" s="305">
      <c r="A622" s="28" t="inlineStr">
        <is>
          <t>D 1138</t>
        </is>
      </c>
      <c r="B622" s="29" t="n">
        <v>62</v>
      </c>
      <c r="C622" s="236" t="inlineStr">
        <is>
          <t>X</t>
        </is>
      </c>
      <c r="D622" s="29" t="n">
        <v>91</v>
      </c>
      <c r="E622" s="237">
        <f>B622*D622/10000</f>
        <v/>
      </c>
      <c r="F622" s="238">
        <f>B622/30.48</f>
        <v/>
      </c>
      <c r="G622" s="238">
        <f>D622/30.48</f>
        <v/>
      </c>
      <c r="H622" s="613" t="n"/>
      <c r="I622" s="273" t="n"/>
      <c r="J622" s="274" t="n"/>
      <c r="K622" s="275" t="n"/>
      <c r="L622" s="276" t="n"/>
      <c r="M622" s="270" t="n"/>
    </row>
    <row r="623" ht="18" customHeight="1" s="305">
      <c r="A623" s="28" t="inlineStr">
        <is>
          <t>D 1139</t>
        </is>
      </c>
      <c r="B623" s="29" t="n">
        <v>40</v>
      </c>
      <c r="C623" s="236" t="inlineStr">
        <is>
          <t>X</t>
        </is>
      </c>
      <c r="D623" s="29" t="n">
        <v>78</v>
      </c>
      <c r="E623" s="237">
        <f>B623*D623/10000</f>
        <v/>
      </c>
      <c r="F623" s="238">
        <f>B623/30.48</f>
        <v/>
      </c>
      <c r="G623" s="238">
        <f>D623/30.48</f>
        <v/>
      </c>
      <c r="H623" s="613" t="n"/>
      <c r="I623" s="273" t="n"/>
      <c r="J623" s="274" t="n"/>
      <c r="K623" s="275" t="n"/>
      <c r="L623" s="276" t="n"/>
      <c r="M623" s="270" t="n"/>
    </row>
    <row r="624" ht="18" customHeight="1" s="305">
      <c r="A624" s="28" t="inlineStr">
        <is>
          <t>D 1140</t>
        </is>
      </c>
      <c r="B624" s="29" t="n">
        <v>50</v>
      </c>
      <c r="C624" s="236" t="inlineStr">
        <is>
          <t>X</t>
        </is>
      </c>
      <c r="D624" s="29" t="n">
        <v>65</v>
      </c>
      <c r="E624" s="237">
        <f>B624*D624/10000</f>
        <v/>
      </c>
      <c r="F624" s="238">
        <f>B624/30.48</f>
        <v/>
      </c>
      <c r="G624" s="238">
        <f>D624/30.48</f>
        <v/>
      </c>
      <c r="H624" s="613" t="n"/>
      <c r="I624" s="273" t="n"/>
      <c r="J624" s="274" t="n"/>
      <c r="K624" s="275" t="n"/>
      <c r="L624" s="276" t="n"/>
      <c r="M624" s="270" t="n"/>
    </row>
    <row r="625" ht="18" customHeight="1" s="305">
      <c r="A625" s="28" t="inlineStr">
        <is>
          <t>D 1141</t>
        </is>
      </c>
      <c r="B625" s="29" t="n">
        <v>43</v>
      </c>
      <c r="C625" s="236" t="inlineStr">
        <is>
          <t>X</t>
        </is>
      </c>
      <c r="D625" s="29" t="n">
        <v>88</v>
      </c>
      <c r="E625" s="237">
        <f>B625*D625/10000</f>
        <v/>
      </c>
      <c r="F625" s="238">
        <f>B625/30.48</f>
        <v/>
      </c>
      <c r="G625" s="238">
        <f>D625/30.48</f>
        <v/>
      </c>
      <c r="H625" s="613" t="n"/>
      <c r="I625" s="273" t="n"/>
      <c r="J625" s="274" t="n"/>
      <c r="K625" s="275" t="n"/>
      <c r="L625" s="276" t="n"/>
      <c r="M625" s="270" t="n"/>
    </row>
    <row r="626" ht="18" customHeight="1" s="305">
      <c r="A626" s="28" t="inlineStr">
        <is>
          <t>D 1142</t>
        </is>
      </c>
      <c r="B626" s="29" t="n">
        <v>44</v>
      </c>
      <c r="C626" s="236" t="inlineStr">
        <is>
          <t>X</t>
        </is>
      </c>
      <c r="D626" s="29" t="n">
        <v>100</v>
      </c>
      <c r="E626" s="237">
        <f>B626*D626/10000</f>
        <v/>
      </c>
      <c r="F626" s="238">
        <f>B626/30.48</f>
        <v/>
      </c>
      <c r="G626" s="238">
        <f>D626/30.48</f>
        <v/>
      </c>
      <c r="H626" s="613" t="n"/>
      <c r="I626" s="273" t="n"/>
      <c r="J626" s="274" t="n"/>
      <c r="K626" s="275" t="n"/>
      <c r="L626" s="276" t="n"/>
      <c r="M626" s="270" t="n"/>
    </row>
    <row r="627" ht="18" customHeight="1" s="305">
      <c r="A627" s="28" t="inlineStr">
        <is>
          <t>D 1143</t>
        </is>
      </c>
      <c r="B627" s="29" t="n">
        <v>50</v>
      </c>
      <c r="C627" s="236" t="inlineStr">
        <is>
          <t>X</t>
        </is>
      </c>
      <c r="D627" s="29" t="n">
        <v>94</v>
      </c>
      <c r="E627" s="237">
        <f>B627*D627/10000</f>
        <v/>
      </c>
      <c r="F627" s="238">
        <f>B627/30.48</f>
        <v/>
      </c>
      <c r="G627" s="238">
        <f>D627/30.48</f>
        <v/>
      </c>
      <c r="H627" s="613" t="n"/>
      <c r="I627" s="273" t="n"/>
      <c r="J627" s="274" t="n"/>
      <c r="K627" s="275" t="n"/>
      <c r="L627" s="276" t="n"/>
      <c r="M627" s="270" t="n"/>
    </row>
    <row r="628" ht="18" customHeight="1" s="305">
      <c r="A628" s="28" t="inlineStr">
        <is>
          <t>D 1144</t>
        </is>
      </c>
      <c r="B628" s="29" t="n">
        <v>44</v>
      </c>
      <c r="C628" s="236" t="inlineStr">
        <is>
          <t>X</t>
        </is>
      </c>
      <c r="D628" s="29" t="n">
        <v>90</v>
      </c>
      <c r="E628" s="237">
        <f>B628*D628/10000</f>
        <v/>
      </c>
      <c r="F628" s="238">
        <f>B628/30.48</f>
        <v/>
      </c>
      <c r="G628" s="238">
        <f>D628/30.48</f>
        <v/>
      </c>
      <c r="H628" s="613" t="n"/>
      <c r="I628" s="273" t="n"/>
      <c r="J628" s="274" t="n"/>
      <c r="K628" s="275" t="n"/>
      <c r="L628" s="276" t="n"/>
      <c r="M628" s="270" t="n"/>
    </row>
    <row r="629" ht="18" customHeight="1" s="305">
      <c r="A629" s="28" t="inlineStr">
        <is>
          <t>D 1145</t>
        </is>
      </c>
      <c r="B629" s="29" t="n">
        <v>52</v>
      </c>
      <c r="C629" s="236" t="inlineStr">
        <is>
          <t>X</t>
        </is>
      </c>
      <c r="D629" s="29" t="n">
        <v>95</v>
      </c>
      <c r="E629" s="237">
        <f>B629*D629/10000</f>
        <v/>
      </c>
      <c r="F629" s="238">
        <f>B629/30.48</f>
        <v/>
      </c>
      <c r="G629" s="238">
        <f>D629/30.48</f>
        <v/>
      </c>
      <c r="H629" s="613" t="n"/>
      <c r="I629" s="273" t="n"/>
      <c r="J629" s="274" t="n"/>
      <c r="K629" s="275" t="n"/>
      <c r="L629" s="276" t="n"/>
      <c r="M629" s="270" t="n"/>
    </row>
    <row r="630" ht="18" customHeight="1" s="305">
      <c r="A630" s="28" t="inlineStr">
        <is>
          <t>D 1146</t>
        </is>
      </c>
      <c r="B630" s="29" t="n">
        <v>43</v>
      </c>
      <c r="C630" s="236" t="inlineStr">
        <is>
          <t>X</t>
        </is>
      </c>
      <c r="D630" s="29" t="n">
        <v>68</v>
      </c>
      <c r="E630" s="237">
        <f>B630*D630/10000</f>
        <v/>
      </c>
      <c r="F630" s="238">
        <f>B630/30.48</f>
        <v/>
      </c>
      <c r="G630" s="238">
        <f>D630/30.48</f>
        <v/>
      </c>
      <c r="H630" s="613" t="n"/>
      <c r="I630" s="273" t="n"/>
      <c r="J630" s="274" t="n"/>
      <c r="K630" s="275" t="n"/>
      <c r="L630" s="276" t="n"/>
      <c r="M630" s="270" t="n"/>
    </row>
    <row r="631" ht="18" customHeight="1" s="305">
      <c r="A631" s="28" t="inlineStr">
        <is>
          <t>D 1147</t>
        </is>
      </c>
      <c r="B631" s="29" t="n">
        <v>53</v>
      </c>
      <c r="C631" s="236" t="inlineStr">
        <is>
          <t>X</t>
        </is>
      </c>
      <c r="D631" s="29" t="n">
        <v>85</v>
      </c>
      <c r="E631" s="237">
        <f>B631*D631/10000</f>
        <v/>
      </c>
      <c r="F631" s="238">
        <f>B631/30.48</f>
        <v/>
      </c>
      <c r="G631" s="238">
        <f>D631/30.48</f>
        <v/>
      </c>
      <c r="H631" s="613" t="n"/>
      <c r="I631" s="273" t="n"/>
      <c r="J631" s="274" t="n"/>
      <c r="K631" s="275" t="n"/>
      <c r="L631" s="276" t="n"/>
      <c r="M631" s="270" t="n"/>
    </row>
    <row r="632" ht="18" customHeight="1" s="305">
      <c r="A632" s="28" t="inlineStr">
        <is>
          <t>D 1149</t>
        </is>
      </c>
      <c r="B632" s="29" t="n">
        <v>43</v>
      </c>
      <c r="C632" s="236" t="inlineStr">
        <is>
          <t>X</t>
        </is>
      </c>
      <c r="D632" s="29" t="n">
        <v>76</v>
      </c>
      <c r="E632" s="237">
        <f>B632*D632/10000</f>
        <v/>
      </c>
      <c r="F632" s="238">
        <f>B632/30.48</f>
        <v/>
      </c>
      <c r="G632" s="238">
        <f>D632/30.48</f>
        <v/>
      </c>
      <c r="H632" s="613" t="n"/>
      <c r="I632" s="273" t="n"/>
      <c r="J632" s="274" t="n"/>
      <c r="K632" s="275" t="n"/>
      <c r="L632" s="276" t="n"/>
      <c r="M632" s="270" t="n"/>
    </row>
    <row r="633" ht="18" customHeight="1" s="305">
      <c r="A633" s="28" t="inlineStr">
        <is>
          <t>D 1150</t>
        </is>
      </c>
      <c r="B633" s="29" t="n">
        <v>42</v>
      </c>
      <c r="C633" s="236" t="inlineStr">
        <is>
          <t>X</t>
        </is>
      </c>
      <c r="D633" s="29" t="n">
        <v>74</v>
      </c>
      <c r="E633" s="237">
        <f>B633*D633/10000</f>
        <v/>
      </c>
      <c r="F633" s="238">
        <f>B633/30.48</f>
        <v/>
      </c>
      <c r="G633" s="238">
        <f>D633/30.48</f>
        <v/>
      </c>
      <c r="H633" s="613" t="n"/>
      <c r="I633" s="273" t="n"/>
      <c r="J633" s="274" t="n"/>
      <c r="K633" s="275" t="n"/>
      <c r="L633" s="276" t="n"/>
      <c r="M633" s="270" t="n"/>
    </row>
    <row r="634" ht="18" customHeight="1" s="305">
      <c r="A634" s="28" t="inlineStr">
        <is>
          <t>D 1151</t>
        </is>
      </c>
      <c r="B634" s="29" t="n">
        <v>47</v>
      </c>
      <c r="C634" s="236" t="inlineStr">
        <is>
          <t>X</t>
        </is>
      </c>
      <c r="D634" s="29" t="n">
        <v>86</v>
      </c>
      <c r="E634" s="237">
        <f>B634*D634/10000</f>
        <v/>
      </c>
      <c r="F634" s="238">
        <f>B634/30.48</f>
        <v/>
      </c>
      <c r="G634" s="238">
        <f>D634/30.48</f>
        <v/>
      </c>
      <c r="H634" s="613" t="n"/>
      <c r="I634" s="273" t="n"/>
      <c r="J634" s="274" t="n"/>
      <c r="K634" s="275" t="n"/>
      <c r="L634" s="276" t="n"/>
      <c r="M634" s="270" t="n"/>
    </row>
    <row r="635" ht="18" customHeight="1" s="305">
      <c r="A635" s="28" t="inlineStr">
        <is>
          <t>D 1152</t>
        </is>
      </c>
      <c r="B635" s="29" t="n">
        <v>54</v>
      </c>
      <c r="C635" s="236" t="inlineStr">
        <is>
          <t>X</t>
        </is>
      </c>
      <c r="D635" s="29" t="n">
        <v>110</v>
      </c>
      <c r="E635" s="237">
        <f>B635*D635/10000</f>
        <v/>
      </c>
      <c r="F635" s="238">
        <f>B635/30.48</f>
        <v/>
      </c>
      <c r="G635" s="238">
        <f>D635/30.48</f>
        <v/>
      </c>
      <c r="H635" s="613" t="n"/>
      <c r="I635" s="273" t="n"/>
      <c r="J635" s="274" t="n"/>
      <c r="K635" s="275" t="n"/>
      <c r="L635" s="276" t="n"/>
      <c r="M635" s="270" t="n"/>
    </row>
    <row r="636" ht="18" customHeight="1" s="305">
      <c r="A636" s="28" t="inlineStr">
        <is>
          <t>D 1153</t>
        </is>
      </c>
      <c r="B636" s="29" t="n">
        <v>49</v>
      </c>
      <c r="C636" s="236" t="inlineStr">
        <is>
          <t>X</t>
        </is>
      </c>
      <c r="D636" s="29" t="n">
        <v>90</v>
      </c>
      <c r="E636" s="237">
        <f>B636*D636/10000</f>
        <v/>
      </c>
      <c r="F636" s="238">
        <f>B636/30.48</f>
        <v/>
      </c>
      <c r="G636" s="238">
        <f>D636/30.48</f>
        <v/>
      </c>
      <c r="H636" s="613" t="n"/>
      <c r="I636" s="273" t="n"/>
      <c r="J636" s="274" t="n"/>
      <c r="K636" s="275" t="n"/>
      <c r="L636" s="276" t="n"/>
      <c r="M636" s="270" t="n"/>
    </row>
    <row r="637" ht="18" customHeight="1" s="305">
      <c r="A637" s="28" t="inlineStr">
        <is>
          <t>D 1154</t>
        </is>
      </c>
      <c r="B637" s="29" t="n"/>
      <c r="C637" s="236" t="inlineStr">
        <is>
          <t>X</t>
        </is>
      </c>
      <c r="D637" s="29" t="n"/>
      <c r="E637" s="237">
        <f>B637*D637/10000</f>
        <v/>
      </c>
      <c r="F637" s="238">
        <f>B637/30.48</f>
        <v/>
      </c>
      <c r="G637" s="238">
        <f>D637/30.48</f>
        <v/>
      </c>
      <c r="H637" s="613" t="n"/>
      <c r="I637" s="273" t="n"/>
      <c r="J637" s="274" t="n"/>
      <c r="K637" s="275" t="n"/>
      <c r="L637" s="276" t="n"/>
      <c r="M637" s="270" t="n"/>
    </row>
    <row r="638" ht="18" customHeight="1" s="305">
      <c r="A638" s="28" t="inlineStr">
        <is>
          <t>D 1155</t>
        </is>
      </c>
      <c r="B638" s="29" t="n">
        <v>52</v>
      </c>
      <c r="C638" s="236" t="inlineStr">
        <is>
          <t>X</t>
        </is>
      </c>
      <c r="D638" s="29" t="n">
        <v>90</v>
      </c>
      <c r="E638" s="237">
        <f>B638*D638/10000</f>
        <v/>
      </c>
      <c r="F638" s="238">
        <f>B638/30.48</f>
        <v/>
      </c>
      <c r="G638" s="238">
        <f>D638/30.48</f>
        <v/>
      </c>
      <c r="H638" s="613" t="n"/>
      <c r="I638" s="273" t="n"/>
      <c r="J638" s="274" t="n"/>
      <c r="K638" s="275" t="n"/>
      <c r="L638" s="276" t="n"/>
      <c r="M638" s="270" t="n"/>
    </row>
    <row r="639" ht="18" customHeight="1" s="305">
      <c r="A639" s="28" t="inlineStr">
        <is>
          <t>D 1156</t>
        </is>
      </c>
      <c r="B639" s="29" t="n">
        <v>44</v>
      </c>
      <c r="C639" s="236" t="inlineStr">
        <is>
          <t>X</t>
        </is>
      </c>
      <c r="D639" s="29" t="n">
        <v>78</v>
      </c>
      <c r="E639" s="237">
        <f>B639*D639/10000</f>
        <v/>
      </c>
      <c r="F639" s="238">
        <f>B639/30.48</f>
        <v/>
      </c>
      <c r="G639" s="238">
        <f>D639/30.48</f>
        <v/>
      </c>
      <c r="H639" s="613" t="n"/>
      <c r="I639" s="273" t="n"/>
      <c r="J639" s="274" t="n"/>
      <c r="K639" s="275" t="n"/>
      <c r="L639" s="276" t="n"/>
      <c r="M639" s="270" t="n"/>
    </row>
    <row r="640" ht="18" customHeight="1" s="305">
      <c r="A640" s="28" t="inlineStr">
        <is>
          <t>D 1157</t>
        </is>
      </c>
      <c r="B640" s="29" t="n">
        <v>63</v>
      </c>
      <c r="C640" s="236" t="inlineStr">
        <is>
          <t>X</t>
        </is>
      </c>
      <c r="D640" s="29" t="n">
        <v>97</v>
      </c>
      <c r="E640" s="237">
        <f>B640*D640/10000</f>
        <v/>
      </c>
      <c r="F640" s="238">
        <f>B640/30.48</f>
        <v/>
      </c>
      <c r="G640" s="238">
        <f>D640/30.48</f>
        <v/>
      </c>
      <c r="H640" s="613" t="n"/>
      <c r="I640" s="273" t="n"/>
      <c r="J640" s="274" t="n"/>
      <c r="K640" s="275" t="n"/>
      <c r="L640" s="276" t="n"/>
      <c r="M640" s="270" t="n"/>
    </row>
    <row r="641" ht="18" customHeight="1" s="305">
      <c r="A641" s="28" t="inlineStr">
        <is>
          <t>D 1158</t>
        </is>
      </c>
      <c r="B641" s="29" t="n">
        <v>52</v>
      </c>
      <c r="C641" s="236" t="inlineStr">
        <is>
          <t>X</t>
        </is>
      </c>
      <c r="D641" s="29" t="n">
        <v>72</v>
      </c>
      <c r="E641" s="237">
        <f>B641*D641/10000</f>
        <v/>
      </c>
      <c r="F641" s="238">
        <f>B641/30.48</f>
        <v/>
      </c>
      <c r="G641" s="238">
        <f>D641/30.48</f>
        <v/>
      </c>
      <c r="H641" s="613" t="n"/>
      <c r="I641" s="273" t="n"/>
      <c r="J641" s="274" t="n"/>
      <c r="K641" s="275" t="n"/>
      <c r="L641" s="276" t="n"/>
      <c r="M641" s="270" t="n"/>
    </row>
    <row r="642" ht="18" customHeight="1" s="305">
      <c r="A642" s="28" t="inlineStr">
        <is>
          <t>D 1159</t>
        </is>
      </c>
      <c r="B642" s="29" t="n">
        <v>48</v>
      </c>
      <c r="C642" s="236" t="inlineStr">
        <is>
          <t>X</t>
        </is>
      </c>
      <c r="D642" s="29" t="n">
        <v>80</v>
      </c>
      <c r="E642" s="237">
        <f>B642*D642/10000</f>
        <v/>
      </c>
      <c r="F642" s="238">
        <f>B642/30.48</f>
        <v/>
      </c>
      <c r="G642" s="238">
        <f>D642/30.48</f>
        <v/>
      </c>
      <c r="H642" s="613" t="n"/>
      <c r="I642" s="273" t="n"/>
      <c r="J642" s="274" t="n"/>
      <c r="K642" s="275" t="n"/>
      <c r="L642" s="276" t="n"/>
      <c r="M642" s="270" t="n"/>
    </row>
    <row r="643" ht="18" customHeight="1" s="305">
      <c r="A643" s="28" t="inlineStr">
        <is>
          <t>D 1160</t>
        </is>
      </c>
      <c r="B643" s="29" t="n">
        <v>45</v>
      </c>
      <c r="C643" s="236" t="inlineStr">
        <is>
          <t>X</t>
        </is>
      </c>
      <c r="D643" s="29" t="n">
        <v>100</v>
      </c>
      <c r="E643" s="237">
        <f>B643*D643/10000</f>
        <v/>
      </c>
      <c r="F643" s="238">
        <f>B643/30.48</f>
        <v/>
      </c>
      <c r="G643" s="238">
        <f>D643/30.48</f>
        <v/>
      </c>
      <c r="H643" s="613" t="n"/>
      <c r="I643" s="273" t="n"/>
      <c r="J643" s="274" t="n"/>
      <c r="K643" s="275" t="n"/>
      <c r="L643" s="276" t="n"/>
      <c r="M643" s="270" t="n"/>
    </row>
    <row r="644" ht="18" customHeight="1" s="305">
      <c r="A644" s="28" t="inlineStr">
        <is>
          <t>D 1161</t>
        </is>
      </c>
      <c r="B644" s="29" t="n">
        <v>44</v>
      </c>
      <c r="C644" s="236" t="inlineStr">
        <is>
          <t>X</t>
        </is>
      </c>
      <c r="D644" s="29" t="n">
        <v>87</v>
      </c>
      <c r="E644" s="237">
        <f>B644*D644/10000</f>
        <v/>
      </c>
      <c r="F644" s="238">
        <f>B644/30.48</f>
        <v/>
      </c>
      <c r="G644" s="238">
        <f>D644/30.48</f>
        <v/>
      </c>
      <c r="H644" s="613" t="n"/>
      <c r="I644" s="273" t="n"/>
      <c r="J644" s="274" t="n"/>
      <c r="K644" s="275" t="n"/>
      <c r="L644" s="276" t="n"/>
      <c r="M644" s="270" t="n"/>
    </row>
    <row r="645" ht="18" customHeight="1" s="305">
      <c r="A645" s="28" t="inlineStr">
        <is>
          <t>D 1162</t>
        </is>
      </c>
      <c r="B645" s="29" t="n">
        <v>47</v>
      </c>
      <c r="C645" s="236" t="inlineStr">
        <is>
          <t>X</t>
        </is>
      </c>
      <c r="D645" s="29" t="n">
        <v>96</v>
      </c>
      <c r="E645" s="237">
        <f>B645*D645/10000</f>
        <v/>
      </c>
      <c r="F645" s="238">
        <f>B645/30.48</f>
        <v/>
      </c>
      <c r="G645" s="238">
        <f>D645/30.48</f>
        <v/>
      </c>
      <c r="H645" s="613" t="n"/>
      <c r="I645" s="273" t="n"/>
      <c r="J645" s="274" t="n"/>
      <c r="K645" s="275" t="n"/>
      <c r="L645" s="276" t="n"/>
      <c r="M645" s="270" t="n"/>
    </row>
    <row r="646" ht="18" customHeight="1" s="305">
      <c r="A646" s="28" t="inlineStr">
        <is>
          <t>D 1164</t>
        </is>
      </c>
      <c r="B646" s="29" t="n">
        <v>45</v>
      </c>
      <c r="C646" s="236" t="inlineStr">
        <is>
          <t>X</t>
        </is>
      </c>
      <c r="D646" s="29" t="n">
        <v>86</v>
      </c>
      <c r="E646" s="237">
        <f>B646*D646/10000</f>
        <v/>
      </c>
      <c r="F646" s="238">
        <f>B646/30.48</f>
        <v/>
      </c>
      <c r="G646" s="238">
        <f>D646/30.48</f>
        <v/>
      </c>
      <c r="H646" s="613" t="n"/>
      <c r="I646" s="273" t="n"/>
      <c r="J646" s="274" t="n"/>
      <c r="K646" s="275" t="n"/>
      <c r="L646" s="276" t="n"/>
      <c r="M646" s="270" t="n"/>
    </row>
    <row r="647" ht="18" customHeight="1" s="305">
      <c r="A647" s="28" t="inlineStr">
        <is>
          <t>D 1165</t>
        </is>
      </c>
      <c r="B647" s="29" t="n">
        <v>44</v>
      </c>
      <c r="C647" s="236" t="inlineStr">
        <is>
          <t>X</t>
        </is>
      </c>
      <c r="D647" s="29" t="n">
        <v>88</v>
      </c>
      <c r="E647" s="237">
        <f>B647*D647/10000</f>
        <v/>
      </c>
      <c r="F647" s="238">
        <f>B647/30.48</f>
        <v/>
      </c>
      <c r="G647" s="238">
        <f>D647/30.48</f>
        <v/>
      </c>
      <c r="H647" s="613" t="n"/>
      <c r="I647" s="273" t="n"/>
      <c r="J647" s="274" t="n"/>
      <c r="K647" s="275" t="n"/>
      <c r="L647" s="276" t="n"/>
      <c r="M647" s="270" t="n"/>
    </row>
    <row r="648" ht="18" customHeight="1" s="305">
      <c r="A648" s="28" t="inlineStr">
        <is>
          <t>D 1166</t>
        </is>
      </c>
      <c r="B648" s="29" t="n">
        <v>49</v>
      </c>
      <c r="C648" s="236" t="inlineStr">
        <is>
          <t>X</t>
        </is>
      </c>
      <c r="D648" s="29" t="n">
        <v>80</v>
      </c>
      <c r="E648" s="237">
        <f>B648*D648/10000</f>
        <v/>
      </c>
      <c r="F648" s="238">
        <f>B648/30.48</f>
        <v/>
      </c>
      <c r="G648" s="238">
        <f>D648/30.48</f>
        <v/>
      </c>
      <c r="H648" s="613" t="n"/>
      <c r="I648" s="273" t="n"/>
      <c r="J648" s="274" t="n"/>
      <c r="K648" s="275" t="n"/>
      <c r="L648" s="276" t="n"/>
      <c r="M648" s="270" t="n"/>
    </row>
    <row r="649" ht="18" customHeight="1" s="305">
      <c r="A649" s="28" t="inlineStr">
        <is>
          <t>D 1167</t>
        </is>
      </c>
      <c r="B649" s="29" t="n">
        <v>54</v>
      </c>
      <c r="C649" s="236" t="inlineStr">
        <is>
          <t>X</t>
        </is>
      </c>
      <c r="D649" s="29" t="n">
        <v>113</v>
      </c>
      <c r="E649" s="237">
        <f>B649*D649/10000</f>
        <v/>
      </c>
      <c r="F649" s="238">
        <f>B649/30.48</f>
        <v/>
      </c>
      <c r="G649" s="238">
        <f>D649/30.48</f>
        <v/>
      </c>
      <c r="H649" s="613" t="n"/>
      <c r="I649" s="273" t="n"/>
      <c r="J649" s="274" t="n"/>
      <c r="K649" s="275" t="n"/>
      <c r="L649" s="276" t="n"/>
      <c r="M649" s="270" t="n"/>
    </row>
    <row r="650" ht="18" customHeight="1" s="305">
      <c r="A650" s="28" t="inlineStr">
        <is>
          <t>D 1168</t>
        </is>
      </c>
      <c r="B650" s="29" t="n">
        <v>38</v>
      </c>
      <c r="C650" s="236" t="inlineStr">
        <is>
          <t>X</t>
        </is>
      </c>
      <c r="D650" s="29" t="n">
        <v>80</v>
      </c>
      <c r="E650" s="237">
        <f>B650*D650/10000</f>
        <v/>
      </c>
      <c r="F650" s="238">
        <f>B650/30.48</f>
        <v/>
      </c>
      <c r="G650" s="238">
        <f>D650/30.48</f>
        <v/>
      </c>
      <c r="H650" s="613" t="n"/>
      <c r="I650" s="273" t="n"/>
      <c r="J650" s="274" t="n"/>
      <c r="K650" s="275" t="n"/>
      <c r="L650" s="276" t="n"/>
      <c r="M650" s="270" t="n"/>
    </row>
    <row r="651" ht="18" customHeight="1" s="305">
      <c r="A651" s="28" t="inlineStr">
        <is>
          <t>D 1169</t>
        </is>
      </c>
      <c r="B651" s="29" t="n">
        <v>43</v>
      </c>
      <c r="C651" s="236" t="inlineStr">
        <is>
          <t>X</t>
        </is>
      </c>
      <c r="D651" s="29" t="n">
        <v>87</v>
      </c>
      <c r="E651" s="237">
        <f>B651*D651/10000</f>
        <v/>
      </c>
      <c r="F651" s="238">
        <f>B651/30.48</f>
        <v/>
      </c>
      <c r="G651" s="238">
        <f>D651/30.48</f>
        <v/>
      </c>
      <c r="H651" s="613" t="n"/>
      <c r="I651" s="273" t="n"/>
      <c r="J651" s="274" t="n"/>
      <c r="K651" s="275" t="n"/>
      <c r="L651" s="276" t="n"/>
      <c r="M651" s="270" t="n"/>
    </row>
    <row r="652" ht="18" customHeight="1" s="305">
      <c r="A652" s="28" t="inlineStr">
        <is>
          <t>D 1170</t>
        </is>
      </c>
      <c r="B652" s="29" t="n">
        <v>52</v>
      </c>
      <c r="C652" s="236" t="inlineStr">
        <is>
          <t>X</t>
        </is>
      </c>
      <c r="D652" s="29" t="n">
        <v>93</v>
      </c>
      <c r="E652" s="237">
        <f>B652*D652/10000</f>
        <v/>
      </c>
      <c r="F652" s="238">
        <f>B652/30.48</f>
        <v/>
      </c>
      <c r="G652" s="238">
        <f>D652/30.48</f>
        <v/>
      </c>
      <c r="H652" s="613" t="n"/>
      <c r="I652" s="273" t="n"/>
      <c r="J652" s="274" t="n"/>
      <c r="K652" s="275" t="n"/>
      <c r="L652" s="276" t="n"/>
      <c r="M652" s="270" t="n"/>
    </row>
    <row r="653" ht="18" customHeight="1" s="305">
      <c r="A653" s="28" t="inlineStr">
        <is>
          <t>D 1171</t>
        </is>
      </c>
      <c r="B653" s="29" t="n">
        <v>47</v>
      </c>
      <c r="C653" s="236" t="inlineStr">
        <is>
          <t>X</t>
        </is>
      </c>
      <c r="D653" s="29" t="n">
        <v>93</v>
      </c>
      <c r="E653" s="237">
        <f>B653*D653/10000</f>
        <v/>
      </c>
      <c r="F653" s="238">
        <f>B653/30.48</f>
        <v/>
      </c>
      <c r="G653" s="238">
        <f>D653/30.48</f>
        <v/>
      </c>
      <c r="H653" s="613" t="n"/>
      <c r="I653" s="273" t="n"/>
      <c r="J653" s="274" t="n"/>
      <c r="K653" s="275" t="n"/>
      <c r="L653" s="276" t="n"/>
      <c r="M653" s="270" t="n"/>
    </row>
    <row r="654" ht="18" customHeight="1" s="305">
      <c r="A654" s="28" t="inlineStr">
        <is>
          <t>D 1172</t>
        </is>
      </c>
      <c r="B654" s="29" t="n">
        <v>49</v>
      </c>
      <c r="C654" s="236" t="inlineStr">
        <is>
          <t>X</t>
        </is>
      </c>
      <c r="D654" s="29" t="n">
        <v>74</v>
      </c>
      <c r="E654" s="237">
        <f>B654*D654/10000</f>
        <v/>
      </c>
      <c r="F654" s="238">
        <f>B654/30.48</f>
        <v/>
      </c>
      <c r="G654" s="238">
        <f>D654/30.48</f>
        <v/>
      </c>
      <c r="H654" s="613" t="n"/>
      <c r="I654" s="273" t="n"/>
      <c r="J654" s="274" t="n"/>
      <c r="K654" s="275" t="n"/>
      <c r="L654" s="276" t="n"/>
      <c r="M654" s="270" t="n"/>
    </row>
    <row r="655" ht="18" customHeight="1" s="305">
      <c r="A655" s="28" t="inlineStr">
        <is>
          <t>D 1173</t>
        </is>
      </c>
      <c r="B655" s="29" t="n">
        <v>48</v>
      </c>
      <c r="C655" s="236" t="inlineStr">
        <is>
          <t>X</t>
        </is>
      </c>
      <c r="D655" s="29" t="n">
        <v>81</v>
      </c>
      <c r="E655" s="237">
        <f>B655*D655/10000</f>
        <v/>
      </c>
      <c r="F655" s="238">
        <f>B655/30.48</f>
        <v/>
      </c>
      <c r="G655" s="238">
        <f>D655/30.48</f>
        <v/>
      </c>
      <c r="H655" s="613" t="n"/>
      <c r="I655" s="273" t="n"/>
      <c r="J655" s="274" t="n"/>
      <c r="K655" s="275" t="n"/>
      <c r="L655" s="276" t="n"/>
      <c r="M655" s="270" t="n"/>
    </row>
    <row r="656" ht="18" customHeight="1" s="305">
      <c r="A656" s="28" t="inlineStr">
        <is>
          <t>D 1174</t>
        </is>
      </c>
      <c r="B656" s="29" t="n">
        <v>54</v>
      </c>
      <c r="C656" s="236" t="inlineStr">
        <is>
          <t>X</t>
        </is>
      </c>
      <c r="D656" s="29" t="n">
        <v>96</v>
      </c>
      <c r="E656" s="237">
        <f>B656*D656/10000</f>
        <v/>
      </c>
      <c r="F656" s="238">
        <f>B656/30.48</f>
        <v/>
      </c>
      <c r="G656" s="238">
        <f>D656/30.48</f>
        <v/>
      </c>
      <c r="H656" s="613" t="n"/>
      <c r="I656" s="273" t="n"/>
      <c r="J656" s="274" t="n"/>
      <c r="K656" s="275" t="n"/>
      <c r="L656" s="276" t="n"/>
      <c r="M656" s="270" t="n"/>
    </row>
    <row r="657" ht="18" customHeight="1" s="305">
      <c r="A657" s="28" t="inlineStr">
        <is>
          <t>D 1175</t>
        </is>
      </c>
      <c r="B657" s="29" t="n">
        <v>55</v>
      </c>
      <c r="C657" s="236" t="inlineStr">
        <is>
          <t>X</t>
        </is>
      </c>
      <c r="D657" s="29" t="n">
        <v>97</v>
      </c>
      <c r="E657" s="237">
        <f>B657*D657/10000</f>
        <v/>
      </c>
      <c r="F657" s="238">
        <f>B657/30.48</f>
        <v/>
      </c>
      <c r="G657" s="238">
        <f>D657/30.48</f>
        <v/>
      </c>
      <c r="H657" s="613" t="n"/>
      <c r="I657" s="273" t="n"/>
      <c r="J657" s="274" t="n"/>
      <c r="K657" s="275" t="n"/>
      <c r="L657" s="276" t="n"/>
      <c r="M657" s="270" t="n"/>
    </row>
    <row r="658" ht="18" customHeight="1" s="305">
      <c r="A658" s="28" t="inlineStr">
        <is>
          <t>D 1176</t>
        </is>
      </c>
      <c r="B658" s="29" t="n">
        <v>37</v>
      </c>
      <c r="C658" s="236" t="inlineStr">
        <is>
          <t>X</t>
        </is>
      </c>
      <c r="D658" s="29" t="n">
        <v>96</v>
      </c>
      <c r="E658" s="237">
        <f>B658*D658/10000</f>
        <v/>
      </c>
      <c r="F658" s="238">
        <f>B658/30.48</f>
        <v/>
      </c>
      <c r="G658" s="238">
        <f>D658/30.48</f>
        <v/>
      </c>
      <c r="H658" s="613" t="n"/>
      <c r="I658" s="273" t="n"/>
      <c r="J658" s="274" t="n"/>
      <c r="K658" s="275" t="n"/>
      <c r="L658" s="276" t="n"/>
      <c r="M658" s="270" t="n"/>
    </row>
    <row r="659" ht="18" customHeight="1" s="305">
      <c r="A659" s="28" t="inlineStr">
        <is>
          <t>D 1177</t>
        </is>
      </c>
      <c r="B659" s="29" t="n">
        <v>48</v>
      </c>
      <c r="C659" s="236" t="inlineStr">
        <is>
          <t>X</t>
        </is>
      </c>
      <c r="D659" s="29" t="n">
        <v>92</v>
      </c>
      <c r="E659" s="237">
        <f>B659*D659/10000</f>
        <v/>
      </c>
      <c r="F659" s="238">
        <f>B659/30.48</f>
        <v/>
      </c>
      <c r="G659" s="238">
        <f>D659/30.48</f>
        <v/>
      </c>
      <c r="H659" s="613" t="n"/>
      <c r="I659" s="273" t="n"/>
      <c r="J659" s="274" t="n"/>
      <c r="K659" s="275" t="n"/>
      <c r="L659" s="276" t="n"/>
      <c r="M659" s="270" t="n"/>
    </row>
    <row r="660" ht="18" customHeight="1" s="305">
      <c r="A660" s="28" t="inlineStr">
        <is>
          <t>D 1178</t>
        </is>
      </c>
      <c r="B660" s="29" t="n">
        <v>39</v>
      </c>
      <c r="C660" s="236" t="inlineStr">
        <is>
          <t>X</t>
        </is>
      </c>
      <c r="D660" s="29" t="n">
        <v>93</v>
      </c>
      <c r="E660" s="237">
        <f>B660*D660/10000</f>
        <v/>
      </c>
      <c r="F660" s="238">
        <f>B660/30.48</f>
        <v/>
      </c>
      <c r="G660" s="238">
        <f>D660/30.48</f>
        <v/>
      </c>
      <c r="H660" s="613" t="n"/>
      <c r="I660" s="273" t="n"/>
      <c r="J660" s="274" t="n"/>
      <c r="K660" s="275" t="n"/>
      <c r="L660" s="276" t="n"/>
      <c r="M660" s="270" t="n"/>
    </row>
    <row r="661" ht="18" customHeight="1" s="305">
      <c r="A661" s="28" t="inlineStr">
        <is>
          <t>D 1179</t>
        </is>
      </c>
      <c r="B661" s="29" t="n">
        <v>39</v>
      </c>
      <c r="C661" s="236" t="inlineStr">
        <is>
          <t>X</t>
        </is>
      </c>
      <c r="D661" s="29" t="n">
        <v>72</v>
      </c>
      <c r="E661" s="237">
        <f>B661*D661/10000</f>
        <v/>
      </c>
      <c r="F661" s="238">
        <f>B661/30.48</f>
        <v/>
      </c>
      <c r="G661" s="238">
        <f>D661/30.48</f>
        <v/>
      </c>
      <c r="H661" s="613" t="n"/>
      <c r="I661" s="273" t="n"/>
      <c r="J661" s="274" t="n"/>
      <c r="K661" s="275" t="n"/>
      <c r="L661" s="276" t="n"/>
      <c r="M661" s="270" t="n"/>
    </row>
    <row r="662" ht="18" customHeight="1" s="305">
      <c r="A662" s="28" t="inlineStr">
        <is>
          <t>D 1180</t>
        </is>
      </c>
      <c r="B662" s="29" t="n">
        <v>51</v>
      </c>
      <c r="C662" s="236" t="inlineStr">
        <is>
          <t>X</t>
        </is>
      </c>
      <c r="D662" s="29" t="n">
        <v>96</v>
      </c>
      <c r="E662" s="237">
        <f>B662*D662/10000</f>
        <v/>
      </c>
      <c r="F662" s="238">
        <f>B662/30.48</f>
        <v/>
      </c>
      <c r="G662" s="238">
        <f>D662/30.48</f>
        <v/>
      </c>
      <c r="H662" s="613" t="n"/>
      <c r="I662" s="273" t="n"/>
      <c r="J662" s="274" t="n"/>
      <c r="K662" s="275" t="n"/>
      <c r="L662" s="276" t="n"/>
      <c r="M662" s="270" t="n"/>
    </row>
    <row r="663" ht="18" customHeight="1" s="305">
      <c r="A663" s="28" t="inlineStr">
        <is>
          <t>D 1181</t>
        </is>
      </c>
      <c r="B663" s="29" t="n">
        <v>45</v>
      </c>
      <c r="C663" s="236" t="inlineStr">
        <is>
          <t>X</t>
        </is>
      </c>
      <c r="D663" s="29" t="n">
        <v>76</v>
      </c>
      <c r="E663" s="237">
        <f>B663*D663/10000</f>
        <v/>
      </c>
      <c r="F663" s="238">
        <f>B663/30.48</f>
        <v/>
      </c>
      <c r="G663" s="238">
        <f>D663/30.48</f>
        <v/>
      </c>
      <c r="H663" s="613" t="n"/>
      <c r="I663" s="273" t="n"/>
      <c r="J663" s="274" t="n"/>
      <c r="K663" s="275" t="n"/>
      <c r="L663" s="276" t="n"/>
      <c r="M663" s="270" t="n"/>
    </row>
    <row r="664" ht="18" customHeight="1" s="305">
      <c r="A664" s="28" t="inlineStr">
        <is>
          <t>D 1182</t>
        </is>
      </c>
      <c r="B664" s="29" t="n">
        <v>48</v>
      </c>
      <c r="C664" s="236" t="inlineStr">
        <is>
          <t>X</t>
        </is>
      </c>
      <c r="D664" s="29" t="n">
        <v>95</v>
      </c>
      <c r="E664" s="237">
        <f>B664*D664/10000</f>
        <v/>
      </c>
      <c r="F664" s="238">
        <f>B664/30.48</f>
        <v/>
      </c>
      <c r="G664" s="238">
        <f>D664/30.48</f>
        <v/>
      </c>
      <c r="H664" s="613" t="n"/>
      <c r="I664" s="273" t="n"/>
      <c r="J664" s="274" t="n"/>
      <c r="K664" s="275" t="n"/>
      <c r="L664" s="276" t="n"/>
      <c r="M664" s="270" t="n"/>
    </row>
    <row r="665" ht="18" customHeight="1" s="305">
      <c r="A665" s="28" t="inlineStr">
        <is>
          <t>D 1183</t>
        </is>
      </c>
      <c r="B665" s="29" t="n">
        <v>48</v>
      </c>
      <c r="C665" s="236" t="inlineStr">
        <is>
          <t>X</t>
        </is>
      </c>
      <c r="D665" s="29" t="n">
        <v>95</v>
      </c>
      <c r="E665" s="237">
        <f>B665*D665/10000</f>
        <v/>
      </c>
      <c r="F665" s="238">
        <f>B665/30.48</f>
        <v/>
      </c>
      <c r="G665" s="238">
        <f>D665/30.48</f>
        <v/>
      </c>
      <c r="H665" s="613" t="n"/>
      <c r="I665" s="273" t="n"/>
      <c r="J665" s="274" t="n"/>
      <c r="K665" s="275" t="n"/>
      <c r="L665" s="276" t="n"/>
      <c r="M665" s="270" t="n"/>
    </row>
    <row r="666" ht="18" customHeight="1" s="305">
      <c r="A666" s="28" t="inlineStr">
        <is>
          <t>D 1184</t>
        </is>
      </c>
      <c r="B666" s="29" t="n">
        <v>47</v>
      </c>
      <c r="C666" s="236" t="inlineStr">
        <is>
          <t>X</t>
        </is>
      </c>
      <c r="D666" s="29" t="n">
        <v>75</v>
      </c>
      <c r="E666" s="237">
        <f>B666*D666/10000</f>
        <v/>
      </c>
      <c r="F666" s="238">
        <f>B666/30.48</f>
        <v/>
      </c>
      <c r="G666" s="238">
        <f>D666/30.48</f>
        <v/>
      </c>
      <c r="H666" s="613" t="n"/>
      <c r="I666" s="273" t="n"/>
      <c r="J666" s="274" t="n"/>
      <c r="K666" s="275" t="n"/>
      <c r="L666" s="276" t="n"/>
      <c r="M666" s="270" t="n"/>
    </row>
    <row r="667" ht="18" customHeight="1" s="305">
      <c r="A667" s="28" t="inlineStr">
        <is>
          <t>D 1185</t>
        </is>
      </c>
      <c r="B667" s="29" t="n">
        <v>49</v>
      </c>
      <c r="C667" s="236" t="inlineStr">
        <is>
          <t>X</t>
        </is>
      </c>
      <c r="D667" s="29" t="n">
        <v>90</v>
      </c>
      <c r="E667" s="237">
        <f>B667*D667/10000</f>
        <v/>
      </c>
      <c r="F667" s="238">
        <f>B667/30.48</f>
        <v/>
      </c>
      <c r="G667" s="238">
        <f>D667/30.48</f>
        <v/>
      </c>
      <c r="H667" s="613" t="n"/>
      <c r="I667" s="273" t="n"/>
      <c r="J667" s="274" t="n"/>
      <c r="K667" s="275" t="n"/>
      <c r="L667" s="276" t="n"/>
      <c r="M667" s="270" t="n"/>
    </row>
    <row r="668" ht="18" customHeight="1" s="305">
      <c r="A668" s="28" t="inlineStr">
        <is>
          <t>D 1186</t>
        </is>
      </c>
      <c r="B668" s="29" t="n">
        <v>54</v>
      </c>
      <c r="C668" s="236" t="inlineStr">
        <is>
          <t>X</t>
        </is>
      </c>
      <c r="D668" s="29" t="n">
        <v>90</v>
      </c>
      <c r="E668" s="237">
        <f>B668*D668/10000</f>
        <v/>
      </c>
      <c r="F668" s="238">
        <f>B668/30.48</f>
        <v/>
      </c>
      <c r="G668" s="238">
        <f>D668/30.48</f>
        <v/>
      </c>
      <c r="H668" s="613" t="n"/>
      <c r="I668" s="273" t="n"/>
      <c r="J668" s="274" t="n"/>
      <c r="K668" s="275" t="n"/>
      <c r="L668" s="276" t="n"/>
      <c r="M668" s="270" t="n"/>
    </row>
    <row r="669" ht="18" customHeight="1" s="305">
      <c r="A669" s="28" t="inlineStr">
        <is>
          <t>D 1187</t>
        </is>
      </c>
      <c r="B669" s="29" t="n">
        <v>47</v>
      </c>
      <c r="C669" s="236" t="inlineStr">
        <is>
          <t>X</t>
        </is>
      </c>
      <c r="D669" s="29" t="n">
        <v>72</v>
      </c>
      <c r="E669" s="237">
        <f>B669*D669/10000</f>
        <v/>
      </c>
      <c r="F669" s="238">
        <f>B669/30.48</f>
        <v/>
      </c>
      <c r="G669" s="238">
        <f>D669/30.48</f>
        <v/>
      </c>
      <c r="H669" s="613" t="n"/>
      <c r="I669" s="273" t="n"/>
      <c r="J669" s="274" t="n"/>
      <c r="K669" s="275" t="n"/>
      <c r="L669" s="276" t="n"/>
      <c r="M669" s="270" t="n"/>
    </row>
    <row r="670" ht="18" customHeight="1" s="305">
      <c r="A670" s="28" t="inlineStr">
        <is>
          <t>D 1188</t>
        </is>
      </c>
      <c r="B670" s="29" t="n">
        <v>54</v>
      </c>
      <c r="C670" s="236" t="inlineStr">
        <is>
          <t>X</t>
        </is>
      </c>
      <c r="D670" s="29" t="n">
        <v>89</v>
      </c>
      <c r="E670" s="237">
        <f>B670*D670/10000</f>
        <v/>
      </c>
      <c r="F670" s="238">
        <f>B670/30.48</f>
        <v/>
      </c>
      <c r="G670" s="238">
        <f>D670/30.48</f>
        <v/>
      </c>
      <c r="H670" s="613" t="n"/>
      <c r="I670" s="273" t="n"/>
      <c r="J670" s="274" t="n"/>
      <c r="K670" s="275" t="n"/>
      <c r="L670" s="276" t="n"/>
      <c r="M670" s="270" t="n"/>
    </row>
    <row r="671" ht="18" customHeight="1" s="305">
      <c r="A671" s="28" t="inlineStr">
        <is>
          <t>D 1189</t>
        </is>
      </c>
      <c r="B671" s="29" t="n">
        <v>45</v>
      </c>
      <c r="C671" s="236" t="inlineStr">
        <is>
          <t>X</t>
        </is>
      </c>
      <c r="D671" s="29" t="n">
        <v>90</v>
      </c>
      <c r="E671" s="237">
        <f>B671*D671/10000</f>
        <v/>
      </c>
      <c r="F671" s="238">
        <f>B671/30.48</f>
        <v/>
      </c>
      <c r="G671" s="238">
        <f>D671/30.48</f>
        <v/>
      </c>
      <c r="H671" s="613" t="n"/>
      <c r="I671" s="273" t="n"/>
      <c r="J671" s="274" t="n"/>
      <c r="K671" s="275" t="n"/>
      <c r="L671" s="276" t="n"/>
      <c r="M671" s="270" t="n"/>
    </row>
    <row r="672" ht="18" customHeight="1" s="305">
      <c r="A672" s="28" t="inlineStr">
        <is>
          <t>D 1190</t>
        </is>
      </c>
      <c r="B672" s="29" t="n">
        <v>45</v>
      </c>
      <c r="C672" s="236" t="inlineStr">
        <is>
          <t>X</t>
        </is>
      </c>
      <c r="D672" s="29" t="n">
        <v>70</v>
      </c>
      <c r="E672" s="237">
        <f>B672*D672/10000</f>
        <v/>
      </c>
      <c r="F672" s="238">
        <f>B672/30.48</f>
        <v/>
      </c>
      <c r="G672" s="238">
        <f>D672/30.48</f>
        <v/>
      </c>
      <c r="H672" s="613" t="n"/>
      <c r="I672" s="273" t="n"/>
      <c r="J672" s="274" t="n"/>
      <c r="K672" s="275" t="n"/>
      <c r="L672" s="276" t="n"/>
      <c r="M672" s="270" t="n"/>
    </row>
    <row r="673" ht="18" customHeight="1" s="305">
      <c r="A673" s="28" t="inlineStr">
        <is>
          <t>D 1191</t>
        </is>
      </c>
      <c r="B673" s="29" t="n">
        <v>50</v>
      </c>
      <c r="C673" s="236" t="inlineStr">
        <is>
          <t>X</t>
        </is>
      </c>
      <c r="D673" s="29" t="n">
        <v>83</v>
      </c>
      <c r="E673" s="237">
        <f>B673*D673/10000</f>
        <v/>
      </c>
      <c r="F673" s="238">
        <f>B673/30.48</f>
        <v/>
      </c>
      <c r="G673" s="238">
        <f>D673/30.48</f>
        <v/>
      </c>
      <c r="H673" s="613" t="n"/>
      <c r="I673" s="273" t="n"/>
      <c r="J673" s="274" t="n"/>
      <c r="K673" s="275" t="n"/>
      <c r="L673" s="276" t="n"/>
      <c r="M673" s="270" t="n"/>
    </row>
    <row r="674" ht="18" customHeight="1" s="305">
      <c r="A674" s="28" t="inlineStr">
        <is>
          <t>D 1192</t>
        </is>
      </c>
      <c r="B674" s="29" t="n">
        <v>54</v>
      </c>
      <c r="C674" s="236" t="inlineStr">
        <is>
          <t>X</t>
        </is>
      </c>
      <c r="D674" s="29" t="n">
        <v>104</v>
      </c>
      <c r="E674" s="237">
        <f>B674*D674/10000</f>
        <v/>
      </c>
      <c r="F674" s="238">
        <f>B674/30.48</f>
        <v/>
      </c>
      <c r="G674" s="238">
        <f>D674/30.48</f>
        <v/>
      </c>
      <c r="H674" s="613" t="n"/>
      <c r="I674" s="273" t="n"/>
      <c r="J674" s="274" t="n"/>
      <c r="K674" s="275" t="n"/>
      <c r="L674" s="276" t="n"/>
      <c r="M674" s="270" t="n"/>
    </row>
    <row r="675" ht="18" customHeight="1" s="305">
      <c r="A675" s="28" t="inlineStr">
        <is>
          <t>D 1193</t>
        </is>
      </c>
      <c r="B675" s="29" t="n">
        <v>46</v>
      </c>
      <c r="C675" s="236" t="inlineStr">
        <is>
          <t>X</t>
        </is>
      </c>
      <c r="D675" s="29" t="n">
        <v>97</v>
      </c>
      <c r="E675" s="237">
        <f>B675*D675/10000</f>
        <v/>
      </c>
      <c r="F675" s="238">
        <f>B675/30.48</f>
        <v/>
      </c>
      <c r="G675" s="238">
        <f>D675/30.48</f>
        <v/>
      </c>
      <c r="H675" s="613" t="n"/>
      <c r="I675" s="273" t="n"/>
      <c r="J675" s="274" t="n"/>
      <c r="K675" s="275" t="n"/>
      <c r="L675" s="276" t="n"/>
      <c r="M675" s="270" t="n"/>
    </row>
    <row r="676" ht="18" customHeight="1" s="305">
      <c r="A676" s="28" t="inlineStr">
        <is>
          <t>D 1194</t>
        </is>
      </c>
      <c r="B676" s="29" t="n">
        <v>48</v>
      </c>
      <c r="C676" s="236" t="inlineStr">
        <is>
          <t>X</t>
        </is>
      </c>
      <c r="D676" s="29" t="n">
        <v>68</v>
      </c>
      <c r="E676" s="237">
        <f>B676*D676/10000</f>
        <v/>
      </c>
      <c r="F676" s="238">
        <f>B676/30.48</f>
        <v/>
      </c>
      <c r="G676" s="238">
        <f>D676/30.48</f>
        <v/>
      </c>
      <c r="H676" s="613" t="n"/>
      <c r="I676" s="273" t="n"/>
      <c r="J676" s="274" t="n"/>
      <c r="K676" s="275" t="n"/>
      <c r="L676" s="276" t="n"/>
      <c r="M676" s="270" t="n"/>
    </row>
    <row r="677" ht="18" customHeight="1" s="305">
      <c r="A677" s="28" t="inlineStr">
        <is>
          <t>D 1195</t>
        </is>
      </c>
      <c r="B677" s="29" t="n">
        <v>53</v>
      </c>
      <c r="C677" s="236" t="inlineStr">
        <is>
          <t>X</t>
        </is>
      </c>
      <c r="D677" s="29" t="n">
        <v>108</v>
      </c>
      <c r="E677" s="237">
        <f>B677*D677/10000</f>
        <v/>
      </c>
      <c r="F677" s="238">
        <f>B677/30.48</f>
        <v/>
      </c>
      <c r="G677" s="238">
        <f>D677/30.48</f>
        <v/>
      </c>
      <c r="H677" s="613" t="n"/>
      <c r="I677" s="273" t="n"/>
      <c r="J677" s="274" t="n"/>
      <c r="K677" s="275" t="n"/>
      <c r="L677" s="276" t="n"/>
      <c r="M677" s="270" t="n"/>
    </row>
    <row r="678" ht="18" customHeight="1" s="305">
      <c r="A678" s="28" t="inlineStr">
        <is>
          <t>D 1196</t>
        </is>
      </c>
      <c r="B678" s="29" t="n">
        <v>45</v>
      </c>
      <c r="C678" s="236" t="inlineStr">
        <is>
          <t>X</t>
        </is>
      </c>
      <c r="D678" s="29" t="n">
        <v>90</v>
      </c>
      <c r="E678" s="237">
        <f>B678*D678/10000</f>
        <v/>
      </c>
      <c r="F678" s="238">
        <f>B678/30.48</f>
        <v/>
      </c>
      <c r="G678" s="238">
        <f>D678/30.48</f>
        <v/>
      </c>
      <c r="H678" s="613" t="n"/>
      <c r="I678" s="273" t="n"/>
      <c r="J678" s="274" t="n"/>
      <c r="K678" s="275" t="n"/>
      <c r="L678" s="276" t="n"/>
      <c r="M678" s="270" t="n"/>
    </row>
    <row r="679" ht="18" customHeight="1" s="305">
      <c r="A679" s="28" t="inlineStr">
        <is>
          <t>D 1197</t>
        </is>
      </c>
      <c r="B679" s="29" t="n">
        <v>46</v>
      </c>
      <c r="C679" s="236" t="inlineStr">
        <is>
          <t>X</t>
        </is>
      </c>
      <c r="D679" s="29" t="n">
        <v>92</v>
      </c>
      <c r="E679" s="237">
        <f>B679*D679/10000</f>
        <v/>
      </c>
      <c r="F679" s="238">
        <f>B679/30.48</f>
        <v/>
      </c>
      <c r="G679" s="238">
        <f>D679/30.48</f>
        <v/>
      </c>
      <c r="H679" s="613" t="n"/>
      <c r="I679" s="273" t="n"/>
      <c r="J679" s="274" t="n"/>
      <c r="K679" s="275" t="n"/>
      <c r="L679" s="276" t="n"/>
      <c r="M679" s="270" t="n"/>
    </row>
    <row r="680" ht="18" customHeight="1" s="305">
      <c r="A680" s="28" t="inlineStr">
        <is>
          <t>D 1198</t>
        </is>
      </c>
      <c r="B680" s="29" t="n">
        <v>59</v>
      </c>
      <c r="C680" s="236" t="inlineStr">
        <is>
          <t>X</t>
        </is>
      </c>
      <c r="D680" s="29" t="n">
        <v>121</v>
      </c>
      <c r="E680" s="237">
        <f>B680*D680/10000</f>
        <v/>
      </c>
      <c r="F680" s="238">
        <f>B680/30.48</f>
        <v/>
      </c>
      <c r="G680" s="238">
        <f>D680/30.48</f>
        <v/>
      </c>
      <c r="H680" s="613" t="n"/>
      <c r="I680" s="273" t="n"/>
      <c r="J680" s="274" t="n"/>
      <c r="K680" s="275" t="n"/>
      <c r="L680" s="276" t="n"/>
      <c r="M680" s="270" t="n"/>
    </row>
    <row r="681" ht="18" customHeight="1" s="305">
      <c r="A681" s="28" t="inlineStr">
        <is>
          <t>D 1199</t>
        </is>
      </c>
      <c r="B681" s="29" t="n">
        <v>46</v>
      </c>
      <c r="C681" s="236" t="inlineStr">
        <is>
          <t>X</t>
        </is>
      </c>
      <c r="D681" s="29" t="n">
        <v>79</v>
      </c>
      <c r="E681" s="237">
        <f>B681*D681/10000</f>
        <v/>
      </c>
      <c r="F681" s="238">
        <f>B681/30.48</f>
        <v/>
      </c>
      <c r="G681" s="238">
        <f>D681/30.48</f>
        <v/>
      </c>
      <c r="H681" s="613" t="n"/>
      <c r="I681" s="273" t="n"/>
      <c r="J681" s="274" t="n"/>
      <c r="K681" s="275" t="n"/>
      <c r="L681" s="276" t="n"/>
      <c r="M681" s="270" t="n"/>
    </row>
    <row r="682" ht="18" customHeight="1" s="305">
      <c r="A682" s="28" t="inlineStr">
        <is>
          <t>D 1200</t>
        </is>
      </c>
      <c r="B682" s="29" t="n">
        <v>50</v>
      </c>
      <c r="C682" s="236" t="inlineStr">
        <is>
          <t>X</t>
        </is>
      </c>
      <c r="D682" s="29" t="n">
        <v>96</v>
      </c>
      <c r="E682" s="237">
        <f>B682*D682/10000</f>
        <v/>
      </c>
      <c r="F682" s="238">
        <f>B682/30.48</f>
        <v/>
      </c>
      <c r="G682" s="238">
        <f>D682/30.48</f>
        <v/>
      </c>
      <c r="H682" s="613" t="n"/>
      <c r="I682" s="273" t="n"/>
      <c r="J682" s="274" t="n"/>
      <c r="K682" s="275" t="n"/>
      <c r="L682" s="276" t="n"/>
      <c r="M682" s="270" t="n"/>
    </row>
    <row r="683" ht="18" customHeight="1" s="305">
      <c r="A683" s="28" t="inlineStr">
        <is>
          <t>D 1201</t>
        </is>
      </c>
      <c r="B683" s="29" t="n">
        <v>46</v>
      </c>
      <c r="C683" s="236" t="inlineStr">
        <is>
          <t>X</t>
        </is>
      </c>
      <c r="D683" s="29" t="n">
        <v>89</v>
      </c>
      <c r="E683" s="237">
        <f>B683*D683/10000</f>
        <v/>
      </c>
      <c r="F683" s="238">
        <f>B683/30.48</f>
        <v/>
      </c>
      <c r="G683" s="238">
        <f>D683/30.48</f>
        <v/>
      </c>
      <c r="H683" s="613" t="n"/>
      <c r="I683" s="273" t="n"/>
      <c r="J683" s="274" t="n"/>
      <c r="K683" s="275" t="n"/>
      <c r="L683" s="276" t="n"/>
      <c r="M683" s="270" t="n"/>
    </row>
    <row r="684" ht="18" customHeight="1" s="305">
      <c r="A684" s="28" t="inlineStr">
        <is>
          <t>D 1202</t>
        </is>
      </c>
      <c r="B684" s="29" t="n">
        <v>40</v>
      </c>
      <c r="C684" s="236" t="inlineStr">
        <is>
          <t>X</t>
        </is>
      </c>
      <c r="D684" s="29" t="n">
        <v>67</v>
      </c>
      <c r="E684" s="237">
        <f>B684*D684/10000</f>
        <v/>
      </c>
      <c r="F684" s="238">
        <f>B684/30.48</f>
        <v/>
      </c>
      <c r="G684" s="238">
        <f>D684/30.48</f>
        <v/>
      </c>
      <c r="H684" s="613" t="n"/>
      <c r="I684" s="273" t="n"/>
      <c r="J684" s="274" t="n"/>
      <c r="K684" s="275" t="n"/>
      <c r="L684" s="276" t="n"/>
      <c r="M684" s="270" t="n"/>
    </row>
    <row r="685" ht="18" customHeight="1" s="305">
      <c r="A685" s="28" t="inlineStr">
        <is>
          <t>D 1203</t>
        </is>
      </c>
      <c r="B685" s="29" t="n">
        <v>56</v>
      </c>
      <c r="C685" s="236" t="inlineStr">
        <is>
          <t>X</t>
        </is>
      </c>
      <c r="D685" s="29" t="n">
        <v>89</v>
      </c>
      <c r="E685" s="237">
        <f>B685*D685/10000</f>
        <v/>
      </c>
      <c r="F685" s="238">
        <f>B685/30.48</f>
        <v/>
      </c>
      <c r="G685" s="238">
        <f>D685/30.48</f>
        <v/>
      </c>
      <c r="H685" s="613" t="n"/>
      <c r="I685" s="273" t="n"/>
      <c r="J685" s="274" t="n"/>
      <c r="K685" s="275" t="n"/>
      <c r="L685" s="276" t="n"/>
      <c r="M685" s="270" t="n"/>
    </row>
    <row r="686" ht="18" customHeight="1" s="305">
      <c r="A686" s="28" t="inlineStr">
        <is>
          <t>D 1204</t>
        </is>
      </c>
      <c r="B686" s="29" t="n">
        <v>44</v>
      </c>
      <c r="C686" s="236" t="inlineStr">
        <is>
          <t>X</t>
        </is>
      </c>
      <c r="D686" s="29" t="n">
        <v>85</v>
      </c>
      <c r="E686" s="237">
        <f>B686*D686/10000</f>
        <v/>
      </c>
      <c r="F686" s="238">
        <f>B686/30.48</f>
        <v/>
      </c>
      <c r="G686" s="238">
        <f>D686/30.48</f>
        <v/>
      </c>
      <c r="H686" s="613" t="n"/>
      <c r="I686" s="273" t="n"/>
      <c r="J686" s="274" t="n"/>
      <c r="K686" s="275" t="n"/>
      <c r="L686" s="276" t="n"/>
      <c r="M686" s="270" t="n"/>
    </row>
    <row r="687" ht="18" customHeight="1" s="305">
      <c r="A687" s="28" t="inlineStr">
        <is>
          <t>D 1205</t>
        </is>
      </c>
      <c r="B687" s="29" t="n">
        <v>50</v>
      </c>
      <c r="C687" s="236" t="inlineStr">
        <is>
          <t>X</t>
        </is>
      </c>
      <c r="D687" s="29" t="n">
        <v>97</v>
      </c>
      <c r="E687" s="237">
        <f>B687*D687/10000</f>
        <v/>
      </c>
      <c r="F687" s="238">
        <f>B687/30.48</f>
        <v/>
      </c>
      <c r="G687" s="238">
        <f>D687/30.48</f>
        <v/>
      </c>
      <c r="H687" s="613" t="n"/>
      <c r="I687" s="273" t="n"/>
      <c r="J687" s="274" t="n"/>
      <c r="K687" s="275" t="n"/>
      <c r="L687" s="276" t="n"/>
      <c r="M687" s="270" t="n"/>
    </row>
    <row r="688" ht="18" customHeight="1" s="305">
      <c r="A688" s="28" t="inlineStr">
        <is>
          <t>D 1206</t>
        </is>
      </c>
      <c r="B688" s="29" t="n">
        <v>42</v>
      </c>
      <c r="C688" s="236" t="inlineStr">
        <is>
          <t>X</t>
        </is>
      </c>
      <c r="D688" s="29" t="n">
        <v>102</v>
      </c>
      <c r="E688" s="237">
        <f>B688*D688/10000</f>
        <v/>
      </c>
      <c r="F688" s="238">
        <f>B688/30.48</f>
        <v/>
      </c>
      <c r="G688" s="238">
        <f>D688/30.48</f>
        <v/>
      </c>
      <c r="H688" s="613" t="n"/>
      <c r="I688" s="273" t="n"/>
      <c r="J688" s="274" t="n"/>
      <c r="K688" s="275" t="n"/>
      <c r="L688" s="276" t="n"/>
      <c r="M688" s="270" t="n"/>
    </row>
    <row r="689" ht="18" customHeight="1" s="305">
      <c r="A689" s="28" t="inlineStr">
        <is>
          <t>D 1207</t>
        </is>
      </c>
      <c r="B689" s="29" t="n">
        <v>45</v>
      </c>
      <c r="C689" s="236" t="inlineStr">
        <is>
          <t>X</t>
        </is>
      </c>
      <c r="D689" s="29" t="n">
        <v>108</v>
      </c>
      <c r="E689" s="237">
        <f>B689*D689/10000</f>
        <v/>
      </c>
      <c r="F689" s="238">
        <f>B689/30.48</f>
        <v/>
      </c>
      <c r="G689" s="238">
        <f>D689/30.48</f>
        <v/>
      </c>
      <c r="H689" s="613" t="n"/>
      <c r="I689" s="273" t="n"/>
      <c r="J689" s="274" t="n"/>
      <c r="K689" s="275" t="n"/>
      <c r="L689" s="276" t="n"/>
      <c r="M689" s="270" t="n"/>
    </row>
    <row r="690" ht="18" customHeight="1" s="305">
      <c r="A690" s="28" t="inlineStr">
        <is>
          <t>D 1208</t>
        </is>
      </c>
      <c r="B690" s="29" t="n">
        <v>45</v>
      </c>
      <c r="C690" s="236" t="inlineStr">
        <is>
          <t>X</t>
        </is>
      </c>
      <c r="D690" s="29" t="n">
        <v>77</v>
      </c>
      <c r="E690" s="237">
        <f>B690*D690/10000</f>
        <v/>
      </c>
      <c r="F690" s="238">
        <f>B690/30.48</f>
        <v/>
      </c>
      <c r="G690" s="238">
        <f>D690/30.48</f>
        <v/>
      </c>
      <c r="H690" s="613" t="n"/>
      <c r="I690" s="273" t="n"/>
      <c r="J690" s="274" t="n"/>
      <c r="K690" s="275" t="n"/>
      <c r="L690" s="276" t="n"/>
      <c r="M690" s="270" t="n"/>
    </row>
    <row r="691" ht="18" customHeight="1" s="305">
      <c r="A691" s="28" t="inlineStr">
        <is>
          <t>D 1209</t>
        </is>
      </c>
      <c r="B691" s="29" t="n">
        <v>46</v>
      </c>
      <c r="C691" s="236" t="inlineStr">
        <is>
          <t>X</t>
        </is>
      </c>
      <c r="D691" s="29" t="n">
        <v>96</v>
      </c>
      <c r="E691" s="237">
        <f>B691*D691/10000</f>
        <v/>
      </c>
      <c r="F691" s="238">
        <f>B691/30.48</f>
        <v/>
      </c>
      <c r="G691" s="238">
        <f>D691/30.48</f>
        <v/>
      </c>
      <c r="H691" s="613" t="n"/>
      <c r="I691" s="273" t="n"/>
      <c r="J691" s="274" t="n"/>
      <c r="K691" s="275" t="n"/>
      <c r="L691" s="276" t="n"/>
      <c r="M691" s="270" t="n"/>
    </row>
    <row r="692" ht="18" customHeight="1" s="305">
      <c r="A692" s="28" t="inlineStr">
        <is>
          <t>D 1210</t>
        </is>
      </c>
      <c r="B692" s="29" t="n">
        <v>44</v>
      </c>
      <c r="C692" s="236" t="inlineStr">
        <is>
          <t>X</t>
        </is>
      </c>
      <c r="D692" s="29" t="n">
        <v>92</v>
      </c>
      <c r="E692" s="237">
        <f>B692*D692/10000</f>
        <v/>
      </c>
      <c r="F692" s="238">
        <f>B692/30.48</f>
        <v/>
      </c>
      <c r="G692" s="238">
        <f>D692/30.48</f>
        <v/>
      </c>
      <c r="H692" s="613" t="n"/>
      <c r="I692" s="273" t="n"/>
      <c r="J692" s="274" t="n"/>
      <c r="K692" s="275" t="n"/>
      <c r="L692" s="276" t="n"/>
      <c r="M692" s="270" t="n"/>
    </row>
    <row r="693" ht="18" customHeight="1" s="305">
      <c r="A693" s="28" t="inlineStr">
        <is>
          <t>D 1211</t>
        </is>
      </c>
      <c r="B693" s="29" t="n">
        <v>45</v>
      </c>
      <c r="C693" s="236" t="inlineStr">
        <is>
          <t>X</t>
        </is>
      </c>
      <c r="D693" s="29" t="n">
        <v>78</v>
      </c>
      <c r="E693" s="237">
        <f>B693*D693/10000</f>
        <v/>
      </c>
      <c r="F693" s="238">
        <f>B693/30.48</f>
        <v/>
      </c>
      <c r="G693" s="238">
        <f>D693/30.48</f>
        <v/>
      </c>
      <c r="H693" s="613" t="n"/>
      <c r="I693" s="273" t="n"/>
      <c r="J693" s="274" t="n"/>
      <c r="K693" s="275" t="n"/>
      <c r="L693" s="276" t="n"/>
      <c r="M693" s="270" t="n"/>
    </row>
    <row r="694" ht="18" customHeight="1" s="305">
      <c r="A694" s="28" t="inlineStr">
        <is>
          <t>D 1212</t>
        </is>
      </c>
      <c r="B694" s="29" t="n">
        <v>45</v>
      </c>
      <c r="C694" s="236" t="inlineStr">
        <is>
          <t>X</t>
        </is>
      </c>
      <c r="D694" s="29" t="n">
        <v>79</v>
      </c>
      <c r="E694" s="237">
        <f>B694*D694/10000</f>
        <v/>
      </c>
      <c r="F694" s="238">
        <f>B694/30.48</f>
        <v/>
      </c>
      <c r="G694" s="238">
        <f>D694/30.48</f>
        <v/>
      </c>
      <c r="H694" s="613" t="n"/>
      <c r="I694" s="273" t="n"/>
      <c r="J694" s="274" t="n"/>
      <c r="K694" s="275" t="n"/>
      <c r="L694" s="276" t="n"/>
      <c r="M694" s="270" t="n"/>
    </row>
    <row r="695" ht="18" customHeight="1" s="305">
      <c r="A695" s="28" t="inlineStr">
        <is>
          <t>D 1213</t>
        </is>
      </c>
      <c r="B695" s="29" t="n">
        <v>56</v>
      </c>
      <c r="C695" s="236" t="inlineStr">
        <is>
          <t>X</t>
        </is>
      </c>
      <c r="D695" s="29" t="n">
        <v>83</v>
      </c>
      <c r="E695" s="237">
        <f>B695*D695/10000</f>
        <v/>
      </c>
      <c r="F695" s="238">
        <f>B695/30.48</f>
        <v/>
      </c>
      <c r="G695" s="238">
        <f>D695/30.48</f>
        <v/>
      </c>
      <c r="H695" s="613" t="n"/>
      <c r="I695" s="273" t="n"/>
      <c r="J695" s="274" t="n"/>
      <c r="K695" s="275" t="n"/>
      <c r="L695" s="276" t="n"/>
      <c r="M695" s="270" t="n"/>
    </row>
    <row r="696" ht="18" customHeight="1" s="305">
      <c r="A696" s="28" t="inlineStr">
        <is>
          <t>D 1214</t>
        </is>
      </c>
      <c r="B696" s="29" t="n">
        <v>46</v>
      </c>
      <c r="C696" s="236" t="inlineStr">
        <is>
          <t>X</t>
        </is>
      </c>
      <c r="D696" s="29" t="n">
        <v>58</v>
      </c>
      <c r="E696" s="237">
        <f>B696*D696/10000</f>
        <v/>
      </c>
      <c r="F696" s="238">
        <f>B696/30.48</f>
        <v/>
      </c>
      <c r="G696" s="238">
        <f>D696/30.48</f>
        <v/>
      </c>
      <c r="H696" s="613" t="n"/>
      <c r="I696" s="273" t="n"/>
      <c r="J696" s="274" t="n"/>
      <c r="K696" s="275" t="n"/>
      <c r="L696" s="276" t="n"/>
      <c r="M696" s="270" t="n"/>
    </row>
    <row r="697" ht="18" customHeight="1" s="305">
      <c r="A697" s="28" t="inlineStr">
        <is>
          <t>D 1215</t>
        </is>
      </c>
      <c r="B697" s="29" t="n">
        <v>53</v>
      </c>
      <c r="C697" s="236" t="inlineStr">
        <is>
          <t>X</t>
        </is>
      </c>
      <c r="D697" s="29" t="n">
        <v>92</v>
      </c>
      <c r="E697" s="237">
        <f>B697*D697/10000</f>
        <v/>
      </c>
      <c r="F697" s="238">
        <f>B697/30.48</f>
        <v/>
      </c>
      <c r="G697" s="238">
        <f>D697/30.48</f>
        <v/>
      </c>
      <c r="H697" s="613" t="n"/>
      <c r="I697" s="273" t="n"/>
      <c r="J697" s="274" t="n"/>
      <c r="K697" s="275" t="n"/>
      <c r="L697" s="276" t="n"/>
      <c r="M697" s="270" t="n"/>
    </row>
    <row r="698" ht="18" customHeight="1" s="305">
      <c r="A698" s="28" t="inlineStr">
        <is>
          <t>D 1216</t>
        </is>
      </c>
      <c r="B698" s="29" t="n">
        <v>57</v>
      </c>
      <c r="C698" s="236" t="inlineStr">
        <is>
          <t>X</t>
        </is>
      </c>
      <c r="D698" s="29" t="n">
        <v>95</v>
      </c>
      <c r="E698" s="237">
        <f>B698*D698/10000</f>
        <v/>
      </c>
      <c r="F698" s="238">
        <f>B698/30.48</f>
        <v/>
      </c>
      <c r="G698" s="238">
        <f>D698/30.48</f>
        <v/>
      </c>
      <c r="H698" s="613" t="n"/>
      <c r="I698" s="273" t="n"/>
      <c r="J698" s="274" t="n"/>
      <c r="K698" s="275" t="n"/>
      <c r="L698" s="276" t="n"/>
      <c r="M698" s="270" t="n"/>
    </row>
    <row r="699" ht="18" customHeight="1" s="305">
      <c r="A699" s="28" t="inlineStr">
        <is>
          <t>D 1218</t>
        </is>
      </c>
      <c r="B699" s="29" t="n"/>
      <c r="C699" s="236" t="inlineStr">
        <is>
          <t>X</t>
        </is>
      </c>
      <c r="D699" s="29" t="n"/>
      <c r="E699" s="237">
        <f>B699*D699/10000</f>
        <v/>
      </c>
      <c r="F699" s="238">
        <f>B699/30.48</f>
        <v/>
      </c>
      <c r="G699" s="238">
        <f>D699/30.48</f>
        <v/>
      </c>
      <c r="H699" s="613" t="n"/>
      <c r="I699" s="273" t="n"/>
      <c r="J699" s="274" t="n"/>
      <c r="K699" s="275" t="n"/>
      <c r="L699" s="276" t="n"/>
      <c r="M699" s="270" t="n"/>
    </row>
    <row r="700" ht="18" customHeight="1" s="305">
      <c r="A700" s="28" t="inlineStr">
        <is>
          <t>D 1219</t>
        </is>
      </c>
      <c r="B700" s="29" t="n">
        <v>47</v>
      </c>
      <c r="C700" s="236" t="inlineStr">
        <is>
          <t>X</t>
        </is>
      </c>
      <c r="D700" s="29" t="n">
        <v>76</v>
      </c>
      <c r="E700" s="237">
        <f>B700*D700/10000</f>
        <v/>
      </c>
      <c r="F700" s="238">
        <f>B700/30.48</f>
        <v/>
      </c>
      <c r="G700" s="238">
        <f>D700/30.48</f>
        <v/>
      </c>
      <c r="H700" s="613" t="n"/>
      <c r="I700" s="273" t="n"/>
      <c r="J700" s="274" t="n"/>
      <c r="K700" s="275" t="n"/>
      <c r="L700" s="276" t="n"/>
      <c r="M700" s="270" t="n"/>
    </row>
    <row r="701" ht="18" customHeight="1" s="305">
      <c r="A701" s="28" t="inlineStr">
        <is>
          <t>D 1220</t>
        </is>
      </c>
      <c r="B701" s="29" t="n">
        <v>50</v>
      </c>
      <c r="C701" s="236" t="inlineStr">
        <is>
          <t>X</t>
        </is>
      </c>
      <c r="D701" s="29" t="n">
        <v>93</v>
      </c>
      <c r="E701" s="237">
        <f>B701*D701/10000</f>
        <v/>
      </c>
      <c r="F701" s="238">
        <f>B701/30.48</f>
        <v/>
      </c>
      <c r="G701" s="238">
        <f>D701/30.48</f>
        <v/>
      </c>
      <c r="H701" s="613" t="n"/>
      <c r="I701" s="273" t="n"/>
      <c r="J701" s="274" t="n"/>
      <c r="K701" s="275" t="n"/>
      <c r="L701" s="276" t="n"/>
      <c r="M701" s="270" t="n"/>
    </row>
    <row r="702" ht="18" customHeight="1" s="305">
      <c r="A702" s="28" t="inlineStr">
        <is>
          <t>D 1221</t>
        </is>
      </c>
      <c r="B702" s="29" t="n">
        <v>46</v>
      </c>
      <c r="C702" s="236" t="inlineStr">
        <is>
          <t>X</t>
        </is>
      </c>
      <c r="D702" s="29" t="n">
        <v>90</v>
      </c>
      <c r="E702" s="237">
        <f>B702*D702/10000</f>
        <v/>
      </c>
      <c r="F702" s="238">
        <f>B702/30.48</f>
        <v/>
      </c>
      <c r="G702" s="238">
        <f>D702/30.48</f>
        <v/>
      </c>
      <c r="H702" s="613" t="n"/>
      <c r="I702" s="273" t="n"/>
      <c r="J702" s="274" t="n"/>
      <c r="K702" s="275" t="n"/>
      <c r="L702" s="276" t="n"/>
      <c r="M702" s="270" t="n"/>
    </row>
    <row r="703" ht="18" customHeight="1" s="305">
      <c r="A703" s="28" t="inlineStr">
        <is>
          <t>D 1222</t>
        </is>
      </c>
      <c r="B703" s="29" t="n">
        <v>54</v>
      </c>
      <c r="C703" s="236" t="inlineStr">
        <is>
          <t>X</t>
        </is>
      </c>
      <c r="D703" s="29" t="n">
        <v>99</v>
      </c>
      <c r="E703" s="237">
        <f>B703*D703/10000</f>
        <v/>
      </c>
      <c r="F703" s="238">
        <f>B703/30.48</f>
        <v/>
      </c>
      <c r="G703" s="238">
        <f>D703/30.48</f>
        <v/>
      </c>
      <c r="H703" s="613" t="n"/>
      <c r="I703" s="273" t="n"/>
      <c r="J703" s="274" t="n"/>
      <c r="K703" s="275" t="n"/>
      <c r="L703" s="276" t="n"/>
      <c r="M703" s="270" t="n"/>
    </row>
    <row r="704" ht="18" customHeight="1" s="305">
      <c r="A704" s="28" t="inlineStr">
        <is>
          <t>D 1224</t>
        </is>
      </c>
      <c r="B704" s="29" t="n">
        <v>45</v>
      </c>
      <c r="C704" s="236" t="inlineStr">
        <is>
          <t>X</t>
        </is>
      </c>
      <c r="D704" s="29" t="n">
        <v>81</v>
      </c>
      <c r="E704" s="237">
        <f>B704*D704/10000</f>
        <v/>
      </c>
      <c r="F704" s="238">
        <f>B704/30.48</f>
        <v/>
      </c>
      <c r="G704" s="238">
        <f>D704/30.48</f>
        <v/>
      </c>
      <c r="H704" s="613" t="n"/>
      <c r="I704" s="273" t="n"/>
      <c r="J704" s="274" t="n"/>
      <c r="K704" s="275" t="n"/>
      <c r="L704" s="276" t="n"/>
      <c r="M704" s="270" t="n"/>
    </row>
    <row r="705" ht="18" customHeight="1" s="305">
      <c r="A705" s="28" t="inlineStr">
        <is>
          <t>D 1225</t>
        </is>
      </c>
      <c r="B705" s="29" t="n">
        <v>55</v>
      </c>
      <c r="C705" s="236" t="inlineStr">
        <is>
          <t>X</t>
        </is>
      </c>
      <c r="D705" s="29" t="n">
        <v>93</v>
      </c>
      <c r="E705" s="237">
        <f>B705*D705/10000</f>
        <v/>
      </c>
      <c r="F705" s="238">
        <f>B705/30.48</f>
        <v/>
      </c>
      <c r="G705" s="238">
        <f>D705/30.48</f>
        <v/>
      </c>
      <c r="H705" s="613" t="n"/>
      <c r="I705" s="273" t="n"/>
      <c r="J705" s="274" t="n"/>
      <c r="K705" s="275" t="n"/>
      <c r="L705" s="276" t="n"/>
      <c r="M705" s="270" t="n"/>
    </row>
    <row r="706" ht="18" customHeight="1" s="305">
      <c r="A706" s="28" t="inlineStr">
        <is>
          <t>D 1226</t>
        </is>
      </c>
      <c r="B706" s="29" t="n">
        <v>54</v>
      </c>
      <c r="C706" s="236" t="inlineStr">
        <is>
          <t>X</t>
        </is>
      </c>
      <c r="D706" s="29" t="n">
        <v>97</v>
      </c>
      <c r="E706" s="237">
        <f>B706*D706/10000</f>
        <v/>
      </c>
      <c r="F706" s="238">
        <f>B706/30.48</f>
        <v/>
      </c>
      <c r="G706" s="238">
        <f>D706/30.48</f>
        <v/>
      </c>
      <c r="H706" s="613" t="n"/>
      <c r="I706" s="273" t="n"/>
      <c r="J706" s="274" t="n"/>
      <c r="K706" s="275" t="n"/>
      <c r="L706" s="276" t="n"/>
      <c r="M706" s="270" t="n"/>
    </row>
    <row r="707" ht="18" customHeight="1" s="305">
      <c r="A707" s="28" t="inlineStr">
        <is>
          <t>D 1227</t>
        </is>
      </c>
      <c r="B707" s="29" t="n">
        <v>62</v>
      </c>
      <c r="C707" s="236" t="inlineStr">
        <is>
          <t>X</t>
        </is>
      </c>
      <c r="D707" s="29" t="n">
        <v>115</v>
      </c>
      <c r="E707" s="237">
        <f>B707*D707/10000</f>
        <v/>
      </c>
      <c r="F707" s="238">
        <f>B707/30.48</f>
        <v/>
      </c>
      <c r="G707" s="238">
        <f>D707/30.48</f>
        <v/>
      </c>
      <c r="H707" s="613" t="n"/>
      <c r="I707" s="273" t="n"/>
      <c r="J707" s="274" t="n"/>
      <c r="K707" s="275" t="n"/>
      <c r="L707" s="276" t="n"/>
      <c r="M707" s="270" t="n"/>
    </row>
    <row r="708" ht="18" customHeight="1" s="305">
      <c r="A708" s="28" t="inlineStr">
        <is>
          <t>D 1228</t>
        </is>
      </c>
      <c r="B708" s="29" t="n">
        <v>52</v>
      </c>
      <c r="C708" s="236" t="inlineStr">
        <is>
          <t>X</t>
        </is>
      </c>
      <c r="D708" s="29" t="n">
        <v>91</v>
      </c>
      <c r="E708" s="237">
        <f>B708*D708/10000</f>
        <v/>
      </c>
      <c r="F708" s="238">
        <f>B708/30.48</f>
        <v/>
      </c>
      <c r="G708" s="238">
        <f>D708/30.48</f>
        <v/>
      </c>
      <c r="H708" s="613" t="n"/>
      <c r="I708" s="273" t="n"/>
      <c r="J708" s="274" t="n"/>
      <c r="K708" s="275" t="n"/>
      <c r="L708" s="276" t="n"/>
      <c r="M708" s="270" t="n"/>
    </row>
    <row r="709" ht="18" customHeight="1" s="305">
      <c r="A709" s="28" t="inlineStr">
        <is>
          <t>D 1229</t>
        </is>
      </c>
      <c r="B709" s="29" t="n">
        <v>56</v>
      </c>
      <c r="C709" s="236" t="inlineStr">
        <is>
          <t>X</t>
        </is>
      </c>
      <c r="D709" s="29" t="n">
        <v>98</v>
      </c>
      <c r="E709" s="237">
        <f>B709*D709/10000</f>
        <v/>
      </c>
      <c r="F709" s="238">
        <f>B709/30.48</f>
        <v/>
      </c>
      <c r="G709" s="238">
        <f>D709/30.48</f>
        <v/>
      </c>
      <c r="H709" s="613" t="n"/>
      <c r="I709" s="273" t="n"/>
      <c r="J709" s="274" t="n"/>
      <c r="K709" s="275" t="n"/>
      <c r="L709" s="276" t="n"/>
      <c r="M709" s="270" t="n"/>
    </row>
    <row r="710" ht="18" customHeight="1" s="305">
      <c r="A710" s="28" t="inlineStr">
        <is>
          <t>D 1230</t>
        </is>
      </c>
      <c r="B710" s="29" t="n">
        <v>47</v>
      </c>
      <c r="C710" s="236" t="inlineStr">
        <is>
          <t>X</t>
        </is>
      </c>
      <c r="D710" s="29" t="n">
        <v>91</v>
      </c>
      <c r="E710" s="237">
        <f>B710*D710/10000</f>
        <v/>
      </c>
      <c r="F710" s="238">
        <f>B710/30.48</f>
        <v/>
      </c>
      <c r="G710" s="238">
        <f>D710/30.48</f>
        <v/>
      </c>
      <c r="H710" s="613" t="n"/>
      <c r="I710" s="273" t="n"/>
      <c r="J710" s="274" t="n"/>
      <c r="K710" s="275" t="n"/>
      <c r="L710" s="276" t="n"/>
      <c r="M710" s="270" t="n"/>
    </row>
    <row r="711" ht="18" customHeight="1" s="305">
      <c r="A711" s="28" t="inlineStr">
        <is>
          <t>D 1231</t>
        </is>
      </c>
      <c r="B711" s="29" t="n">
        <v>50</v>
      </c>
      <c r="C711" s="236" t="inlineStr">
        <is>
          <t>X</t>
        </is>
      </c>
      <c r="D711" s="29" t="n">
        <v>74</v>
      </c>
      <c r="E711" s="237">
        <f>B711*D711/10000</f>
        <v/>
      </c>
      <c r="F711" s="238">
        <f>B711/30.48</f>
        <v/>
      </c>
      <c r="G711" s="238">
        <f>D711/30.48</f>
        <v/>
      </c>
      <c r="H711" s="613" t="n"/>
      <c r="I711" s="273" t="n"/>
      <c r="J711" s="274" t="n"/>
      <c r="K711" s="275" t="n"/>
      <c r="L711" s="276" t="n"/>
      <c r="M711" s="270" t="n"/>
    </row>
    <row r="712" ht="18" customHeight="1" s="305">
      <c r="A712" s="28" t="inlineStr">
        <is>
          <t>D 1232</t>
        </is>
      </c>
      <c r="B712" s="29" t="n">
        <v>55</v>
      </c>
      <c r="C712" s="236" t="inlineStr">
        <is>
          <t>X</t>
        </is>
      </c>
      <c r="D712" s="29" t="n">
        <v>85</v>
      </c>
      <c r="E712" s="237">
        <f>B712*D712/10000</f>
        <v/>
      </c>
      <c r="F712" s="238">
        <f>B712/30.48</f>
        <v/>
      </c>
      <c r="G712" s="238">
        <f>D712/30.48</f>
        <v/>
      </c>
      <c r="H712" s="613" t="n"/>
      <c r="I712" s="273" t="n"/>
      <c r="J712" s="274" t="n"/>
      <c r="K712" s="275" t="n"/>
      <c r="L712" s="276" t="n"/>
      <c r="M712" s="270" t="n"/>
    </row>
    <row r="713" ht="18" customHeight="1" s="305">
      <c r="A713" s="28" t="inlineStr">
        <is>
          <t>D 1233</t>
        </is>
      </c>
      <c r="B713" s="29" t="n">
        <v>58</v>
      </c>
      <c r="C713" s="236" t="inlineStr">
        <is>
          <t>X</t>
        </is>
      </c>
      <c r="D713" s="29" t="n">
        <v>106</v>
      </c>
      <c r="E713" s="237">
        <f>B713*D713/10000</f>
        <v/>
      </c>
      <c r="F713" s="238">
        <f>B713/30.48</f>
        <v/>
      </c>
      <c r="G713" s="238">
        <f>D713/30.48</f>
        <v/>
      </c>
      <c r="H713" s="613" t="n"/>
      <c r="I713" s="273" t="n"/>
      <c r="J713" s="274" t="n"/>
      <c r="K713" s="275" t="n"/>
      <c r="L713" s="276" t="n"/>
      <c r="M713" s="270" t="n"/>
    </row>
    <row r="714" ht="18" customHeight="1" s="305">
      <c r="A714" s="28" t="inlineStr">
        <is>
          <t>D 1235</t>
        </is>
      </c>
      <c r="B714" s="29" t="n">
        <v>55</v>
      </c>
      <c r="C714" s="236" t="inlineStr">
        <is>
          <t>X</t>
        </is>
      </c>
      <c r="D714" s="29" t="n">
        <v>97</v>
      </c>
      <c r="E714" s="237">
        <f>B714*D714/10000</f>
        <v/>
      </c>
      <c r="F714" s="238">
        <f>B714/30.48</f>
        <v/>
      </c>
      <c r="G714" s="238">
        <f>D714/30.48</f>
        <v/>
      </c>
      <c r="H714" s="613" t="n"/>
      <c r="I714" s="273" t="n"/>
      <c r="J714" s="274" t="n"/>
      <c r="K714" s="275" t="n"/>
      <c r="L714" s="276" t="n"/>
      <c r="M714" s="270" t="n"/>
    </row>
    <row r="715" ht="18" customHeight="1" s="305">
      <c r="A715" s="28" t="inlineStr">
        <is>
          <t>D 1236</t>
        </is>
      </c>
      <c r="B715" s="29" t="n">
        <v>58</v>
      </c>
      <c r="C715" s="236" t="inlineStr">
        <is>
          <t>X</t>
        </is>
      </c>
      <c r="D715" s="29" t="n">
        <v>107</v>
      </c>
      <c r="E715" s="237">
        <f>B715*D715/10000</f>
        <v/>
      </c>
      <c r="F715" s="238">
        <f>B715/30.48</f>
        <v/>
      </c>
      <c r="G715" s="238">
        <f>D715/30.48</f>
        <v/>
      </c>
      <c r="H715" s="613" t="n"/>
      <c r="I715" s="273" t="n"/>
      <c r="J715" s="274" t="n"/>
      <c r="K715" s="275" t="n"/>
      <c r="L715" s="276" t="n"/>
      <c r="M715" s="270" t="n"/>
    </row>
    <row r="716" ht="18" customHeight="1" s="305">
      <c r="A716" s="28" t="inlineStr">
        <is>
          <t>D 1237</t>
        </is>
      </c>
      <c r="B716" s="29" t="n">
        <v>44</v>
      </c>
      <c r="C716" s="236" t="inlineStr">
        <is>
          <t>X</t>
        </is>
      </c>
      <c r="D716" s="29" t="n">
        <v>88</v>
      </c>
      <c r="E716" s="237">
        <f>B716*D716/10000</f>
        <v/>
      </c>
      <c r="F716" s="238">
        <f>B716/30.48</f>
        <v/>
      </c>
      <c r="G716" s="238">
        <f>D716/30.48</f>
        <v/>
      </c>
      <c r="H716" s="613" t="n"/>
      <c r="I716" s="273" t="n"/>
      <c r="J716" s="274" t="n"/>
      <c r="K716" s="275" t="n"/>
      <c r="L716" s="276" t="n"/>
      <c r="M716" s="270" t="n"/>
    </row>
    <row r="717" ht="18" customHeight="1" s="305">
      <c r="A717" s="28" t="inlineStr">
        <is>
          <t>D 1238</t>
        </is>
      </c>
      <c r="B717" s="29" t="n">
        <v>49</v>
      </c>
      <c r="C717" s="236" t="inlineStr">
        <is>
          <t>X</t>
        </is>
      </c>
      <c r="D717" s="29" t="n">
        <v>83</v>
      </c>
      <c r="E717" s="237">
        <f>B717*D717/10000</f>
        <v/>
      </c>
      <c r="F717" s="238">
        <f>B717/30.48</f>
        <v/>
      </c>
      <c r="G717" s="238">
        <f>D717/30.48</f>
        <v/>
      </c>
      <c r="H717" s="613" t="n"/>
      <c r="I717" s="273" t="n"/>
      <c r="J717" s="274" t="n"/>
      <c r="K717" s="275" t="n"/>
      <c r="L717" s="276" t="n"/>
      <c r="M717" s="270" t="n"/>
    </row>
    <row r="718" ht="18" customHeight="1" s="305">
      <c r="A718" s="28" t="inlineStr">
        <is>
          <t>D 1239</t>
        </is>
      </c>
      <c r="B718" s="29" t="n">
        <v>61</v>
      </c>
      <c r="C718" s="236" t="inlineStr">
        <is>
          <t>X</t>
        </is>
      </c>
      <c r="D718" s="29" t="n">
        <v>98</v>
      </c>
      <c r="E718" s="237">
        <f>B718*D718/10000</f>
        <v/>
      </c>
      <c r="F718" s="238">
        <f>B718/30.48</f>
        <v/>
      </c>
      <c r="G718" s="238">
        <f>D718/30.48</f>
        <v/>
      </c>
      <c r="H718" s="613" t="n"/>
      <c r="I718" s="273" t="n"/>
      <c r="J718" s="274" t="n"/>
      <c r="K718" s="275" t="n"/>
      <c r="L718" s="276" t="n"/>
      <c r="M718" s="270" t="n"/>
    </row>
    <row r="719" ht="18" customHeight="1" s="305">
      <c r="A719" s="28" t="inlineStr">
        <is>
          <t>D 1239</t>
        </is>
      </c>
      <c r="B719" s="29" t="n">
        <v>61</v>
      </c>
      <c r="C719" s="236" t="inlineStr">
        <is>
          <t>X</t>
        </is>
      </c>
      <c r="D719" s="29" t="n">
        <v>98</v>
      </c>
      <c r="E719" s="237">
        <f>B719*D719/10000</f>
        <v/>
      </c>
      <c r="F719" s="238">
        <f>B719/30.48</f>
        <v/>
      </c>
      <c r="G719" s="238">
        <f>D719/30.48</f>
        <v/>
      </c>
      <c r="H719" s="613" t="n"/>
      <c r="I719" s="273" t="n"/>
      <c r="J719" s="274" t="n"/>
      <c r="K719" s="275" t="n"/>
      <c r="L719" s="276" t="n"/>
      <c r="M719" s="270" t="n"/>
    </row>
    <row r="720" ht="18" customHeight="1" s="305">
      <c r="A720" s="28" t="inlineStr">
        <is>
          <t>D 1241</t>
        </is>
      </c>
      <c r="B720" s="29" t="n">
        <v>54</v>
      </c>
      <c r="C720" s="236" t="inlineStr">
        <is>
          <t>X</t>
        </is>
      </c>
      <c r="D720" s="29" t="n">
        <v>87</v>
      </c>
      <c r="E720" s="237">
        <f>B720*D720/10000</f>
        <v/>
      </c>
      <c r="F720" s="238">
        <f>B720/30.48</f>
        <v/>
      </c>
      <c r="G720" s="238">
        <f>D720/30.48</f>
        <v/>
      </c>
      <c r="H720" s="613" t="n"/>
      <c r="I720" s="273" t="n"/>
      <c r="J720" s="274" t="n"/>
      <c r="K720" s="275" t="n"/>
      <c r="L720" s="276" t="n"/>
      <c r="M720" s="270" t="n"/>
    </row>
    <row r="721" ht="18" customHeight="1" s="305">
      <c r="A721" s="28" t="inlineStr">
        <is>
          <t>D 1243</t>
        </is>
      </c>
      <c r="B721" s="29" t="n">
        <v>56</v>
      </c>
      <c r="C721" s="236" t="inlineStr">
        <is>
          <t>X</t>
        </is>
      </c>
      <c r="D721" s="29" t="n">
        <v>88</v>
      </c>
      <c r="E721" s="237">
        <f>B721*D721/10000</f>
        <v/>
      </c>
      <c r="F721" s="238">
        <f>B721/30.48</f>
        <v/>
      </c>
      <c r="G721" s="238">
        <f>D721/30.48</f>
        <v/>
      </c>
      <c r="H721" s="613" t="n"/>
      <c r="I721" s="273" t="n"/>
      <c r="J721" s="274" t="n"/>
      <c r="K721" s="275" t="n"/>
      <c r="L721" s="276" t="n"/>
      <c r="M721" s="270" t="n"/>
    </row>
    <row r="722" ht="18" customHeight="1" s="305">
      <c r="A722" s="28" t="inlineStr">
        <is>
          <t>D 1244</t>
        </is>
      </c>
      <c r="B722" s="29" t="n">
        <v>47</v>
      </c>
      <c r="C722" s="236" t="inlineStr">
        <is>
          <t>X</t>
        </is>
      </c>
      <c r="D722" s="29" t="n">
        <v>76</v>
      </c>
      <c r="E722" s="237">
        <f>B722*D722/10000</f>
        <v/>
      </c>
      <c r="F722" s="238">
        <f>B722/30.48</f>
        <v/>
      </c>
      <c r="G722" s="238">
        <f>D722/30.48</f>
        <v/>
      </c>
      <c r="H722" s="613" t="n"/>
      <c r="I722" s="273" t="n"/>
      <c r="J722" s="274" t="n"/>
      <c r="K722" s="275" t="n"/>
      <c r="L722" s="276" t="n"/>
      <c r="M722" s="270" t="n"/>
    </row>
    <row r="723" ht="18" customHeight="1" s="305">
      <c r="A723" s="28" t="inlineStr">
        <is>
          <t>D 1245</t>
        </is>
      </c>
      <c r="B723" s="29" t="n">
        <v>50</v>
      </c>
      <c r="C723" s="236" t="inlineStr">
        <is>
          <t>X</t>
        </is>
      </c>
      <c r="D723" s="29" t="n">
        <v>87</v>
      </c>
      <c r="E723" s="237">
        <f>B723*D723/10000</f>
        <v/>
      </c>
      <c r="F723" s="238">
        <f>B723/30.48</f>
        <v/>
      </c>
      <c r="G723" s="238">
        <f>D723/30.48</f>
        <v/>
      </c>
      <c r="H723" s="613" t="n"/>
      <c r="I723" s="273" t="n"/>
      <c r="J723" s="274" t="n"/>
      <c r="K723" s="275" t="n"/>
      <c r="L723" s="276" t="n"/>
      <c r="M723" s="270" t="n"/>
    </row>
    <row r="724" ht="18" customHeight="1" s="305">
      <c r="A724" s="28" t="inlineStr">
        <is>
          <t>D 1246</t>
        </is>
      </c>
      <c r="B724" s="29" t="n">
        <v>56</v>
      </c>
      <c r="C724" s="236" t="inlineStr">
        <is>
          <t>X</t>
        </is>
      </c>
      <c r="D724" s="29" t="n">
        <v>104</v>
      </c>
      <c r="E724" s="237">
        <f>B724*D724/10000</f>
        <v/>
      </c>
      <c r="F724" s="238">
        <f>B724/30.48</f>
        <v/>
      </c>
      <c r="G724" s="238">
        <f>D724/30.48</f>
        <v/>
      </c>
      <c r="H724" s="613" t="n"/>
      <c r="I724" s="273" t="n"/>
      <c r="J724" s="274" t="n"/>
      <c r="K724" s="275" t="n"/>
      <c r="L724" s="276" t="n"/>
      <c r="M724" s="270" t="n"/>
    </row>
    <row r="725" ht="18" customHeight="1" s="305">
      <c r="A725" s="28" t="inlineStr">
        <is>
          <t>D 1248</t>
        </is>
      </c>
      <c r="B725" s="29" t="n">
        <v>43</v>
      </c>
      <c r="C725" s="236" t="inlineStr">
        <is>
          <t>X</t>
        </is>
      </c>
      <c r="D725" s="29" t="n">
        <v>73</v>
      </c>
      <c r="E725" s="237">
        <f>B725*D725/10000</f>
        <v/>
      </c>
      <c r="F725" s="238">
        <f>B725/30.48</f>
        <v/>
      </c>
      <c r="G725" s="238">
        <f>D725/30.48</f>
        <v/>
      </c>
      <c r="H725" s="613" t="n"/>
      <c r="I725" s="273" t="n"/>
      <c r="J725" s="274" t="n"/>
      <c r="K725" s="275" t="n"/>
      <c r="L725" s="276" t="n"/>
      <c r="M725" s="270" t="n"/>
    </row>
    <row r="726" ht="18" customHeight="1" s="305">
      <c r="A726" s="28" t="inlineStr">
        <is>
          <t>D 1249</t>
        </is>
      </c>
      <c r="B726" s="29" t="n">
        <v>45</v>
      </c>
      <c r="C726" s="236" t="inlineStr">
        <is>
          <t>X</t>
        </is>
      </c>
      <c r="D726" s="29" t="n">
        <v>80</v>
      </c>
      <c r="E726" s="237">
        <f>B726*D726/10000</f>
        <v/>
      </c>
      <c r="F726" s="238">
        <f>B726/30.48</f>
        <v/>
      </c>
      <c r="G726" s="238">
        <f>D726/30.48</f>
        <v/>
      </c>
      <c r="H726" s="613" t="n"/>
      <c r="I726" s="273" t="n"/>
      <c r="J726" s="274" t="n"/>
      <c r="K726" s="275" t="n"/>
      <c r="L726" s="276" t="n"/>
      <c r="M726" s="270" t="n"/>
    </row>
    <row r="727" ht="18" customHeight="1" s="305">
      <c r="A727" s="28" t="inlineStr">
        <is>
          <t>D 1250</t>
        </is>
      </c>
      <c r="B727" s="29" t="n">
        <v>47</v>
      </c>
      <c r="C727" s="236" t="inlineStr">
        <is>
          <t>X</t>
        </is>
      </c>
      <c r="D727" s="29" t="n">
        <v>86</v>
      </c>
      <c r="E727" s="237">
        <f>B727*D727/10000</f>
        <v/>
      </c>
      <c r="F727" s="238">
        <f>B727/30.48</f>
        <v/>
      </c>
      <c r="G727" s="238">
        <f>D727/30.48</f>
        <v/>
      </c>
      <c r="H727" s="613" t="n"/>
      <c r="I727" s="273" t="n"/>
      <c r="J727" s="274" t="n"/>
      <c r="K727" s="275" t="n"/>
      <c r="L727" s="276" t="n"/>
      <c r="M727" s="270" t="n"/>
    </row>
    <row r="728" ht="18" customHeight="1" s="305">
      <c r="A728" s="28" t="inlineStr">
        <is>
          <t>D 1252</t>
        </is>
      </c>
      <c r="B728" s="29" t="n">
        <v>43</v>
      </c>
      <c r="C728" s="236" t="inlineStr">
        <is>
          <t>X</t>
        </is>
      </c>
      <c r="D728" s="29" t="n">
        <v>103</v>
      </c>
      <c r="E728" s="237">
        <f>B728*D728/10000</f>
        <v/>
      </c>
      <c r="F728" s="238">
        <f>B728/30.48</f>
        <v/>
      </c>
      <c r="G728" s="238">
        <f>D728/30.48</f>
        <v/>
      </c>
      <c r="H728" s="613" t="n"/>
      <c r="I728" s="273" t="n"/>
      <c r="J728" s="274" t="n"/>
      <c r="K728" s="275" t="n"/>
      <c r="L728" s="276" t="n"/>
      <c r="M728" s="270" t="n"/>
    </row>
    <row r="729" ht="18" customHeight="1" s="305">
      <c r="A729" s="28" t="inlineStr">
        <is>
          <t>D 1253</t>
        </is>
      </c>
      <c r="B729" s="29" t="n">
        <v>46</v>
      </c>
      <c r="C729" s="236" t="inlineStr">
        <is>
          <t>X</t>
        </is>
      </c>
      <c r="D729" s="29" t="n">
        <v>100</v>
      </c>
      <c r="E729" s="237">
        <f>B729*D729/10000</f>
        <v/>
      </c>
      <c r="F729" s="238">
        <f>B729/30.48</f>
        <v/>
      </c>
      <c r="G729" s="238">
        <f>D729/30.48</f>
        <v/>
      </c>
      <c r="H729" s="613" t="n"/>
      <c r="I729" s="273" t="n"/>
      <c r="J729" s="274" t="n"/>
      <c r="K729" s="275" t="n"/>
      <c r="L729" s="276" t="n"/>
      <c r="M729" s="270" t="n"/>
    </row>
    <row r="730" ht="18" customHeight="1" s="305">
      <c r="A730" s="28" t="inlineStr">
        <is>
          <t>D 1254</t>
        </is>
      </c>
      <c r="B730" s="29" t="n">
        <v>64</v>
      </c>
      <c r="C730" s="236" t="inlineStr">
        <is>
          <t>X</t>
        </is>
      </c>
      <c r="D730" s="29" t="n">
        <v>116</v>
      </c>
      <c r="E730" s="237">
        <f>B730*D730/10000</f>
        <v/>
      </c>
      <c r="F730" s="238">
        <f>B730/30.48</f>
        <v/>
      </c>
      <c r="G730" s="238">
        <f>D730/30.48</f>
        <v/>
      </c>
      <c r="H730" s="613" t="n"/>
      <c r="I730" s="273" t="n"/>
      <c r="J730" s="274" t="n"/>
      <c r="K730" s="275" t="n"/>
      <c r="L730" s="276" t="n"/>
      <c r="M730" s="270" t="n"/>
    </row>
    <row r="731" ht="18" customHeight="1" s="305">
      <c r="A731" s="28" t="inlineStr">
        <is>
          <t>D 1255</t>
        </is>
      </c>
      <c r="B731" s="29" t="n">
        <v>48</v>
      </c>
      <c r="C731" s="236" t="inlineStr">
        <is>
          <t>X</t>
        </is>
      </c>
      <c r="D731" s="29" t="n">
        <v>70</v>
      </c>
      <c r="E731" s="237">
        <f>B731*D731/10000</f>
        <v/>
      </c>
      <c r="F731" s="238">
        <f>B731/30.48</f>
        <v/>
      </c>
      <c r="G731" s="238">
        <f>D731/30.48</f>
        <v/>
      </c>
      <c r="H731" s="613" t="n"/>
      <c r="I731" s="273" t="n"/>
      <c r="J731" s="274" t="n"/>
      <c r="K731" s="275" t="n"/>
      <c r="L731" s="276" t="n"/>
      <c r="M731" s="270" t="n"/>
    </row>
    <row r="732" ht="18" customHeight="1" s="305">
      <c r="A732" s="28" t="inlineStr">
        <is>
          <t>D 1256</t>
        </is>
      </c>
      <c r="B732" s="29" t="n">
        <v>48</v>
      </c>
      <c r="C732" s="236" t="inlineStr">
        <is>
          <t>X</t>
        </is>
      </c>
      <c r="D732" s="29" t="n">
        <v>90</v>
      </c>
      <c r="E732" s="237">
        <f>B732*D732/10000</f>
        <v/>
      </c>
      <c r="F732" s="238">
        <f>B732/30.48</f>
        <v/>
      </c>
      <c r="G732" s="238">
        <f>D732/30.48</f>
        <v/>
      </c>
      <c r="H732" s="613" t="n"/>
      <c r="I732" s="273" t="n"/>
      <c r="J732" s="274" t="n"/>
      <c r="K732" s="275" t="n"/>
      <c r="L732" s="276" t="n"/>
      <c r="M732" s="270" t="n"/>
    </row>
    <row r="733" ht="18" customHeight="1" s="305">
      <c r="A733" s="28" t="inlineStr">
        <is>
          <t>D 1257</t>
        </is>
      </c>
      <c r="B733" s="29" t="n">
        <v>44</v>
      </c>
      <c r="C733" s="236" t="inlineStr">
        <is>
          <t>X</t>
        </is>
      </c>
      <c r="D733" s="29" t="n">
        <v>85</v>
      </c>
      <c r="E733" s="237">
        <f>B733*D733/10000</f>
        <v/>
      </c>
      <c r="F733" s="238">
        <f>B733/30.48</f>
        <v/>
      </c>
      <c r="G733" s="238">
        <f>D733/30.48</f>
        <v/>
      </c>
      <c r="H733" s="613" t="n"/>
      <c r="I733" s="273" t="n"/>
      <c r="J733" s="274" t="n"/>
      <c r="K733" s="275" t="n"/>
      <c r="L733" s="276" t="n"/>
      <c r="M733" s="270" t="n"/>
    </row>
    <row r="734" ht="18" customHeight="1" s="305">
      <c r="A734" s="28" t="inlineStr">
        <is>
          <t>D 1258</t>
        </is>
      </c>
      <c r="B734" s="29" t="n">
        <v>54</v>
      </c>
      <c r="C734" s="236" t="inlineStr">
        <is>
          <t>X</t>
        </is>
      </c>
      <c r="D734" s="29" t="n">
        <v>96</v>
      </c>
      <c r="E734" s="237">
        <f>B734*D734/10000</f>
        <v/>
      </c>
      <c r="F734" s="238">
        <f>B734/30.48</f>
        <v/>
      </c>
      <c r="G734" s="238">
        <f>D734/30.48</f>
        <v/>
      </c>
      <c r="H734" s="613" t="n"/>
      <c r="I734" s="273" t="n"/>
      <c r="J734" s="274" t="n"/>
      <c r="K734" s="275" t="n"/>
      <c r="L734" s="276" t="n"/>
      <c r="M734" s="270" t="n"/>
    </row>
    <row r="735" ht="18" customHeight="1" s="305">
      <c r="A735" s="28" t="inlineStr">
        <is>
          <t>D 1259</t>
        </is>
      </c>
      <c r="B735" s="29" t="n">
        <v>48</v>
      </c>
      <c r="C735" s="236" t="inlineStr">
        <is>
          <t>X</t>
        </is>
      </c>
      <c r="D735" s="29" t="n">
        <v>75</v>
      </c>
      <c r="E735" s="237">
        <f>B735*D735/10000</f>
        <v/>
      </c>
      <c r="F735" s="238">
        <f>B735/30.48</f>
        <v/>
      </c>
      <c r="G735" s="238">
        <f>D735/30.48</f>
        <v/>
      </c>
      <c r="H735" s="613" t="n"/>
      <c r="I735" s="273" t="n"/>
      <c r="J735" s="274" t="n"/>
      <c r="K735" s="275" t="n"/>
      <c r="L735" s="276" t="n"/>
      <c r="M735" s="270" t="n"/>
    </row>
    <row r="736" ht="18" customHeight="1" s="305">
      <c r="A736" s="28" t="inlineStr">
        <is>
          <t>D 1260</t>
        </is>
      </c>
      <c r="B736" s="29" t="n">
        <v>57</v>
      </c>
      <c r="C736" s="236" t="inlineStr">
        <is>
          <t>X</t>
        </is>
      </c>
      <c r="D736" s="29" t="n">
        <v>92</v>
      </c>
      <c r="E736" s="237">
        <f>B736*D736/10000</f>
        <v/>
      </c>
      <c r="F736" s="238">
        <f>B736/30.48</f>
        <v/>
      </c>
      <c r="G736" s="238">
        <f>D736/30.48</f>
        <v/>
      </c>
      <c r="H736" s="613" t="n"/>
      <c r="I736" s="273" t="n"/>
      <c r="J736" s="274" t="n"/>
      <c r="K736" s="275" t="n"/>
      <c r="L736" s="276" t="n"/>
      <c r="M736" s="270" t="n"/>
    </row>
    <row r="737" ht="18" customHeight="1" s="305">
      <c r="A737" s="28" t="inlineStr">
        <is>
          <t>D 1261</t>
        </is>
      </c>
      <c r="B737" s="29" t="n">
        <v>52</v>
      </c>
      <c r="C737" s="236" t="inlineStr">
        <is>
          <t>X</t>
        </is>
      </c>
      <c r="D737" s="29" t="n">
        <v>83</v>
      </c>
      <c r="E737" s="237">
        <f>B737*D737/10000</f>
        <v/>
      </c>
      <c r="F737" s="238">
        <f>B737/30.48</f>
        <v/>
      </c>
      <c r="G737" s="238">
        <f>D737/30.48</f>
        <v/>
      </c>
      <c r="H737" s="613" t="n"/>
      <c r="I737" s="273" t="n"/>
      <c r="J737" s="274" t="n"/>
      <c r="K737" s="275" t="n"/>
      <c r="L737" s="276" t="n"/>
      <c r="M737" s="270" t="n"/>
    </row>
    <row r="738" ht="18" customHeight="1" s="305">
      <c r="A738" s="28" t="inlineStr">
        <is>
          <t>D 1262</t>
        </is>
      </c>
      <c r="B738" s="29" t="n">
        <v>51</v>
      </c>
      <c r="C738" s="236" t="inlineStr">
        <is>
          <t>X</t>
        </is>
      </c>
      <c r="D738" s="29" t="n">
        <v>83</v>
      </c>
      <c r="E738" s="237">
        <f>B738*D738/10000</f>
        <v/>
      </c>
      <c r="F738" s="238">
        <f>B738/30.48</f>
        <v/>
      </c>
      <c r="G738" s="238">
        <f>D738/30.48</f>
        <v/>
      </c>
      <c r="H738" s="613" t="n"/>
      <c r="I738" s="273" t="n"/>
      <c r="J738" s="274" t="n"/>
      <c r="K738" s="275" t="n"/>
      <c r="L738" s="276" t="n"/>
      <c r="M738" s="270" t="n"/>
    </row>
    <row r="739" ht="18" customHeight="1" s="305">
      <c r="A739" s="28" t="inlineStr">
        <is>
          <t>D 1263</t>
        </is>
      </c>
      <c r="B739" s="29" t="n">
        <v>46</v>
      </c>
      <c r="C739" s="236" t="inlineStr">
        <is>
          <t>X</t>
        </is>
      </c>
      <c r="D739" s="29" t="n">
        <v>90</v>
      </c>
      <c r="E739" s="237">
        <f>B739*D739/10000</f>
        <v/>
      </c>
      <c r="F739" s="238">
        <f>B739/30.48</f>
        <v/>
      </c>
      <c r="G739" s="238">
        <f>D739/30.48</f>
        <v/>
      </c>
      <c r="H739" s="613" t="n"/>
      <c r="I739" s="273" t="n"/>
      <c r="J739" s="274" t="n"/>
      <c r="K739" s="275" t="n"/>
      <c r="L739" s="276" t="n"/>
      <c r="M739" s="270" t="n"/>
    </row>
    <row r="740" ht="18" customHeight="1" s="305">
      <c r="A740" s="28" t="inlineStr">
        <is>
          <t>D 1264</t>
        </is>
      </c>
      <c r="B740" s="29" t="n">
        <v>52</v>
      </c>
      <c r="C740" s="236" t="inlineStr">
        <is>
          <t>X</t>
        </is>
      </c>
      <c r="D740" s="29" t="n">
        <v>86</v>
      </c>
      <c r="E740" s="237">
        <f>B740*D740/10000</f>
        <v/>
      </c>
      <c r="F740" s="238">
        <f>B740/30.48</f>
        <v/>
      </c>
      <c r="G740" s="238">
        <f>D740/30.48</f>
        <v/>
      </c>
      <c r="H740" s="613" t="n"/>
      <c r="I740" s="273" t="n"/>
      <c r="J740" s="274" t="n"/>
      <c r="K740" s="275" t="n"/>
      <c r="L740" s="276" t="n"/>
      <c r="M740" s="270" t="n"/>
    </row>
    <row r="741" ht="18" customHeight="1" s="305">
      <c r="A741" s="28" t="inlineStr">
        <is>
          <t>D 1265</t>
        </is>
      </c>
      <c r="B741" s="29" t="n">
        <v>56</v>
      </c>
      <c r="C741" s="236" t="inlineStr">
        <is>
          <t>X</t>
        </is>
      </c>
      <c r="D741" s="29" t="n">
        <v>106</v>
      </c>
      <c r="E741" s="237">
        <f>B741*D741/10000</f>
        <v/>
      </c>
      <c r="F741" s="238">
        <f>B741/30.48</f>
        <v/>
      </c>
      <c r="G741" s="238">
        <f>D741/30.48</f>
        <v/>
      </c>
      <c r="H741" s="613" t="n"/>
      <c r="I741" s="273" t="n"/>
      <c r="J741" s="274" t="n"/>
      <c r="K741" s="275" t="n"/>
      <c r="L741" s="276" t="n"/>
      <c r="M741" s="270" t="n"/>
    </row>
    <row r="742" ht="18" customHeight="1" s="305">
      <c r="A742" s="28" t="inlineStr">
        <is>
          <t>D 1266</t>
        </is>
      </c>
      <c r="B742" s="29" t="n">
        <v>59</v>
      </c>
      <c r="C742" s="236" t="inlineStr">
        <is>
          <t>X</t>
        </is>
      </c>
      <c r="D742" s="29" t="n">
        <v>88</v>
      </c>
      <c r="E742" s="237">
        <f>B742*D742/10000</f>
        <v/>
      </c>
      <c r="F742" s="238">
        <f>B742/30.48</f>
        <v/>
      </c>
      <c r="G742" s="238">
        <f>D742/30.48</f>
        <v/>
      </c>
      <c r="H742" s="613" t="n"/>
      <c r="I742" s="273" t="n"/>
      <c r="J742" s="274" t="n"/>
      <c r="K742" s="275" t="n"/>
      <c r="L742" s="276" t="n"/>
      <c r="M742" s="270" t="n"/>
    </row>
    <row r="743" ht="18" customHeight="1" s="305">
      <c r="A743" s="28" t="inlineStr">
        <is>
          <t>D 1267</t>
        </is>
      </c>
      <c r="B743" s="29" t="n"/>
      <c r="C743" s="236" t="inlineStr">
        <is>
          <t>X</t>
        </is>
      </c>
      <c r="D743" s="29" t="n"/>
      <c r="E743" s="237">
        <f>B743*D743/10000</f>
        <v/>
      </c>
      <c r="F743" s="238">
        <f>B743/30.48</f>
        <v/>
      </c>
      <c r="G743" s="238">
        <f>D743/30.48</f>
        <v/>
      </c>
      <c r="H743" s="613" t="n"/>
      <c r="I743" s="273" t="n"/>
      <c r="J743" s="274" t="n"/>
      <c r="K743" s="275" t="n"/>
      <c r="L743" s="276" t="n"/>
      <c r="M743" s="270" t="n"/>
    </row>
    <row r="744" ht="18" customHeight="1" s="305">
      <c r="A744" s="28" t="inlineStr">
        <is>
          <t>D 1268</t>
        </is>
      </c>
      <c r="B744" s="29" t="n"/>
      <c r="C744" s="236" t="inlineStr">
        <is>
          <t>X</t>
        </is>
      </c>
      <c r="D744" s="29" t="n"/>
      <c r="E744" s="237">
        <f>B744*D744/10000</f>
        <v/>
      </c>
      <c r="F744" s="238">
        <f>B744/30.48</f>
        <v/>
      </c>
      <c r="G744" s="238">
        <f>D744/30.48</f>
        <v/>
      </c>
      <c r="H744" s="613" t="n"/>
      <c r="I744" s="273" t="n"/>
      <c r="J744" s="274" t="n"/>
      <c r="K744" s="275" t="n"/>
      <c r="L744" s="276" t="n"/>
      <c r="M744" s="270" t="n"/>
    </row>
    <row r="745" ht="18" customHeight="1" s="305">
      <c r="A745" s="28" t="inlineStr">
        <is>
          <t>D 1269</t>
        </is>
      </c>
      <c r="B745" s="29" t="n"/>
      <c r="C745" s="236" t="inlineStr">
        <is>
          <t>X</t>
        </is>
      </c>
      <c r="D745" s="29" t="n"/>
      <c r="E745" s="237">
        <f>B745*D745/10000</f>
        <v/>
      </c>
      <c r="F745" s="238">
        <f>B745/30.48</f>
        <v/>
      </c>
      <c r="G745" s="238">
        <f>D745/30.48</f>
        <v/>
      </c>
      <c r="H745" s="613" t="n"/>
      <c r="I745" s="273" t="n"/>
      <c r="J745" s="274" t="n"/>
      <c r="K745" s="275" t="n"/>
      <c r="L745" s="276" t="n"/>
      <c r="M745" s="270" t="n"/>
    </row>
    <row r="746" ht="18" customHeight="1" s="305">
      <c r="A746" s="28" t="inlineStr">
        <is>
          <t>D 1270</t>
        </is>
      </c>
      <c r="B746" s="29" t="n"/>
      <c r="C746" s="236" t="inlineStr">
        <is>
          <t>X</t>
        </is>
      </c>
      <c r="D746" s="29" t="n"/>
      <c r="E746" s="237">
        <f>B746*D746/10000</f>
        <v/>
      </c>
      <c r="F746" s="238">
        <f>B746/30.48</f>
        <v/>
      </c>
      <c r="G746" s="238">
        <f>D746/30.48</f>
        <v/>
      </c>
      <c r="H746" s="613" t="n"/>
      <c r="I746" s="273" t="n"/>
      <c r="J746" s="274" t="n"/>
      <c r="K746" s="275" t="n"/>
      <c r="L746" s="276" t="n"/>
      <c r="M746" s="270" t="n"/>
    </row>
    <row r="747" ht="18" customHeight="1" s="305">
      <c r="A747" s="28" t="inlineStr">
        <is>
          <t>D 1271</t>
        </is>
      </c>
      <c r="B747" s="29" t="n"/>
      <c r="C747" s="236" t="inlineStr">
        <is>
          <t>X</t>
        </is>
      </c>
      <c r="D747" s="29" t="n"/>
      <c r="E747" s="237">
        <f>B747*D747/10000</f>
        <v/>
      </c>
      <c r="F747" s="238">
        <f>B747/30.48</f>
        <v/>
      </c>
      <c r="G747" s="238">
        <f>D747/30.48</f>
        <v/>
      </c>
      <c r="H747" s="613" t="n"/>
      <c r="I747" s="273" t="n"/>
      <c r="J747" s="274" t="n"/>
      <c r="K747" s="275" t="n"/>
      <c r="L747" s="276" t="n"/>
      <c r="M747" s="270" t="n"/>
    </row>
    <row r="748" ht="18" customHeight="1" s="305">
      <c r="A748" s="28" t="inlineStr">
        <is>
          <t>D 1272</t>
        </is>
      </c>
      <c r="B748" s="29" t="n"/>
      <c r="C748" s="236" t="inlineStr">
        <is>
          <t>X</t>
        </is>
      </c>
      <c r="D748" s="29" t="n"/>
      <c r="E748" s="237">
        <f>B748*D748/10000</f>
        <v/>
      </c>
      <c r="F748" s="238">
        <f>B748/30.48</f>
        <v/>
      </c>
      <c r="G748" s="238">
        <f>D748/30.48</f>
        <v/>
      </c>
      <c r="H748" s="613" t="n"/>
      <c r="I748" s="273" t="n"/>
      <c r="J748" s="274" t="n"/>
      <c r="K748" s="275" t="n"/>
      <c r="L748" s="276" t="n"/>
      <c r="M748" s="270" t="n"/>
    </row>
    <row r="749" ht="18" customHeight="1" s="305">
      <c r="A749" s="28" t="inlineStr">
        <is>
          <t>D 1273</t>
        </is>
      </c>
      <c r="B749" s="29" t="n"/>
      <c r="C749" s="236" t="inlineStr">
        <is>
          <t>X</t>
        </is>
      </c>
      <c r="D749" s="29" t="n"/>
      <c r="E749" s="237">
        <f>B749*D749/10000</f>
        <v/>
      </c>
      <c r="F749" s="238">
        <f>B749/30.48</f>
        <v/>
      </c>
      <c r="G749" s="238">
        <f>D749/30.48</f>
        <v/>
      </c>
      <c r="H749" s="613" t="n"/>
      <c r="I749" s="273" t="n"/>
      <c r="J749" s="274" t="n"/>
      <c r="K749" s="275" t="n"/>
      <c r="L749" s="276" t="n"/>
      <c r="M749" s="270" t="n"/>
    </row>
    <row r="750" ht="18" customHeight="1" s="305">
      <c r="A750" s="28" t="inlineStr">
        <is>
          <t>D 1274</t>
        </is>
      </c>
      <c r="B750" s="29" t="n"/>
      <c r="C750" s="236" t="inlineStr">
        <is>
          <t>X</t>
        </is>
      </c>
      <c r="D750" s="29" t="n"/>
      <c r="E750" s="237">
        <f>B750*D750/10000</f>
        <v/>
      </c>
      <c r="F750" s="238">
        <f>B750/30.48</f>
        <v/>
      </c>
      <c r="G750" s="238">
        <f>D750/30.48</f>
        <v/>
      </c>
      <c r="H750" s="613" t="n"/>
      <c r="I750" s="273" t="n"/>
      <c r="J750" s="274" t="n"/>
      <c r="K750" s="275" t="n"/>
      <c r="L750" s="276" t="n"/>
      <c r="M750" s="270" t="n"/>
    </row>
    <row r="751" ht="18" customHeight="1" s="305">
      <c r="A751" s="28" t="inlineStr">
        <is>
          <t>D 1275</t>
        </is>
      </c>
      <c r="B751" s="29" t="n"/>
      <c r="C751" s="236" t="inlineStr">
        <is>
          <t>X</t>
        </is>
      </c>
      <c r="D751" s="29" t="n"/>
      <c r="E751" s="237">
        <f>B751*D751/10000</f>
        <v/>
      </c>
      <c r="F751" s="238">
        <f>B751/30.48</f>
        <v/>
      </c>
      <c r="G751" s="238">
        <f>D751/30.48</f>
        <v/>
      </c>
      <c r="H751" s="613" t="n"/>
      <c r="I751" s="273" t="n"/>
      <c r="J751" s="274" t="n"/>
      <c r="K751" s="275" t="n"/>
      <c r="L751" s="276" t="n"/>
      <c r="M751" s="270" t="n"/>
    </row>
    <row r="752" ht="18" customHeight="1" s="305">
      <c r="A752" s="28" t="inlineStr">
        <is>
          <t>D 1276</t>
        </is>
      </c>
      <c r="B752" s="29" t="n"/>
      <c r="C752" s="236" t="inlineStr">
        <is>
          <t>X</t>
        </is>
      </c>
      <c r="D752" s="29" t="n"/>
      <c r="E752" s="237">
        <f>B752*D752/10000</f>
        <v/>
      </c>
      <c r="F752" s="238">
        <f>B752/30.48</f>
        <v/>
      </c>
      <c r="G752" s="238">
        <f>D752/30.48</f>
        <v/>
      </c>
      <c r="H752" s="613" t="n"/>
      <c r="I752" s="273" t="n"/>
      <c r="J752" s="274" t="n"/>
      <c r="K752" s="275" t="n"/>
      <c r="L752" s="276" t="n"/>
      <c r="M752" s="270" t="n"/>
    </row>
    <row r="753" ht="18" customHeight="1" s="305">
      <c r="A753" s="28" t="inlineStr">
        <is>
          <t>D 1277</t>
        </is>
      </c>
      <c r="B753" s="29" t="n"/>
      <c r="C753" s="236" t="inlineStr">
        <is>
          <t>X</t>
        </is>
      </c>
      <c r="D753" s="29" t="n"/>
      <c r="E753" s="237">
        <f>B753*D753/10000</f>
        <v/>
      </c>
      <c r="F753" s="238">
        <f>B753/30.48</f>
        <v/>
      </c>
      <c r="G753" s="238">
        <f>D753/30.48</f>
        <v/>
      </c>
      <c r="H753" s="613" t="n"/>
      <c r="I753" s="273" t="n"/>
      <c r="J753" s="274" t="n"/>
      <c r="K753" s="275" t="n"/>
      <c r="L753" s="276" t="n"/>
      <c r="M753" s="270" t="n"/>
    </row>
    <row r="754" ht="18" customHeight="1" s="305">
      <c r="A754" s="28" t="inlineStr">
        <is>
          <t>D 1278</t>
        </is>
      </c>
      <c r="B754" s="29" t="n"/>
      <c r="C754" s="236" t="inlineStr">
        <is>
          <t>X</t>
        </is>
      </c>
      <c r="D754" s="29" t="n"/>
      <c r="E754" s="237">
        <f>B754*D754/10000</f>
        <v/>
      </c>
      <c r="F754" s="238">
        <f>B754/30.48</f>
        <v/>
      </c>
      <c r="G754" s="238">
        <f>D754/30.48</f>
        <v/>
      </c>
      <c r="H754" s="613" t="n"/>
      <c r="I754" s="273" t="n"/>
      <c r="J754" s="274" t="n"/>
      <c r="K754" s="275" t="n"/>
      <c r="L754" s="276" t="n"/>
      <c r="M754" s="270" t="n"/>
    </row>
    <row r="755" ht="18" customHeight="1" s="305">
      <c r="A755" s="28" t="inlineStr">
        <is>
          <t>D 1279</t>
        </is>
      </c>
      <c r="B755" s="29" t="n"/>
      <c r="C755" s="236" t="inlineStr">
        <is>
          <t>X</t>
        </is>
      </c>
      <c r="D755" s="29" t="n"/>
      <c r="E755" s="237">
        <f>B755*D755/10000</f>
        <v/>
      </c>
      <c r="F755" s="238">
        <f>B755/30.48</f>
        <v/>
      </c>
      <c r="G755" s="238">
        <f>D755/30.48</f>
        <v/>
      </c>
      <c r="H755" s="613" t="n"/>
      <c r="I755" s="273" t="n"/>
      <c r="J755" s="274" t="n"/>
      <c r="K755" s="275" t="n"/>
      <c r="L755" s="276" t="n"/>
      <c r="M755" s="270" t="n"/>
    </row>
    <row r="756" ht="18" customHeight="1" s="305">
      <c r="A756" s="28" t="inlineStr">
        <is>
          <t>D 1280</t>
        </is>
      </c>
      <c r="B756" s="29" t="n"/>
      <c r="C756" s="236" t="inlineStr">
        <is>
          <t>X</t>
        </is>
      </c>
      <c r="D756" s="29" t="n"/>
      <c r="E756" s="237">
        <f>B756*D756/10000</f>
        <v/>
      </c>
      <c r="F756" s="238">
        <f>B756/30.48</f>
        <v/>
      </c>
      <c r="G756" s="238">
        <f>D756/30.48</f>
        <v/>
      </c>
      <c r="H756" s="613" t="n"/>
      <c r="I756" s="273" t="n"/>
      <c r="J756" s="274" t="n"/>
      <c r="K756" s="275" t="n"/>
      <c r="L756" s="276" t="n"/>
      <c r="M756" s="270" t="n"/>
    </row>
    <row r="757" ht="18" customHeight="1" s="305">
      <c r="A757" s="28" t="inlineStr">
        <is>
          <t>D 1281</t>
        </is>
      </c>
      <c r="B757" s="29" t="n"/>
      <c r="C757" s="236" t="inlineStr">
        <is>
          <t>X</t>
        </is>
      </c>
      <c r="D757" s="29" t="n"/>
      <c r="E757" s="237">
        <f>B757*D757/10000</f>
        <v/>
      </c>
      <c r="F757" s="238">
        <f>B757/30.48</f>
        <v/>
      </c>
      <c r="G757" s="238">
        <f>D757/30.48</f>
        <v/>
      </c>
      <c r="H757" s="613" t="n"/>
      <c r="I757" s="273" t="n"/>
      <c r="J757" s="274" t="n"/>
      <c r="K757" s="275" t="n"/>
      <c r="L757" s="276" t="n"/>
      <c r="M757" s="270" t="n"/>
    </row>
    <row r="758" ht="18" customHeight="1" s="305">
      <c r="A758" s="28" t="inlineStr">
        <is>
          <t>D 1282</t>
        </is>
      </c>
      <c r="B758" s="29" t="n"/>
      <c r="C758" s="236" t="inlineStr">
        <is>
          <t>X</t>
        </is>
      </c>
      <c r="D758" s="29" t="n"/>
      <c r="E758" s="237">
        <f>B758*D758/10000</f>
        <v/>
      </c>
      <c r="F758" s="238">
        <f>B758/30.48</f>
        <v/>
      </c>
      <c r="G758" s="238">
        <f>D758/30.48</f>
        <v/>
      </c>
      <c r="H758" s="613" t="n"/>
      <c r="I758" s="273" t="n"/>
      <c r="J758" s="274" t="n"/>
      <c r="K758" s="275" t="n"/>
      <c r="L758" s="276" t="n"/>
      <c r="M758" s="270" t="n"/>
    </row>
    <row r="759" ht="18" customHeight="1" s="305">
      <c r="A759" s="28" t="inlineStr">
        <is>
          <t>D 1283</t>
        </is>
      </c>
      <c r="B759" s="29" t="n"/>
      <c r="C759" s="236" t="inlineStr">
        <is>
          <t>X</t>
        </is>
      </c>
      <c r="D759" s="29" t="n"/>
      <c r="E759" s="237">
        <f>B759*D759/10000</f>
        <v/>
      </c>
      <c r="F759" s="238">
        <f>B759/30.48</f>
        <v/>
      </c>
      <c r="G759" s="238">
        <f>D759/30.48</f>
        <v/>
      </c>
      <c r="H759" s="613" t="n"/>
      <c r="I759" s="273" t="n"/>
      <c r="J759" s="274" t="n"/>
      <c r="K759" s="275" t="n"/>
      <c r="L759" s="276" t="n"/>
      <c r="M759" s="270" t="n"/>
    </row>
    <row r="760" ht="18" customHeight="1" s="305">
      <c r="A760" s="28" t="inlineStr">
        <is>
          <t>D 1284</t>
        </is>
      </c>
      <c r="B760" s="29" t="n"/>
      <c r="C760" s="236" t="inlineStr">
        <is>
          <t>X</t>
        </is>
      </c>
      <c r="D760" s="29" t="n"/>
      <c r="E760" s="237">
        <f>B760*D760/10000</f>
        <v/>
      </c>
      <c r="F760" s="238">
        <f>B760/30.48</f>
        <v/>
      </c>
      <c r="G760" s="238">
        <f>D760/30.48</f>
        <v/>
      </c>
      <c r="H760" s="613" t="n"/>
      <c r="I760" s="273" t="n"/>
      <c r="J760" s="274" t="n"/>
      <c r="K760" s="275" t="n"/>
      <c r="L760" s="276" t="n"/>
      <c r="M760" s="270" t="n"/>
    </row>
    <row r="761" ht="18" customHeight="1" s="305">
      <c r="A761" s="28" t="inlineStr">
        <is>
          <t>D 1285</t>
        </is>
      </c>
      <c r="B761" s="29" t="n"/>
      <c r="C761" s="236" t="inlineStr">
        <is>
          <t>X</t>
        </is>
      </c>
      <c r="D761" s="29" t="n"/>
      <c r="E761" s="237">
        <f>B761*D761/10000</f>
        <v/>
      </c>
      <c r="F761" s="238">
        <f>B761/30.48</f>
        <v/>
      </c>
      <c r="G761" s="238">
        <f>D761/30.48</f>
        <v/>
      </c>
      <c r="H761" s="613" t="n"/>
      <c r="I761" s="273" t="n"/>
      <c r="J761" s="274" t="n"/>
      <c r="K761" s="275" t="n"/>
      <c r="L761" s="276" t="n"/>
      <c r="M761" s="270" t="n"/>
    </row>
    <row r="762" ht="18" customHeight="1" s="305">
      <c r="A762" s="28" t="inlineStr">
        <is>
          <t>D 1286</t>
        </is>
      </c>
      <c r="B762" s="29" t="n"/>
      <c r="C762" s="236" t="inlineStr">
        <is>
          <t>X</t>
        </is>
      </c>
      <c r="D762" s="29" t="n"/>
      <c r="E762" s="237">
        <f>B762*D762/10000</f>
        <v/>
      </c>
      <c r="F762" s="238">
        <f>B762/30.48</f>
        <v/>
      </c>
      <c r="G762" s="238">
        <f>D762/30.48</f>
        <v/>
      </c>
      <c r="H762" s="613" t="n"/>
      <c r="I762" s="273" t="n"/>
      <c r="J762" s="274" t="n"/>
      <c r="K762" s="275" t="n"/>
      <c r="L762" s="276" t="n"/>
      <c r="M762" s="270" t="n"/>
    </row>
    <row r="763" ht="18" customHeight="1" s="305">
      <c r="A763" s="28" t="inlineStr">
        <is>
          <t>D 1287</t>
        </is>
      </c>
      <c r="B763" s="29" t="n"/>
      <c r="C763" s="236" t="inlineStr">
        <is>
          <t>X</t>
        </is>
      </c>
      <c r="D763" s="29" t="n"/>
      <c r="E763" s="237">
        <f>B763*D763/10000</f>
        <v/>
      </c>
      <c r="F763" s="238">
        <f>B763/30.48</f>
        <v/>
      </c>
      <c r="G763" s="238">
        <f>D763/30.48</f>
        <v/>
      </c>
      <c r="H763" s="613" t="n"/>
      <c r="I763" s="273" t="n"/>
      <c r="J763" s="274" t="n"/>
      <c r="K763" s="275" t="n"/>
      <c r="L763" s="276" t="n"/>
      <c r="M763" s="270" t="n"/>
    </row>
    <row r="764" ht="18" customHeight="1" s="305">
      <c r="A764" s="28" t="inlineStr">
        <is>
          <t>D 1288</t>
        </is>
      </c>
      <c r="B764" s="29" t="n"/>
      <c r="C764" s="236" t="inlineStr">
        <is>
          <t>X</t>
        </is>
      </c>
      <c r="D764" s="29" t="n"/>
      <c r="E764" s="237">
        <f>B764*D764/10000</f>
        <v/>
      </c>
      <c r="F764" s="238">
        <f>B764/30.48</f>
        <v/>
      </c>
      <c r="G764" s="238">
        <f>D764/30.48</f>
        <v/>
      </c>
      <c r="H764" s="613" t="n"/>
      <c r="I764" s="273" t="n"/>
      <c r="J764" s="274" t="n"/>
      <c r="K764" s="275" t="n"/>
      <c r="L764" s="276" t="n"/>
      <c r="M764" s="270" t="n"/>
    </row>
    <row r="765" ht="18" customHeight="1" s="305">
      <c r="A765" s="28" t="inlineStr">
        <is>
          <t>D 1289</t>
        </is>
      </c>
      <c r="B765" s="29" t="n"/>
      <c r="C765" s="236" t="inlineStr">
        <is>
          <t>X</t>
        </is>
      </c>
      <c r="D765" s="29" t="n"/>
      <c r="E765" s="237">
        <f>B765*D765/10000</f>
        <v/>
      </c>
      <c r="F765" s="238">
        <f>B765/30.48</f>
        <v/>
      </c>
      <c r="G765" s="238">
        <f>D765/30.48</f>
        <v/>
      </c>
      <c r="H765" s="613" t="n"/>
      <c r="I765" s="273" t="n"/>
      <c r="J765" s="274" t="n"/>
      <c r="K765" s="275" t="n"/>
      <c r="L765" s="276" t="n"/>
      <c r="M765" s="270" t="n"/>
    </row>
    <row r="766" ht="18" customHeight="1" s="305">
      <c r="A766" s="28" t="inlineStr">
        <is>
          <t>D 1290</t>
        </is>
      </c>
      <c r="B766" s="29" t="n"/>
      <c r="C766" s="236" t="inlineStr">
        <is>
          <t>X</t>
        </is>
      </c>
      <c r="D766" s="29" t="n"/>
      <c r="E766" s="237">
        <f>B766*D766/10000</f>
        <v/>
      </c>
      <c r="F766" s="238">
        <f>B766/30.48</f>
        <v/>
      </c>
      <c r="G766" s="238">
        <f>D766/30.48</f>
        <v/>
      </c>
      <c r="H766" s="613" t="n"/>
      <c r="I766" s="273" t="n"/>
      <c r="J766" s="274" t="n"/>
      <c r="K766" s="275" t="n"/>
      <c r="L766" s="276" t="n"/>
      <c r="M766" s="270" t="n"/>
    </row>
    <row r="767" ht="18" customHeight="1" s="305">
      <c r="A767" s="28" t="inlineStr">
        <is>
          <t>D 1291</t>
        </is>
      </c>
      <c r="B767" s="29" t="n"/>
      <c r="C767" s="236" t="inlineStr">
        <is>
          <t>X</t>
        </is>
      </c>
      <c r="D767" s="29" t="n"/>
      <c r="E767" s="237">
        <f>B767*D767/10000</f>
        <v/>
      </c>
      <c r="F767" s="238">
        <f>B767/30.48</f>
        <v/>
      </c>
      <c r="G767" s="238">
        <f>D767/30.48</f>
        <v/>
      </c>
      <c r="H767" s="613" t="n"/>
      <c r="I767" s="273" t="n"/>
      <c r="J767" s="274" t="n"/>
      <c r="K767" s="275" t="n"/>
      <c r="L767" s="276" t="n"/>
      <c r="M767" s="270" t="n"/>
    </row>
    <row r="768" ht="18" customHeight="1" s="305">
      <c r="A768" s="28" t="inlineStr">
        <is>
          <t>D 1292</t>
        </is>
      </c>
      <c r="B768" s="29" t="n"/>
      <c r="C768" s="236" t="inlineStr">
        <is>
          <t>X</t>
        </is>
      </c>
      <c r="D768" s="29" t="n"/>
      <c r="E768" s="237">
        <f>B768*D768/10000</f>
        <v/>
      </c>
      <c r="F768" s="238">
        <f>B768/30.48</f>
        <v/>
      </c>
      <c r="G768" s="238">
        <f>D768/30.48</f>
        <v/>
      </c>
      <c r="H768" s="613" t="n"/>
      <c r="I768" s="273" t="n"/>
      <c r="J768" s="274" t="n"/>
      <c r="K768" s="275" t="n"/>
      <c r="L768" s="276" t="n"/>
      <c r="M768" s="270" t="n"/>
    </row>
    <row r="769" ht="18" customHeight="1" s="305">
      <c r="A769" s="28" t="inlineStr">
        <is>
          <t>D 1293</t>
        </is>
      </c>
      <c r="B769" s="29" t="n"/>
      <c r="C769" s="236" t="inlineStr">
        <is>
          <t>X</t>
        </is>
      </c>
      <c r="D769" s="29" t="n"/>
      <c r="E769" s="237">
        <f>B769*D769/10000</f>
        <v/>
      </c>
      <c r="F769" s="238">
        <f>B769/30.48</f>
        <v/>
      </c>
      <c r="G769" s="238">
        <f>D769/30.48</f>
        <v/>
      </c>
      <c r="H769" s="613" t="n"/>
      <c r="I769" s="273" t="n"/>
      <c r="J769" s="274" t="n"/>
      <c r="K769" s="275" t="n"/>
      <c r="L769" s="276" t="n"/>
      <c r="M769" s="270" t="n"/>
    </row>
    <row r="770" ht="18" customHeight="1" s="305">
      <c r="A770" s="28" t="inlineStr">
        <is>
          <t>D 1294</t>
        </is>
      </c>
      <c r="B770" s="29" t="n"/>
      <c r="C770" s="236" t="inlineStr">
        <is>
          <t>X</t>
        </is>
      </c>
      <c r="D770" s="29" t="n"/>
      <c r="E770" s="237">
        <f>B770*D770/10000</f>
        <v/>
      </c>
      <c r="F770" s="238">
        <f>B770/30.48</f>
        <v/>
      </c>
      <c r="G770" s="238">
        <f>D770/30.48</f>
        <v/>
      </c>
      <c r="H770" s="613" t="n"/>
      <c r="I770" s="273" t="n"/>
      <c r="J770" s="274" t="n"/>
      <c r="K770" s="275" t="n"/>
      <c r="L770" s="276" t="n"/>
      <c r="M770" s="270" t="n"/>
    </row>
    <row r="771" ht="18" customHeight="1" s="305">
      <c r="A771" s="28" t="inlineStr">
        <is>
          <t>D 1295</t>
        </is>
      </c>
      <c r="B771" s="29" t="n"/>
      <c r="C771" s="236" t="inlineStr">
        <is>
          <t>X</t>
        </is>
      </c>
      <c r="D771" s="29" t="n"/>
      <c r="E771" s="237">
        <f>B771*D771/10000</f>
        <v/>
      </c>
      <c r="F771" s="238">
        <f>B771/30.48</f>
        <v/>
      </c>
      <c r="G771" s="238">
        <f>D771/30.48</f>
        <v/>
      </c>
      <c r="H771" s="613" t="n"/>
      <c r="I771" s="273" t="n"/>
      <c r="J771" s="274" t="n"/>
      <c r="K771" s="275" t="n"/>
      <c r="L771" s="276" t="n"/>
      <c r="M771" s="270" t="n"/>
    </row>
    <row r="772" ht="18" customHeight="1" s="305">
      <c r="A772" s="28" t="inlineStr">
        <is>
          <t>D 1296</t>
        </is>
      </c>
      <c r="B772" s="29" t="n"/>
      <c r="C772" s="236" t="inlineStr">
        <is>
          <t>X</t>
        </is>
      </c>
      <c r="D772" s="29" t="n"/>
      <c r="E772" s="237">
        <f>B772*D772/10000</f>
        <v/>
      </c>
      <c r="F772" s="238">
        <f>B772/30.48</f>
        <v/>
      </c>
      <c r="G772" s="238">
        <f>D772/30.48</f>
        <v/>
      </c>
      <c r="H772" s="613" t="n"/>
      <c r="I772" s="273" t="n"/>
      <c r="J772" s="274" t="n"/>
      <c r="K772" s="275" t="n"/>
      <c r="L772" s="276" t="n"/>
      <c r="M772" s="270" t="n"/>
    </row>
    <row r="773" ht="18" customHeight="1" s="305">
      <c r="A773" s="28" t="inlineStr">
        <is>
          <t>D 1297</t>
        </is>
      </c>
      <c r="B773" s="29" t="n"/>
      <c r="C773" s="236" t="inlineStr">
        <is>
          <t>X</t>
        </is>
      </c>
      <c r="D773" s="29" t="n"/>
      <c r="E773" s="237">
        <f>B773*D773/10000</f>
        <v/>
      </c>
      <c r="F773" s="238">
        <f>B773/30.48</f>
        <v/>
      </c>
      <c r="G773" s="238">
        <f>D773/30.48</f>
        <v/>
      </c>
      <c r="H773" s="613" t="n"/>
      <c r="I773" s="273" t="n"/>
      <c r="J773" s="274" t="n"/>
      <c r="K773" s="275" t="n"/>
      <c r="L773" s="276" t="n"/>
      <c r="M773" s="270" t="n"/>
    </row>
    <row r="774" ht="18" customHeight="1" s="305">
      <c r="A774" s="28" t="inlineStr">
        <is>
          <t>D 1298</t>
        </is>
      </c>
      <c r="B774" s="29" t="n"/>
      <c r="C774" s="236" t="inlineStr">
        <is>
          <t>X</t>
        </is>
      </c>
      <c r="D774" s="29" t="n"/>
      <c r="E774" s="237">
        <f>B774*D774/10000</f>
        <v/>
      </c>
      <c r="F774" s="238">
        <f>B774/30.48</f>
        <v/>
      </c>
      <c r="G774" s="238">
        <f>D774/30.48</f>
        <v/>
      </c>
      <c r="H774" s="613" t="n"/>
      <c r="I774" s="273" t="n"/>
      <c r="J774" s="274" t="n"/>
      <c r="K774" s="275" t="n"/>
      <c r="L774" s="276" t="n"/>
      <c r="M774" s="270" t="n"/>
    </row>
    <row r="775" ht="18" customHeight="1" s="305">
      <c r="A775" s="28" t="inlineStr">
        <is>
          <t>D 1299</t>
        </is>
      </c>
      <c r="B775" s="29" t="n"/>
      <c r="C775" s="236" t="inlineStr">
        <is>
          <t>X</t>
        </is>
      </c>
      <c r="D775" s="29" t="n"/>
      <c r="E775" s="237">
        <f>B775*D775/10000</f>
        <v/>
      </c>
      <c r="F775" s="238">
        <f>B775/30.48</f>
        <v/>
      </c>
      <c r="G775" s="238">
        <f>D775/30.48</f>
        <v/>
      </c>
      <c r="H775" s="613" t="n"/>
      <c r="I775" s="273" t="n"/>
      <c r="J775" s="274" t="n"/>
      <c r="K775" s="275" t="n"/>
      <c r="L775" s="276" t="n"/>
      <c r="M775" s="270" t="n"/>
    </row>
    <row r="776" ht="18" customHeight="1" s="305">
      <c r="A776" s="28" t="inlineStr">
        <is>
          <t>D 1300</t>
        </is>
      </c>
      <c r="B776" s="29" t="n"/>
      <c r="C776" s="236" t="inlineStr">
        <is>
          <t>X</t>
        </is>
      </c>
      <c r="D776" s="29" t="n"/>
      <c r="E776" s="237">
        <f>B776*D776/10000</f>
        <v/>
      </c>
      <c r="F776" s="238">
        <f>B776/30.48</f>
        <v/>
      </c>
      <c r="G776" s="238">
        <f>D776/30.48</f>
        <v/>
      </c>
      <c r="H776" s="613" t="n"/>
      <c r="I776" s="273" t="n"/>
      <c r="J776" s="274" t="n"/>
      <c r="K776" s="275" t="n"/>
      <c r="L776" s="276" t="n"/>
      <c r="M776" s="270" t="n"/>
    </row>
    <row r="777" ht="18" customHeight="1" s="305">
      <c r="A777" s="28" t="inlineStr">
        <is>
          <t>D 1301</t>
        </is>
      </c>
      <c r="B777" s="29" t="n"/>
      <c r="C777" s="236" t="inlineStr">
        <is>
          <t>X</t>
        </is>
      </c>
      <c r="D777" s="29" t="n"/>
      <c r="E777" s="237">
        <f>B777*D777/10000</f>
        <v/>
      </c>
      <c r="F777" s="238">
        <f>B777/30.48</f>
        <v/>
      </c>
      <c r="G777" s="238">
        <f>D777/30.48</f>
        <v/>
      </c>
      <c r="H777" s="613" t="n"/>
      <c r="I777" s="273" t="n"/>
      <c r="J777" s="274" t="n"/>
      <c r="K777" s="275" t="n"/>
      <c r="L777" s="276" t="n"/>
      <c r="M777" s="270" t="n"/>
    </row>
    <row r="778" ht="18" customHeight="1" s="305">
      <c r="A778" s="28" t="inlineStr">
        <is>
          <t>D 1302</t>
        </is>
      </c>
      <c r="B778" s="29" t="n"/>
      <c r="C778" s="236" t="inlineStr">
        <is>
          <t>X</t>
        </is>
      </c>
      <c r="D778" s="29" t="n"/>
      <c r="E778" s="237">
        <f>B778*D778/10000</f>
        <v/>
      </c>
      <c r="F778" s="238">
        <f>B778/30.48</f>
        <v/>
      </c>
      <c r="G778" s="238">
        <f>D778/30.48</f>
        <v/>
      </c>
      <c r="H778" s="613" t="n"/>
      <c r="I778" s="273" t="n"/>
      <c r="J778" s="274" t="n"/>
      <c r="K778" s="275" t="n"/>
      <c r="L778" s="276" t="n"/>
      <c r="M778" s="270" t="n"/>
    </row>
    <row r="779" ht="18" customHeight="1" s="305">
      <c r="A779" s="28" t="inlineStr">
        <is>
          <t>D 1303</t>
        </is>
      </c>
      <c r="B779" s="29" t="n"/>
      <c r="C779" s="236" t="inlineStr">
        <is>
          <t>X</t>
        </is>
      </c>
      <c r="D779" s="29" t="n"/>
      <c r="E779" s="237">
        <f>B779*D779/10000</f>
        <v/>
      </c>
      <c r="F779" s="238">
        <f>B779/30.48</f>
        <v/>
      </c>
      <c r="G779" s="238">
        <f>D779/30.48</f>
        <v/>
      </c>
      <c r="H779" s="613" t="n"/>
      <c r="I779" s="273" t="n"/>
      <c r="J779" s="274" t="n"/>
      <c r="K779" s="275" t="n"/>
      <c r="L779" s="276" t="n"/>
      <c r="M779" s="270" t="n"/>
    </row>
    <row r="780" ht="18" customHeight="1" s="305">
      <c r="A780" s="28" t="inlineStr">
        <is>
          <t>D 1304</t>
        </is>
      </c>
      <c r="B780" s="29" t="n"/>
      <c r="C780" s="236" t="inlineStr">
        <is>
          <t>X</t>
        </is>
      </c>
      <c r="D780" s="29" t="n"/>
      <c r="E780" s="237">
        <f>B780*D780/10000</f>
        <v/>
      </c>
      <c r="F780" s="238">
        <f>B780/30.48</f>
        <v/>
      </c>
      <c r="G780" s="238">
        <f>D780/30.48</f>
        <v/>
      </c>
      <c r="H780" s="613" t="n"/>
      <c r="I780" s="273" t="n"/>
      <c r="J780" s="274" t="n"/>
      <c r="K780" s="275" t="n"/>
      <c r="L780" s="276" t="n"/>
      <c r="M780" s="270" t="n"/>
    </row>
    <row r="781" ht="18" customHeight="1" s="305">
      <c r="A781" s="28" t="inlineStr">
        <is>
          <t>D 1305</t>
        </is>
      </c>
      <c r="B781" s="29" t="n"/>
      <c r="C781" s="236" t="inlineStr">
        <is>
          <t>X</t>
        </is>
      </c>
      <c r="D781" s="29" t="n"/>
      <c r="E781" s="237">
        <f>B781*D781/10000</f>
        <v/>
      </c>
      <c r="F781" s="238">
        <f>B781/30.48</f>
        <v/>
      </c>
      <c r="G781" s="238">
        <f>D781/30.48</f>
        <v/>
      </c>
      <c r="H781" s="613" t="n"/>
      <c r="I781" s="273" t="n"/>
      <c r="J781" s="274" t="n"/>
      <c r="K781" s="275" t="n"/>
      <c r="L781" s="276" t="n"/>
      <c r="M781" s="270" t="n"/>
    </row>
    <row r="782" ht="18" customHeight="1" s="305">
      <c r="A782" s="28" t="inlineStr">
        <is>
          <t>D 1306</t>
        </is>
      </c>
      <c r="B782" s="29" t="n"/>
      <c r="C782" s="236" t="inlineStr">
        <is>
          <t>X</t>
        </is>
      </c>
      <c r="D782" s="29" t="n"/>
      <c r="E782" s="237">
        <f>B782*D782/10000</f>
        <v/>
      </c>
      <c r="F782" s="238">
        <f>B782/30.48</f>
        <v/>
      </c>
      <c r="G782" s="238">
        <f>D782/30.48</f>
        <v/>
      </c>
      <c r="H782" s="613" t="n"/>
      <c r="I782" s="273" t="n"/>
      <c r="J782" s="274" t="n"/>
      <c r="K782" s="275" t="n"/>
      <c r="L782" s="276" t="n"/>
      <c r="M782" s="270" t="n"/>
    </row>
    <row r="783" ht="18" customHeight="1" s="305">
      <c r="A783" s="28" t="inlineStr">
        <is>
          <t>D 1307</t>
        </is>
      </c>
      <c r="B783" s="29" t="n"/>
      <c r="C783" s="236" t="inlineStr">
        <is>
          <t>X</t>
        </is>
      </c>
      <c r="D783" s="29" t="n"/>
      <c r="E783" s="237">
        <f>B783*D783/10000</f>
        <v/>
      </c>
      <c r="F783" s="238">
        <f>B783/30.48</f>
        <v/>
      </c>
      <c r="G783" s="238">
        <f>D783/30.48</f>
        <v/>
      </c>
      <c r="H783" s="613" t="n"/>
      <c r="I783" s="273" t="n"/>
      <c r="J783" s="274" t="n"/>
      <c r="K783" s="275" t="n"/>
      <c r="L783" s="276" t="n"/>
      <c r="M783" s="270" t="n"/>
    </row>
    <row r="784" ht="18" customHeight="1" s="305">
      <c r="A784" s="28" t="inlineStr">
        <is>
          <t>D 1308</t>
        </is>
      </c>
      <c r="B784" s="29" t="n"/>
      <c r="C784" s="236" t="inlineStr">
        <is>
          <t>X</t>
        </is>
      </c>
      <c r="D784" s="29" t="n"/>
      <c r="E784" s="237">
        <f>B784*D784/10000</f>
        <v/>
      </c>
      <c r="F784" s="238">
        <f>B784/30.48</f>
        <v/>
      </c>
      <c r="G784" s="238">
        <f>D784/30.48</f>
        <v/>
      </c>
      <c r="H784" s="613" t="n"/>
      <c r="I784" s="273" t="n"/>
      <c r="J784" s="274" t="n"/>
      <c r="K784" s="275" t="n"/>
      <c r="L784" s="276" t="n"/>
      <c r="M784" s="270" t="n"/>
    </row>
    <row r="785" ht="18" customHeight="1" s="305">
      <c r="A785" s="28" t="inlineStr">
        <is>
          <t>D 1309</t>
        </is>
      </c>
      <c r="B785" s="29" t="n"/>
      <c r="C785" s="236" t="inlineStr">
        <is>
          <t>X</t>
        </is>
      </c>
      <c r="D785" s="29" t="n"/>
      <c r="E785" s="237">
        <f>B785*D785/10000</f>
        <v/>
      </c>
      <c r="F785" s="238">
        <f>B785/30.48</f>
        <v/>
      </c>
      <c r="G785" s="238">
        <f>D785/30.48</f>
        <v/>
      </c>
      <c r="H785" s="613" t="n"/>
      <c r="I785" s="273" t="n"/>
      <c r="J785" s="274" t="n"/>
      <c r="K785" s="275" t="n"/>
      <c r="L785" s="276" t="n"/>
      <c r="M785" s="270" t="n"/>
    </row>
    <row r="786" ht="18" customHeight="1" s="305">
      <c r="A786" s="28" t="inlineStr">
        <is>
          <t>D 1310</t>
        </is>
      </c>
      <c r="B786" s="29" t="n"/>
      <c r="C786" s="236" t="inlineStr">
        <is>
          <t>X</t>
        </is>
      </c>
      <c r="D786" s="29" t="n"/>
      <c r="E786" s="237">
        <f>B786*D786/10000</f>
        <v/>
      </c>
      <c r="F786" s="238">
        <f>B786/30.48</f>
        <v/>
      </c>
      <c r="G786" s="238">
        <f>D786/30.48</f>
        <v/>
      </c>
      <c r="H786" s="613" t="n"/>
      <c r="I786" s="273" t="n"/>
      <c r="J786" s="274" t="n"/>
      <c r="K786" s="275" t="n"/>
      <c r="L786" s="276" t="n"/>
      <c r="M786" s="270" t="n"/>
    </row>
    <row r="787" ht="18" customHeight="1" s="305">
      <c r="A787" s="28" t="inlineStr">
        <is>
          <t>D 1311</t>
        </is>
      </c>
      <c r="B787" s="29" t="n"/>
      <c r="C787" s="236" t="inlineStr">
        <is>
          <t>X</t>
        </is>
      </c>
      <c r="D787" s="29" t="n"/>
      <c r="E787" s="237">
        <f>B787*D787/10000</f>
        <v/>
      </c>
      <c r="F787" s="238">
        <f>B787/30.48</f>
        <v/>
      </c>
      <c r="G787" s="238">
        <f>D787/30.48</f>
        <v/>
      </c>
      <c r="H787" s="613" t="n"/>
      <c r="I787" s="273" t="n"/>
      <c r="J787" s="274" t="n"/>
      <c r="K787" s="275" t="n"/>
      <c r="L787" s="276" t="n"/>
      <c r="M787" s="270" t="n"/>
    </row>
    <row r="788" ht="18" customHeight="1" s="305">
      <c r="A788" s="28" t="inlineStr">
        <is>
          <t>D 1312</t>
        </is>
      </c>
      <c r="B788" s="29" t="n"/>
      <c r="C788" s="236" t="inlineStr">
        <is>
          <t>X</t>
        </is>
      </c>
      <c r="D788" s="29" t="n"/>
      <c r="E788" s="237">
        <f>B788*D788/10000</f>
        <v/>
      </c>
      <c r="F788" s="238">
        <f>B788/30.48</f>
        <v/>
      </c>
      <c r="G788" s="238">
        <f>D788/30.48</f>
        <v/>
      </c>
      <c r="H788" s="613" t="n"/>
      <c r="I788" s="273" t="n"/>
      <c r="J788" s="274" t="n"/>
      <c r="K788" s="275" t="n"/>
      <c r="L788" s="276" t="n"/>
      <c r="M788" s="270" t="n"/>
    </row>
    <row r="789" ht="18" customHeight="1" s="305">
      <c r="A789" s="28" t="inlineStr">
        <is>
          <t>D 1313</t>
        </is>
      </c>
      <c r="B789" s="29" t="n"/>
      <c r="C789" s="236" t="inlineStr">
        <is>
          <t>X</t>
        </is>
      </c>
      <c r="D789" s="29" t="n"/>
      <c r="E789" s="237">
        <f>B789*D789/10000</f>
        <v/>
      </c>
      <c r="F789" s="238">
        <f>B789/30.48</f>
        <v/>
      </c>
      <c r="G789" s="238">
        <f>D789/30.48</f>
        <v/>
      </c>
      <c r="H789" s="613" t="n"/>
      <c r="I789" s="273" t="n"/>
      <c r="J789" s="274" t="n"/>
      <c r="K789" s="275" t="n"/>
      <c r="L789" s="276" t="n"/>
      <c r="M789" s="270" t="n"/>
    </row>
    <row r="790" ht="18" customHeight="1" s="305">
      <c r="A790" s="28" t="inlineStr">
        <is>
          <t>D 1314</t>
        </is>
      </c>
      <c r="B790" s="29" t="n"/>
      <c r="C790" s="236" t="inlineStr">
        <is>
          <t>X</t>
        </is>
      </c>
      <c r="D790" s="29" t="n"/>
      <c r="E790" s="237">
        <f>B790*D790/10000</f>
        <v/>
      </c>
      <c r="F790" s="238">
        <f>B790/30.48</f>
        <v/>
      </c>
      <c r="G790" s="238">
        <f>D790/30.48</f>
        <v/>
      </c>
      <c r="H790" s="613" t="n"/>
      <c r="I790" s="273" t="n"/>
      <c r="J790" s="274" t="n"/>
      <c r="K790" s="275" t="n"/>
      <c r="L790" s="276" t="n"/>
      <c r="M790" s="270" t="n"/>
    </row>
    <row r="791" ht="18" customHeight="1" s="305">
      <c r="A791" s="28" t="inlineStr">
        <is>
          <t>D 1315</t>
        </is>
      </c>
      <c r="B791" s="29" t="n"/>
      <c r="C791" s="236" t="inlineStr">
        <is>
          <t>X</t>
        </is>
      </c>
      <c r="D791" s="29" t="n"/>
      <c r="E791" s="237">
        <f>B791*D791/10000</f>
        <v/>
      </c>
      <c r="F791" s="238">
        <f>B791/30.48</f>
        <v/>
      </c>
      <c r="G791" s="238">
        <f>D791/30.48</f>
        <v/>
      </c>
      <c r="H791" s="613" t="n"/>
      <c r="I791" s="273" t="n"/>
      <c r="J791" s="274" t="n"/>
      <c r="K791" s="275" t="n"/>
      <c r="L791" s="276" t="n"/>
      <c r="M791" s="270" t="n"/>
    </row>
    <row r="792" ht="18" customHeight="1" s="305">
      <c r="A792" s="28" t="inlineStr">
        <is>
          <t>D 1316</t>
        </is>
      </c>
      <c r="B792" s="29" t="n"/>
      <c r="C792" s="236" t="inlineStr">
        <is>
          <t>X</t>
        </is>
      </c>
      <c r="D792" s="29" t="n"/>
      <c r="E792" s="237">
        <f>B792*D792/10000</f>
        <v/>
      </c>
      <c r="F792" s="238">
        <f>B792/30.48</f>
        <v/>
      </c>
      <c r="G792" s="238">
        <f>D792/30.48</f>
        <v/>
      </c>
      <c r="H792" s="613" t="n"/>
      <c r="I792" s="273" t="n"/>
      <c r="J792" s="274" t="n"/>
      <c r="K792" s="275" t="n"/>
      <c r="L792" s="276" t="n"/>
      <c r="M792" s="270" t="n"/>
    </row>
    <row r="793" ht="18" customHeight="1" s="305">
      <c r="A793" s="28" t="inlineStr">
        <is>
          <t>D 1317</t>
        </is>
      </c>
      <c r="B793" s="29" t="n"/>
      <c r="C793" s="236" t="inlineStr">
        <is>
          <t>X</t>
        </is>
      </c>
      <c r="D793" s="29" t="n"/>
      <c r="E793" s="237">
        <f>B793*D793/10000</f>
        <v/>
      </c>
      <c r="F793" s="238">
        <f>B793/30.48</f>
        <v/>
      </c>
      <c r="G793" s="238">
        <f>D793/30.48</f>
        <v/>
      </c>
      <c r="H793" s="613" t="n"/>
      <c r="I793" s="273" t="n"/>
      <c r="J793" s="274" t="n"/>
      <c r="K793" s="275" t="n"/>
      <c r="L793" s="276" t="n"/>
      <c r="M793" s="270" t="n"/>
    </row>
    <row r="794" ht="18" customHeight="1" s="305">
      <c r="A794" s="28" t="inlineStr">
        <is>
          <t>D 1318</t>
        </is>
      </c>
      <c r="B794" s="29" t="n"/>
      <c r="C794" s="236" t="inlineStr">
        <is>
          <t>X</t>
        </is>
      </c>
      <c r="D794" s="29" t="n"/>
      <c r="E794" s="237">
        <f>B794*D794/10000</f>
        <v/>
      </c>
      <c r="F794" s="238">
        <f>B794/30.48</f>
        <v/>
      </c>
      <c r="G794" s="238">
        <f>D794/30.48</f>
        <v/>
      </c>
      <c r="H794" s="613" t="n"/>
      <c r="I794" s="273" t="n"/>
      <c r="J794" s="274" t="n"/>
      <c r="K794" s="275" t="n"/>
      <c r="L794" s="276" t="n"/>
      <c r="M794" s="270" t="n"/>
    </row>
    <row r="795" ht="18" customHeight="1" s="305">
      <c r="A795" s="28" t="inlineStr">
        <is>
          <t>D 1319</t>
        </is>
      </c>
      <c r="B795" s="29" t="n"/>
      <c r="C795" s="236" t="inlineStr">
        <is>
          <t>X</t>
        </is>
      </c>
      <c r="D795" s="29" t="n"/>
      <c r="E795" s="237">
        <f>B795*D795/10000</f>
        <v/>
      </c>
      <c r="F795" s="238">
        <f>B795/30.48</f>
        <v/>
      </c>
      <c r="G795" s="238">
        <f>D795/30.48</f>
        <v/>
      </c>
      <c r="H795" s="613" t="n"/>
      <c r="I795" s="273" t="n"/>
      <c r="J795" s="274" t="n"/>
      <c r="K795" s="275" t="n"/>
      <c r="L795" s="276" t="n"/>
      <c r="M795" s="270" t="n"/>
    </row>
    <row r="796" ht="18" customHeight="1" s="305">
      <c r="A796" s="28" t="inlineStr">
        <is>
          <t>D 1320</t>
        </is>
      </c>
      <c r="B796" s="29" t="n"/>
      <c r="C796" s="236" t="inlineStr">
        <is>
          <t>X</t>
        </is>
      </c>
      <c r="D796" s="29" t="n"/>
      <c r="E796" s="237">
        <f>B796*D796/10000</f>
        <v/>
      </c>
      <c r="F796" s="238">
        <f>B796/30.48</f>
        <v/>
      </c>
      <c r="G796" s="238">
        <f>D796/30.48</f>
        <v/>
      </c>
      <c r="H796" s="613" t="n"/>
      <c r="I796" s="273" t="n"/>
      <c r="J796" s="274" t="n"/>
      <c r="K796" s="275" t="n"/>
      <c r="L796" s="276" t="n"/>
      <c r="M796" s="270" t="n"/>
    </row>
    <row r="797" ht="18" customHeight="1" s="305">
      <c r="A797" s="28" t="inlineStr">
        <is>
          <t>D 1321</t>
        </is>
      </c>
      <c r="B797" s="29" t="n"/>
      <c r="C797" s="236" t="inlineStr">
        <is>
          <t>X</t>
        </is>
      </c>
      <c r="D797" s="29" t="n"/>
      <c r="E797" s="237">
        <f>B797*D797/10000</f>
        <v/>
      </c>
      <c r="F797" s="238">
        <f>B797/30.48</f>
        <v/>
      </c>
      <c r="G797" s="238">
        <f>D797/30.48</f>
        <v/>
      </c>
      <c r="H797" s="613" t="n"/>
      <c r="I797" s="273" t="n"/>
      <c r="J797" s="274" t="n"/>
      <c r="K797" s="275" t="n"/>
      <c r="L797" s="276" t="n"/>
      <c r="M797" s="270" t="n"/>
    </row>
    <row r="798" ht="18" customHeight="1" s="305">
      <c r="A798" s="28" t="inlineStr">
        <is>
          <t>D 1322</t>
        </is>
      </c>
      <c r="B798" s="29" t="n"/>
      <c r="C798" s="236" t="inlineStr">
        <is>
          <t>X</t>
        </is>
      </c>
      <c r="D798" s="29" t="n"/>
      <c r="E798" s="237">
        <f>B798*D798/10000</f>
        <v/>
      </c>
      <c r="F798" s="238">
        <f>B798/30.48</f>
        <v/>
      </c>
      <c r="G798" s="238">
        <f>D798/30.48</f>
        <v/>
      </c>
      <c r="H798" s="613" t="n"/>
      <c r="I798" s="273" t="n"/>
      <c r="J798" s="274" t="n"/>
      <c r="K798" s="275" t="n"/>
      <c r="L798" s="276" t="n"/>
      <c r="M798" s="270" t="n"/>
    </row>
    <row r="799" ht="18" customHeight="1" s="305">
      <c r="A799" s="28" t="inlineStr">
        <is>
          <t>D 1323</t>
        </is>
      </c>
      <c r="B799" s="29" t="n"/>
      <c r="C799" s="236" t="inlineStr">
        <is>
          <t>X</t>
        </is>
      </c>
      <c r="D799" s="29" t="n"/>
      <c r="E799" s="237">
        <f>B799*D799/10000</f>
        <v/>
      </c>
      <c r="F799" s="238">
        <f>B799/30.48</f>
        <v/>
      </c>
      <c r="G799" s="238">
        <f>D799/30.48</f>
        <v/>
      </c>
      <c r="H799" s="613" t="n"/>
      <c r="I799" s="273" t="n"/>
      <c r="J799" s="274" t="n"/>
      <c r="K799" s="275" t="n"/>
      <c r="L799" s="276" t="n"/>
      <c r="M799" s="270" t="n"/>
    </row>
    <row r="800" ht="18" customHeight="1" s="305">
      <c r="A800" s="28" t="inlineStr">
        <is>
          <t>D 1324</t>
        </is>
      </c>
      <c r="B800" s="29" t="n"/>
      <c r="C800" s="236" t="inlineStr">
        <is>
          <t>X</t>
        </is>
      </c>
      <c r="D800" s="29" t="n"/>
      <c r="E800" s="237">
        <f>B800*D800/10000</f>
        <v/>
      </c>
      <c r="F800" s="238">
        <f>B800/30.48</f>
        <v/>
      </c>
      <c r="G800" s="238">
        <f>D800/30.48</f>
        <v/>
      </c>
      <c r="H800" s="613" t="n"/>
      <c r="I800" s="273" t="n"/>
      <c r="J800" s="274" t="n"/>
      <c r="K800" s="275" t="n"/>
      <c r="L800" s="276" t="n"/>
      <c r="M800" s="270" t="n"/>
    </row>
    <row r="801" ht="18" customHeight="1" s="305">
      <c r="A801" s="28" t="inlineStr">
        <is>
          <t>D 1325</t>
        </is>
      </c>
      <c r="B801" s="29" t="n"/>
      <c r="C801" s="236" t="inlineStr">
        <is>
          <t>X</t>
        </is>
      </c>
      <c r="D801" s="29" t="n"/>
      <c r="E801" s="237">
        <f>B801*D801/10000</f>
        <v/>
      </c>
      <c r="F801" s="238">
        <f>B801/30.48</f>
        <v/>
      </c>
      <c r="G801" s="238">
        <f>D801/30.48</f>
        <v/>
      </c>
      <c r="H801" s="613" t="n"/>
      <c r="I801" s="273" t="n"/>
      <c r="J801" s="274" t="n"/>
      <c r="K801" s="275" t="n"/>
      <c r="L801" s="276" t="n"/>
      <c r="M801" s="270" t="n"/>
    </row>
    <row r="802" ht="18" customHeight="1" s="305">
      <c r="A802" s="28" t="inlineStr">
        <is>
          <t>D 1326</t>
        </is>
      </c>
      <c r="B802" s="29" t="n"/>
      <c r="C802" s="236" t="inlineStr">
        <is>
          <t>X</t>
        </is>
      </c>
      <c r="D802" s="29" t="n"/>
      <c r="E802" s="237">
        <f>B802*D802/10000</f>
        <v/>
      </c>
      <c r="F802" s="238">
        <f>B802/30.48</f>
        <v/>
      </c>
      <c r="G802" s="238">
        <f>D802/30.48</f>
        <v/>
      </c>
      <c r="H802" s="613" t="n"/>
      <c r="I802" s="273" t="n"/>
      <c r="J802" s="274" t="n"/>
      <c r="K802" s="275" t="n"/>
      <c r="L802" s="276" t="n"/>
      <c r="M802" s="270" t="n"/>
    </row>
    <row r="803" ht="18" customHeight="1" s="305">
      <c r="A803" s="28" t="inlineStr">
        <is>
          <t>D 1327</t>
        </is>
      </c>
      <c r="B803" s="29" t="n"/>
      <c r="C803" s="236" t="inlineStr">
        <is>
          <t>X</t>
        </is>
      </c>
      <c r="D803" s="29" t="n"/>
      <c r="E803" s="237">
        <f>B803*D803/10000</f>
        <v/>
      </c>
      <c r="F803" s="238">
        <f>B803/30.48</f>
        <v/>
      </c>
      <c r="G803" s="238">
        <f>D803/30.48</f>
        <v/>
      </c>
      <c r="H803" s="613" t="n"/>
      <c r="I803" s="273" t="n"/>
      <c r="J803" s="274" t="n"/>
      <c r="K803" s="275" t="n"/>
      <c r="L803" s="276" t="n"/>
      <c r="M803" s="270" t="n"/>
    </row>
    <row r="804" ht="18" customHeight="1" s="305">
      <c r="A804" s="28" t="inlineStr">
        <is>
          <t>D 1328</t>
        </is>
      </c>
      <c r="B804" s="29" t="n"/>
      <c r="C804" s="236" t="inlineStr">
        <is>
          <t>X</t>
        </is>
      </c>
      <c r="D804" s="29" t="n"/>
      <c r="E804" s="237">
        <f>B804*D804/10000</f>
        <v/>
      </c>
      <c r="F804" s="238">
        <f>B804/30.48</f>
        <v/>
      </c>
      <c r="G804" s="238">
        <f>D804/30.48</f>
        <v/>
      </c>
      <c r="H804" s="613" t="n"/>
      <c r="I804" s="273" t="n"/>
      <c r="J804" s="274" t="n"/>
      <c r="K804" s="275" t="n"/>
      <c r="L804" s="276" t="n"/>
      <c r="M804" s="270" t="n"/>
    </row>
    <row r="805" ht="18" customHeight="1" s="305">
      <c r="A805" s="28" t="inlineStr">
        <is>
          <t>D 1329</t>
        </is>
      </c>
      <c r="B805" s="29" t="n"/>
      <c r="C805" s="236" t="inlineStr">
        <is>
          <t>X</t>
        </is>
      </c>
      <c r="D805" s="29" t="n"/>
      <c r="E805" s="237">
        <f>B805*D805/10000</f>
        <v/>
      </c>
      <c r="F805" s="238">
        <f>B805/30.48</f>
        <v/>
      </c>
      <c r="G805" s="238">
        <f>D805/30.48</f>
        <v/>
      </c>
      <c r="H805" s="613" t="n"/>
      <c r="I805" s="273" t="n"/>
      <c r="J805" s="274" t="n"/>
      <c r="K805" s="275" t="n"/>
      <c r="L805" s="276" t="n"/>
      <c r="M805" s="270" t="n"/>
    </row>
    <row r="806" ht="18" customHeight="1" s="305">
      <c r="A806" s="28" t="inlineStr">
        <is>
          <t>D 1330</t>
        </is>
      </c>
      <c r="B806" s="29" t="n"/>
      <c r="C806" s="236" t="inlineStr">
        <is>
          <t>X</t>
        </is>
      </c>
      <c r="D806" s="29" t="n"/>
      <c r="E806" s="237">
        <f>B806*D806/10000</f>
        <v/>
      </c>
      <c r="F806" s="238">
        <f>B806/30.48</f>
        <v/>
      </c>
      <c r="G806" s="238">
        <f>D806/30.48</f>
        <v/>
      </c>
      <c r="H806" s="613" t="n"/>
      <c r="I806" s="273" t="n"/>
      <c r="J806" s="274" t="n"/>
      <c r="K806" s="275" t="n"/>
      <c r="L806" s="276" t="n"/>
      <c r="M806" s="270" t="n"/>
    </row>
    <row r="807" ht="18" customHeight="1" s="305">
      <c r="A807" s="28" t="inlineStr">
        <is>
          <t>D 1331</t>
        </is>
      </c>
      <c r="B807" s="29" t="n"/>
      <c r="C807" s="236" t="inlineStr">
        <is>
          <t>X</t>
        </is>
      </c>
      <c r="D807" s="29" t="n"/>
      <c r="E807" s="237">
        <f>B807*D807/10000</f>
        <v/>
      </c>
      <c r="F807" s="238">
        <f>B807/30.48</f>
        <v/>
      </c>
      <c r="G807" s="238">
        <f>D807/30.48</f>
        <v/>
      </c>
      <c r="H807" s="613" t="n"/>
      <c r="I807" s="273" t="n"/>
      <c r="J807" s="274" t="n"/>
      <c r="K807" s="275" t="n"/>
      <c r="L807" s="276" t="n"/>
      <c r="M807" s="270" t="n"/>
    </row>
    <row r="808" ht="18" customHeight="1" s="305">
      <c r="A808" s="28" t="inlineStr">
        <is>
          <t>D 1332</t>
        </is>
      </c>
      <c r="B808" s="29" t="n"/>
      <c r="C808" s="236" t="inlineStr">
        <is>
          <t>X</t>
        </is>
      </c>
      <c r="D808" s="29" t="n"/>
      <c r="E808" s="237">
        <f>B808*D808/10000</f>
        <v/>
      </c>
      <c r="F808" s="238">
        <f>B808/30.48</f>
        <v/>
      </c>
      <c r="G808" s="238">
        <f>D808/30.48</f>
        <v/>
      </c>
      <c r="H808" s="613" t="n"/>
      <c r="I808" s="273" t="n"/>
      <c r="J808" s="274" t="n"/>
      <c r="K808" s="275" t="n"/>
      <c r="L808" s="276" t="n"/>
      <c r="M808" s="270" t="n"/>
    </row>
    <row r="809" ht="18" customHeight="1" s="305">
      <c r="A809" s="28" t="inlineStr">
        <is>
          <t>D 1333</t>
        </is>
      </c>
      <c r="B809" s="29" t="n"/>
      <c r="C809" s="236" t="inlineStr">
        <is>
          <t>X</t>
        </is>
      </c>
      <c r="D809" s="29" t="n"/>
      <c r="E809" s="237">
        <f>B809*D809/10000</f>
        <v/>
      </c>
      <c r="F809" s="238">
        <f>B809/30.48</f>
        <v/>
      </c>
      <c r="G809" s="238">
        <f>D809/30.48</f>
        <v/>
      </c>
      <c r="H809" s="613" t="n"/>
      <c r="I809" s="273" t="n"/>
      <c r="J809" s="274" t="n"/>
      <c r="K809" s="275" t="n"/>
      <c r="L809" s="276" t="n"/>
      <c r="M809" s="270" t="n"/>
    </row>
    <row r="810" ht="18" customHeight="1" s="305">
      <c r="A810" s="28" t="inlineStr">
        <is>
          <t>D 1334</t>
        </is>
      </c>
      <c r="B810" s="29" t="n"/>
      <c r="C810" s="236" t="inlineStr">
        <is>
          <t>X</t>
        </is>
      </c>
      <c r="D810" s="29" t="n"/>
      <c r="E810" s="237">
        <f>B810*D810/10000</f>
        <v/>
      </c>
      <c r="F810" s="238">
        <f>B810/30.48</f>
        <v/>
      </c>
      <c r="G810" s="238">
        <f>D810/30.48</f>
        <v/>
      </c>
      <c r="H810" s="613" t="n"/>
      <c r="I810" s="273" t="n"/>
      <c r="J810" s="274" t="n"/>
      <c r="K810" s="275" t="n"/>
      <c r="L810" s="276" t="n"/>
      <c r="M810" s="270" t="n"/>
    </row>
    <row r="811" ht="18" customHeight="1" s="305">
      <c r="A811" s="28" t="inlineStr">
        <is>
          <t>D 1335</t>
        </is>
      </c>
      <c r="B811" s="29" t="n"/>
      <c r="C811" s="236" t="inlineStr">
        <is>
          <t>X</t>
        </is>
      </c>
      <c r="D811" s="29" t="n"/>
      <c r="E811" s="237">
        <f>B811*D811/10000</f>
        <v/>
      </c>
      <c r="F811" s="238">
        <f>B811/30.48</f>
        <v/>
      </c>
      <c r="G811" s="238">
        <f>D811/30.48</f>
        <v/>
      </c>
      <c r="H811" s="613" t="n"/>
      <c r="I811" s="273" t="n"/>
      <c r="J811" s="274" t="n"/>
      <c r="K811" s="275" t="n"/>
      <c r="L811" s="276" t="n"/>
      <c r="M811" s="270" t="n"/>
    </row>
    <row r="812" ht="18" customHeight="1" s="305">
      <c r="A812" s="28" t="inlineStr">
        <is>
          <t>D 1336</t>
        </is>
      </c>
      <c r="B812" s="29" t="n"/>
      <c r="C812" s="236" t="inlineStr">
        <is>
          <t>X</t>
        </is>
      </c>
      <c r="D812" s="29" t="n"/>
      <c r="E812" s="237">
        <f>B812*D812/10000</f>
        <v/>
      </c>
      <c r="F812" s="238">
        <f>B812/30.48</f>
        <v/>
      </c>
      <c r="G812" s="238">
        <f>D812/30.48</f>
        <v/>
      </c>
      <c r="H812" s="613" t="n"/>
      <c r="I812" s="273" t="n"/>
      <c r="J812" s="274" t="n"/>
      <c r="K812" s="275" t="n"/>
      <c r="L812" s="276" t="n"/>
      <c r="M812" s="270" t="n"/>
    </row>
    <row r="813" ht="18" customHeight="1" s="305">
      <c r="A813" s="28" t="inlineStr">
        <is>
          <t>D 1337</t>
        </is>
      </c>
      <c r="B813" s="29" t="n"/>
      <c r="C813" s="236" t="inlineStr">
        <is>
          <t>X</t>
        </is>
      </c>
      <c r="D813" s="29" t="n"/>
      <c r="E813" s="237">
        <f>B813*D813/10000</f>
        <v/>
      </c>
      <c r="F813" s="238">
        <f>B813/30.48</f>
        <v/>
      </c>
      <c r="G813" s="238">
        <f>D813/30.48</f>
        <v/>
      </c>
      <c r="H813" s="613" t="n"/>
      <c r="I813" s="273" t="n"/>
      <c r="J813" s="274" t="n"/>
      <c r="K813" s="275" t="n"/>
      <c r="L813" s="276" t="n"/>
      <c r="M813" s="270" t="n"/>
    </row>
    <row r="814" ht="18" customHeight="1" s="305">
      <c r="A814" s="28" t="inlineStr">
        <is>
          <t>D 1338</t>
        </is>
      </c>
      <c r="B814" s="29" t="n"/>
      <c r="C814" s="236" t="inlineStr">
        <is>
          <t>X</t>
        </is>
      </c>
      <c r="D814" s="29" t="n"/>
      <c r="E814" s="237">
        <f>B814*D814/10000</f>
        <v/>
      </c>
      <c r="F814" s="238">
        <f>B814/30.48</f>
        <v/>
      </c>
      <c r="G814" s="238">
        <f>D814/30.48</f>
        <v/>
      </c>
      <c r="H814" s="613" t="n"/>
      <c r="I814" s="273" t="n"/>
      <c r="J814" s="274" t="n"/>
      <c r="K814" s="275" t="n"/>
      <c r="L814" s="276" t="n"/>
      <c r="M814" s="270" t="n"/>
    </row>
    <row r="815" ht="18" customHeight="1" s="305">
      <c r="A815" s="28" t="inlineStr">
        <is>
          <t>D 1339</t>
        </is>
      </c>
      <c r="B815" s="29" t="n"/>
      <c r="C815" s="236" t="inlineStr">
        <is>
          <t>X</t>
        </is>
      </c>
      <c r="D815" s="29" t="n"/>
      <c r="E815" s="237">
        <f>B815*D815/10000</f>
        <v/>
      </c>
      <c r="F815" s="238">
        <f>B815/30.48</f>
        <v/>
      </c>
      <c r="G815" s="238">
        <f>D815/30.48</f>
        <v/>
      </c>
      <c r="H815" s="613" t="n"/>
      <c r="I815" s="273" t="n"/>
      <c r="J815" s="274" t="n"/>
      <c r="K815" s="275" t="n"/>
      <c r="L815" s="276" t="n"/>
      <c r="M815" s="270" t="n"/>
    </row>
    <row r="816" ht="18" customHeight="1" s="305">
      <c r="A816" s="28" t="inlineStr">
        <is>
          <t>D 1340</t>
        </is>
      </c>
      <c r="B816" s="29" t="n"/>
      <c r="C816" s="236" t="inlineStr">
        <is>
          <t>X</t>
        </is>
      </c>
      <c r="D816" s="29" t="n"/>
      <c r="E816" s="237">
        <f>B816*D816/10000</f>
        <v/>
      </c>
      <c r="F816" s="238">
        <f>B816/30.48</f>
        <v/>
      </c>
      <c r="G816" s="238">
        <f>D816/30.48</f>
        <v/>
      </c>
      <c r="H816" s="613" t="n"/>
      <c r="I816" s="273" t="n"/>
      <c r="J816" s="274" t="n"/>
      <c r="K816" s="275" t="n"/>
      <c r="L816" s="276" t="n"/>
      <c r="M816" s="270" t="n"/>
    </row>
    <row r="817" ht="18" customHeight="1" s="305">
      <c r="A817" s="28" t="inlineStr">
        <is>
          <t>D 1341</t>
        </is>
      </c>
      <c r="B817" s="29" t="n"/>
      <c r="C817" s="236" t="inlineStr">
        <is>
          <t>X</t>
        </is>
      </c>
      <c r="D817" s="29" t="n"/>
      <c r="E817" s="237">
        <f>B817*D817/10000</f>
        <v/>
      </c>
      <c r="F817" s="238">
        <f>B817/30.48</f>
        <v/>
      </c>
      <c r="G817" s="238">
        <f>D817/30.48</f>
        <v/>
      </c>
      <c r="H817" s="613" t="n"/>
      <c r="I817" s="273" t="n"/>
      <c r="J817" s="274" t="n"/>
      <c r="K817" s="275" t="n"/>
      <c r="L817" s="276" t="n"/>
      <c r="M817" s="270" t="n"/>
    </row>
    <row r="818" ht="18" customHeight="1" s="305">
      <c r="A818" s="28" t="inlineStr">
        <is>
          <t>D 1342</t>
        </is>
      </c>
      <c r="B818" s="29" t="n"/>
      <c r="C818" s="236" t="inlineStr">
        <is>
          <t>X</t>
        </is>
      </c>
      <c r="D818" s="29" t="n"/>
      <c r="E818" s="237">
        <f>B818*D818/10000</f>
        <v/>
      </c>
      <c r="F818" s="238">
        <f>B818/30.48</f>
        <v/>
      </c>
      <c r="G818" s="238">
        <f>D818/30.48</f>
        <v/>
      </c>
      <c r="H818" s="613" t="n"/>
      <c r="I818" s="273" t="n"/>
      <c r="J818" s="274" t="n"/>
      <c r="K818" s="275" t="n"/>
      <c r="L818" s="276" t="n"/>
      <c r="M818" s="270" t="n"/>
    </row>
    <row r="819" ht="18" customHeight="1" s="305">
      <c r="A819" s="28" t="inlineStr">
        <is>
          <t>D 1343</t>
        </is>
      </c>
      <c r="B819" s="29" t="n"/>
      <c r="C819" s="236" t="inlineStr">
        <is>
          <t>X</t>
        </is>
      </c>
      <c r="D819" s="29" t="n"/>
      <c r="E819" s="237">
        <f>B819*D819/10000</f>
        <v/>
      </c>
      <c r="F819" s="238">
        <f>B819/30.48</f>
        <v/>
      </c>
      <c r="G819" s="238">
        <f>D819/30.48</f>
        <v/>
      </c>
      <c r="H819" s="613" t="n"/>
      <c r="I819" s="273" t="n"/>
      <c r="J819" s="274" t="n"/>
      <c r="K819" s="275" t="n"/>
      <c r="L819" s="276" t="n"/>
      <c r="M819" s="270" t="n"/>
    </row>
    <row r="820" ht="18" customHeight="1" s="305">
      <c r="A820" s="28" t="inlineStr">
        <is>
          <t>D 1344</t>
        </is>
      </c>
      <c r="B820" s="29" t="n"/>
      <c r="C820" s="236" t="inlineStr">
        <is>
          <t>X</t>
        </is>
      </c>
      <c r="D820" s="29" t="n"/>
      <c r="E820" s="237">
        <f>B820*D820/10000</f>
        <v/>
      </c>
      <c r="F820" s="238">
        <f>B820/30.48</f>
        <v/>
      </c>
      <c r="G820" s="238">
        <f>D820/30.48</f>
        <v/>
      </c>
      <c r="H820" s="613" t="n"/>
      <c r="I820" s="273" t="n"/>
      <c r="J820" s="274" t="n"/>
      <c r="K820" s="275" t="n"/>
      <c r="L820" s="276" t="n"/>
      <c r="M820" s="270" t="n"/>
    </row>
    <row r="821" ht="18" customHeight="1" s="305">
      <c r="A821" s="28" t="inlineStr">
        <is>
          <t>D 1345</t>
        </is>
      </c>
      <c r="B821" s="29" t="n"/>
      <c r="C821" s="236" t="inlineStr">
        <is>
          <t>X</t>
        </is>
      </c>
      <c r="D821" s="29" t="n"/>
      <c r="E821" s="237">
        <f>B821*D821/10000</f>
        <v/>
      </c>
      <c r="F821" s="238">
        <f>B821/30.48</f>
        <v/>
      </c>
      <c r="G821" s="238">
        <f>D821/30.48</f>
        <v/>
      </c>
      <c r="H821" s="613" t="n"/>
      <c r="I821" s="273" t="n"/>
      <c r="J821" s="274" t="n"/>
      <c r="K821" s="275" t="n"/>
      <c r="L821" s="276" t="n"/>
      <c r="M821" s="270" t="n"/>
    </row>
    <row r="822" ht="18" customHeight="1" s="305">
      <c r="A822" s="28" t="inlineStr">
        <is>
          <t>D 1346</t>
        </is>
      </c>
      <c r="B822" s="29" t="n"/>
      <c r="C822" s="236" t="inlineStr">
        <is>
          <t>X</t>
        </is>
      </c>
      <c r="D822" s="29" t="n"/>
      <c r="E822" s="237">
        <f>B822*D822/10000</f>
        <v/>
      </c>
      <c r="F822" s="238">
        <f>B822/30.48</f>
        <v/>
      </c>
      <c r="G822" s="238">
        <f>D822/30.48</f>
        <v/>
      </c>
      <c r="H822" s="613" t="n"/>
      <c r="I822" s="273" t="n"/>
      <c r="J822" s="274" t="n"/>
      <c r="K822" s="275" t="n"/>
      <c r="L822" s="276" t="n"/>
      <c r="M822" s="270" t="n"/>
    </row>
    <row r="823" ht="18" customHeight="1" s="305">
      <c r="A823" s="28" t="inlineStr">
        <is>
          <t>D 1347</t>
        </is>
      </c>
      <c r="B823" s="29" t="n"/>
      <c r="C823" s="236" t="inlineStr">
        <is>
          <t>X</t>
        </is>
      </c>
      <c r="D823" s="29" t="n"/>
      <c r="E823" s="237">
        <f>B823*D823/10000</f>
        <v/>
      </c>
      <c r="F823" s="238">
        <f>B823/30.48</f>
        <v/>
      </c>
      <c r="G823" s="238">
        <f>D823/30.48</f>
        <v/>
      </c>
      <c r="H823" s="613" t="n"/>
      <c r="I823" s="273" t="n"/>
      <c r="J823" s="274" t="n"/>
      <c r="K823" s="275" t="n"/>
      <c r="L823" s="276" t="n"/>
      <c r="M823" s="270" t="n"/>
    </row>
    <row r="824" ht="18" customHeight="1" s="305">
      <c r="A824" s="28" t="inlineStr">
        <is>
          <t>D 1348</t>
        </is>
      </c>
      <c r="B824" s="29" t="n"/>
      <c r="C824" s="236" t="inlineStr">
        <is>
          <t>X</t>
        </is>
      </c>
      <c r="D824" s="29" t="n"/>
      <c r="E824" s="237">
        <f>B824*D824/10000</f>
        <v/>
      </c>
      <c r="F824" s="238">
        <f>B824/30.48</f>
        <v/>
      </c>
      <c r="G824" s="238">
        <f>D824/30.48</f>
        <v/>
      </c>
      <c r="H824" s="613" t="n"/>
      <c r="I824" s="273" t="n"/>
      <c r="J824" s="274" t="n"/>
      <c r="K824" s="275" t="n"/>
      <c r="L824" s="276" t="n"/>
      <c r="M824" s="270" t="n"/>
    </row>
    <row r="825" ht="18" customHeight="1" s="305">
      <c r="A825" s="28" t="inlineStr">
        <is>
          <t>D 1349</t>
        </is>
      </c>
      <c r="B825" s="29" t="n"/>
      <c r="C825" s="236" t="inlineStr">
        <is>
          <t>X</t>
        </is>
      </c>
      <c r="D825" s="29" t="n"/>
      <c r="E825" s="237">
        <f>B825*D825/10000</f>
        <v/>
      </c>
      <c r="F825" s="238">
        <f>B825/30.48</f>
        <v/>
      </c>
      <c r="G825" s="238">
        <f>D825/30.48</f>
        <v/>
      </c>
      <c r="H825" s="613" t="n"/>
      <c r="I825" s="273" t="n"/>
      <c r="J825" s="274" t="n"/>
      <c r="K825" s="275" t="n"/>
      <c r="L825" s="276" t="n"/>
      <c r="M825" s="270" t="n"/>
    </row>
    <row r="826" ht="18" customHeight="1" s="305">
      <c r="A826" s="28" t="inlineStr">
        <is>
          <t>D 1350</t>
        </is>
      </c>
      <c r="B826" s="29" t="n"/>
      <c r="C826" s="236" t="inlineStr">
        <is>
          <t>X</t>
        </is>
      </c>
      <c r="D826" s="29" t="n"/>
      <c r="E826" s="237">
        <f>B826*D826/10000</f>
        <v/>
      </c>
      <c r="F826" s="238">
        <f>B826/30.48</f>
        <v/>
      </c>
      <c r="G826" s="238">
        <f>D826/30.48</f>
        <v/>
      </c>
      <c r="H826" s="613" t="n"/>
      <c r="I826" s="273" t="n"/>
      <c r="J826" s="274" t="n"/>
      <c r="K826" s="275" t="n"/>
      <c r="L826" s="276" t="n"/>
      <c r="M826" s="270" t="n"/>
    </row>
    <row r="827" ht="18" customHeight="1" s="305">
      <c r="A827" s="28" t="inlineStr">
        <is>
          <t>D 1351</t>
        </is>
      </c>
      <c r="B827" s="29" t="n"/>
      <c r="C827" s="236" t="inlineStr">
        <is>
          <t>X</t>
        </is>
      </c>
      <c r="D827" s="29" t="n"/>
      <c r="E827" s="237">
        <f>B827*D827/10000</f>
        <v/>
      </c>
      <c r="F827" s="238">
        <f>B827/30.48</f>
        <v/>
      </c>
      <c r="G827" s="238">
        <f>D827/30.48</f>
        <v/>
      </c>
      <c r="H827" s="613" t="n"/>
      <c r="I827" s="273" t="n"/>
      <c r="J827" s="274" t="n"/>
      <c r="K827" s="275" t="n"/>
      <c r="L827" s="276" t="n"/>
      <c r="M827" s="270" t="n"/>
    </row>
    <row r="828" ht="18" customHeight="1" s="305">
      <c r="A828" s="28" t="inlineStr">
        <is>
          <t>D 1352</t>
        </is>
      </c>
      <c r="B828" s="29" t="n"/>
      <c r="C828" s="236" t="inlineStr">
        <is>
          <t>X</t>
        </is>
      </c>
      <c r="D828" s="29" t="n"/>
      <c r="E828" s="237">
        <f>B828*D828/10000</f>
        <v/>
      </c>
      <c r="F828" s="238">
        <f>B828/30.48</f>
        <v/>
      </c>
      <c r="G828" s="238">
        <f>D828/30.48</f>
        <v/>
      </c>
      <c r="H828" s="613" t="n"/>
      <c r="I828" s="273" t="n"/>
      <c r="J828" s="274" t="n"/>
      <c r="K828" s="275" t="n"/>
      <c r="L828" s="276" t="n"/>
      <c r="M828" s="270" t="n"/>
    </row>
    <row r="829" ht="18" customHeight="1" s="305">
      <c r="A829" s="28" t="inlineStr">
        <is>
          <t>D 1353</t>
        </is>
      </c>
      <c r="B829" s="29" t="n"/>
      <c r="C829" s="236" t="inlineStr">
        <is>
          <t>X</t>
        </is>
      </c>
      <c r="D829" s="29" t="n"/>
      <c r="E829" s="237">
        <f>B829*D829/10000</f>
        <v/>
      </c>
      <c r="F829" s="238">
        <f>B829/30.48</f>
        <v/>
      </c>
      <c r="G829" s="238">
        <f>D829/30.48</f>
        <v/>
      </c>
      <c r="H829" s="613" t="n"/>
      <c r="I829" s="273" t="n"/>
      <c r="J829" s="274" t="n"/>
      <c r="K829" s="275" t="n"/>
      <c r="L829" s="276" t="n"/>
      <c r="M829" s="270" t="n"/>
    </row>
    <row r="830" ht="18" customHeight="1" s="305">
      <c r="A830" s="28" t="inlineStr">
        <is>
          <t>D 1354</t>
        </is>
      </c>
      <c r="B830" s="29" t="n"/>
      <c r="C830" s="236" t="inlineStr">
        <is>
          <t>X</t>
        </is>
      </c>
      <c r="D830" s="29" t="n"/>
      <c r="E830" s="237">
        <f>B830*D830/10000</f>
        <v/>
      </c>
      <c r="F830" s="238">
        <f>B830/30.48</f>
        <v/>
      </c>
      <c r="G830" s="238">
        <f>D830/30.48</f>
        <v/>
      </c>
      <c r="H830" s="613" t="n"/>
      <c r="I830" s="273" t="n"/>
      <c r="J830" s="274" t="n"/>
      <c r="K830" s="275" t="n"/>
      <c r="L830" s="276" t="n"/>
      <c r="M830" s="270" t="n"/>
    </row>
    <row r="831" ht="18" customHeight="1" s="305">
      <c r="A831" s="28" t="inlineStr">
        <is>
          <t>D 1355</t>
        </is>
      </c>
      <c r="B831" s="29" t="n"/>
      <c r="C831" s="236" t="inlineStr">
        <is>
          <t>X</t>
        </is>
      </c>
      <c r="D831" s="29" t="n"/>
      <c r="E831" s="237">
        <f>B831*D831/10000</f>
        <v/>
      </c>
      <c r="F831" s="238">
        <f>B831/30.48</f>
        <v/>
      </c>
      <c r="G831" s="238">
        <f>D831/30.48</f>
        <v/>
      </c>
      <c r="H831" s="613" t="n"/>
      <c r="I831" s="273" t="n"/>
      <c r="J831" s="274" t="n"/>
      <c r="K831" s="275" t="n"/>
      <c r="L831" s="276" t="n"/>
      <c r="M831" s="270" t="n"/>
    </row>
    <row r="832" ht="18" customHeight="1" s="305">
      <c r="A832" s="28" t="inlineStr">
        <is>
          <t>D 1356</t>
        </is>
      </c>
      <c r="B832" s="29" t="n"/>
      <c r="C832" s="236" t="inlineStr">
        <is>
          <t>X</t>
        </is>
      </c>
      <c r="D832" s="29" t="n"/>
      <c r="E832" s="237">
        <f>B832*D832/10000</f>
        <v/>
      </c>
      <c r="F832" s="238">
        <f>B832/30.48</f>
        <v/>
      </c>
      <c r="G832" s="238">
        <f>D832/30.48</f>
        <v/>
      </c>
      <c r="H832" s="613" t="n"/>
      <c r="I832" s="273" t="n"/>
      <c r="J832" s="274" t="n"/>
      <c r="K832" s="275" t="n"/>
      <c r="L832" s="276" t="n"/>
      <c r="M832" s="270" t="n"/>
    </row>
    <row r="833" ht="18" customHeight="1" s="305">
      <c r="A833" s="28" t="inlineStr">
        <is>
          <t>D 1357</t>
        </is>
      </c>
      <c r="B833" s="29" t="n"/>
      <c r="C833" s="236" t="inlineStr">
        <is>
          <t>X</t>
        </is>
      </c>
      <c r="D833" s="29" t="n"/>
      <c r="E833" s="237">
        <f>B833*D833/10000</f>
        <v/>
      </c>
      <c r="F833" s="238">
        <f>B833/30.48</f>
        <v/>
      </c>
      <c r="G833" s="238">
        <f>D833/30.48</f>
        <v/>
      </c>
      <c r="H833" s="613" t="n"/>
      <c r="I833" s="273" t="n"/>
      <c r="J833" s="274" t="n"/>
      <c r="K833" s="275" t="n"/>
      <c r="L833" s="276" t="n"/>
      <c r="M833" s="270" t="n"/>
    </row>
    <row r="834" ht="18" customHeight="1" s="305">
      <c r="A834" s="28" t="inlineStr">
        <is>
          <t>D 1358</t>
        </is>
      </c>
      <c r="B834" s="29" t="n"/>
      <c r="C834" s="236" t="inlineStr">
        <is>
          <t>X</t>
        </is>
      </c>
      <c r="D834" s="29" t="n"/>
      <c r="E834" s="237">
        <f>B834*D834/10000</f>
        <v/>
      </c>
      <c r="F834" s="238">
        <f>B834/30.48</f>
        <v/>
      </c>
      <c r="G834" s="238">
        <f>D834/30.48</f>
        <v/>
      </c>
      <c r="H834" s="613" t="n"/>
      <c r="I834" s="273" t="n"/>
      <c r="J834" s="274" t="n"/>
      <c r="K834" s="275" t="n"/>
      <c r="L834" s="276" t="n"/>
      <c r="M834" s="270" t="n"/>
    </row>
    <row r="835" ht="18" customHeight="1" s="305">
      <c r="A835" s="28" t="inlineStr">
        <is>
          <t>D 1359</t>
        </is>
      </c>
      <c r="B835" s="29" t="n"/>
      <c r="C835" s="236" t="inlineStr">
        <is>
          <t>X</t>
        </is>
      </c>
      <c r="D835" s="29" t="n"/>
      <c r="E835" s="237">
        <f>B835*D835/10000</f>
        <v/>
      </c>
      <c r="F835" s="238">
        <f>B835/30.48</f>
        <v/>
      </c>
      <c r="G835" s="238">
        <f>D835/30.48</f>
        <v/>
      </c>
      <c r="H835" s="613" t="n"/>
      <c r="I835" s="273" t="n"/>
      <c r="J835" s="274" t="n"/>
      <c r="K835" s="275" t="n"/>
      <c r="L835" s="276" t="n"/>
      <c r="M835" s="270" t="n"/>
    </row>
    <row r="836" ht="18" customHeight="1" s="305">
      <c r="A836" s="28" t="inlineStr">
        <is>
          <t>D 1360</t>
        </is>
      </c>
      <c r="B836" s="29" t="n"/>
      <c r="C836" s="236" t="inlineStr">
        <is>
          <t>X</t>
        </is>
      </c>
      <c r="D836" s="29" t="n"/>
      <c r="E836" s="237">
        <f>B836*D836/10000</f>
        <v/>
      </c>
      <c r="F836" s="238">
        <f>B836/30.48</f>
        <v/>
      </c>
      <c r="G836" s="238">
        <f>D836/30.48</f>
        <v/>
      </c>
      <c r="H836" s="613" t="n"/>
      <c r="I836" s="273" t="n"/>
      <c r="J836" s="274" t="n"/>
      <c r="K836" s="275" t="n"/>
      <c r="L836" s="276" t="n"/>
      <c r="M836" s="270" t="n"/>
    </row>
    <row r="837" ht="18" customHeight="1" s="305">
      <c r="A837" s="28" t="inlineStr">
        <is>
          <t>D 1361</t>
        </is>
      </c>
      <c r="B837" s="29" t="n"/>
      <c r="C837" s="236" t="inlineStr">
        <is>
          <t>X</t>
        </is>
      </c>
      <c r="D837" s="29" t="n"/>
      <c r="E837" s="237">
        <f>B837*D837/10000</f>
        <v/>
      </c>
      <c r="F837" s="238">
        <f>B837/30.48</f>
        <v/>
      </c>
      <c r="G837" s="238">
        <f>D837/30.48</f>
        <v/>
      </c>
      <c r="H837" s="613" t="n"/>
      <c r="I837" s="273" t="n"/>
      <c r="J837" s="274" t="n"/>
      <c r="K837" s="275" t="n"/>
      <c r="L837" s="276" t="n"/>
      <c r="M837" s="270" t="n"/>
    </row>
    <row r="838" ht="18" customHeight="1" s="305">
      <c r="A838" s="28" t="inlineStr">
        <is>
          <t>D 1362</t>
        </is>
      </c>
      <c r="B838" s="29" t="n"/>
      <c r="C838" s="236" t="inlineStr">
        <is>
          <t>X</t>
        </is>
      </c>
      <c r="D838" s="29" t="n"/>
      <c r="E838" s="237">
        <f>B838*D838/10000</f>
        <v/>
      </c>
      <c r="F838" s="238">
        <f>B838/30.48</f>
        <v/>
      </c>
      <c r="G838" s="238">
        <f>D838/30.48</f>
        <v/>
      </c>
      <c r="H838" s="613" t="n"/>
      <c r="I838" s="273" t="n"/>
      <c r="J838" s="274" t="n"/>
      <c r="K838" s="275" t="n"/>
      <c r="L838" s="276" t="n"/>
      <c r="M838" s="270" t="n"/>
    </row>
    <row r="839" ht="18" customHeight="1" s="305">
      <c r="A839" s="28" t="inlineStr">
        <is>
          <t>D 1363</t>
        </is>
      </c>
      <c r="B839" s="29" t="n"/>
      <c r="C839" s="236" t="inlineStr">
        <is>
          <t>X</t>
        </is>
      </c>
      <c r="D839" s="29" t="n"/>
      <c r="E839" s="237">
        <f>B839*D839/10000</f>
        <v/>
      </c>
      <c r="F839" s="238">
        <f>B839/30.48</f>
        <v/>
      </c>
      <c r="G839" s="238">
        <f>D839/30.48</f>
        <v/>
      </c>
      <c r="H839" s="613" t="n"/>
      <c r="I839" s="273" t="n"/>
      <c r="J839" s="274" t="n"/>
      <c r="K839" s="275" t="n"/>
      <c r="L839" s="276" t="n"/>
      <c r="M839" s="270" t="n"/>
    </row>
    <row r="840" ht="18" customHeight="1" s="305">
      <c r="A840" s="28" t="inlineStr">
        <is>
          <t>D 1364</t>
        </is>
      </c>
      <c r="B840" s="29" t="n"/>
      <c r="C840" s="236" t="inlineStr">
        <is>
          <t>X</t>
        </is>
      </c>
      <c r="D840" s="29" t="n"/>
      <c r="E840" s="237">
        <f>B840*D840/10000</f>
        <v/>
      </c>
      <c r="F840" s="238">
        <f>B840/30.48</f>
        <v/>
      </c>
      <c r="G840" s="238">
        <f>D840/30.48</f>
        <v/>
      </c>
      <c r="H840" s="613" t="n"/>
      <c r="I840" s="273" t="n"/>
      <c r="J840" s="274" t="n"/>
      <c r="K840" s="275" t="n"/>
      <c r="L840" s="276" t="n"/>
      <c r="M840" s="270" t="n"/>
    </row>
    <row r="841" ht="18" customHeight="1" s="305">
      <c r="A841" s="28" t="inlineStr">
        <is>
          <t>D 1365</t>
        </is>
      </c>
      <c r="B841" s="29" t="n"/>
      <c r="C841" s="236" t="inlineStr">
        <is>
          <t>X</t>
        </is>
      </c>
      <c r="D841" s="29" t="n"/>
      <c r="E841" s="237">
        <f>B841*D841/10000</f>
        <v/>
      </c>
      <c r="F841" s="238">
        <f>B841/30.48</f>
        <v/>
      </c>
      <c r="G841" s="238">
        <f>D841/30.48</f>
        <v/>
      </c>
      <c r="H841" s="613" t="n"/>
      <c r="I841" s="273" t="n"/>
      <c r="J841" s="274" t="n"/>
      <c r="K841" s="275" t="n"/>
      <c r="L841" s="276" t="n"/>
      <c r="M841" s="270" t="n"/>
    </row>
    <row r="842" ht="18" customHeight="1" s="305">
      <c r="A842" s="28" t="inlineStr">
        <is>
          <t>D 1366</t>
        </is>
      </c>
      <c r="B842" s="29" t="n"/>
      <c r="C842" s="236" t="inlineStr">
        <is>
          <t>X</t>
        </is>
      </c>
      <c r="D842" s="29" t="n"/>
      <c r="E842" s="237">
        <f>B842*D842/10000</f>
        <v/>
      </c>
      <c r="F842" s="238">
        <f>B842/30.48</f>
        <v/>
      </c>
      <c r="G842" s="238">
        <f>D842/30.48</f>
        <v/>
      </c>
      <c r="H842" s="613" t="n"/>
      <c r="I842" s="273" t="n"/>
      <c r="J842" s="274" t="n"/>
      <c r="K842" s="275" t="n"/>
      <c r="L842" s="276" t="n"/>
      <c r="M842" s="270" t="n"/>
    </row>
    <row r="843" ht="18" customHeight="1" s="305">
      <c r="A843" s="28" t="inlineStr">
        <is>
          <t>D 1367</t>
        </is>
      </c>
      <c r="B843" s="29" t="n"/>
      <c r="C843" s="236" t="inlineStr">
        <is>
          <t>X</t>
        </is>
      </c>
      <c r="D843" s="29" t="n"/>
      <c r="E843" s="237">
        <f>B843*D843/10000</f>
        <v/>
      </c>
      <c r="F843" s="238">
        <f>B843/30.48</f>
        <v/>
      </c>
      <c r="G843" s="238">
        <f>D843/30.48</f>
        <v/>
      </c>
      <c r="H843" s="613" t="n"/>
      <c r="I843" s="273" t="n"/>
      <c r="J843" s="274" t="n"/>
      <c r="K843" s="275" t="n"/>
      <c r="L843" s="276" t="n"/>
      <c r="M843" s="270" t="n"/>
    </row>
    <row r="844" ht="18" customHeight="1" s="305">
      <c r="A844" s="28" t="inlineStr">
        <is>
          <t>D 1368</t>
        </is>
      </c>
      <c r="B844" s="29" t="n"/>
      <c r="C844" s="236" t="inlineStr">
        <is>
          <t>X</t>
        </is>
      </c>
      <c r="D844" s="29" t="n"/>
      <c r="E844" s="237">
        <f>B844*D844/10000</f>
        <v/>
      </c>
      <c r="F844" s="238">
        <f>B844/30.48</f>
        <v/>
      </c>
      <c r="G844" s="238">
        <f>D844/30.48</f>
        <v/>
      </c>
      <c r="H844" s="613" t="n"/>
      <c r="I844" s="273" t="n"/>
      <c r="J844" s="274" t="n"/>
      <c r="K844" s="275" t="n"/>
      <c r="L844" s="276" t="n"/>
      <c r="M844" s="270" t="n"/>
    </row>
    <row r="845" ht="18" customHeight="1" s="305">
      <c r="A845" s="28" t="inlineStr">
        <is>
          <t>D 1369</t>
        </is>
      </c>
      <c r="B845" s="29" t="n"/>
      <c r="C845" s="236" t="inlineStr">
        <is>
          <t>X</t>
        </is>
      </c>
      <c r="D845" s="29" t="n"/>
      <c r="E845" s="237">
        <f>B845*D845/10000</f>
        <v/>
      </c>
      <c r="F845" s="238">
        <f>B845/30.48</f>
        <v/>
      </c>
      <c r="G845" s="238">
        <f>D845/30.48</f>
        <v/>
      </c>
      <c r="H845" s="613" t="n"/>
      <c r="I845" s="273" t="n"/>
      <c r="J845" s="274" t="n"/>
      <c r="K845" s="275" t="n"/>
      <c r="L845" s="276" t="n"/>
      <c r="M845" s="270" t="n"/>
    </row>
    <row r="846" ht="18" customHeight="1" s="305">
      <c r="A846" s="28" t="inlineStr">
        <is>
          <t>D 1370</t>
        </is>
      </c>
      <c r="B846" s="29" t="n"/>
      <c r="C846" s="236" t="inlineStr">
        <is>
          <t>X</t>
        </is>
      </c>
      <c r="D846" s="29" t="n"/>
      <c r="E846" s="237">
        <f>B846*D846/10000</f>
        <v/>
      </c>
      <c r="F846" s="238">
        <f>B846/30.48</f>
        <v/>
      </c>
      <c r="G846" s="238">
        <f>D846/30.48</f>
        <v/>
      </c>
      <c r="H846" s="613" t="n"/>
      <c r="I846" s="273" t="n"/>
      <c r="J846" s="274" t="n"/>
      <c r="K846" s="275" t="n"/>
      <c r="L846" s="276" t="n"/>
      <c r="M846" s="270" t="n"/>
    </row>
    <row r="847" ht="18" customHeight="1" s="305">
      <c r="A847" s="28" t="inlineStr">
        <is>
          <t>D 1371</t>
        </is>
      </c>
      <c r="B847" s="29" t="n"/>
      <c r="C847" s="236" t="inlineStr">
        <is>
          <t>X</t>
        </is>
      </c>
      <c r="D847" s="29" t="n"/>
      <c r="E847" s="237">
        <f>B847*D847/10000</f>
        <v/>
      </c>
      <c r="F847" s="238">
        <f>B847/30.48</f>
        <v/>
      </c>
      <c r="G847" s="238">
        <f>D847/30.48</f>
        <v/>
      </c>
      <c r="H847" s="613" t="n"/>
      <c r="I847" s="273" t="n"/>
      <c r="J847" s="274" t="n"/>
      <c r="K847" s="275" t="n"/>
      <c r="L847" s="276" t="n"/>
      <c r="M847" s="270" t="n"/>
    </row>
    <row r="848" ht="18" customHeight="1" s="305">
      <c r="A848" s="28" t="inlineStr">
        <is>
          <t>D 1372</t>
        </is>
      </c>
      <c r="B848" s="29" t="n"/>
      <c r="C848" s="236" t="inlineStr">
        <is>
          <t>X</t>
        </is>
      </c>
      <c r="D848" s="29" t="n"/>
      <c r="E848" s="237">
        <f>B848*D848/10000</f>
        <v/>
      </c>
      <c r="F848" s="238">
        <f>B848/30.48</f>
        <v/>
      </c>
      <c r="G848" s="238">
        <f>D848/30.48</f>
        <v/>
      </c>
      <c r="H848" s="613" t="n"/>
      <c r="I848" s="273" t="n"/>
      <c r="J848" s="274" t="n"/>
      <c r="K848" s="275" t="n"/>
      <c r="L848" s="276" t="n"/>
      <c r="M848" s="270" t="n"/>
    </row>
    <row r="849" ht="18" customHeight="1" s="305">
      <c r="A849" s="28" t="inlineStr">
        <is>
          <t>D 1373</t>
        </is>
      </c>
      <c r="B849" s="29" t="n"/>
      <c r="C849" s="236" t="inlineStr">
        <is>
          <t>X</t>
        </is>
      </c>
      <c r="D849" s="29" t="n"/>
      <c r="E849" s="237">
        <f>B849*D849/10000</f>
        <v/>
      </c>
      <c r="F849" s="238">
        <f>B849/30.48</f>
        <v/>
      </c>
      <c r="G849" s="238">
        <f>D849/30.48</f>
        <v/>
      </c>
      <c r="H849" s="613" t="n"/>
      <c r="I849" s="273" t="n"/>
      <c r="J849" s="274" t="n"/>
      <c r="K849" s="275" t="n"/>
      <c r="L849" s="276" t="n"/>
      <c r="M849" s="270" t="n"/>
    </row>
    <row r="850" ht="18" customHeight="1" s="305">
      <c r="A850" s="28" t="inlineStr">
        <is>
          <t>D 1374</t>
        </is>
      </c>
      <c r="B850" s="29" t="n"/>
      <c r="C850" s="236" t="inlineStr">
        <is>
          <t>X</t>
        </is>
      </c>
      <c r="D850" s="29" t="n"/>
      <c r="E850" s="237">
        <f>B850*D850/10000</f>
        <v/>
      </c>
      <c r="F850" s="238">
        <f>B850/30.48</f>
        <v/>
      </c>
      <c r="G850" s="238">
        <f>D850/30.48</f>
        <v/>
      </c>
      <c r="H850" s="613" t="n"/>
      <c r="I850" s="273" t="n"/>
      <c r="J850" s="274" t="n"/>
      <c r="K850" s="275" t="n"/>
      <c r="L850" s="276" t="n"/>
      <c r="M850" s="270" t="n"/>
    </row>
    <row r="851" ht="18" customHeight="1" s="305">
      <c r="A851" s="28" t="inlineStr">
        <is>
          <t>D 1375</t>
        </is>
      </c>
      <c r="B851" s="29" t="n"/>
      <c r="C851" s="236" t="inlineStr">
        <is>
          <t>X</t>
        </is>
      </c>
      <c r="D851" s="29" t="n"/>
      <c r="E851" s="237">
        <f>B851*D851/10000</f>
        <v/>
      </c>
      <c r="F851" s="238">
        <f>B851/30.48</f>
        <v/>
      </c>
      <c r="G851" s="238">
        <f>D851/30.48</f>
        <v/>
      </c>
      <c r="H851" s="613" t="n"/>
      <c r="I851" s="273" t="n"/>
      <c r="J851" s="274" t="n"/>
      <c r="K851" s="275" t="n"/>
      <c r="L851" s="276" t="n"/>
      <c r="M851" s="270" t="n"/>
    </row>
    <row r="852" ht="18" customHeight="1" s="305">
      <c r="A852" s="28" t="inlineStr">
        <is>
          <t>D 1376</t>
        </is>
      </c>
      <c r="B852" s="29" t="n"/>
      <c r="C852" s="236" t="inlineStr">
        <is>
          <t>X</t>
        </is>
      </c>
      <c r="D852" s="29" t="n"/>
      <c r="E852" s="237">
        <f>B852*D852/10000</f>
        <v/>
      </c>
      <c r="F852" s="238">
        <f>B852/30.48</f>
        <v/>
      </c>
      <c r="G852" s="238">
        <f>D852/30.48</f>
        <v/>
      </c>
      <c r="H852" s="613" t="n"/>
      <c r="I852" s="273" t="n"/>
      <c r="J852" s="274" t="n"/>
      <c r="K852" s="275" t="n"/>
      <c r="L852" s="276" t="n"/>
      <c r="M852" s="270" t="n"/>
    </row>
    <row r="853" ht="18" customHeight="1" s="305">
      <c r="A853" s="28" t="inlineStr">
        <is>
          <t>D 1377</t>
        </is>
      </c>
      <c r="B853" s="29" t="n"/>
      <c r="C853" s="236" t="inlineStr">
        <is>
          <t>X</t>
        </is>
      </c>
      <c r="D853" s="29" t="n"/>
      <c r="E853" s="237">
        <f>B853*D853/10000</f>
        <v/>
      </c>
      <c r="F853" s="238">
        <f>B853/30.48</f>
        <v/>
      </c>
      <c r="G853" s="238">
        <f>D853/30.48</f>
        <v/>
      </c>
      <c r="H853" s="613" t="n"/>
      <c r="I853" s="273" t="n"/>
      <c r="J853" s="274" t="n"/>
      <c r="K853" s="275" t="n"/>
      <c r="L853" s="276" t="n"/>
      <c r="M853" s="270" t="n"/>
    </row>
    <row r="854" ht="18" customHeight="1" s="305">
      <c r="A854" s="28" t="inlineStr">
        <is>
          <t>D 1378</t>
        </is>
      </c>
      <c r="B854" s="29" t="n"/>
      <c r="C854" s="236" t="inlineStr">
        <is>
          <t>X</t>
        </is>
      </c>
      <c r="D854" s="29" t="n"/>
      <c r="E854" s="237">
        <f>B854*D854/10000</f>
        <v/>
      </c>
      <c r="F854" s="238">
        <f>B854/30.48</f>
        <v/>
      </c>
      <c r="G854" s="238">
        <f>D854/30.48</f>
        <v/>
      </c>
      <c r="H854" s="613" t="n"/>
      <c r="I854" s="273" t="n"/>
      <c r="J854" s="274" t="n"/>
      <c r="K854" s="275" t="n"/>
      <c r="L854" s="276" t="n"/>
      <c r="M854" s="270" t="n"/>
    </row>
    <row r="855" ht="18" customHeight="1" s="305">
      <c r="A855" s="28" t="inlineStr">
        <is>
          <t>D 1379</t>
        </is>
      </c>
      <c r="B855" s="29" t="n"/>
      <c r="C855" s="236" t="inlineStr">
        <is>
          <t>X</t>
        </is>
      </c>
      <c r="D855" s="29" t="n"/>
      <c r="E855" s="237">
        <f>B855*D855/10000</f>
        <v/>
      </c>
      <c r="F855" s="238">
        <f>B855/30.48</f>
        <v/>
      </c>
      <c r="G855" s="238">
        <f>D855/30.48</f>
        <v/>
      </c>
      <c r="H855" s="613" t="n"/>
      <c r="I855" s="273" t="n"/>
      <c r="J855" s="274" t="n"/>
      <c r="K855" s="275" t="n"/>
      <c r="L855" s="276" t="n"/>
      <c r="M855" s="270" t="n"/>
    </row>
    <row r="856" ht="18" customHeight="1" s="305">
      <c r="A856" s="28" t="inlineStr">
        <is>
          <t>D 1380</t>
        </is>
      </c>
      <c r="B856" s="29" t="n"/>
      <c r="C856" s="236" t="inlineStr">
        <is>
          <t>X</t>
        </is>
      </c>
      <c r="D856" s="29" t="n"/>
      <c r="E856" s="237">
        <f>B856*D856/10000</f>
        <v/>
      </c>
      <c r="F856" s="238">
        <f>B856/30.48</f>
        <v/>
      </c>
      <c r="G856" s="238">
        <f>D856/30.48</f>
        <v/>
      </c>
      <c r="H856" s="613" t="n"/>
      <c r="I856" s="273" t="n"/>
      <c r="J856" s="274" t="n"/>
      <c r="K856" s="275" t="n"/>
      <c r="L856" s="276" t="n"/>
      <c r="M856" s="270" t="n"/>
    </row>
    <row r="857" ht="18" customHeight="1" s="305">
      <c r="A857" s="28" t="inlineStr">
        <is>
          <t>D 1381</t>
        </is>
      </c>
      <c r="B857" s="29" t="n"/>
      <c r="C857" s="236" t="inlineStr">
        <is>
          <t>X</t>
        </is>
      </c>
      <c r="D857" s="29" t="n"/>
      <c r="E857" s="237">
        <f>B857*D857/10000</f>
        <v/>
      </c>
      <c r="F857" s="238">
        <f>B857/30.48</f>
        <v/>
      </c>
      <c r="G857" s="238">
        <f>D857/30.48</f>
        <v/>
      </c>
      <c r="H857" s="613" t="n"/>
      <c r="I857" s="273" t="n"/>
      <c r="J857" s="274" t="n"/>
      <c r="K857" s="275" t="n"/>
      <c r="L857" s="276" t="n"/>
      <c r="M857" s="270" t="n"/>
    </row>
    <row r="858" ht="18" customHeight="1" s="305">
      <c r="A858" s="28" t="inlineStr">
        <is>
          <t>D 1382</t>
        </is>
      </c>
      <c r="B858" s="29" t="n"/>
      <c r="C858" s="236" t="inlineStr">
        <is>
          <t>X</t>
        </is>
      </c>
      <c r="D858" s="29" t="n"/>
      <c r="E858" s="237">
        <f>B858*D858/10000</f>
        <v/>
      </c>
      <c r="F858" s="238">
        <f>B858/30.48</f>
        <v/>
      </c>
      <c r="G858" s="238">
        <f>D858/30.48</f>
        <v/>
      </c>
      <c r="H858" s="613" t="n"/>
      <c r="I858" s="273" t="n"/>
      <c r="J858" s="274" t="n"/>
      <c r="K858" s="275" t="n"/>
      <c r="L858" s="276" t="n"/>
      <c r="M858" s="270" t="n"/>
    </row>
    <row r="859" ht="18" customHeight="1" s="305">
      <c r="A859" s="28" t="inlineStr">
        <is>
          <t>D 1383</t>
        </is>
      </c>
      <c r="B859" s="29" t="n"/>
      <c r="C859" s="236" t="inlineStr">
        <is>
          <t>X</t>
        </is>
      </c>
      <c r="D859" s="29" t="n"/>
      <c r="E859" s="237">
        <f>B859*D859/10000</f>
        <v/>
      </c>
      <c r="F859" s="238">
        <f>B859/30.48</f>
        <v/>
      </c>
      <c r="G859" s="238">
        <f>D859/30.48</f>
        <v/>
      </c>
      <c r="H859" s="613" t="n"/>
      <c r="I859" s="273" t="n"/>
      <c r="J859" s="274" t="n"/>
      <c r="K859" s="275" t="n"/>
      <c r="L859" s="276" t="n"/>
      <c r="M859" s="270" t="n"/>
    </row>
    <row r="860" ht="18" customHeight="1" s="305">
      <c r="A860" s="28" t="inlineStr">
        <is>
          <t>D 1384</t>
        </is>
      </c>
      <c r="B860" s="29" t="n"/>
      <c r="C860" s="236" t="inlineStr">
        <is>
          <t>X</t>
        </is>
      </c>
      <c r="D860" s="29" t="n"/>
      <c r="E860" s="237">
        <f>B860*D860/10000</f>
        <v/>
      </c>
      <c r="F860" s="238">
        <f>B860/30.48</f>
        <v/>
      </c>
      <c r="G860" s="238">
        <f>D860/30.48</f>
        <v/>
      </c>
      <c r="H860" s="613" t="n"/>
      <c r="I860" s="273" t="n"/>
      <c r="J860" s="274" t="n"/>
      <c r="K860" s="275" t="n"/>
      <c r="L860" s="276" t="n"/>
      <c r="M860" s="270" t="n"/>
    </row>
    <row r="861" ht="18" customHeight="1" s="305">
      <c r="A861" s="28" t="inlineStr">
        <is>
          <t>D 1385</t>
        </is>
      </c>
      <c r="B861" s="29" t="n"/>
      <c r="C861" s="236" t="inlineStr">
        <is>
          <t>X</t>
        </is>
      </c>
      <c r="D861" s="29" t="n"/>
      <c r="E861" s="237">
        <f>B861*D861/10000</f>
        <v/>
      </c>
      <c r="F861" s="238">
        <f>B861/30.48</f>
        <v/>
      </c>
      <c r="G861" s="238">
        <f>D861/30.48</f>
        <v/>
      </c>
      <c r="H861" s="613" t="n"/>
      <c r="I861" s="273" t="n"/>
      <c r="J861" s="274" t="n"/>
      <c r="K861" s="275" t="n"/>
      <c r="L861" s="276" t="n"/>
      <c r="M861" s="270" t="n"/>
    </row>
    <row r="862" ht="18" customHeight="1" s="305">
      <c r="A862" s="28" t="inlineStr">
        <is>
          <t>D 1386</t>
        </is>
      </c>
      <c r="B862" s="29" t="n"/>
      <c r="C862" s="236" t="inlineStr">
        <is>
          <t>X</t>
        </is>
      </c>
      <c r="D862" s="29" t="n"/>
      <c r="E862" s="237">
        <f>B862*D862/10000</f>
        <v/>
      </c>
      <c r="F862" s="238">
        <f>B862/30.48</f>
        <v/>
      </c>
      <c r="G862" s="238">
        <f>D862/30.48</f>
        <v/>
      </c>
      <c r="H862" s="613" t="n"/>
      <c r="I862" s="273" t="n"/>
      <c r="J862" s="274" t="n"/>
      <c r="K862" s="275" t="n"/>
      <c r="L862" s="276" t="n"/>
      <c r="M862" s="270" t="n"/>
    </row>
    <row r="863" ht="18" customHeight="1" s="305">
      <c r="A863" s="28" t="inlineStr">
        <is>
          <t>D 1387</t>
        </is>
      </c>
      <c r="B863" s="29" t="n"/>
      <c r="C863" s="236" t="inlineStr">
        <is>
          <t>X</t>
        </is>
      </c>
      <c r="D863" s="29" t="n"/>
      <c r="E863" s="237">
        <f>B863*D863/10000</f>
        <v/>
      </c>
      <c r="F863" s="238">
        <f>B863/30.48</f>
        <v/>
      </c>
      <c r="G863" s="238">
        <f>D863/30.48</f>
        <v/>
      </c>
      <c r="H863" s="613" t="n"/>
      <c r="I863" s="273" t="n"/>
      <c r="J863" s="274" t="n"/>
      <c r="K863" s="275" t="n"/>
      <c r="L863" s="276" t="n"/>
      <c r="M863" s="270" t="n"/>
    </row>
    <row r="864" ht="18" customHeight="1" s="305">
      <c r="A864" s="28" t="inlineStr">
        <is>
          <t>D 1388</t>
        </is>
      </c>
      <c r="B864" s="29" t="n"/>
      <c r="C864" s="236" t="inlineStr">
        <is>
          <t>X</t>
        </is>
      </c>
      <c r="D864" s="29" t="n"/>
      <c r="E864" s="237">
        <f>B864*D864/10000</f>
        <v/>
      </c>
      <c r="F864" s="238">
        <f>B864/30.48</f>
        <v/>
      </c>
      <c r="G864" s="238">
        <f>D864/30.48</f>
        <v/>
      </c>
      <c r="H864" s="613" t="n"/>
      <c r="I864" s="273" t="n"/>
      <c r="J864" s="274" t="n"/>
      <c r="K864" s="275" t="n"/>
      <c r="L864" s="276" t="n"/>
      <c r="M864" s="270" t="n"/>
    </row>
    <row r="865" ht="18" customHeight="1" s="305">
      <c r="A865" s="28" t="inlineStr">
        <is>
          <t>D 1389</t>
        </is>
      </c>
      <c r="B865" s="29" t="n"/>
      <c r="C865" s="236" t="inlineStr">
        <is>
          <t>X</t>
        </is>
      </c>
      <c r="D865" s="29" t="n"/>
      <c r="E865" s="237">
        <f>B865*D865/10000</f>
        <v/>
      </c>
      <c r="F865" s="238">
        <f>B865/30.48</f>
        <v/>
      </c>
      <c r="G865" s="238">
        <f>D865/30.48</f>
        <v/>
      </c>
      <c r="H865" s="613" t="n"/>
      <c r="I865" s="273" t="n"/>
      <c r="J865" s="274" t="n"/>
      <c r="K865" s="275" t="n"/>
      <c r="L865" s="276" t="n"/>
      <c r="M865" s="270" t="n"/>
    </row>
    <row r="866" ht="18" customHeight="1" s="305">
      <c r="A866" s="28" t="inlineStr">
        <is>
          <t>D 1390</t>
        </is>
      </c>
      <c r="B866" s="29" t="n"/>
      <c r="C866" s="236" t="inlineStr">
        <is>
          <t>X</t>
        </is>
      </c>
      <c r="D866" s="29" t="n"/>
      <c r="E866" s="237">
        <f>B866*D866/10000</f>
        <v/>
      </c>
      <c r="F866" s="238">
        <f>B866/30.48</f>
        <v/>
      </c>
      <c r="G866" s="238">
        <f>D866/30.48</f>
        <v/>
      </c>
      <c r="H866" s="613" t="n"/>
      <c r="I866" s="273" t="n"/>
      <c r="J866" s="274" t="n"/>
      <c r="K866" s="275" t="n"/>
      <c r="L866" s="276" t="n"/>
      <c r="M866" s="270" t="n"/>
    </row>
    <row r="867" ht="18" customHeight="1" s="305">
      <c r="A867" s="28" t="inlineStr">
        <is>
          <t>D 1391</t>
        </is>
      </c>
      <c r="B867" s="29" t="n"/>
      <c r="C867" s="236" t="inlineStr">
        <is>
          <t>X</t>
        </is>
      </c>
      <c r="D867" s="29" t="n"/>
      <c r="E867" s="237">
        <f>B867*D867/10000</f>
        <v/>
      </c>
      <c r="F867" s="238">
        <f>B867/30.48</f>
        <v/>
      </c>
      <c r="G867" s="238">
        <f>D867/30.48</f>
        <v/>
      </c>
      <c r="H867" s="613" t="n"/>
      <c r="I867" s="273" t="n"/>
      <c r="J867" s="274" t="n"/>
      <c r="K867" s="275" t="n"/>
      <c r="L867" s="276" t="n"/>
      <c r="M867" s="270" t="n"/>
    </row>
    <row r="868" ht="18" customHeight="1" s="305">
      <c r="A868" s="28" t="inlineStr">
        <is>
          <t>D 1392</t>
        </is>
      </c>
      <c r="B868" s="29" t="n"/>
      <c r="C868" s="236" t="inlineStr">
        <is>
          <t>X</t>
        </is>
      </c>
      <c r="D868" s="29" t="n"/>
      <c r="E868" s="237">
        <f>B868*D868/10000</f>
        <v/>
      </c>
      <c r="F868" s="238">
        <f>B868/30.48</f>
        <v/>
      </c>
      <c r="G868" s="238">
        <f>D868/30.48</f>
        <v/>
      </c>
      <c r="H868" s="613" t="n"/>
      <c r="I868" s="273" t="n"/>
      <c r="J868" s="274" t="n"/>
      <c r="K868" s="275" t="n"/>
      <c r="L868" s="276" t="n"/>
      <c r="M868" s="270" t="n"/>
    </row>
    <row r="869" ht="18" customHeight="1" s="305">
      <c r="A869" s="28" t="inlineStr">
        <is>
          <t>D 1393</t>
        </is>
      </c>
      <c r="B869" s="29" t="n"/>
      <c r="C869" s="236" t="inlineStr">
        <is>
          <t>X</t>
        </is>
      </c>
      <c r="D869" s="29" t="n"/>
      <c r="E869" s="237">
        <f>B869*D869/10000</f>
        <v/>
      </c>
      <c r="F869" s="238">
        <f>B869/30.48</f>
        <v/>
      </c>
      <c r="G869" s="238">
        <f>D869/30.48</f>
        <v/>
      </c>
      <c r="H869" s="613" t="n"/>
      <c r="I869" s="273" t="n"/>
      <c r="J869" s="274" t="n"/>
      <c r="K869" s="275" t="n"/>
      <c r="L869" s="276" t="n"/>
      <c r="M869" s="270" t="n"/>
    </row>
    <row r="870" ht="18" customHeight="1" s="305">
      <c r="A870" s="28" t="inlineStr">
        <is>
          <t>D 1394</t>
        </is>
      </c>
      <c r="B870" s="29" t="n"/>
      <c r="C870" s="236" t="inlineStr">
        <is>
          <t>X</t>
        </is>
      </c>
      <c r="D870" s="29" t="n"/>
      <c r="E870" s="237">
        <f>B870*D870/10000</f>
        <v/>
      </c>
      <c r="F870" s="238">
        <f>B870/30.48</f>
        <v/>
      </c>
      <c r="G870" s="238">
        <f>D870/30.48</f>
        <v/>
      </c>
      <c r="H870" s="613" t="n"/>
      <c r="I870" s="273" t="n"/>
      <c r="J870" s="274" t="n"/>
      <c r="K870" s="275" t="n"/>
      <c r="L870" s="276" t="n"/>
      <c r="M870" s="270" t="n"/>
    </row>
    <row r="871" ht="18" customHeight="1" s="305">
      <c r="A871" s="28" t="inlineStr">
        <is>
          <t>D 1395</t>
        </is>
      </c>
      <c r="B871" s="29" t="n"/>
      <c r="C871" s="236" t="inlineStr">
        <is>
          <t>X</t>
        </is>
      </c>
      <c r="D871" s="29" t="n"/>
      <c r="E871" s="237">
        <f>B871*D871/10000</f>
        <v/>
      </c>
      <c r="F871" s="238">
        <f>B871/30.48</f>
        <v/>
      </c>
      <c r="G871" s="238">
        <f>D871/30.48</f>
        <v/>
      </c>
      <c r="H871" s="613" t="n"/>
      <c r="I871" s="273" t="n"/>
      <c r="J871" s="274" t="n"/>
      <c r="K871" s="275" t="n"/>
      <c r="L871" s="276" t="n"/>
      <c r="M871" s="270" t="n"/>
    </row>
    <row r="872" ht="18" customHeight="1" s="305">
      <c r="A872" s="28" t="inlineStr">
        <is>
          <t>D 1396</t>
        </is>
      </c>
      <c r="B872" s="29" t="n"/>
      <c r="C872" s="236" t="inlineStr">
        <is>
          <t>X</t>
        </is>
      </c>
      <c r="D872" s="29" t="n"/>
      <c r="E872" s="237">
        <f>B872*D872/10000</f>
        <v/>
      </c>
      <c r="F872" s="238">
        <f>B872/30.48</f>
        <v/>
      </c>
      <c r="G872" s="238">
        <f>D872/30.48</f>
        <v/>
      </c>
      <c r="H872" s="613" t="n"/>
      <c r="I872" s="273" t="n"/>
      <c r="J872" s="274" t="n"/>
      <c r="K872" s="275" t="n"/>
      <c r="L872" s="276" t="n"/>
      <c r="M872" s="270" t="n"/>
    </row>
    <row r="873" ht="18" customHeight="1" s="305">
      <c r="A873" s="28" t="inlineStr">
        <is>
          <t>D 1397</t>
        </is>
      </c>
      <c r="B873" s="29" t="n"/>
      <c r="C873" s="236" t="inlineStr">
        <is>
          <t>X</t>
        </is>
      </c>
      <c r="D873" s="29" t="n"/>
      <c r="E873" s="237">
        <f>B873*D873/10000</f>
        <v/>
      </c>
      <c r="F873" s="238">
        <f>B873/30.48</f>
        <v/>
      </c>
      <c r="G873" s="238">
        <f>D873/30.48</f>
        <v/>
      </c>
      <c r="H873" s="613" t="n"/>
      <c r="I873" s="273" t="n"/>
      <c r="J873" s="274" t="n"/>
      <c r="K873" s="275" t="n"/>
      <c r="L873" s="276" t="n"/>
      <c r="M873" s="270" t="n"/>
    </row>
    <row r="874" ht="18" customHeight="1" s="305">
      <c r="A874" s="28" t="inlineStr">
        <is>
          <t>D 1398</t>
        </is>
      </c>
      <c r="B874" s="29" t="n"/>
      <c r="C874" s="236" t="inlineStr">
        <is>
          <t>X</t>
        </is>
      </c>
      <c r="D874" s="29" t="n"/>
      <c r="E874" s="237">
        <f>B874*D874/10000</f>
        <v/>
      </c>
      <c r="F874" s="238">
        <f>B874/30.48</f>
        <v/>
      </c>
      <c r="G874" s="238">
        <f>D874/30.48</f>
        <v/>
      </c>
      <c r="H874" s="613" t="n"/>
      <c r="I874" s="273" t="n"/>
      <c r="J874" s="274" t="n"/>
      <c r="K874" s="275" t="n"/>
      <c r="L874" s="276" t="n"/>
      <c r="M874" s="270" t="n"/>
    </row>
    <row r="875" ht="18" customHeight="1" s="305">
      <c r="A875" s="28" t="inlineStr">
        <is>
          <t>D 1399</t>
        </is>
      </c>
      <c r="B875" s="29" t="n"/>
      <c r="C875" s="236" t="inlineStr">
        <is>
          <t>X</t>
        </is>
      </c>
      <c r="D875" s="29" t="n"/>
      <c r="E875" s="237">
        <f>B875*D875/10000</f>
        <v/>
      </c>
      <c r="F875" s="238">
        <f>B875/30.48</f>
        <v/>
      </c>
      <c r="G875" s="238">
        <f>D875/30.48</f>
        <v/>
      </c>
      <c r="H875" s="613" t="n"/>
      <c r="I875" s="273" t="n"/>
      <c r="J875" s="274" t="n"/>
      <c r="K875" s="275" t="n"/>
      <c r="L875" s="276" t="n"/>
      <c r="M875" s="270" t="n"/>
    </row>
    <row r="876" ht="18" customHeight="1" s="305">
      <c r="A876" s="28" t="inlineStr">
        <is>
          <t>D 1400</t>
        </is>
      </c>
      <c r="B876" s="29" t="n"/>
      <c r="C876" s="236" t="inlineStr">
        <is>
          <t>X</t>
        </is>
      </c>
      <c r="D876" s="29" t="n"/>
      <c r="E876" s="237">
        <f>B876*D876/10000</f>
        <v/>
      </c>
      <c r="F876" s="238">
        <f>B876/30.48</f>
        <v/>
      </c>
      <c r="G876" s="238">
        <f>D876/30.48</f>
        <v/>
      </c>
      <c r="H876" s="613" t="n"/>
      <c r="I876" s="273" t="n"/>
      <c r="J876" s="274" t="n"/>
      <c r="K876" s="275" t="n"/>
      <c r="L876" s="276" t="n"/>
      <c r="M876" s="270" t="n"/>
    </row>
    <row r="877" ht="18" customHeight="1" s="305">
      <c r="A877" s="28" t="inlineStr">
        <is>
          <t>D 1401</t>
        </is>
      </c>
      <c r="B877" s="29" t="n"/>
      <c r="C877" s="236" t="inlineStr">
        <is>
          <t>X</t>
        </is>
      </c>
      <c r="D877" s="29" t="n"/>
      <c r="E877" s="237">
        <f>B877*D877/10000</f>
        <v/>
      </c>
      <c r="F877" s="238">
        <f>B877/30.48</f>
        <v/>
      </c>
      <c r="G877" s="238">
        <f>D877/30.48</f>
        <v/>
      </c>
      <c r="H877" s="613" t="n"/>
      <c r="I877" s="273" t="n"/>
      <c r="J877" s="274" t="n"/>
      <c r="K877" s="275" t="n"/>
      <c r="L877" s="276" t="n"/>
      <c r="M877" s="270" t="n"/>
    </row>
    <row r="878" ht="18" customHeight="1" s="305">
      <c r="A878" s="28" t="inlineStr">
        <is>
          <t>D 1402</t>
        </is>
      </c>
      <c r="B878" s="29" t="n"/>
      <c r="C878" s="236" t="inlineStr">
        <is>
          <t>X</t>
        </is>
      </c>
      <c r="D878" s="29" t="n"/>
      <c r="E878" s="237">
        <f>B878*D878/10000</f>
        <v/>
      </c>
      <c r="F878" s="238">
        <f>B878/30.48</f>
        <v/>
      </c>
      <c r="G878" s="238">
        <f>D878/30.48</f>
        <v/>
      </c>
      <c r="H878" s="613" t="n"/>
      <c r="I878" s="273" t="n"/>
      <c r="J878" s="274" t="n"/>
      <c r="K878" s="275" t="n"/>
      <c r="L878" s="276" t="n"/>
      <c r="M878" s="270" t="n"/>
    </row>
    <row r="879" ht="18" customHeight="1" s="305">
      <c r="A879" s="28" t="inlineStr">
        <is>
          <t>D 1403</t>
        </is>
      </c>
      <c r="B879" s="29" t="n"/>
      <c r="C879" s="236" t="inlineStr">
        <is>
          <t>X</t>
        </is>
      </c>
      <c r="D879" s="29" t="n"/>
      <c r="E879" s="237">
        <f>B879*D879/10000</f>
        <v/>
      </c>
      <c r="F879" s="238">
        <f>B879/30.48</f>
        <v/>
      </c>
      <c r="G879" s="238">
        <f>D879/30.48</f>
        <v/>
      </c>
      <c r="H879" s="613" t="n"/>
      <c r="I879" s="273" t="n"/>
      <c r="J879" s="274" t="n"/>
      <c r="K879" s="275" t="n"/>
      <c r="L879" s="276" t="n"/>
      <c r="M879" s="270" t="n"/>
    </row>
    <row r="880" ht="18" customHeight="1" s="305">
      <c r="A880" s="28" t="inlineStr">
        <is>
          <t>D 1404</t>
        </is>
      </c>
      <c r="B880" s="29" t="n"/>
      <c r="C880" s="236" t="inlineStr">
        <is>
          <t>X</t>
        </is>
      </c>
      <c r="D880" s="29" t="n"/>
      <c r="E880" s="237">
        <f>B880*D880/10000</f>
        <v/>
      </c>
      <c r="F880" s="238">
        <f>B880/30.48</f>
        <v/>
      </c>
      <c r="G880" s="238">
        <f>D880/30.48</f>
        <v/>
      </c>
      <c r="H880" s="613" t="n"/>
      <c r="I880" s="273" t="n"/>
      <c r="J880" s="274" t="n"/>
      <c r="K880" s="275" t="n"/>
      <c r="L880" s="276" t="n"/>
      <c r="M880" s="270" t="n"/>
    </row>
    <row r="881" ht="18" customHeight="1" s="305">
      <c r="A881" s="28" t="inlineStr">
        <is>
          <t>D 1405</t>
        </is>
      </c>
      <c r="B881" s="29" t="n"/>
      <c r="C881" s="236" t="inlineStr">
        <is>
          <t>X</t>
        </is>
      </c>
      <c r="D881" s="29" t="n"/>
      <c r="E881" s="237">
        <f>B881*D881/10000</f>
        <v/>
      </c>
      <c r="F881" s="238">
        <f>B881/30.48</f>
        <v/>
      </c>
      <c r="G881" s="238">
        <f>D881/30.48</f>
        <v/>
      </c>
      <c r="H881" s="613" t="n"/>
      <c r="I881" s="273" t="n"/>
      <c r="J881" s="274" t="n"/>
      <c r="K881" s="275" t="n"/>
      <c r="L881" s="276" t="n"/>
      <c r="M881" s="270" t="n"/>
    </row>
    <row r="882" ht="18" customHeight="1" s="305">
      <c r="A882" s="28" t="inlineStr">
        <is>
          <t>D 1406</t>
        </is>
      </c>
      <c r="B882" s="29" t="n"/>
      <c r="C882" s="236" t="inlineStr">
        <is>
          <t>X</t>
        </is>
      </c>
      <c r="D882" s="29" t="n"/>
      <c r="E882" s="237">
        <f>B882*D882/10000</f>
        <v/>
      </c>
      <c r="F882" s="238">
        <f>B882/30.48</f>
        <v/>
      </c>
      <c r="G882" s="238">
        <f>D882/30.48</f>
        <v/>
      </c>
      <c r="H882" s="613" t="n"/>
      <c r="I882" s="273" t="n"/>
      <c r="J882" s="274" t="n"/>
      <c r="K882" s="275" t="n"/>
      <c r="L882" s="276" t="n"/>
      <c r="M882" s="270" t="n"/>
    </row>
    <row r="883" ht="18" customHeight="1" s="305">
      <c r="A883" s="28" t="inlineStr">
        <is>
          <t>D 1407</t>
        </is>
      </c>
      <c r="B883" s="29" t="n"/>
      <c r="C883" s="236" t="inlineStr">
        <is>
          <t>X</t>
        </is>
      </c>
      <c r="D883" s="29" t="n"/>
      <c r="E883" s="237">
        <f>B883*D883/10000</f>
        <v/>
      </c>
      <c r="F883" s="238">
        <f>B883/30.48</f>
        <v/>
      </c>
      <c r="G883" s="238">
        <f>D883/30.48</f>
        <v/>
      </c>
      <c r="H883" s="613" t="n"/>
      <c r="I883" s="273" t="n"/>
      <c r="J883" s="274" t="n"/>
      <c r="K883" s="275" t="n"/>
      <c r="L883" s="276" t="n"/>
      <c r="M883" s="270" t="n"/>
    </row>
    <row r="884" ht="18" customHeight="1" s="305">
      <c r="A884" s="28" t="inlineStr">
        <is>
          <t>D 1408</t>
        </is>
      </c>
      <c r="B884" s="29" t="n"/>
      <c r="C884" s="236" t="inlineStr">
        <is>
          <t>X</t>
        </is>
      </c>
      <c r="D884" s="29" t="n"/>
      <c r="E884" s="237">
        <f>B884*D884/10000</f>
        <v/>
      </c>
      <c r="F884" s="238">
        <f>B884/30.48</f>
        <v/>
      </c>
      <c r="G884" s="238">
        <f>D884/30.48</f>
        <v/>
      </c>
      <c r="H884" s="613" t="n"/>
      <c r="I884" s="273" t="n"/>
      <c r="J884" s="274" t="n"/>
      <c r="K884" s="275" t="n"/>
      <c r="L884" s="276" t="n"/>
      <c r="M884" s="270" t="n"/>
    </row>
    <row r="885" ht="18" customHeight="1" s="305">
      <c r="A885" s="28" t="inlineStr">
        <is>
          <t>D 1409</t>
        </is>
      </c>
      <c r="B885" s="29" t="n"/>
      <c r="C885" s="236" t="inlineStr">
        <is>
          <t>X</t>
        </is>
      </c>
      <c r="D885" s="29" t="n"/>
      <c r="E885" s="237">
        <f>B885*D885/10000</f>
        <v/>
      </c>
      <c r="F885" s="238">
        <f>B885/30.48</f>
        <v/>
      </c>
      <c r="G885" s="238">
        <f>D885/30.48</f>
        <v/>
      </c>
      <c r="H885" s="613" t="n"/>
      <c r="I885" s="273" t="n"/>
      <c r="J885" s="274" t="n"/>
      <c r="K885" s="275" t="n"/>
      <c r="L885" s="276" t="n"/>
      <c r="M885" s="270" t="n"/>
    </row>
    <row r="886" ht="18" customHeight="1" s="305">
      <c r="A886" s="28" t="inlineStr">
        <is>
          <t>D 1410</t>
        </is>
      </c>
      <c r="B886" s="29" t="n"/>
      <c r="C886" s="236" t="inlineStr">
        <is>
          <t>X</t>
        </is>
      </c>
      <c r="D886" s="29" t="n"/>
      <c r="E886" s="237">
        <f>B886*D886/10000</f>
        <v/>
      </c>
      <c r="F886" s="238">
        <f>B886/30.48</f>
        <v/>
      </c>
      <c r="G886" s="238">
        <f>D886/30.48</f>
        <v/>
      </c>
      <c r="H886" s="613" t="n"/>
      <c r="I886" s="273" t="n"/>
      <c r="J886" s="274" t="n"/>
      <c r="K886" s="275" t="n"/>
      <c r="L886" s="276" t="n"/>
      <c r="M886" s="270" t="n"/>
    </row>
    <row r="887" ht="18" customHeight="1" s="305">
      <c r="A887" s="28" t="inlineStr">
        <is>
          <t>D 1411</t>
        </is>
      </c>
      <c r="B887" s="29" t="n"/>
      <c r="C887" s="236" t="inlineStr">
        <is>
          <t>X</t>
        </is>
      </c>
      <c r="D887" s="29" t="n"/>
      <c r="E887" s="237">
        <f>B887*D887/10000</f>
        <v/>
      </c>
      <c r="F887" s="238">
        <f>B887/30.48</f>
        <v/>
      </c>
      <c r="G887" s="238">
        <f>D887/30.48</f>
        <v/>
      </c>
      <c r="H887" s="613" t="n"/>
      <c r="I887" s="273" t="n"/>
      <c r="J887" s="274" t="n"/>
      <c r="K887" s="275" t="n"/>
      <c r="L887" s="276" t="n"/>
      <c r="M887" s="270" t="n"/>
    </row>
    <row r="888" ht="18" customHeight="1" s="305">
      <c r="A888" s="28" t="inlineStr">
        <is>
          <t>D 1412</t>
        </is>
      </c>
      <c r="B888" s="29" t="n"/>
      <c r="C888" s="236" t="inlineStr">
        <is>
          <t>X</t>
        </is>
      </c>
      <c r="D888" s="29" t="n"/>
      <c r="E888" s="237">
        <f>B888*D888/10000</f>
        <v/>
      </c>
      <c r="F888" s="238">
        <f>B888/30.48</f>
        <v/>
      </c>
      <c r="G888" s="238">
        <f>D888/30.48</f>
        <v/>
      </c>
      <c r="H888" s="613" t="n"/>
      <c r="I888" s="273" t="n"/>
      <c r="J888" s="274" t="n"/>
      <c r="K888" s="275" t="n"/>
      <c r="L888" s="276" t="n"/>
      <c r="M888" s="270" t="n"/>
    </row>
    <row r="889" ht="18" customHeight="1" s="305">
      <c r="A889" s="28" t="inlineStr">
        <is>
          <t>D 1413</t>
        </is>
      </c>
      <c r="B889" s="29" t="n"/>
      <c r="C889" s="236" t="inlineStr">
        <is>
          <t>X</t>
        </is>
      </c>
      <c r="D889" s="29" t="n"/>
      <c r="E889" s="237">
        <f>B889*D889/10000</f>
        <v/>
      </c>
      <c r="F889" s="238">
        <f>B889/30.48</f>
        <v/>
      </c>
      <c r="G889" s="238">
        <f>D889/30.48</f>
        <v/>
      </c>
      <c r="H889" s="613" t="n"/>
      <c r="I889" s="273" t="n"/>
      <c r="J889" s="274" t="n"/>
      <c r="K889" s="275" t="n"/>
      <c r="L889" s="276" t="n"/>
      <c r="M889" s="270" t="n"/>
    </row>
    <row r="890" ht="18" customHeight="1" s="305">
      <c r="A890" s="28" t="inlineStr">
        <is>
          <t>D 1414</t>
        </is>
      </c>
      <c r="B890" s="29" t="n"/>
      <c r="C890" s="236" t="inlineStr">
        <is>
          <t>X</t>
        </is>
      </c>
      <c r="D890" s="29" t="n"/>
      <c r="E890" s="237">
        <f>B890*D890/10000</f>
        <v/>
      </c>
      <c r="F890" s="238">
        <f>B890/30.48</f>
        <v/>
      </c>
      <c r="G890" s="238">
        <f>D890/30.48</f>
        <v/>
      </c>
      <c r="H890" s="613" t="n"/>
      <c r="I890" s="273" t="n"/>
      <c r="J890" s="274" t="n"/>
      <c r="K890" s="275" t="n"/>
      <c r="L890" s="276" t="n"/>
      <c r="M890" s="270" t="n"/>
    </row>
    <row r="891" ht="18" customHeight="1" s="305">
      <c r="A891" s="28" t="inlineStr">
        <is>
          <t>D 1415</t>
        </is>
      </c>
      <c r="B891" s="29" t="n"/>
      <c r="C891" s="236" t="inlineStr">
        <is>
          <t>X</t>
        </is>
      </c>
      <c r="D891" s="29" t="n"/>
      <c r="E891" s="237">
        <f>B891*D891/10000</f>
        <v/>
      </c>
      <c r="F891" s="238">
        <f>B891/30.48</f>
        <v/>
      </c>
      <c r="G891" s="238">
        <f>D891/30.48</f>
        <v/>
      </c>
      <c r="H891" s="613" t="n"/>
      <c r="I891" s="273" t="n"/>
      <c r="J891" s="274" t="n"/>
      <c r="K891" s="275" t="n"/>
      <c r="L891" s="276" t="n"/>
      <c r="M891" s="270" t="n"/>
    </row>
    <row r="892" ht="18" customHeight="1" s="305">
      <c r="A892" s="28" t="inlineStr">
        <is>
          <t>D 1416</t>
        </is>
      </c>
      <c r="B892" s="29" t="n"/>
      <c r="C892" s="236" t="inlineStr">
        <is>
          <t>X</t>
        </is>
      </c>
      <c r="D892" s="29" t="n"/>
      <c r="E892" s="237">
        <f>B892*D892/10000</f>
        <v/>
      </c>
      <c r="F892" s="238">
        <f>B892/30.48</f>
        <v/>
      </c>
      <c r="G892" s="238">
        <f>D892/30.48</f>
        <v/>
      </c>
      <c r="H892" s="613" t="n"/>
      <c r="I892" s="273" t="n"/>
      <c r="J892" s="274" t="n"/>
      <c r="K892" s="275" t="n"/>
      <c r="L892" s="276" t="n"/>
      <c r="M892" s="270" t="n"/>
    </row>
    <row r="893" ht="18" customHeight="1" s="305">
      <c r="A893" s="28" t="inlineStr">
        <is>
          <t>D 1417</t>
        </is>
      </c>
      <c r="B893" s="29" t="n"/>
      <c r="C893" s="236" t="inlineStr">
        <is>
          <t>X</t>
        </is>
      </c>
      <c r="D893" s="29" t="n"/>
      <c r="E893" s="237">
        <f>B893*D893/10000</f>
        <v/>
      </c>
      <c r="F893" s="238">
        <f>B893/30.48</f>
        <v/>
      </c>
      <c r="G893" s="238">
        <f>D893/30.48</f>
        <v/>
      </c>
      <c r="H893" s="613" t="n"/>
      <c r="I893" s="273" t="n"/>
      <c r="J893" s="274" t="n"/>
      <c r="K893" s="275" t="n"/>
      <c r="L893" s="276" t="n"/>
      <c r="M893" s="270" t="n"/>
    </row>
    <row r="894" ht="18" customHeight="1" s="305">
      <c r="A894" s="28" t="inlineStr">
        <is>
          <t>D 1418</t>
        </is>
      </c>
      <c r="B894" s="29" t="n"/>
      <c r="C894" s="236" t="inlineStr">
        <is>
          <t>X</t>
        </is>
      </c>
      <c r="D894" s="29" t="n"/>
      <c r="E894" s="237">
        <f>B894*D894/10000</f>
        <v/>
      </c>
      <c r="F894" s="238">
        <f>B894/30.48</f>
        <v/>
      </c>
      <c r="G894" s="238">
        <f>D894/30.48</f>
        <v/>
      </c>
      <c r="H894" s="613" t="n"/>
      <c r="I894" s="273" t="n"/>
      <c r="J894" s="274" t="n"/>
      <c r="K894" s="275" t="n"/>
      <c r="L894" s="276" t="n"/>
      <c r="M894" s="270" t="n"/>
    </row>
    <row r="895" ht="18" customHeight="1" s="305">
      <c r="A895" s="28" t="inlineStr">
        <is>
          <t>D 1419</t>
        </is>
      </c>
      <c r="B895" s="29" t="n"/>
      <c r="C895" s="236" t="inlineStr">
        <is>
          <t>X</t>
        </is>
      </c>
      <c r="D895" s="29" t="n"/>
      <c r="E895" s="237">
        <f>B895*D895/10000</f>
        <v/>
      </c>
      <c r="F895" s="238">
        <f>B895/30.48</f>
        <v/>
      </c>
      <c r="G895" s="238">
        <f>D895/30.48</f>
        <v/>
      </c>
      <c r="H895" s="613" t="n"/>
      <c r="I895" s="273" t="n"/>
      <c r="J895" s="274" t="n"/>
      <c r="K895" s="275" t="n"/>
      <c r="L895" s="276" t="n"/>
      <c r="M895" s="270" t="n"/>
    </row>
    <row r="896" ht="18" customHeight="1" s="305">
      <c r="A896" s="28" t="inlineStr">
        <is>
          <t>D 1420</t>
        </is>
      </c>
      <c r="B896" s="29" t="n"/>
      <c r="C896" s="236" t="inlineStr">
        <is>
          <t>X</t>
        </is>
      </c>
      <c r="D896" s="29" t="n"/>
      <c r="E896" s="237">
        <f>B896*D896/10000</f>
        <v/>
      </c>
      <c r="F896" s="238">
        <f>B896/30.48</f>
        <v/>
      </c>
      <c r="G896" s="238">
        <f>D896/30.48</f>
        <v/>
      </c>
      <c r="H896" s="613" t="n"/>
      <c r="I896" s="273" t="n"/>
      <c r="J896" s="274" t="n"/>
      <c r="K896" s="275" t="n"/>
      <c r="L896" s="276" t="n"/>
      <c r="M896" s="270" t="n"/>
    </row>
    <row r="897" ht="18" customHeight="1" s="305">
      <c r="A897" s="28" t="inlineStr">
        <is>
          <t>D 1421</t>
        </is>
      </c>
      <c r="B897" s="29" t="n"/>
      <c r="C897" s="236" t="inlineStr">
        <is>
          <t>X</t>
        </is>
      </c>
      <c r="D897" s="29" t="n"/>
      <c r="E897" s="237">
        <f>B897*D897/10000</f>
        <v/>
      </c>
      <c r="F897" s="238">
        <f>B897/30.48</f>
        <v/>
      </c>
      <c r="G897" s="238">
        <f>D897/30.48</f>
        <v/>
      </c>
      <c r="H897" s="613" t="n"/>
      <c r="I897" s="273" t="n"/>
      <c r="J897" s="274" t="n"/>
      <c r="K897" s="275" t="n"/>
      <c r="L897" s="276" t="n"/>
      <c r="M897" s="270" t="n"/>
    </row>
    <row r="898" ht="18" customHeight="1" s="305">
      <c r="A898" s="28" t="inlineStr">
        <is>
          <t>D 1422</t>
        </is>
      </c>
      <c r="B898" s="29" t="n"/>
      <c r="C898" s="236" t="inlineStr">
        <is>
          <t>X</t>
        </is>
      </c>
      <c r="D898" s="29" t="n"/>
      <c r="E898" s="237">
        <f>B898*D898/10000</f>
        <v/>
      </c>
      <c r="F898" s="238">
        <f>B898/30.48</f>
        <v/>
      </c>
      <c r="G898" s="238">
        <f>D898/30.48</f>
        <v/>
      </c>
      <c r="H898" s="613" t="n"/>
      <c r="I898" s="273" t="n"/>
      <c r="J898" s="274" t="n"/>
      <c r="K898" s="275" t="n"/>
      <c r="L898" s="276" t="n"/>
      <c r="M898" s="270" t="n"/>
    </row>
    <row r="899" ht="18" customHeight="1" s="305">
      <c r="A899" s="28" t="inlineStr">
        <is>
          <t>D 1423</t>
        </is>
      </c>
      <c r="B899" s="29" t="n"/>
      <c r="C899" s="236" t="inlineStr">
        <is>
          <t>X</t>
        </is>
      </c>
      <c r="D899" s="29" t="n"/>
      <c r="E899" s="237">
        <f>B899*D899/10000</f>
        <v/>
      </c>
      <c r="F899" s="238">
        <f>B899/30.48</f>
        <v/>
      </c>
      <c r="G899" s="238">
        <f>D899/30.48</f>
        <v/>
      </c>
      <c r="H899" s="613" t="n"/>
      <c r="I899" s="273" t="n"/>
      <c r="J899" s="274" t="n"/>
      <c r="K899" s="275" t="n"/>
      <c r="L899" s="276" t="n"/>
      <c r="M899" s="270" t="n"/>
    </row>
    <row r="900" ht="18" customHeight="1" s="305">
      <c r="A900" s="28" t="inlineStr">
        <is>
          <t>D 1424</t>
        </is>
      </c>
      <c r="B900" s="29" t="n"/>
      <c r="C900" s="236" t="inlineStr">
        <is>
          <t>X</t>
        </is>
      </c>
      <c r="D900" s="29" t="n"/>
      <c r="E900" s="237">
        <f>B900*D900/10000</f>
        <v/>
      </c>
      <c r="F900" s="238">
        <f>B900/30.48</f>
        <v/>
      </c>
      <c r="G900" s="238">
        <f>D900/30.48</f>
        <v/>
      </c>
      <c r="H900" s="613" t="n"/>
      <c r="I900" s="273" t="n"/>
      <c r="J900" s="274" t="n"/>
      <c r="K900" s="275" t="n"/>
      <c r="L900" s="276" t="n"/>
      <c r="M900" s="270" t="n"/>
    </row>
    <row r="901" ht="18" customHeight="1" s="305">
      <c r="A901" s="28" t="inlineStr">
        <is>
          <t>D 1425</t>
        </is>
      </c>
      <c r="B901" s="29" t="n"/>
      <c r="C901" s="236" t="inlineStr">
        <is>
          <t>X</t>
        </is>
      </c>
      <c r="D901" s="29" t="n"/>
      <c r="E901" s="237">
        <f>B901*D901/10000</f>
        <v/>
      </c>
      <c r="F901" s="238">
        <f>B901/30.48</f>
        <v/>
      </c>
      <c r="G901" s="238">
        <f>D901/30.48</f>
        <v/>
      </c>
      <c r="H901" s="613" t="n"/>
      <c r="I901" s="273" t="n"/>
      <c r="J901" s="274" t="n"/>
      <c r="K901" s="275" t="n"/>
      <c r="L901" s="276" t="n"/>
      <c r="M901" s="270" t="n"/>
    </row>
    <row r="902" ht="18" customHeight="1" s="305">
      <c r="A902" s="28" t="inlineStr">
        <is>
          <t>D 1426</t>
        </is>
      </c>
      <c r="B902" s="29" t="n"/>
      <c r="C902" s="236" t="inlineStr">
        <is>
          <t>X</t>
        </is>
      </c>
      <c r="D902" s="29" t="n"/>
      <c r="E902" s="237">
        <f>B902*D902/10000</f>
        <v/>
      </c>
      <c r="F902" s="238">
        <f>B902/30.48</f>
        <v/>
      </c>
      <c r="G902" s="238">
        <f>D902/30.48</f>
        <v/>
      </c>
      <c r="H902" s="613" t="n"/>
      <c r="I902" s="273" t="n"/>
      <c r="J902" s="274" t="n"/>
      <c r="K902" s="275" t="n"/>
      <c r="L902" s="276" t="n"/>
      <c r="M902" s="270" t="n"/>
    </row>
    <row r="903" ht="18" customHeight="1" s="305">
      <c r="A903" s="28" t="inlineStr">
        <is>
          <t>D 1427</t>
        </is>
      </c>
      <c r="B903" s="29" t="n"/>
      <c r="C903" s="236" t="inlineStr">
        <is>
          <t>X</t>
        </is>
      </c>
      <c r="D903" s="29" t="n"/>
      <c r="E903" s="237">
        <f>B903*D903/10000</f>
        <v/>
      </c>
      <c r="F903" s="238">
        <f>B903/30.48</f>
        <v/>
      </c>
      <c r="G903" s="238">
        <f>D903/30.48</f>
        <v/>
      </c>
      <c r="H903" s="613" t="n"/>
      <c r="I903" s="273" t="n"/>
      <c r="J903" s="274" t="n"/>
      <c r="K903" s="275" t="n"/>
      <c r="L903" s="276" t="n"/>
      <c r="M903" s="270" t="n"/>
    </row>
    <row r="904" ht="18" customHeight="1" s="305">
      <c r="A904" s="28" t="inlineStr">
        <is>
          <t>D 1428</t>
        </is>
      </c>
      <c r="B904" s="29" t="n"/>
      <c r="C904" s="236" t="inlineStr">
        <is>
          <t>X</t>
        </is>
      </c>
      <c r="D904" s="29" t="n"/>
      <c r="E904" s="237">
        <f>B904*D904/10000</f>
        <v/>
      </c>
      <c r="F904" s="238">
        <f>B904/30.48</f>
        <v/>
      </c>
      <c r="G904" s="238">
        <f>D904/30.48</f>
        <v/>
      </c>
      <c r="H904" s="613" t="n"/>
      <c r="I904" s="273" t="n"/>
      <c r="J904" s="274" t="n"/>
      <c r="K904" s="275" t="n"/>
      <c r="L904" s="276" t="n"/>
      <c r="M904" s="270" t="n"/>
    </row>
    <row r="905" ht="18" customHeight="1" s="305">
      <c r="A905" s="28" t="inlineStr">
        <is>
          <t>D 1429</t>
        </is>
      </c>
      <c r="B905" s="29" t="n"/>
      <c r="C905" s="236" t="inlineStr">
        <is>
          <t>X</t>
        </is>
      </c>
      <c r="D905" s="29" t="n"/>
      <c r="E905" s="237">
        <f>B905*D905/10000</f>
        <v/>
      </c>
      <c r="F905" s="238">
        <f>B905/30.48</f>
        <v/>
      </c>
      <c r="G905" s="238">
        <f>D905/30.48</f>
        <v/>
      </c>
      <c r="H905" s="613" t="n"/>
      <c r="I905" s="273" t="n"/>
      <c r="J905" s="274" t="n"/>
      <c r="K905" s="275" t="n"/>
      <c r="L905" s="276" t="n"/>
      <c r="M905" s="270" t="n"/>
    </row>
    <row r="906" ht="18" customHeight="1" s="305">
      <c r="A906" s="28" t="inlineStr">
        <is>
          <t>D 1430</t>
        </is>
      </c>
      <c r="B906" s="29" t="n"/>
      <c r="C906" s="236" t="inlineStr">
        <is>
          <t>X</t>
        </is>
      </c>
      <c r="D906" s="29" t="n"/>
      <c r="E906" s="237">
        <f>B906*D906/10000</f>
        <v/>
      </c>
      <c r="F906" s="238">
        <f>B906/30.48</f>
        <v/>
      </c>
      <c r="G906" s="238">
        <f>D906/30.48</f>
        <v/>
      </c>
      <c r="H906" s="613" t="n"/>
      <c r="I906" s="273" t="n"/>
      <c r="J906" s="274" t="n"/>
      <c r="K906" s="275" t="n"/>
      <c r="L906" s="276" t="n"/>
      <c r="M906" s="270" t="n"/>
    </row>
    <row r="907" ht="18" customHeight="1" s="305">
      <c r="A907" s="28" t="inlineStr">
        <is>
          <t>D 1431</t>
        </is>
      </c>
      <c r="B907" s="29" t="n"/>
      <c r="C907" s="236" t="inlineStr">
        <is>
          <t>X</t>
        </is>
      </c>
      <c r="D907" s="29" t="n"/>
      <c r="E907" s="237">
        <f>B907*D907/10000</f>
        <v/>
      </c>
      <c r="F907" s="238">
        <f>B907/30.48</f>
        <v/>
      </c>
      <c r="G907" s="238">
        <f>D907/30.48</f>
        <v/>
      </c>
      <c r="H907" s="613" t="n"/>
      <c r="I907" s="273" t="n"/>
      <c r="J907" s="274" t="n"/>
      <c r="K907" s="275" t="n"/>
      <c r="L907" s="276" t="n"/>
      <c r="M907" s="270" t="n"/>
    </row>
    <row r="908" ht="18" customHeight="1" s="305">
      <c r="A908" s="28" t="inlineStr">
        <is>
          <t>D 1432</t>
        </is>
      </c>
      <c r="B908" s="29" t="n"/>
      <c r="C908" s="236" t="inlineStr">
        <is>
          <t>X</t>
        </is>
      </c>
      <c r="D908" s="29" t="n"/>
      <c r="E908" s="237">
        <f>B908*D908/10000</f>
        <v/>
      </c>
      <c r="F908" s="238">
        <f>B908/30.48</f>
        <v/>
      </c>
      <c r="G908" s="238">
        <f>D908/30.48</f>
        <v/>
      </c>
      <c r="H908" s="613" t="n"/>
      <c r="I908" s="273" t="n"/>
      <c r="J908" s="274" t="n"/>
      <c r="K908" s="275" t="n"/>
      <c r="L908" s="276" t="n"/>
      <c r="M908" s="270" t="n"/>
    </row>
    <row r="909" ht="18" customHeight="1" s="305">
      <c r="A909" s="28" t="inlineStr">
        <is>
          <t>D 1433</t>
        </is>
      </c>
      <c r="B909" s="29" t="n"/>
      <c r="C909" s="236" t="inlineStr">
        <is>
          <t>X</t>
        </is>
      </c>
      <c r="D909" s="29" t="n"/>
      <c r="E909" s="237">
        <f>B909*D909/10000</f>
        <v/>
      </c>
      <c r="F909" s="238">
        <f>B909/30.48</f>
        <v/>
      </c>
      <c r="G909" s="238">
        <f>D909/30.48</f>
        <v/>
      </c>
      <c r="H909" s="613" t="n"/>
      <c r="I909" s="273" t="n"/>
      <c r="J909" s="274" t="n"/>
      <c r="K909" s="275" t="n"/>
      <c r="L909" s="276" t="n"/>
      <c r="M909" s="270" t="n"/>
    </row>
    <row r="910" ht="18" customHeight="1" s="305">
      <c r="A910" s="28" t="inlineStr">
        <is>
          <t>D 1434</t>
        </is>
      </c>
      <c r="B910" s="29" t="n"/>
      <c r="C910" s="236" t="inlineStr">
        <is>
          <t>X</t>
        </is>
      </c>
      <c r="D910" s="29" t="n"/>
      <c r="E910" s="237">
        <f>B910*D910/10000</f>
        <v/>
      </c>
      <c r="F910" s="238">
        <f>B910/30.48</f>
        <v/>
      </c>
      <c r="G910" s="238">
        <f>D910/30.48</f>
        <v/>
      </c>
      <c r="H910" s="613" t="n"/>
      <c r="I910" s="273" t="n"/>
      <c r="J910" s="274" t="n"/>
      <c r="K910" s="275" t="n"/>
      <c r="L910" s="276" t="n"/>
      <c r="M910" s="270" t="n"/>
    </row>
    <row r="911" ht="18" customHeight="1" s="305">
      <c r="A911" s="28" t="inlineStr">
        <is>
          <t>D 1435</t>
        </is>
      </c>
      <c r="B911" s="29" t="n"/>
      <c r="C911" s="236" t="inlineStr">
        <is>
          <t>X</t>
        </is>
      </c>
      <c r="D911" s="29" t="n"/>
      <c r="E911" s="237">
        <f>B911*D911/10000</f>
        <v/>
      </c>
      <c r="F911" s="238">
        <f>B911/30.48</f>
        <v/>
      </c>
      <c r="G911" s="238">
        <f>D911/30.48</f>
        <v/>
      </c>
      <c r="H911" s="613" t="n"/>
      <c r="I911" s="273" t="n"/>
      <c r="J911" s="274" t="n"/>
      <c r="K911" s="275" t="n"/>
      <c r="L911" s="276" t="n"/>
      <c r="M911" s="270" t="n"/>
    </row>
    <row r="912" ht="18" customHeight="1" s="305">
      <c r="A912" s="28" t="inlineStr">
        <is>
          <t>D 1436</t>
        </is>
      </c>
      <c r="B912" s="29" t="n"/>
      <c r="C912" s="236" t="inlineStr">
        <is>
          <t>X</t>
        </is>
      </c>
      <c r="D912" s="29" t="n"/>
      <c r="E912" s="237">
        <f>B912*D912/10000</f>
        <v/>
      </c>
      <c r="F912" s="238">
        <f>B912/30.48</f>
        <v/>
      </c>
      <c r="G912" s="238">
        <f>D912/30.48</f>
        <v/>
      </c>
      <c r="H912" s="613" t="n"/>
      <c r="I912" s="273" t="n"/>
      <c r="J912" s="274" t="n"/>
      <c r="K912" s="275" t="n"/>
      <c r="L912" s="276" t="n"/>
      <c r="M912" s="270" t="n"/>
    </row>
    <row r="913" ht="18" customHeight="1" s="305">
      <c r="A913" s="28" t="inlineStr">
        <is>
          <t>D 1437</t>
        </is>
      </c>
      <c r="B913" s="29" t="n"/>
      <c r="C913" s="236" t="inlineStr">
        <is>
          <t>X</t>
        </is>
      </c>
      <c r="D913" s="29" t="n"/>
      <c r="E913" s="237">
        <f>B913*D913/10000</f>
        <v/>
      </c>
      <c r="F913" s="238">
        <f>B913/30.48</f>
        <v/>
      </c>
      <c r="G913" s="238">
        <f>D913/30.48</f>
        <v/>
      </c>
      <c r="H913" s="613" t="n"/>
      <c r="I913" s="273" t="n"/>
      <c r="J913" s="274" t="n"/>
      <c r="K913" s="275" t="n"/>
      <c r="L913" s="276" t="n"/>
      <c r="M913" s="270" t="n"/>
    </row>
    <row r="914" ht="18" customHeight="1" s="305">
      <c r="A914" s="28" t="inlineStr">
        <is>
          <t>D 1438</t>
        </is>
      </c>
      <c r="B914" s="29" t="n"/>
      <c r="C914" s="236" t="inlineStr">
        <is>
          <t>X</t>
        </is>
      </c>
      <c r="D914" s="29" t="n"/>
      <c r="E914" s="237">
        <f>B914*D914/10000</f>
        <v/>
      </c>
      <c r="F914" s="238">
        <f>B914/30.48</f>
        <v/>
      </c>
      <c r="G914" s="238">
        <f>D914/30.48</f>
        <v/>
      </c>
      <c r="H914" s="613" t="n"/>
      <c r="I914" s="273" t="n"/>
      <c r="J914" s="274" t="n"/>
      <c r="K914" s="275" t="n"/>
      <c r="L914" s="276" t="n"/>
      <c r="M914" s="270" t="n"/>
    </row>
    <row r="915" ht="18" customHeight="1" s="305">
      <c r="A915" s="28" t="inlineStr">
        <is>
          <t>D 1439</t>
        </is>
      </c>
      <c r="B915" s="29" t="n"/>
      <c r="C915" s="236" t="inlineStr">
        <is>
          <t>X</t>
        </is>
      </c>
      <c r="D915" s="29" t="n"/>
      <c r="E915" s="237">
        <f>B915*D915/10000</f>
        <v/>
      </c>
      <c r="F915" s="238">
        <f>B915/30.48</f>
        <v/>
      </c>
      <c r="G915" s="238">
        <f>D915/30.48</f>
        <v/>
      </c>
      <c r="H915" s="613" t="n"/>
      <c r="I915" s="273" t="n"/>
      <c r="J915" s="274" t="n"/>
      <c r="K915" s="275" t="n"/>
      <c r="L915" s="276" t="n"/>
      <c r="M915" s="270" t="n"/>
    </row>
    <row r="916" ht="18" customHeight="1" s="305">
      <c r="A916" s="28" t="inlineStr">
        <is>
          <t>D 1440</t>
        </is>
      </c>
      <c r="B916" s="29" t="n"/>
      <c r="C916" s="236" t="inlineStr">
        <is>
          <t>X</t>
        </is>
      </c>
      <c r="D916" s="29" t="n"/>
      <c r="E916" s="237">
        <f>B916*D916/10000</f>
        <v/>
      </c>
      <c r="F916" s="238">
        <f>B916/30.48</f>
        <v/>
      </c>
      <c r="G916" s="238">
        <f>D916/30.48</f>
        <v/>
      </c>
      <c r="H916" s="613" t="n"/>
      <c r="I916" s="273" t="n"/>
      <c r="J916" s="274" t="n"/>
      <c r="K916" s="275" t="n"/>
      <c r="L916" s="276" t="n"/>
      <c r="M916" s="270" t="n"/>
    </row>
    <row r="917" ht="18" customHeight="1" s="305">
      <c r="A917" s="28" t="inlineStr">
        <is>
          <t>D 1441</t>
        </is>
      </c>
      <c r="B917" s="29" t="n"/>
      <c r="C917" s="236" t="inlineStr">
        <is>
          <t>X</t>
        </is>
      </c>
      <c r="D917" s="29" t="n"/>
      <c r="E917" s="237">
        <f>B917*D917/10000</f>
        <v/>
      </c>
      <c r="F917" s="238">
        <f>B917/30.48</f>
        <v/>
      </c>
      <c r="G917" s="238">
        <f>D917/30.48</f>
        <v/>
      </c>
      <c r="H917" s="613" t="n"/>
      <c r="I917" s="273" t="n"/>
      <c r="J917" s="274" t="n"/>
      <c r="K917" s="275" t="n"/>
      <c r="L917" s="276" t="n"/>
      <c r="M917" s="270" t="n"/>
    </row>
    <row r="918" ht="18" customHeight="1" s="305">
      <c r="A918" s="28" t="inlineStr">
        <is>
          <t>D 1442</t>
        </is>
      </c>
      <c r="B918" s="29" t="n"/>
      <c r="C918" s="236" t="inlineStr">
        <is>
          <t>X</t>
        </is>
      </c>
      <c r="D918" s="29" t="n"/>
      <c r="E918" s="237">
        <f>B918*D918/10000</f>
        <v/>
      </c>
      <c r="F918" s="238">
        <f>B918/30.48</f>
        <v/>
      </c>
      <c r="G918" s="238">
        <f>D918/30.48</f>
        <v/>
      </c>
      <c r="H918" s="613" t="n"/>
      <c r="I918" s="273" t="n"/>
      <c r="J918" s="274" t="n"/>
      <c r="K918" s="275" t="n"/>
      <c r="L918" s="276" t="n"/>
      <c r="M918" s="270" t="n"/>
    </row>
    <row r="919" ht="18" customHeight="1" s="305">
      <c r="A919" s="28" t="inlineStr">
        <is>
          <t>D 1443</t>
        </is>
      </c>
      <c r="B919" s="29" t="n"/>
      <c r="C919" s="236" t="inlineStr">
        <is>
          <t>X</t>
        </is>
      </c>
      <c r="D919" s="29" t="n"/>
      <c r="E919" s="237">
        <f>B919*D919/10000</f>
        <v/>
      </c>
      <c r="F919" s="238">
        <f>B919/30.48</f>
        <v/>
      </c>
      <c r="G919" s="238">
        <f>D919/30.48</f>
        <v/>
      </c>
      <c r="H919" s="613" t="n"/>
      <c r="I919" s="273" t="n"/>
      <c r="J919" s="274" t="n"/>
      <c r="K919" s="275" t="n"/>
      <c r="L919" s="276" t="n"/>
      <c r="M919" s="270" t="n"/>
    </row>
    <row r="920" ht="18" customHeight="1" s="305">
      <c r="A920" s="28" t="inlineStr">
        <is>
          <t>D 1444</t>
        </is>
      </c>
      <c r="B920" s="29" t="n"/>
      <c r="C920" s="236" t="inlineStr">
        <is>
          <t>X</t>
        </is>
      </c>
      <c r="D920" s="29" t="n"/>
      <c r="E920" s="237">
        <f>B920*D920/10000</f>
        <v/>
      </c>
      <c r="F920" s="238">
        <f>B920/30.48</f>
        <v/>
      </c>
      <c r="G920" s="238">
        <f>D920/30.48</f>
        <v/>
      </c>
      <c r="H920" s="613" t="n"/>
      <c r="I920" s="273" t="n"/>
      <c r="J920" s="274" t="n"/>
      <c r="K920" s="275" t="n"/>
      <c r="L920" s="276" t="n"/>
      <c r="M920" s="270" t="n"/>
    </row>
    <row r="921" ht="18" customHeight="1" s="305">
      <c r="A921" s="28" t="inlineStr">
        <is>
          <t>D 1445</t>
        </is>
      </c>
      <c r="B921" s="29" t="n"/>
      <c r="C921" s="236" t="inlineStr">
        <is>
          <t>X</t>
        </is>
      </c>
      <c r="D921" s="29" t="n"/>
      <c r="E921" s="237">
        <f>B921*D921/10000</f>
        <v/>
      </c>
      <c r="F921" s="238">
        <f>B921/30.48</f>
        <v/>
      </c>
      <c r="G921" s="238">
        <f>D921/30.48</f>
        <v/>
      </c>
      <c r="H921" s="613" t="n"/>
      <c r="I921" s="273" t="n"/>
      <c r="J921" s="274" t="n"/>
      <c r="K921" s="275" t="n"/>
      <c r="L921" s="276" t="n"/>
      <c r="M921" s="270" t="n"/>
    </row>
    <row r="922" ht="18" customHeight="1" s="305">
      <c r="A922" s="28" t="inlineStr">
        <is>
          <t>D 1446</t>
        </is>
      </c>
      <c r="B922" s="29" t="n"/>
      <c r="C922" s="236" t="inlineStr">
        <is>
          <t>X</t>
        </is>
      </c>
      <c r="D922" s="29" t="n"/>
      <c r="E922" s="237">
        <f>B922*D922/10000</f>
        <v/>
      </c>
      <c r="F922" s="238">
        <f>B922/30.48</f>
        <v/>
      </c>
      <c r="G922" s="238">
        <f>D922/30.48</f>
        <v/>
      </c>
      <c r="H922" s="613" t="n"/>
      <c r="I922" s="273" t="n"/>
      <c r="J922" s="274" t="n"/>
      <c r="K922" s="275" t="n"/>
      <c r="L922" s="276" t="n"/>
      <c r="M922" s="270" t="n"/>
    </row>
    <row r="923" ht="18" customHeight="1" s="305">
      <c r="A923" s="28" t="inlineStr">
        <is>
          <t>D 1447</t>
        </is>
      </c>
      <c r="B923" s="29" t="n"/>
      <c r="C923" s="236" t="inlineStr">
        <is>
          <t>X</t>
        </is>
      </c>
      <c r="D923" s="29" t="n"/>
      <c r="E923" s="237">
        <f>B923*D923/10000</f>
        <v/>
      </c>
      <c r="F923" s="238">
        <f>B923/30.48</f>
        <v/>
      </c>
      <c r="G923" s="238">
        <f>D923/30.48</f>
        <v/>
      </c>
      <c r="H923" s="613" t="n"/>
      <c r="I923" s="273" t="n"/>
      <c r="J923" s="274" t="n"/>
      <c r="K923" s="275" t="n"/>
      <c r="L923" s="276" t="n"/>
      <c r="M923" s="270" t="n"/>
    </row>
    <row r="924" ht="18" customHeight="1" s="305">
      <c r="A924" s="28" t="inlineStr">
        <is>
          <t>D 1448</t>
        </is>
      </c>
      <c r="B924" s="29" t="n"/>
      <c r="C924" s="236" t="inlineStr">
        <is>
          <t>X</t>
        </is>
      </c>
      <c r="D924" s="29" t="n"/>
      <c r="E924" s="237">
        <f>B924*D924/10000</f>
        <v/>
      </c>
      <c r="F924" s="238">
        <f>B924/30.48</f>
        <v/>
      </c>
      <c r="G924" s="238">
        <f>D924/30.48</f>
        <v/>
      </c>
      <c r="H924" s="613" t="n"/>
      <c r="I924" s="273" t="n"/>
      <c r="J924" s="274" t="n"/>
      <c r="K924" s="275" t="n"/>
      <c r="L924" s="276" t="n"/>
      <c r="M924" s="270" t="n"/>
    </row>
    <row r="925" ht="18" customHeight="1" s="305">
      <c r="A925" s="28" t="inlineStr">
        <is>
          <t>D 1449</t>
        </is>
      </c>
      <c r="B925" s="29" t="n"/>
      <c r="C925" s="236" t="inlineStr">
        <is>
          <t>X</t>
        </is>
      </c>
      <c r="D925" s="29" t="n"/>
      <c r="E925" s="237">
        <f>B925*D925/10000</f>
        <v/>
      </c>
      <c r="F925" s="238">
        <f>B925/30.48</f>
        <v/>
      </c>
      <c r="G925" s="238">
        <f>D925/30.48</f>
        <v/>
      </c>
      <c r="H925" s="613" t="n"/>
      <c r="I925" s="273" t="n"/>
      <c r="J925" s="274" t="n"/>
      <c r="K925" s="275" t="n"/>
      <c r="L925" s="276" t="n"/>
      <c r="M925" s="270" t="n"/>
    </row>
    <row r="926" ht="18" customHeight="1" s="305">
      <c r="A926" s="28" t="inlineStr">
        <is>
          <t>D 1450</t>
        </is>
      </c>
      <c r="B926" s="29" t="n"/>
      <c r="C926" s="236" t="inlineStr">
        <is>
          <t>X</t>
        </is>
      </c>
      <c r="D926" s="29" t="n"/>
      <c r="E926" s="237">
        <f>B926*D926/10000</f>
        <v/>
      </c>
      <c r="F926" s="238">
        <f>B926/30.48</f>
        <v/>
      </c>
      <c r="G926" s="238">
        <f>D926/30.48</f>
        <v/>
      </c>
      <c r="H926" s="613" t="n"/>
      <c r="I926" s="273" t="n"/>
      <c r="J926" s="274" t="n"/>
      <c r="K926" s="275" t="n"/>
      <c r="L926" s="276" t="n"/>
      <c r="M926" s="270" t="n"/>
    </row>
    <row r="927" ht="18" customHeight="1" s="305">
      <c r="A927" s="28" t="inlineStr">
        <is>
          <t>D 1451</t>
        </is>
      </c>
      <c r="B927" s="29" t="n"/>
      <c r="C927" s="236" t="inlineStr">
        <is>
          <t>X</t>
        </is>
      </c>
      <c r="D927" s="29" t="n"/>
      <c r="E927" s="237">
        <f>B927*D927/10000</f>
        <v/>
      </c>
      <c r="F927" s="238">
        <f>B927/30.48</f>
        <v/>
      </c>
      <c r="G927" s="238">
        <f>D927/30.48</f>
        <v/>
      </c>
      <c r="H927" s="613" t="n"/>
      <c r="I927" s="273" t="n"/>
      <c r="J927" s="274" t="n"/>
      <c r="K927" s="275" t="n"/>
      <c r="L927" s="276" t="n"/>
      <c r="M927" s="270" t="n"/>
    </row>
    <row r="928" ht="18" customHeight="1" s="305">
      <c r="A928" s="28" t="inlineStr">
        <is>
          <t>D 1452</t>
        </is>
      </c>
      <c r="B928" s="29" t="n"/>
      <c r="C928" s="236" t="inlineStr">
        <is>
          <t>X</t>
        </is>
      </c>
      <c r="D928" s="29" t="n"/>
      <c r="E928" s="237">
        <f>B928*D928/10000</f>
        <v/>
      </c>
      <c r="F928" s="238">
        <f>B928/30.48</f>
        <v/>
      </c>
      <c r="G928" s="238">
        <f>D928/30.48</f>
        <v/>
      </c>
      <c r="H928" s="613" t="n"/>
      <c r="I928" s="273" t="n"/>
      <c r="J928" s="274" t="n"/>
      <c r="K928" s="275" t="n"/>
      <c r="L928" s="276" t="n"/>
      <c r="M928" s="270" t="n"/>
    </row>
    <row r="929" ht="18" customHeight="1" s="305">
      <c r="A929" s="28" t="inlineStr">
        <is>
          <t>D 1453</t>
        </is>
      </c>
      <c r="B929" s="29" t="n"/>
      <c r="C929" s="236" t="inlineStr">
        <is>
          <t>X</t>
        </is>
      </c>
      <c r="D929" s="29" t="n"/>
      <c r="E929" s="237">
        <f>B929*D929/10000</f>
        <v/>
      </c>
      <c r="F929" s="238">
        <f>B929/30.48</f>
        <v/>
      </c>
      <c r="G929" s="238">
        <f>D929/30.48</f>
        <v/>
      </c>
      <c r="H929" s="613" t="n"/>
      <c r="I929" s="273" t="n"/>
      <c r="J929" s="274" t="n"/>
      <c r="K929" s="275" t="n"/>
      <c r="L929" s="276" t="n"/>
      <c r="M929" s="270" t="n"/>
    </row>
    <row r="930" ht="18" customHeight="1" s="305">
      <c r="A930" s="28" t="inlineStr">
        <is>
          <t>D 1454</t>
        </is>
      </c>
      <c r="B930" s="29" t="n"/>
      <c r="C930" s="236" t="inlineStr">
        <is>
          <t>X</t>
        </is>
      </c>
      <c r="D930" s="29" t="n"/>
      <c r="E930" s="237">
        <f>B930*D930/10000</f>
        <v/>
      </c>
      <c r="F930" s="238">
        <f>B930/30.48</f>
        <v/>
      </c>
      <c r="G930" s="238">
        <f>D930/30.48</f>
        <v/>
      </c>
      <c r="H930" s="613" t="n"/>
      <c r="I930" s="273" t="n"/>
      <c r="J930" s="274" t="n"/>
      <c r="K930" s="275" t="n"/>
      <c r="L930" s="276" t="n"/>
      <c r="M930" s="270" t="n"/>
    </row>
    <row r="931" ht="18" customHeight="1" s="305">
      <c r="A931" s="28" t="inlineStr">
        <is>
          <t>D 1455</t>
        </is>
      </c>
      <c r="B931" s="29" t="n"/>
      <c r="C931" s="236" t="inlineStr">
        <is>
          <t>X</t>
        </is>
      </c>
      <c r="D931" s="29" t="n"/>
      <c r="E931" s="237">
        <f>B931*D931/10000</f>
        <v/>
      </c>
      <c r="F931" s="238">
        <f>B931/30.48</f>
        <v/>
      </c>
      <c r="G931" s="238">
        <f>D931/30.48</f>
        <v/>
      </c>
      <c r="H931" s="613" t="n"/>
      <c r="I931" s="273" t="n"/>
      <c r="J931" s="274" t="n"/>
      <c r="K931" s="275" t="n"/>
      <c r="L931" s="276" t="n"/>
      <c r="M931" s="270" t="n"/>
    </row>
    <row r="932" ht="18" customHeight="1" s="305">
      <c r="A932" s="28" t="inlineStr">
        <is>
          <t>D 1456</t>
        </is>
      </c>
      <c r="B932" s="29" t="n"/>
      <c r="C932" s="236" t="inlineStr">
        <is>
          <t>X</t>
        </is>
      </c>
      <c r="D932" s="29" t="n"/>
      <c r="E932" s="237">
        <f>B932*D932/10000</f>
        <v/>
      </c>
      <c r="F932" s="238">
        <f>B932/30.48</f>
        <v/>
      </c>
      <c r="G932" s="238">
        <f>D932/30.48</f>
        <v/>
      </c>
      <c r="H932" s="613" t="n"/>
      <c r="I932" s="273" t="n"/>
      <c r="J932" s="274" t="n"/>
      <c r="K932" s="275" t="n"/>
      <c r="L932" s="276" t="n"/>
      <c r="M932" s="270" t="n"/>
    </row>
    <row r="933" ht="18" customHeight="1" s="305">
      <c r="A933" s="28" t="inlineStr">
        <is>
          <t>D 1457</t>
        </is>
      </c>
      <c r="B933" s="29" t="n"/>
      <c r="C933" s="236" t="inlineStr">
        <is>
          <t>X</t>
        </is>
      </c>
      <c r="D933" s="29" t="n"/>
      <c r="E933" s="237">
        <f>B933*D933/10000</f>
        <v/>
      </c>
      <c r="F933" s="238">
        <f>B933/30.48</f>
        <v/>
      </c>
      <c r="G933" s="238">
        <f>D933/30.48</f>
        <v/>
      </c>
      <c r="H933" s="613" t="n"/>
      <c r="I933" s="273" t="n"/>
      <c r="J933" s="274" t="n"/>
      <c r="K933" s="275" t="n"/>
      <c r="L933" s="276" t="n"/>
      <c r="M933" s="270" t="n"/>
    </row>
    <row r="934" ht="18" customHeight="1" s="305">
      <c r="A934" s="28" t="inlineStr">
        <is>
          <t>D 1458</t>
        </is>
      </c>
      <c r="B934" s="29" t="n"/>
      <c r="C934" s="236" t="inlineStr">
        <is>
          <t>X</t>
        </is>
      </c>
      <c r="D934" s="29" t="n"/>
      <c r="E934" s="237">
        <f>B934*D934/10000</f>
        <v/>
      </c>
      <c r="F934" s="238">
        <f>B934/30.48</f>
        <v/>
      </c>
      <c r="G934" s="238">
        <f>D934/30.48</f>
        <v/>
      </c>
      <c r="H934" s="613" t="n"/>
      <c r="I934" s="273" t="n"/>
      <c r="J934" s="274" t="n"/>
      <c r="K934" s="275" t="n"/>
      <c r="L934" s="276" t="n"/>
      <c r="M934" s="270" t="n"/>
    </row>
    <row r="935" ht="18" customHeight="1" s="305">
      <c r="A935" s="28" t="inlineStr">
        <is>
          <t>D 1459</t>
        </is>
      </c>
      <c r="B935" s="29" t="n"/>
      <c r="C935" s="236" t="inlineStr">
        <is>
          <t>X</t>
        </is>
      </c>
      <c r="D935" s="29" t="n"/>
      <c r="E935" s="237">
        <f>B935*D935/10000</f>
        <v/>
      </c>
      <c r="F935" s="238">
        <f>B935/30.48</f>
        <v/>
      </c>
      <c r="G935" s="238">
        <f>D935/30.48</f>
        <v/>
      </c>
      <c r="H935" s="613" t="n"/>
      <c r="I935" s="273" t="n"/>
      <c r="J935" s="274" t="n"/>
      <c r="K935" s="275" t="n"/>
      <c r="L935" s="276" t="n"/>
      <c r="M935" s="270" t="n"/>
    </row>
    <row r="936" ht="18" customHeight="1" s="305">
      <c r="A936" s="28" t="inlineStr">
        <is>
          <t>D 1460</t>
        </is>
      </c>
      <c r="B936" s="29" t="n"/>
      <c r="C936" s="236" t="inlineStr">
        <is>
          <t>X</t>
        </is>
      </c>
      <c r="D936" s="29" t="n"/>
      <c r="E936" s="237">
        <f>B936*D936/10000</f>
        <v/>
      </c>
      <c r="F936" s="238">
        <f>B936/30.48</f>
        <v/>
      </c>
      <c r="G936" s="238">
        <f>D936/30.48</f>
        <v/>
      </c>
      <c r="H936" s="613" t="n"/>
      <c r="I936" s="273" t="n"/>
      <c r="J936" s="274" t="n"/>
      <c r="K936" s="275" t="n"/>
      <c r="L936" s="276" t="n"/>
      <c r="M936" s="270" t="n"/>
    </row>
    <row r="937" ht="18" customHeight="1" s="305">
      <c r="A937" s="28" t="inlineStr">
        <is>
          <t>D 1461</t>
        </is>
      </c>
      <c r="B937" s="29" t="n"/>
      <c r="C937" s="236" t="inlineStr">
        <is>
          <t>X</t>
        </is>
      </c>
      <c r="D937" s="29" t="n"/>
      <c r="E937" s="237">
        <f>B937*D937/10000</f>
        <v/>
      </c>
      <c r="F937" s="238">
        <f>B937/30.48</f>
        <v/>
      </c>
      <c r="G937" s="238">
        <f>D937/30.48</f>
        <v/>
      </c>
      <c r="H937" s="613" t="n"/>
      <c r="I937" s="273" t="n"/>
      <c r="J937" s="274" t="n"/>
      <c r="K937" s="275" t="n"/>
      <c r="L937" s="276" t="n"/>
      <c r="M937" s="270" t="n"/>
    </row>
    <row r="938" ht="18" customHeight="1" s="305">
      <c r="A938" s="28" t="inlineStr">
        <is>
          <t>D 1462</t>
        </is>
      </c>
      <c r="B938" s="29" t="n"/>
      <c r="C938" s="236" t="inlineStr">
        <is>
          <t>X</t>
        </is>
      </c>
      <c r="D938" s="29" t="n"/>
      <c r="E938" s="237">
        <f>B938*D938/10000</f>
        <v/>
      </c>
      <c r="F938" s="238">
        <f>B938/30.48</f>
        <v/>
      </c>
      <c r="G938" s="238">
        <f>D938/30.48</f>
        <v/>
      </c>
      <c r="H938" s="613" t="n"/>
      <c r="I938" s="273" t="n"/>
      <c r="J938" s="274" t="n"/>
      <c r="K938" s="275" t="n"/>
      <c r="L938" s="276" t="n"/>
      <c r="M938" s="270" t="n"/>
    </row>
    <row r="939" ht="18" customHeight="1" s="305">
      <c r="A939" s="28" t="inlineStr">
        <is>
          <t>D 1463</t>
        </is>
      </c>
      <c r="B939" s="29" t="n"/>
      <c r="C939" s="236" t="inlineStr">
        <is>
          <t>X</t>
        </is>
      </c>
      <c r="D939" s="29" t="n"/>
      <c r="E939" s="237">
        <f>B939*D939/10000</f>
        <v/>
      </c>
      <c r="F939" s="238">
        <f>B939/30.48</f>
        <v/>
      </c>
      <c r="G939" s="238">
        <f>D939/30.48</f>
        <v/>
      </c>
      <c r="H939" s="613" t="n"/>
      <c r="I939" s="273" t="n"/>
      <c r="J939" s="274" t="n"/>
      <c r="K939" s="275" t="n"/>
      <c r="L939" s="276" t="n"/>
      <c r="M939" s="270" t="n"/>
    </row>
    <row r="940" ht="18" customHeight="1" s="305">
      <c r="A940" s="28" t="inlineStr">
        <is>
          <t>D 1464</t>
        </is>
      </c>
      <c r="B940" s="29" t="n"/>
      <c r="C940" s="236" t="inlineStr">
        <is>
          <t>X</t>
        </is>
      </c>
      <c r="D940" s="29" t="n"/>
      <c r="E940" s="237">
        <f>B940*D940/10000</f>
        <v/>
      </c>
      <c r="F940" s="238">
        <f>B940/30.48</f>
        <v/>
      </c>
      <c r="G940" s="238">
        <f>D940/30.48</f>
        <v/>
      </c>
      <c r="H940" s="613" t="n"/>
      <c r="I940" s="273" t="n"/>
      <c r="J940" s="274" t="n"/>
      <c r="K940" s="275" t="n"/>
      <c r="L940" s="276" t="n"/>
      <c r="M940" s="270" t="n"/>
    </row>
    <row r="941" ht="18" customHeight="1" s="305">
      <c r="A941" s="28" t="inlineStr">
        <is>
          <t>D 1465</t>
        </is>
      </c>
      <c r="B941" s="29" t="n"/>
      <c r="C941" s="236" t="inlineStr">
        <is>
          <t>X</t>
        </is>
      </c>
      <c r="D941" s="29" t="n"/>
      <c r="E941" s="237">
        <f>B941*D941/10000</f>
        <v/>
      </c>
      <c r="F941" s="238">
        <f>B941/30.48</f>
        <v/>
      </c>
      <c r="G941" s="238">
        <f>D941/30.48</f>
        <v/>
      </c>
      <c r="H941" s="613" t="n"/>
      <c r="I941" s="273" t="n"/>
      <c r="J941" s="274" t="n"/>
      <c r="K941" s="275" t="n"/>
      <c r="L941" s="276" t="n"/>
      <c r="M941" s="270" t="n"/>
    </row>
    <row r="942" ht="18" customHeight="1" s="305">
      <c r="A942" s="28" t="inlineStr">
        <is>
          <t>D 1466</t>
        </is>
      </c>
      <c r="B942" s="29" t="n"/>
      <c r="C942" s="236" t="inlineStr">
        <is>
          <t>X</t>
        </is>
      </c>
      <c r="D942" s="29" t="n"/>
      <c r="E942" s="237">
        <f>B942*D942/10000</f>
        <v/>
      </c>
      <c r="F942" s="238">
        <f>B942/30.48</f>
        <v/>
      </c>
      <c r="G942" s="238">
        <f>D942/30.48</f>
        <v/>
      </c>
      <c r="H942" s="613" t="n"/>
      <c r="I942" s="273" t="n"/>
      <c r="J942" s="274" t="n"/>
      <c r="K942" s="275" t="n"/>
      <c r="L942" s="276" t="n"/>
      <c r="M942" s="270" t="n"/>
    </row>
    <row r="943" ht="18" customHeight="1" s="305">
      <c r="A943" s="28" t="inlineStr">
        <is>
          <t>D 1467</t>
        </is>
      </c>
      <c r="B943" s="29" t="n"/>
      <c r="C943" s="236" t="inlineStr">
        <is>
          <t>X</t>
        </is>
      </c>
      <c r="D943" s="29" t="n"/>
      <c r="E943" s="237">
        <f>B943*D943/10000</f>
        <v/>
      </c>
      <c r="F943" s="238">
        <f>B943/30.48</f>
        <v/>
      </c>
      <c r="G943" s="238">
        <f>D943/30.48</f>
        <v/>
      </c>
      <c r="H943" s="613" t="n"/>
      <c r="I943" s="273" t="n"/>
      <c r="J943" s="274" t="n"/>
      <c r="K943" s="275" t="n"/>
      <c r="L943" s="276" t="n"/>
      <c r="M943" s="270" t="n"/>
    </row>
    <row r="944" ht="18" customHeight="1" s="305">
      <c r="A944" s="28" t="inlineStr">
        <is>
          <t>D 1468</t>
        </is>
      </c>
      <c r="B944" s="29" t="n"/>
      <c r="C944" s="236" t="inlineStr">
        <is>
          <t>X</t>
        </is>
      </c>
      <c r="D944" s="29" t="n"/>
      <c r="E944" s="237">
        <f>B944*D944/10000</f>
        <v/>
      </c>
      <c r="F944" s="238">
        <f>B944/30.48</f>
        <v/>
      </c>
      <c r="G944" s="238">
        <f>D944/30.48</f>
        <v/>
      </c>
      <c r="H944" s="613" t="n"/>
      <c r="I944" s="273" t="n"/>
      <c r="J944" s="274" t="n"/>
      <c r="K944" s="275" t="n"/>
      <c r="L944" s="276" t="n"/>
      <c r="M944" s="270" t="n"/>
    </row>
    <row r="945" ht="18" customHeight="1" s="305">
      <c r="A945" s="28" t="inlineStr">
        <is>
          <t>D 1469</t>
        </is>
      </c>
      <c r="B945" s="29" t="n"/>
      <c r="C945" s="236" t="inlineStr">
        <is>
          <t>X</t>
        </is>
      </c>
      <c r="D945" s="29" t="n"/>
      <c r="E945" s="237">
        <f>B945*D945/10000</f>
        <v/>
      </c>
      <c r="F945" s="238">
        <f>B945/30.48</f>
        <v/>
      </c>
      <c r="G945" s="238">
        <f>D945/30.48</f>
        <v/>
      </c>
      <c r="H945" s="613" t="n"/>
      <c r="I945" s="273" t="n"/>
      <c r="J945" s="274" t="n"/>
      <c r="K945" s="275" t="n"/>
      <c r="L945" s="276" t="n"/>
      <c r="M945" s="270" t="n"/>
    </row>
    <row r="946" ht="18" customHeight="1" s="305">
      <c r="A946" s="28" t="inlineStr">
        <is>
          <t>D 1470</t>
        </is>
      </c>
      <c r="B946" s="29" t="n"/>
      <c r="C946" s="236" t="inlineStr">
        <is>
          <t>X</t>
        </is>
      </c>
      <c r="D946" s="29" t="n"/>
      <c r="E946" s="237">
        <f>B946*D946/10000</f>
        <v/>
      </c>
      <c r="F946" s="238">
        <f>B946/30.48</f>
        <v/>
      </c>
      <c r="G946" s="238">
        <f>D946/30.48</f>
        <v/>
      </c>
      <c r="H946" s="613" t="n"/>
      <c r="I946" s="273" t="n"/>
      <c r="J946" s="274" t="n"/>
      <c r="K946" s="275" t="n"/>
      <c r="L946" s="276" t="n"/>
      <c r="M946" s="270" t="n"/>
    </row>
    <row r="947" ht="18" customHeight="1" s="305">
      <c r="A947" s="28" t="inlineStr">
        <is>
          <t>D 1471</t>
        </is>
      </c>
      <c r="B947" s="29" t="n"/>
      <c r="C947" s="236" t="inlineStr">
        <is>
          <t>X</t>
        </is>
      </c>
      <c r="D947" s="29" t="n"/>
      <c r="E947" s="237">
        <f>B947*D947/10000</f>
        <v/>
      </c>
      <c r="F947" s="238">
        <f>B947/30.48</f>
        <v/>
      </c>
      <c r="G947" s="238">
        <f>D947/30.48</f>
        <v/>
      </c>
      <c r="H947" s="613" t="n"/>
      <c r="I947" s="273" t="n"/>
      <c r="J947" s="274" t="n"/>
      <c r="K947" s="275" t="n"/>
      <c r="L947" s="276" t="n"/>
      <c r="M947" s="270" t="n"/>
    </row>
    <row r="948" ht="18" customHeight="1" s="305">
      <c r="A948" s="28" t="inlineStr">
        <is>
          <t>D 1472</t>
        </is>
      </c>
      <c r="B948" s="29" t="n"/>
      <c r="C948" s="236" t="inlineStr">
        <is>
          <t>X</t>
        </is>
      </c>
      <c r="D948" s="29" t="n"/>
      <c r="E948" s="237">
        <f>B948*D948/10000</f>
        <v/>
      </c>
      <c r="F948" s="238">
        <f>B948/30.48</f>
        <v/>
      </c>
      <c r="G948" s="238">
        <f>D948/30.48</f>
        <v/>
      </c>
      <c r="H948" s="613" t="n"/>
      <c r="I948" s="273" t="n"/>
      <c r="J948" s="274" t="n"/>
      <c r="K948" s="275" t="n"/>
      <c r="L948" s="276" t="n"/>
      <c r="M948" s="270" t="n"/>
    </row>
    <row r="949" ht="18" customHeight="1" s="305">
      <c r="A949" s="28" t="inlineStr">
        <is>
          <t>D 1473</t>
        </is>
      </c>
      <c r="B949" s="29" t="n"/>
      <c r="C949" s="236" t="inlineStr">
        <is>
          <t>X</t>
        </is>
      </c>
      <c r="D949" s="29" t="n"/>
      <c r="E949" s="237">
        <f>B949*D949/10000</f>
        <v/>
      </c>
      <c r="F949" s="238">
        <f>B949/30.48</f>
        <v/>
      </c>
      <c r="G949" s="238">
        <f>D949/30.48</f>
        <v/>
      </c>
      <c r="H949" s="613" t="n"/>
      <c r="I949" s="273" t="n"/>
      <c r="J949" s="274" t="n"/>
      <c r="K949" s="275" t="n"/>
      <c r="L949" s="276" t="n"/>
      <c r="M949" s="270" t="n"/>
    </row>
    <row r="950" ht="18" customHeight="1" s="305">
      <c r="A950" s="28" t="inlineStr">
        <is>
          <t>D 1474</t>
        </is>
      </c>
      <c r="B950" s="29" t="n"/>
      <c r="C950" s="236" t="inlineStr">
        <is>
          <t>X</t>
        </is>
      </c>
      <c r="D950" s="29" t="n"/>
      <c r="E950" s="237">
        <f>B950*D950/10000</f>
        <v/>
      </c>
      <c r="F950" s="238">
        <f>B950/30.48</f>
        <v/>
      </c>
      <c r="G950" s="238">
        <f>D950/30.48</f>
        <v/>
      </c>
      <c r="H950" s="613" t="n"/>
      <c r="I950" s="273" t="n"/>
      <c r="J950" s="274" t="n"/>
      <c r="K950" s="275" t="n"/>
      <c r="L950" s="276" t="n"/>
      <c r="M950" s="270" t="n"/>
    </row>
    <row r="951" ht="18" customHeight="1" s="305">
      <c r="A951" s="28" t="inlineStr">
        <is>
          <t>D 1475</t>
        </is>
      </c>
      <c r="B951" s="29" t="n"/>
      <c r="C951" s="236" t="inlineStr">
        <is>
          <t>X</t>
        </is>
      </c>
      <c r="D951" s="29" t="n"/>
      <c r="E951" s="237">
        <f>B951*D951/10000</f>
        <v/>
      </c>
      <c r="F951" s="238">
        <f>B951/30.48</f>
        <v/>
      </c>
      <c r="G951" s="238">
        <f>D951/30.48</f>
        <v/>
      </c>
      <c r="H951" s="613" t="n"/>
      <c r="I951" s="273" t="n"/>
      <c r="J951" s="274" t="n"/>
      <c r="K951" s="275" t="n"/>
      <c r="L951" s="276" t="n"/>
      <c r="M951" s="270" t="n"/>
    </row>
    <row r="952" ht="18" customHeight="1" s="305">
      <c r="A952" s="28" t="inlineStr">
        <is>
          <t>D 1476</t>
        </is>
      </c>
      <c r="B952" s="29" t="n"/>
      <c r="C952" s="236" t="inlineStr">
        <is>
          <t>X</t>
        </is>
      </c>
      <c r="D952" s="29" t="n"/>
      <c r="E952" s="237">
        <f>B952*D952/10000</f>
        <v/>
      </c>
      <c r="F952" s="238">
        <f>B952/30.48</f>
        <v/>
      </c>
      <c r="G952" s="238">
        <f>D952/30.48</f>
        <v/>
      </c>
      <c r="H952" s="613" t="n"/>
      <c r="I952" s="273" t="n"/>
      <c r="J952" s="274" t="n"/>
      <c r="K952" s="275" t="n"/>
      <c r="L952" s="276" t="n"/>
      <c r="M952" s="270" t="n"/>
    </row>
    <row r="953" ht="18" customHeight="1" s="305">
      <c r="A953" s="28" t="inlineStr">
        <is>
          <t>D 1477</t>
        </is>
      </c>
      <c r="B953" s="29" t="n"/>
      <c r="C953" s="236" t="inlineStr">
        <is>
          <t>X</t>
        </is>
      </c>
      <c r="D953" s="29" t="n"/>
      <c r="E953" s="237">
        <f>B953*D953/10000</f>
        <v/>
      </c>
      <c r="F953" s="238">
        <f>B953/30.48</f>
        <v/>
      </c>
      <c r="G953" s="238">
        <f>D953/30.48</f>
        <v/>
      </c>
      <c r="H953" s="613" t="n"/>
      <c r="I953" s="273" t="n"/>
      <c r="J953" s="274" t="n"/>
      <c r="K953" s="275" t="n"/>
      <c r="L953" s="276" t="n"/>
      <c r="M953" s="270" t="n"/>
    </row>
    <row r="954" ht="18" customHeight="1" s="305">
      <c r="A954" s="28" t="inlineStr">
        <is>
          <t>D 1478</t>
        </is>
      </c>
      <c r="B954" s="29" t="n"/>
      <c r="C954" s="236" t="inlineStr">
        <is>
          <t>X</t>
        </is>
      </c>
      <c r="D954" s="29" t="n"/>
      <c r="E954" s="237">
        <f>B954*D954/10000</f>
        <v/>
      </c>
      <c r="F954" s="238">
        <f>B954/30.48</f>
        <v/>
      </c>
      <c r="G954" s="238">
        <f>D954/30.48</f>
        <v/>
      </c>
      <c r="H954" s="613" t="n"/>
      <c r="I954" s="273" t="n"/>
      <c r="J954" s="274" t="n"/>
      <c r="K954" s="275" t="n"/>
      <c r="L954" s="276" t="n"/>
      <c r="M954" s="270" t="n"/>
    </row>
    <row r="955" ht="18" customHeight="1" s="305">
      <c r="A955" s="28" t="inlineStr">
        <is>
          <t>D 1479</t>
        </is>
      </c>
      <c r="B955" s="29" t="n"/>
      <c r="C955" s="236" t="inlineStr">
        <is>
          <t>X</t>
        </is>
      </c>
      <c r="D955" s="29" t="n"/>
      <c r="E955" s="237">
        <f>B955*D955/10000</f>
        <v/>
      </c>
      <c r="F955" s="238">
        <f>B955/30.48</f>
        <v/>
      </c>
      <c r="G955" s="238">
        <f>D955/30.48</f>
        <v/>
      </c>
      <c r="H955" s="613" t="n"/>
      <c r="I955" s="273" t="n"/>
      <c r="J955" s="274" t="n"/>
      <c r="K955" s="275" t="n"/>
      <c r="L955" s="276" t="n"/>
      <c r="M955" s="270" t="n"/>
    </row>
    <row r="956" ht="18" customHeight="1" s="305">
      <c r="A956" s="28" t="inlineStr">
        <is>
          <t>D 1480</t>
        </is>
      </c>
      <c r="B956" s="29" t="n"/>
      <c r="C956" s="236" t="inlineStr">
        <is>
          <t>X</t>
        </is>
      </c>
      <c r="D956" s="29" t="n"/>
      <c r="E956" s="237">
        <f>B956*D956/10000</f>
        <v/>
      </c>
      <c r="F956" s="238">
        <f>B956/30.48</f>
        <v/>
      </c>
      <c r="G956" s="238">
        <f>D956/30.48</f>
        <v/>
      </c>
      <c r="H956" s="613" t="n"/>
      <c r="I956" s="273" t="n"/>
      <c r="J956" s="274" t="n"/>
      <c r="K956" s="275" t="n"/>
      <c r="L956" s="276" t="n"/>
      <c r="M956" s="270" t="n"/>
    </row>
    <row r="957" ht="18" customHeight="1" s="305">
      <c r="A957" s="28" t="inlineStr">
        <is>
          <t>D 1481</t>
        </is>
      </c>
      <c r="B957" s="29" t="n"/>
      <c r="C957" s="236" t="inlineStr">
        <is>
          <t>X</t>
        </is>
      </c>
      <c r="D957" s="29" t="n"/>
      <c r="E957" s="237">
        <f>B957*D957/10000</f>
        <v/>
      </c>
      <c r="F957" s="238">
        <f>B957/30.48</f>
        <v/>
      </c>
      <c r="G957" s="238">
        <f>D957/30.48</f>
        <v/>
      </c>
      <c r="H957" s="613" t="n"/>
      <c r="I957" s="273" t="n"/>
      <c r="J957" s="274" t="n"/>
      <c r="K957" s="275" t="n"/>
      <c r="L957" s="276" t="n"/>
      <c r="M957" s="270" t="n"/>
    </row>
    <row r="958" ht="18" customHeight="1" s="305">
      <c r="A958" s="28" t="inlineStr">
        <is>
          <t>D 1482</t>
        </is>
      </c>
      <c r="B958" s="29" t="n"/>
      <c r="C958" s="236" t="inlineStr">
        <is>
          <t>X</t>
        </is>
      </c>
      <c r="D958" s="29" t="n"/>
      <c r="E958" s="237">
        <f>B958*D958/10000</f>
        <v/>
      </c>
      <c r="F958" s="238">
        <f>B958/30.48</f>
        <v/>
      </c>
      <c r="G958" s="238">
        <f>D958/30.48</f>
        <v/>
      </c>
      <c r="H958" s="613" t="n"/>
      <c r="I958" s="273" t="n"/>
      <c r="J958" s="274" t="n"/>
      <c r="K958" s="275" t="n"/>
      <c r="L958" s="276" t="n"/>
      <c r="M958" s="270" t="n"/>
    </row>
    <row r="959" ht="18" customHeight="1" s="305">
      <c r="A959" s="28" t="inlineStr">
        <is>
          <t>D 1483</t>
        </is>
      </c>
      <c r="B959" s="29" t="n"/>
      <c r="C959" s="236" t="inlineStr">
        <is>
          <t>X</t>
        </is>
      </c>
      <c r="D959" s="29" t="n"/>
      <c r="E959" s="237">
        <f>B959*D959/10000</f>
        <v/>
      </c>
      <c r="F959" s="238">
        <f>B959/30.48</f>
        <v/>
      </c>
      <c r="G959" s="238">
        <f>D959/30.48</f>
        <v/>
      </c>
      <c r="H959" s="613" t="n"/>
      <c r="I959" s="273" t="n"/>
      <c r="J959" s="274" t="n"/>
      <c r="K959" s="275" t="n"/>
      <c r="L959" s="276" t="n"/>
      <c r="M959" s="270" t="n"/>
    </row>
    <row r="960" ht="18" customHeight="1" s="305">
      <c r="A960" s="28" t="inlineStr">
        <is>
          <t>D 1484</t>
        </is>
      </c>
      <c r="B960" s="29" t="n"/>
      <c r="C960" s="236" t="inlineStr">
        <is>
          <t>X</t>
        </is>
      </c>
      <c r="D960" s="29" t="n"/>
      <c r="E960" s="237">
        <f>B960*D960/10000</f>
        <v/>
      </c>
      <c r="F960" s="238">
        <f>B960/30.48</f>
        <v/>
      </c>
      <c r="G960" s="238">
        <f>D960/30.48</f>
        <v/>
      </c>
      <c r="H960" s="613" t="n"/>
      <c r="I960" s="273" t="n"/>
      <c r="J960" s="274" t="n"/>
      <c r="K960" s="275" t="n"/>
      <c r="L960" s="276" t="n"/>
      <c r="M960" s="270" t="n"/>
    </row>
    <row r="961" ht="18" customHeight="1" s="305">
      <c r="A961" s="28" t="inlineStr">
        <is>
          <t>D 1485</t>
        </is>
      </c>
      <c r="B961" s="29" t="n"/>
      <c r="C961" s="236" t="inlineStr">
        <is>
          <t>X</t>
        </is>
      </c>
      <c r="D961" s="29" t="n"/>
      <c r="E961" s="237">
        <f>B961*D961/10000</f>
        <v/>
      </c>
      <c r="F961" s="238">
        <f>B961/30.48</f>
        <v/>
      </c>
      <c r="G961" s="238">
        <f>D961/30.48</f>
        <v/>
      </c>
      <c r="H961" s="613" t="n"/>
      <c r="I961" s="273" t="n"/>
      <c r="J961" s="274" t="n"/>
      <c r="K961" s="275" t="n"/>
      <c r="L961" s="276" t="n"/>
      <c r="M961" s="270" t="n"/>
    </row>
    <row r="962" ht="18" customHeight="1" s="305">
      <c r="A962" s="28" t="inlineStr">
        <is>
          <t>D 1486</t>
        </is>
      </c>
      <c r="B962" s="29" t="n"/>
      <c r="C962" s="236" t="inlineStr">
        <is>
          <t>X</t>
        </is>
      </c>
      <c r="D962" s="29" t="n"/>
      <c r="E962" s="237">
        <f>B962*D962/10000</f>
        <v/>
      </c>
      <c r="F962" s="238">
        <f>B962/30.48</f>
        <v/>
      </c>
      <c r="G962" s="238">
        <f>D962/30.48</f>
        <v/>
      </c>
      <c r="H962" s="613" t="n"/>
      <c r="I962" s="273" t="n"/>
      <c r="J962" s="274" t="n"/>
      <c r="K962" s="275" t="n"/>
      <c r="L962" s="276" t="n"/>
      <c r="M962" s="270" t="n"/>
    </row>
    <row r="963" ht="18" customHeight="1" s="305">
      <c r="A963" s="28" t="inlineStr">
        <is>
          <t>D 1487</t>
        </is>
      </c>
      <c r="B963" s="29" t="n"/>
      <c r="C963" s="236" t="inlineStr">
        <is>
          <t>X</t>
        </is>
      </c>
      <c r="D963" s="29" t="n"/>
      <c r="E963" s="237">
        <f>B963*D963/10000</f>
        <v/>
      </c>
      <c r="F963" s="238">
        <f>B963/30.48</f>
        <v/>
      </c>
      <c r="G963" s="238">
        <f>D963/30.48</f>
        <v/>
      </c>
      <c r="H963" s="613" t="n"/>
      <c r="I963" s="273" t="n"/>
      <c r="J963" s="274" t="n"/>
      <c r="K963" s="275" t="n"/>
      <c r="L963" s="276" t="n"/>
      <c r="M963" s="270" t="n"/>
    </row>
    <row r="964" ht="18" customHeight="1" s="305">
      <c r="A964" s="28" t="inlineStr">
        <is>
          <t>D 1488</t>
        </is>
      </c>
      <c r="B964" s="29" t="n"/>
      <c r="C964" s="236" t="inlineStr">
        <is>
          <t>X</t>
        </is>
      </c>
      <c r="D964" s="29" t="n"/>
      <c r="E964" s="237">
        <f>B964*D964/10000</f>
        <v/>
      </c>
      <c r="F964" s="238">
        <f>B964/30.48</f>
        <v/>
      </c>
      <c r="G964" s="238">
        <f>D964/30.48</f>
        <v/>
      </c>
      <c r="H964" s="613" t="n"/>
      <c r="I964" s="273" t="n"/>
      <c r="J964" s="274" t="n"/>
      <c r="K964" s="275" t="n"/>
      <c r="L964" s="276" t="n"/>
      <c r="M964" s="270" t="n"/>
    </row>
    <row r="965" ht="18" customHeight="1" s="305">
      <c r="A965" s="28" t="inlineStr">
        <is>
          <t>D 1489</t>
        </is>
      </c>
      <c r="B965" s="29" t="n"/>
      <c r="C965" s="236" t="inlineStr">
        <is>
          <t>X</t>
        </is>
      </c>
      <c r="D965" s="29" t="n"/>
      <c r="E965" s="237">
        <f>B965*D965/10000</f>
        <v/>
      </c>
      <c r="F965" s="238">
        <f>B965/30.48</f>
        <v/>
      </c>
      <c r="G965" s="238">
        <f>D965/30.48</f>
        <v/>
      </c>
      <c r="H965" s="613" t="n"/>
      <c r="I965" s="273" t="n"/>
      <c r="J965" s="274" t="n"/>
      <c r="K965" s="275" t="n"/>
      <c r="L965" s="276" t="n"/>
      <c r="M965" s="270" t="n"/>
    </row>
    <row r="966" ht="18" customHeight="1" s="305">
      <c r="A966" s="28" t="inlineStr">
        <is>
          <t>D 1490</t>
        </is>
      </c>
      <c r="B966" s="29" t="n"/>
      <c r="C966" s="236" t="inlineStr">
        <is>
          <t>X</t>
        </is>
      </c>
      <c r="D966" s="29" t="n"/>
      <c r="E966" s="237">
        <f>B966*D966/10000</f>
        <v/>
      </c>
      <c r="F966" s="238">
        <f>B966/30.48</f>
        <v/>
      </c>
      <c r="G966" s="238">
        <f>D966/30.48</f>
        <v/>
      </c>
      <c r="H966" s="613" t="n"/>
      <c r="I966" s="273" t="n"/>
      <c r="J966" s="274" t="n"/>
      <c r="K966" s="275" t="n"/>
      <c r="L966" s="276" t="n"/>
      <c r="M966" s="270" t="n"/>
    </row>
    <row r="967" ht="18" customHeight="1" s="305">
      <c r="A967" s="28" t="inlineStr">
        <is>
          <t>D 1491</t>
        </is>
      </c>
      <c r="B967" s="29" t="n"/>
      <c r="C967" s="236" t="inlineStr">
        <is>
          <t>X</t>
        </is>
      </c>
      <c r="D967" s="29" t="n"/>
      <c r="E967" s="237">
        <f>B967*D967/10000</f>
        <v/>
      </c>
      <c r="F967" s="238">
        <f>B967/30.48</f>
        <v/>
      </c>
      <c r="G967" s="238">
        <f>D967/30.48</f>
        <v/>
      </c>
      <c r="H967" s="613" t="n"/>
      <c r="I967" s="273" t="n"/>
      <c r="J967" s="274" t="n"/>
      <c r="K967" s="275" t="n"/>
      <c r="L967" s="276" t="n"/>
      <c r="M967" s="270" t="n"/>
    </row>
    <row r="968" ht="18" customHeight="1" s="305">
      <c r="A968" s="28" t="inlineStr">
        <is>
          <t>D 1492</t>
        </is>
      </c>
      <c r="B968" s="29" t="n"/>
      <c r="C968" s="236" t="inlineStr">
        <is>
          <t>X</t>
        </is>
      </c>
      <c r="D968" s="29" t="n"/>
      <c r="E968" s="237">
        <f>B968*D968/10000</f>
        <v/>
      </c>
      <c r="F968" s="238">
        <f>B968/30.48</f>
        <v/>
      </c>
      <c r="G968" s="238">
        <f>D968/30.48</f>
        <v/>
      </c>
      <c r="H968" s="613" t="n"/>
      <c r="I968" s="273" t="n"/>
      <c r="J968" s="274" t="n"/>
      <c r="K968" s="275" t="n"/>
      <c r="L968" s="276" t="n"/>
      <c r="M968" s="270" t="n"/>
    </row>
    <row r="969" ht="18" customHeight="1" s="305">
      <c r="A969" s="28" t="inlineStr">
        <is>
          <t>D 1493</t>
        </is>
      </c>
      <c r="B969" s="29" t="n"/>
      <c r="C969" s="236" t="inlineStr">
        <is>
          <t>X</t>
        </is>
      </c>
      <c r="D969" s="29" t="n"/>
      <c r="E969" s="237">
        <f>B969*D969/10000</f>
        <v/>
      </c>
      <c r="F969" s="238">
        <f>B969/30.48</f>
        <v/>
      </c>
      <c r="G969" s="238">
        <f>D969/30.48</f>
        <v/>
      </c>
      <c r="H969" s="613" t="n"/>
      <c r="I969" s="273" t="n"/>
      <c r="J969" s="274" t="n"/>
      <c r="K969" s="275" t="n"/>
      <c r="L969" s="276" t="n"/>
      <c r="M969" s="270" t="n"/>
    </row>
    <row r="970" ht="18" customHeight="1" s="305">
      <c r="A970" s="28" t="inlineStr">
        <is>
          <t>D 1494</t>
        </is>
      </c>
      <c r="B970" s="29" t="n"/>
      <c r="C970" s="236" t="inlineStr">
        <is>
          <t>X</t>
        </is>
      </c>
      <c r="D970" s="29" t="n"/>
      <c r="E970" s="237">
        <f>B970*D970/10000</f>
        <v/>
      </c>
      <c r="F970" s="238">
        <f>B970/30.48</f>
        <v/>
      </c>
      <c r="G970" s="238">
        <f>D970/30.48</f>
        <v/>
      </c>
      <c r="H970" s="613" t="n"/>
      <c r="I970" s="273" t="n"/>
      <c r="J970" s="274" t="n"/>
      <c r="K970" s="275" t="n"/>
      <c r="L970" s="276" t="n"/>
      <c r="M970" s="270" t="n"/>
    </row>
    <row r="971" ht="18" customHeight="1" s="305">
      <c r="A971" s="28" t="inlineStr">
        <is>
          <t>D 1495</t>
        </is>
      </c>
      <c r="B971" s="29" t="n"/>
      <c r="C971" s="236" t="inlineStr">
        <is>
          <t>X</t>
        </is>
      </c>
      <c r="D971" s="29" t="n"/>
      <c r="E971" s="237">
        <f>B971*D971/10000</f>
        <v/>
      </c>
      <c r="F971" s="238">
        <f>B971/30.48</f>
        <v/>
      </c>
      <c r="G971" s="238">
        <f>D971/30.48</f>
        <v/>
      </c>
      <c r="H971" s="613" t="n"/>
      <c r="I971" s="273" t="n"/>
      <c r="J971" s="274" t="n"/>
      <c r="K971" s="275" t="n"/>
      <c r="L971" s="276" t="n"/>
      <c r="M971" s="270" t="n"/>
    </row>
    <row r="972" ht="18" customHeight="1" s="305">
      <c r="A972" s="28" t="inlineStr">
        <is>
          <t>D 1496</t>
        </is>
      </c>
      <c r="B972" s="29" t="n"/>
      <c r="C972" s="236" t="inlineStr">
        <is>
          <t>X</t>
        </is>
      </c>
      <c r="D972" s="29" t="n"/>
      <c r="E972" s="237">
        <f>B972*D972/10000</f>
        <v/>
      </c>
      <c r="F972" s="238">
        <f>B972/30.48</f>
        <v/>
      </c>
      <c r="G972" s="238">
        <f>D972/30.48</f>
        <v/>
      </c>
      <c r="H972" s="613" t="n"/>
      <c r="I972" s="273" t="n"/>
      <c r="J972" s="274" t="n"/>
      <c r="K972" s="275" t="n"/>
      <c r="L972" s="276" t="n"/>
      <c r="M972" s="270" t="n"/>
    </row>
    <row r="973" ht="18" customHeight="1" s="305">
      <c r="A973" s="28" t="inlineStr">
        <is>
          <t>D 1497</t>
        </is>
      </c>
      <c r="B973" s="29" t="n"/>
      <c r="C973" s="236" t="inlineStr">
        <is>
          <t>X</t>
        </is>
      </c>
      <c r="D973" s="29" t="n"/>
      <c r="E973" s="237">
        <f>B973*D973/10000</f>
        <v/>
      </c>
      <c r="F973" s="238">
        <f>B973/30.48</f>
        <v/>
      </c>
      <c r="G973" s="238">
        <f>D973/30.48</f>
        <v/>
      </c>
      <c r="H973" s="613" t="n"/>
      <c r="I973" s="273" t="n"/>
      <c r="J973" s="274" t="n"/>
      <c r="K973" s="275" t="n"/>
      <c r="L973" s="276" t="n"/>
      <c r="M973" s="270" t="n"/>
    </row>
    <row r="974" ht="18" customHeight="1" s="305">
      <c r="A974" s="28" t="inlineStr">
        <is>
          <t>D 1498</t>
        </is>
      </c>
      <c r="B974" s="29" t="n"/>
      <c r="C974" s="236" t="inlineStr">
        <is>
          <t>X</t>
        </is>
      </c>
      <c r="D974" s="29" t="n"/>
      <c r="E974" s="237">
        <f>B974*D974/10000</f>
        <v/>
      </c>
      <c r="F974" s="238">
        <f>B974/30.48</f>
        <v/>
      </c>
      <c r="G974" s="238">
        <f>D974/30.48</f>
        <v/>
      </c>
      <c r="H974" s="613" t="n"/>
      <c r="I974" s="273" t="n"/>
      <c r="J974" s="274" t="n"/>
      <c r="K974" s="275" t="n"/>
      <c r="L974" s="276" t="n"/>
      <c r="M974" s="270" t="n"/>
    </row>
    <row r="975" ht="18" customHeight="1" s="305">
      <c r="A975" s="28" t="inlineStr">
        <is>
          <t>D 1499</t>
        </is>
      </c>
      <c r="B975" s="29" t="n"/>
      <c r="C975" s="236" t="inlineStr">
        <is>
          <t>X</t>
        </is>
      </c>
      <c r="D975" s="29" t="n"/>
      <c r="E975" s="237">
        <f>B975*D975/10000</f>
        <v/>
      </c>
      <c r="F975" s="238">
        <f>B975/30.48</f>
        <v/>
      </c>
      <c r="G975" s="238">
        <f>D975/30.48</f>
        <v/>
      </c>
      <c r="H975" s="613" t="n"/>
      <c r="I975" s="273" t="n"/>
      <c r="J975" s="274" t="n"/>
      <c r="K975" s="275" t="n"/>
      <c r="L975" s="276" t="n"/>
      <c r="M975" s="270" t="n"/>
    </row>
    <row r="976" ht="18" customHeight="1" s="305">
      <c r="A976" s="28" t="inlineStr">
        <is>
          <t>D 1500</t>
        </is>
      </c>
      <c r="B976" s="29" t="n"/>
      <c r="C976" s="236" t="inlineStr">
        <is>
          <t>X</t>
        </is>
      </c>
      <c r="D976" s="29" t="n"/>
      <c r="E976" s="237">
        <f>B976*D976/10000</f>
        <v/>
      </c>
      <c r="F976" s="238">
        <f>B976/30.48</f>
        <v/>
      </c>
      <c r="G976" s="238">
        <f>D976/30.48</f>
        <v/>
      </c>
      <c r="H976" s="613" t="n"/>
      <c r="I976" s="273" t="n"/>
      <c r="J976" s="274" t="n"/>
      <c r="K976" s="275" t="n"/>
      <c r="L976" s="276" t="n"/>
      <c r="M976" s="270" t="n"/>
    </row>
    <row r="977" ht="18" customHeight="1" s="305">
      <c r="A977" s="28" t="inlineStr">
        <is>
          <t>D 1501</t>
        </is>
      </c>
      <c r="B977" s="29" t="n"/>
      <c r="C977" s="236" t="inlineStr">
        <is>
          <t>X</t>
        </is>
      </c>
      <c r="D977" s="29" t="n"/>
      <c r="E977" s="237">
        <f>B977*D977/10000</f>
        <v/>
      </c>
      <c r="F977" s="238">
        <f>B977/30.48</f>
        <v/>
      </c>
      <c r="G977" s="238">
        <f>D977/30.48</f>
        <v/>
      </c>
      <c r="H977" s="613" t="n"/>
      <c r="I977" s="273" t="n"/>
      <c r="J977" s="274" t="n"/>
      <c r="K977" s="275" t="n"/>
      <c r="L977" s="276" t="n"/>
      <c r="M977" s="270" t="n"/>
    </row>
    <row r="978" ht="18" customHeight="1" s="305">
      <c r="A978" s="28" t="inlineStr">
        <is>
          <t>D 1502</t>
        </is>
      </c>
      <c r="B978" s="29" t="n"/>
      <c r="C978" s="236" t="inlineStr">
        <is>
          <t>X</t>
        </is>
      </c>
      <c r="D978" s="29" t="n"/>
      <c r="E978" s="237">
        <f>B978*D978/10000</f>
        <v/>
      </c>
      <c r="F978" s="238">
        <f>B978/30.48</f>
        <v/>
      </c>
      <c r="G978" s="238">
        <f>D978/30.48</f>
        <v/>
      </c>
      <c r="H978" s="613" t="n"/>
      <c r="I978" s="273" t="n"/>
      <c r="J978" s="274" t="n"/>
      <c r="K978" s="275" t="n"/>
      <c r="L978" s="276" t="n"/>
      <c r="M978" s="270" t="n"/>
    </row>
    <row r="979" ht="18" customHeight="1" s="305">
      <c r="A979" s="28" t="inlineStr">
        <is>
          <t>D 1503</t>
        </is>
      </c>
      <c r="B979" s="29" t="n"/>
      <c r="C979" s="236" t="inlineStr">
        <is>
          <t>X</t>
        </is>
      </c>
      <c r="D979" s="29" t="n"/>
      <c r="E979" s="237">
        <f>B979*D979/10000</f>
        <v/>
      </c>
      <c r="F979" s="238">
        <f>B979/30.48</f>
        <v/>
      </c>
      <c r="G979" s="238">
        <f>D979/30.48</f>
        <v/>
      </c>
      <c r="H979" s="613" t="n"/>
      <c r="I979" s="273" t="n"/>
      <c r="J979" s="274" t="n"/>
      <c r="K979" s="275" t="n"/>
      <c r="L979" s="276" t="n"/>
      <c r="M979" s="270" t="n"/>
    </row>
    <row r="980" ht="18" customHeight="1" s="305">
      <c r="A980" s="28" t="inlineStr">
        <is>
          <t>D 1504</t>
        </is>
      </c>
      <c r="B980" s="29" t="n"/>
      <c r="C980" s="236" t="inlineStr">
        <is>
          <t>X</t>
        </is>
      </c>
      <c r="D980" s="29" t="n"/>
      <c r="E980" s="237">
        <f>B980*D980/10000</f>
        <v/>
      </c>
      <c r="F980" s="238">
        <f>B980/30.48</f>
        <v/>
      </c>
      <c r="G980" s="238">
        <f>D980/30.48</f>
        <v/>
      </c>
      <c r="H980" s="613" t="n"/>
      <c r="I980" s="273" t="n"/>
      <c r="J980" s="274" t="n"/>
      <c r="K980" s="275" t="n"/>
      <c r="L980" s="276" t="n"/>
      <c r="M980" s="270" t="n"/>
    </row>
    <row r="981" ht="18" customHeight="1" s="305">
      <c r="A981" s="28" t="inlineStr">
        <is>
          <t>D 1505</t>
        </is>
      </c>
      <c r="B981" s="29" t="n"/>
      <c r="C981" s="236" t="inlineStr">
        <is>
          <t>X</t>
        </is>
      </c>
      <c r="D981" s="29" t="n"/>
      <c r="E981" s="237">
        <f>B981*D981/10000</f>
        <v/>
      </c>
      <c r="F981" s="238">
        <f>B981/30.48</f>
        <v/>
      </c>
      <c r="G981" s="238">
        <f>D981/30.48</f>
        <v/>
      </c>
      <c r="H981" s="613" t="n"/>
      <c r="I981" s="273" t="n"/>
      <c r="J981" s="274" t="n"/>
      <c r="K981" s="275" t="n"/>
      <c r="L981" s="276" t="n"/>
      <c r="M981" s="270" t="n"/>
    </row>
    <row r="982" ht="18" customHeight="1" s="305">
      <c r="A982" s="28" t="inlineStr">
        <is>
          <t>D 1506</t>
        </is>
      </c>
      <c r="B982" s="29" t="n"/>
      <c r="C982" s="236" t="inlineStr">
        <is>
          <t>X</t>
        </is>
      </c>
      <c r="D982" s="29" t="n"/>
      <c r="E982" s="237">
        <f>B982*D982/10000</f>
        <v/>
      </c>
      <c r="F982" s="238">
        <f>B982/30.48</f>
        <v/>
      </c>
      <c r="G982" s="238">
        <f>D982/30.48</f>
        <v/>
      </c>
      <c r="H982" s="613" t="n"/>
      <c r="I982" s="273" t="n"/>
      <c r="J982" s="274" t="n"/>
      <c r="K982" s="275" t="n"/>
      <c r="L982" s="276" t="n"/>
      <c r="M982" s="270" t="n"/>
    </row>
    <row r="983" ht="18" customHeight="1" s="305">
      <c r="A983" s="28" t="inlineStr">
        <is>
          <t>D 1507</t>
        </is>
      </c>
      <c r="B983" s="29" t="n"/>
      <c r="C983" s="236" t="inlineStr">
        <is>
          <t>X</t>
        </is>
      </c>
      <c r="D983" s="29" t="n"/>
      <c r="E983" s="237">
        <f>B983*D983/10000</f>
        <v/>
      </c>
      <c r="F983" s="238">
        <f>B983/30.48</f>
        <v/>
      </c>
      <c r="G983" s="238">
        <f>D983/30.48</f>
        <v/>
      </c>
      <c r="H983" s="613" t="n"/>
      <c r="I983" s="273" t="n"/>
      <c r="J983" s="274" t="n"/>
      <c r="K983" s="275" t="n"/>
      <c r="L983" s="276" t="n"/>
      <c r="M983" s="270" t="n"/>
    </row>
    <row r="984" ht="18" customHeight="1" s="305">
      <c r="A984" s="28" t="inlineStr">
        <is>
          <t>D 1508</t>
        </is>
      </c>
      <c r="B984" s="29" t="n"/>
      <c r="C984" s="236" t="inlineStr">
        <is>
          <t>X</t>
        </is>
      </c>
      <c r="D984" s="29" t="n"/>
      <c r="E984" s="237">
        <f>B984*D984/10000</f>
        <v/>
      </c>
      <c r="F984" s="238">
        <f>B984/30.48</f>
        <v/>
      </c>
      <c r="G984" s="238">
        <f>D984/30.48</f>
        <v/>
      </c>
      <c r="H984" s="613" t="n"/>
      <c r="I984" s="273" t="n"/>
      <c r="J984" s="274" t="n"/>
      <c r="K984" s="275" t="n"/>
      <c r="L984" s="276" t="n"/>
      <c r="M984" s="270" t="n"/>
    </row>
    <row r="985" ht="18" customHeight="1" s="305">
      <c r="A985" s="28" t="inlineStr">
        <is>
          <t>D 1509</t>
        </is>
      </c>
      <c r="B985" s="29" t="n"/>
      <c r="C985" s="236" t="inlineStr">
        <is>
          <t>X</t>
        </is>
      </c>
      <c r="D985" s="29" t="n"/>
      <c r="E985" s="237">
        <f>B985*D985/10000</f>
        <v/>
      </c>
      <c r="F985" s="238">
        <f>B985/30.48</f>
        <v/>
      </c>
      <c r="G985" s="238">
        <f>D985/30.48</f>
        <v/>
      </c>
      <c r="H985" s="613" t="n"/>
      <c r="I985" s="273" t="n"/>
      <c r="J985" s="274" t="n"/>
      <c r="K985" s="275" t="n"/>
      <c r="L985" s="276" t="n"/>
      <c r="M985" s="270" t="n"/>
    </row>
    <row r="986" ht="18" customHeight="1" s="305">
      <c r="A986" s="28" t="inlineStr">
        <is>
          <t>D 1510</t>
        </is>
      </c>
      <c r="B986" s="29" t="n"/>
      <c r="C986" s="236" t="inlineStr">
        <is>
          <t>X</t>
        </is>
      </c>
      <c r="D986" s="29" t="n"/>
      <c r="E986" s="237">
        <f>B986*D986/10000</f>
        <v/>
      </c>
      <c r="F986" s="238">
        <f>B986/30.48</f>
        <v/>
      </c>
      <c r="G986" s="238">
        <f>D986/30.48</f>
        <v/>
      </c>
      <c r="H986" s="613" t="n"/>
      <c r="I986" s="273" t="n"/>
      <c r="J986" s="274" t="n"/>
      <c r="K986" s="275" t="n"/>
      <c r="L986" s="276" t="n"/>
      <c r="M986" s="270" t="n"/>
    </row>
    <row r="987" ht="18" customHeight="1" s="305">
      <c r="A987" s="28" t="inlineStr">
        <is>
          <t>D 1511</t>
        </is>
      </c>
      <c r="B987" s="29" t="n"/>
      <c r="C987" s="236" t="inlineStr">
        <is>
          <t>X</t>
        </is>
      </c>
      <c r="D987" s="29" t="n"/>
      <c r="E987" s="237">
        <f>B987*D987/10000</f>
        <v/>
      </c>
      <c r="F987" s="238">
        <f>B987/30.48</f>
        <v/>
      </c>
      <c r="G987" s="238">
        <f>D987/30.48</f>
        <v/>
      </c>
      <c r="H987" s="613" t="n"/>
      <c r="I987" s="273" t="n"/>
      <c r="J987" s="274" t="n"/>
      <c r="K987" s="275" t="n"/>
      <c r="L987" s="276" t="n"/>
      <c r="M987" s="270" t="n"/>
    </row>
    <row r="988" ht="18" customHeight="1" s="305">
      <c r="A988" s="28" t="inlineStr">
        <is>
          <t>D 1512</t>
        </is>
      </c>
      <c r="B988" s="29" t="n"/>
      <c r="C988" s="236" t="inlineStr">
        <is>
          <t>X</t>
        </is>
      </c>
      <c r="D988" s="29" t="n"/>
      <c r="E988" s="237">
        <f>B988*D988/10000</f>
        <v/>
      </c>
      <c r="F988" s="238">
        <f>B988/30.48</f>
        <v/>
      </c>
      <c r="G988" s="238">
        <f>D988/30.48</f>
        <v/>
      </c>
      <c r="H988" s="613" t="n"/>
      <c r="I988" s="273" t="n"/>
      <c r="J988" s="274" t="n"/>
      <c r="K988" s="275" t="n"/>
      <c r="L988" s="276" t="n"/>
      <c r="M988" s="270" t="n"/>
    </row>
    <row r="989" ht="18" customHeight="1" s="305">
      <c r="A989" s="28" t="inlineStr">
        <is>
          <t>D 1513</t>
        </is>
      </c>
      <c r="B989" s="29" t="n"/>
      <c r="C989" s="236" t="inlineStr">
        <is>
          <t>X</t>
        </is>
      </c>
      <c r="D989" s="29" t="n"/>
      <c r="E989" s="237">
        <f>B989*D989/10000</f>
        <v/>
      </c>
      <c r="F989" s="238">
        <f>B989/30.48</f>
        <v/>
      </c>
      <c r="G989" s="238">
        <f>D989/30.48</f>
        <v/>
      </c>
      <c r="H989" s="613" t="n"/>
      <c r="I989" s="273" t="n"/>
      <c r="J989" s="274" t="n"/>
      <c r="K989" s="275" t="n"/>
      <c r="L989" s="276" t="n"/>
      <c r="M989" s="270" t="n"/>
    </row>
    <row r="990" ht="18" customHeight="1" s="305">
      <c r="A990" s="28" t="inlineStr">
        <is>
          <t>D 1514</t>
        </is>
      </c>
      <c r="B990" s="29" t="n"/>
      <c r="C990" s="236" t="inlineStr">
        <is>
          <t>X</t>
        </is>
      </c>
      <c r="D990" s="29" t="n"/>
      <c r="E990" s="237">
        <f>B990*D990/10000</f>
        <v/>
      </c>
      <c r="F990" s="238">
        <f>B990/30.48</f>
        <v/>
      </c>
      <c r="G990" s="238">
        <f>D990/30.48</f>
        <v/>
      </c>
      <c r="H990" s="613" t="n"/>
      <c r="I990" s="273" t="n"/>
      <c r="J990" s="274" t="n"/>
      <c r="K990" s="275" t="n"/>
      <c r="L990" s="276" t="n"/>
      <c r="M990" s="270" t="n"/>
    </row>
    <row r="991" ht="18" customHeight="1" s="305">
      <c r="A991" s="28" t="inlineStr">
        <is>
          <t>D 1515</t>
        </is>
      </c>
      <c r="B991" s="29" t="n"/>
      <c r="C991" s="236" t="inlineStr">
        <is>
          <t>X</t>
        </is>
      </c>
      <c r="D991" s="29" t="n"/>
      <c r="E991" s="237">
        <f>B991*D991/10000</f>
        <v/>
      </c>
      <c r="F991" s="238">
        <f>B991/30.48</f>
        <v/>
      </c>
      <c r="G991" s="238">
        <f>D991/30.48</f>
        <v/>
      </c>
      <c r="H991" s="613" t="n"/>
      <c r="I991" s="273" t="n"/>
      <c r="J991" s="274" t="n"/>
      <c r="K991" s="275" t="n"/>
      <c r="L991" s="276" t="n"/>
      <c r="M991" s="270" t="n"/>
    </row>
    <row r="992" ht="18" customHeight="1" s="305">
      <c r="A992" s="28" t="inlineStr">
        <is>
          <t>D 1516</t>
        </is>
      </c>
      <c r="B992" s="29" t="n"/>
      <c r="C992" s="236" t="inlineStr">
        <is>
          <t>X</t>
        </is>
      </c>
      <c r="D992" s="29" t="n"/>
      <c r="E992" s="237">
        <f>B992*D992/10000</f>
        <v/>
      </c>
      <c r="F992" s="238">
        <f>B992/30.48</f>
        <v/>
      </c>
      <c r="G992" s="238">
        <f>D992/30.48</f>
        <v/>
      </c>
      <c r="H992" s="613" t="n"/>
      <c r="I992" s="273" t="n"/>
      <c r="J992" s="274" t="n"/>
      <c r="K992" s="275" t="n"/>
      <c r="L992" s="276" t="n"/>
      <c r="M992" s="270" t="n"/>
    </row>
    <row r="993" ht="18" customHeight="1" s="305">
      <c r="A993" s="28" t="inlineStr">
        <is>
          <t>D 1517</t>
        </is>
      </c>
      <c r="B993" s="29" t="n"/>
      <c r="C993" s="236" t="inlineStr">
        <is>
          <t>X</t>
        </is>
      </c>
      <c r="D993" s="29" t="n"/>
      <c r="E993" s="237">
        <f>B993*D993/10000</f>
        <v/>
      </c>
      <c r="F993" s="238">
        <f>B993/30.48</f>
        <v/>
      </c>
      <c r="G993" s="238">
        <f>D993/30.48</f>
        <v/>
      </c>
      <c r="H993" s="613" t="n"/>
      <c r="I993" s="273" t="n"/>
      <c r="J993" s="274" t="n"/>
      <c r="K993" s="275" t="n"/>
      <c r="L993" s="276" t="n"/>
      <c r="M993" s="270" t="n"/>
    </row>
    <row r="994" ht="18" customHeight="1" s="305">
      <c r="A994" s="28" t="inlineStr">
        <is>
          <t>D 1518</t>
        </is>
      </c>
      <c r="B994" s="29" t="n"/>
      <c r="C994" s="236" t="inlineStr">
        <is>
          <t>X</t>
        </is>
      </c>
      <c r="D994" s="29" t="n"/>
      <c r="E994" s="237">
        <f>B994*D994/10000</f>
        <v/>
      </c>
      <c r="F994" s="238">
        <f>B994/30.48</f>
        <v/>
      </c>
      <c r="G994" s="238">
        <f>D994/30.48</f>
        <v/>
      </c>
      <c r="H994" s="613" t="n"/>
      <c r="I994" s="273" t="n"/>
      <c r="J994" s="274" t="n"/>
      <c r="K994" s="275" t="n"/>
      <c r="L994" s="276" t="n"/>
      <c r="M994" s="270" t="n"/>
    </row>
    <row r="995" ht="18" customHeight="1" s="305">
      <c r="A995" s="28" t="inlineStr">
        <is>
          <t>D 1519</t>
        </is>
      </c>
      <c r="B995" s="29" t="n"/>
      <c r="C995" s="236" t="inlineStr">
        <is>
          <t>X</t>
        </is>
      </c>
      <c r="D995" s="29" t="n"/>
      <c r="E995" s="237">
        <f>B995*D995/10000</f>
        <v/>
      </c>
      <c r="F995" s="238">
        <f>B995/30.48</f>
        <v/>
      </c>
      <c r="G995" s="238">
        <f>D995/30.48</f>
        <v/>
      </c>
      <c r="H995" s="613" t="n"/>
      <c r="I995" s="273" t="n"/>
      <c r="J995" s="274" t="n"/>
      <c r="K995" s="275" t="n"/>
      <c r="L995" s="276" t="n"/>
      <c r="M995" s="270" t="n"/>
    </row>
    <row r="996" ht="18" customHeight="1" s="305">
      <c r="A996" s="28" t="inlineStr">
        <is>
          <t>D 1520</t>
        </is>
      </c>
      <c r="B996" s="29" t="n"/>
      <c r="C996" s="236" t="inlineStr">
        <is>
          <t>X</t>
        </is>
      </c>
      <c r="D996" s="29" t="n"/>
      <c r="E996" s="237">
        <f>B996*D996/10000</f>
        <v/>
      </c>
      <c r="F996" s="238">
        <f>B996/30.48</f>
        <v/>
      </c>
      <c r="G996" s="238">
        <f>D996/30.48</f>
        <v/>
      </c>
      <c r="H996" s="613" t="n"/>
      <c r="I996" s="273" t="n"/>
      <c r="J996" s="274" t="n"/>
      <c r="K996" s="275" t="n"/>
      <c r="L996" s="276" t="n"/>
      <c r="M996" s="270" t="n"/>
    </row>
    <row r="997" ht="18" customHeight="1" s="305">
      <c r="A997" s="28" t="inlineStr">
        <is>
          <t>D 1521</t>
        </is>
      </c>
      <c r="B997" s="29" t="n"/>
      <c r="C997" s="236" t="inlineStr">
        <is>
          <t>X</t>
        </is>
      </c>
      <c r="D997" s="29" t="n"/>
      <c r="E997" s="237">
        <f>B997*D997/10000</f>
        <v/>
      </c>
      <c r="F997" s="238">
        <f>B997/30.48</f>
        <v/>
      </c>
      <c r="G997" s="238">
        <f>D997/30.48</f>
        <v/>
      </c>
      <c r="H997" s="613" t="n"/>
      <c r="I997" s="273" t="n"/>
      <c r="J997" s="274" t="n"/>
      <c r="K997" s="275" t="n"/>
      <c r="L997" s="276" t="n"/>
      <c r="M997" s="270" t="n"/>
    </row>
    <row r="998" ht="18" customHeight="1" s="305">
      <c r="A998" s="28" t="inlineStr">
        <is>
          <t>D 1522</t>
        </is>
      </c>
      <c r="B998" s="29" t="n"/>
      <c r="C998" s="236" t="inlineStr">
        <is>
          <t>X</t>
        </is>
      </c>
      <c r="D998" s="29" t="n"/>
      <c r="E998" s="237">
        <f>B998*D998/10000</f>
        <v/>
      </c>
      <c r="F998" s="238">
        <f>B998/30.48</f>
        <v/>
      </c>
      <c r="G998" s="238">
        <f>D998/30.48</f>
        <v/>
      </c>
      <c r="H998" s="613" t="n"/>
      <c r="I998" s="273" t="n"/>
      <c r="J998" s="274" t="n"/>
      <c r="K998" s="275" t="n"/>
      <c r="L998" s="276" t="n"/>
      <c r="M998" s="270" t="n"/>
    </row>
    <row r="999" ht="18" customHeight="1" s="305">
      <c r="A999" s="28" t="inlineStr">
        <is>
          <t>D 1523</t>
        </is>
      </c>
      <c r="B999" s="29" t="n"/>
      <c r="C999" s="236" t="inlineStr">
        <is>
          <t>X</t>
        </is>
      </c>
      <c r="D999" s="29" t="n"/>
      <c r="E999" s="237">
        <f>B999*D999/10000</f>
        <v/>
      </c>
      <c r="F999" s="238">
        <f>B999/30.48</f>
        <v/>
      </c>
      <c r="G999" s="238">
        <f>D999/30.48</f>
        <v/>
      </c>
      <c r="H999" s="613" t="n"/>
      <c r="I999" s="273" t="n"/>
      <c r="J999" s="274" t="n"/>
      <c r="K999" s="275" t="n"/>
      <c r="L999" s="276" t="n"/>
      <c r="M999" s="270" t="n"/>
    </row>
    <row r="1000" ht="18" customHeight="1" s="305">
      <c r="A1000" s="28" t="inlineStr">
        <is>
          <t>D 1524</t>
        </is>
      </c>
      <c r="B1000" s="29" t="n"/>
      <c r="C1000" s="236" t="inlineStr">
        <is>
          <t>X</t>
        </is>
      </c>
      <c r="D1000" s="29" t="n"/>
      <c r="E1000" s="237">
        <f>B1000*D1000/10000</f>
        <v/>
      </c>
      <c r="F1000" s="238">
        <f>B1000/30.48</f>
        <v/>
      </c>
      <c r="G1000" s="238">
        <f>D1000/30.48</f>
        <v/>
      </c>
      <c r="H1000" s="613" t="n"/>
      <c r="I1000" s="273" t="n"/>
      <c r="J1000" s="274" t="n"/>
      <c r="K1000" s="275" t="n"/>
      <c r="L1000" s="276" t="n"/>
      <c r="M1000" s="27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topLeftCell="A31" workbookViewId="0">
      <selection activeCell="A59" sqref="A59"/>
    </sheetView>
  </sheetViews>
  <sheetFormatPr baseColWidth="8" defaultRowHeight="15"/>
  <cols>
    <col width="14.5703125" bestFit="1" customWidth="1" style="305" min="8" max="8"/>
    <col width="9.140625" customWidth="1" style="253" min="9" max="9"/>
    <col width="9.140625" customWidth="1" style="256" min="10" max="10"/>
    <col width="9.140625" customWidth="1" style="257" min="11" max="11"/>
    <col width="9.140625" customWidth="1" style="250" min="12" max="12"/>
    <col width="9.140625" customWidth="1" style="258" min="13" max="13"/>
    <col width="16.140625" bestFit="1" customWidth="1" style="288" min="14" max="14"/>
  </cols>
  <sheetData>
    <row r="1" ht="17.25" customHeight="1" s="305">
      <c r="A1" s="7" t="inlineStr">
        <is>
          <t>KOD</t>
        </is>
      </c>
      <c r="B1" s="12" t="inlineStr">
        <is>
          <t>CM1</t>
        </is>
      </c>
      <c r="C1" s="97" t="inlineStr">
        <is>
          <t>X</t>
        </is>
      </c>
      <c r="D1" s="12" t="inlineStr">
        <is>
          <t>CM2</t>
        </is>
      </c>
      <c r="E1" s="14" t="inlineStr">
        <is>
          <t>M2</t>
        </is>
      </c>
      <c r="F1" s="14" t="inlineStr">
        <is>
          <t>FT1</t>
        </is>
      </c>
      <c r="G1" s="15" t="inlineStr">
        <is>
          <t>FT2</t>
        </is>
      </c>
      <c r="H1" s="246" t="inlineStr">
        <is>
          <t>HALI DURUMU</t>
        </is>
      </c>
      <c r="I1" s="251" t="inlineStr">
        <is>
          <t>SİTE</t>
        </is>
      </c>
      <c r="J1" s="406" t="inlineStr">
        <is>
          <t>SİTE</t>
        </is>
      </c>
      <c r="K1" s="257" t="inlineStr">
        <is>
          <t>SİTE</t>
        </is>
      </c>
      <c r="L1" s="250" t="inlineStr">
        <is>
          <t>SİTE</t>
        </is>
      </c>
      <c r="M1" s="258" t="inlineStr">
        <is>
          <t>SİTE</t>
        </is>
      </c>
      <c r="N1" s="270" t="inlineStr">
        <is>
          <t>RugsShopTurkey</t>
        </is>
      </c>
    </row>
    <row r="2" ht="17.25" customHeight="1" s="305">
      <c r="A2" s="8" t="inlineStr">
        <is>
          <t>KLM-1</t>
        </is>
      </c>
      <c r="B2" s="5" t="n">
        <v>285</v>
      </c>
      <c r="C2" s="72" t="inlineStr">
        <is>
          <t>X</t>
        </is>
      </c>
      <c r="D2" s="5" t="n">
        <v>82</v>
      </c>
      <c r="E2" s="73">
        <f>B2*D2/10000</f>
        <v/>
      </c>
      <c r="F2" s="74">
        <f>B2/30.48</f>
        <v/>
      </c>
      <c r="G2" s="74">
        <f>D2/30.48</f>
        <v/>
      </c>
      <c r="H2" s="247" t="n"/>
      <c r="I2" s="252" t="n"/>
      <c r="J2" s="255" t="n"/>
      <c r="L2" s="250" t="inlineStr">
        <is>
          <t>VR</t>
        </is>
      </c>
      <c r="N2" s="270" t="n"/>
    </row>
    <row r="3" ht="17.25" customHeight="1" s="305">
      <c r="A3" s="8" t="inlineStr">
        <is>
          <t>KLM-2</t>
        </is>
      </c>
      <c r="B3" s="5" t="n">
        <v>353</v>
      </c>
      <c r="C3" s="72" t="inlineStr">
        <is>
          <t>X</t>
        </is>
      </c>
      <c r="D3" s="5" t="n">
        <v>82</v>
      </c>
      <c r="E3" s="73">
        <f>B3*D3/10000</f>
        <v/>
      </c>
      <c r="F3" s="74">
        <f>B3/30.48</f>
        <v/>
      </c>
      <c r="G3" s="74">
        <f>D3/30.48</f>
        <v/>
      </c>
      <c r="H3" s="247" t="n"/>
      <c r="I3" s="252" t="n"/>
      <c r="J3" s="255" t="n"/>
      <c r="N3" s="270" t="n"/>
    </row>
    <row r="4" ht="17.25" customHeight="1" s="305">
      <c r="A4" s="8" t="inlineStr">
        <is>
          <t>KLM-3</t>
        </is>
      </c>
      <c r="B4" s="5" t="n">
        <v>303</v>
      </c>
      <c r="C4" s="72" t="inlineStr">
        <is>
          <t>X</t>
        </is>
      </c>
      <c r="D4" s="5" t="n">
        <v>92</v>
      </c>
      <c r="E4" s="73">
        <f>B4*D4/10000</f>
        <v/>
      </c>
      <c r="F4" s="74">
        <f>B4/30.48</f>
        <v/>
      </c>
      <c r="G4" s="74">
        <f>D4/30.48</f>
        <v/>
      </c>
      <c r="H4" s="247" t="n"/>
      <c r="I4" s="252" t="n"/>
      <c r="J4" s="255" t="n"/>
      <c r="N4" s="270" t="n"/>
      <c r="O4" t="inlineStr">
        <is>
          <t>SBL</t>
        </is>
      </c>
    </row>
    <row r="5" ht="17.25" customHeight="1" s="305">
      <c r="A5" s="8" t="inlineStr">
        <is>
          <t>KLM-4</t>
        </is>
      </c>
      <c r="B5" s="5" t="n">
        <v>365</v>
      </c>
      <c r="C5" s="72" t="inlineStr">
        <is>
          <t>X</t>
        </is>
      </c>
      <c r="D5" s="5" t="n">
        <v>94</v>
      </c>
      <c r="E5" s="73">
        <f>B5*D5/10000</f>
        <v/>
      </c>
      <c r="F5" s="74">
        <f>B5/30.48</f>
        <v/>
      </c>
      <c r="G5" s="74">
        <f>D5/30.48</f>
        <v/>
      </c>
      <c r="H5" s="247" t="n"/>
      <c r="I5" s="252" t="n"/>
      <c r="J5" s="255" t="n"/>
      <c r="N5" s="270" t="n"/>
      <c r="O5" t="inlineStr">
        <is>
          <t>SBL</t>
        </is>
      </c>
    </row>
    <row r="6" ht="17.25" customHeight="1" s="305">
      <c r="A6" s="8" t="inlineStr">
        <is>
          <t>KLM-5</t>
        </is>
      </c>
      <c r="B6" s="5" t="n">
        <v>494</v>
      </c>
      <c r="C6" s="72" t="inlineStr">
        <is>
          <t>X</t>
        </is>
      </c>
      <c r="D6" s="5" t="n">
        <v>98</v>
      </c>
      <c r="E6" s="73">
        <f>B6*D6/10000</f>
        <v/>
      </c>
      <c r="F6" s="74">
        <f>B6/30.48</f>
        <v/>
      </c>
      <c r="G6" s="74">
        <f>D6/30.48</f>
        <v/>
      </c>
      <c r="H6" s="247" t="n"/>
      <c r="I6" s="252" t="n"/>
      <c r="J6" s="255" t="n"/>
      <c r="N6" s="270" t="n"/>
      <c r="O6" t="inlineStr">
        <is>
          <t>SBL</t>
        </is>
      </c>
    </row>
    <row r="7" ht="17.25" customHeight="1" s="305">
      <c r="A7" s="8" t="inlineStr">
        <is>
          <t>KLM-6</t>
        </is>
      </c>
      <c r="B7" s="5" t="n">
        <v>343</v>
      </c>
      <c r="C7" s="72" t="inlineStr">
        <is>
          <t>X</t>
        </is>
      </c>
      <c r="D7" s="5" t="n">
        <v>104</v>
      </c>
      <c r="E7" s="73">
        <f>B7*D7/10000</f>
        <v/>
      </c>
      <c r="F7" s="74">
        <f>B7/30.48</f>
        <v/>
      </c>
      <c r="G7" s="74">
        <f>D7/30.48</f>
        <v/>
      </c>
      <c r="H7" s="247" t="n"/>
      <c r="I7" s="252" t="n"/>
      <c r="J7" s="255" t="n"/>
      <c r="N7" s="270" t="n"/>
      <c r="O7" t="inlineStr">
        <is>
          <t>SBL</t>
        </is>
      </c>
    </row>
    <row r="8" ht="17.25" customHeight="1" s="305">
      <c r="A8" s="8" t="inlineStr">
        <is>
          <t>KLM-7</t>
        </is>
      </c>
      <c r="B8" s="5" t="n">
        <v>269</v>
      </c>
      <c r="C8" s="72" t="inlineStr">
        <is>
          <t>X</t>
        </is>
      </c>
      <c r="D8" s="5" t="n">
        <v>93</v>
      </c>
      <c r="E8" s="73">
        <f>B8*D8/10000</f>
        <v/>
      </c>
      <c r="F8" s="74">
        <f>B8/30.48</f>
        <v/>
      </c>
      <c r="G8" s="74">
        <f>D8/30.48</f>
        <v/>
      </c>
      <c r="H8" s="247" t="n"/>
      <c r="I8" s="252" t="n"/>
      <c r="J8" s="255" t="n"/>
      <c r="N8" s="270" t="n"/>
      <c r="O8" t="inlineStr">
        <is>
          <t>SBL</t>
        </is>
      </c>
    </row>
    <row r="9" ht="17.25" customHeight="1" s="305">
      <c r="A9" s="8" t="inlineStr">
        <is>
          <t>KLM-8</t>
        </is>
      </c>
      <c r="B9" s="5" t="n">
        <v>333</v>
      </c>
      <c r="C9" s="72" t="inlineStr">
        <is>
          <t>X</t>
        </is>
      </c>
      <c r="D9" s="5" t="n">
        <v>103</v>
      </c>
      <c r="E9" s="73">
        <f>B9*D9/10000</f>
        <v/>
      </c>
      <c r="F9" s="74">
        <f>B9/30.48</f>
        <v/>
      </c>
      <c r="G9" s="74">
        <f>D9/30.48</f>
        <v/>
      </c>
      <c r="H9" s="247" t="n"/>
      <c r="I9" s="252" t="n"/>
      <c r="J9" s="255" t="n"/>
      <c r="N9" s="270" t="n"/>
      <c r="O9" t="inlineStr">
        <is>
          <t>SBL</t>
        </is>
      </c>
    </row>
    <row r="10" ht="17.25" customHeight="1" s="305">
      <c r="A10" s="8" t="inlineStr">
        <is>
          <t>KLM-9</t>
        </is>
      </c>
      <c r="B10" s="5" t="n">
        <v>327</v>
      </c>
      <c r="C10" s="72" t="inlineStr">
        <is>
          <t>X</t>
        </is>
      </c>
      <c r="D10" s="5" t="n">
        <v>93</v>
      </c>
      <c r="E10" s="73">
        <f>B10*D10/10000</f>
        <v/>
      </c>
      <c r="F10" s="74">
        <f>B10/30.48</f>
        <v/>
      </c>
      <c r="G10" s="74">
        <f>D10/30.48</f>
        <v/>
      </c>
      <c r="H10" s="247" t="n"/>
      <c r="I10" s="252" t="n"/>
      <c r="J10" s="255" t="n"/>
      <c r="N10" s="270" t="n"/>
      <c r="O10" t="inlineStr">
        <is>
          <t>SBL</t>
        </is>
      </c>
    </row>
    <row r="11" ht="17.25" customHeight="1" s="305">
      <c r="A11" s="8" t="inlineStr">
        <is>
          <t>KLM-10</t>
        </is>
      </c>
      <c r="B11" s="5" t="n">
        <v>322</v>
      </c>
      <c r="C11" s="72" t="inlineStr">
        <is>
          <t>X</t>
        </is>
      </c>
      <c r="D11" s="5" t="n">
        <v>76</v>
      </c>
      <c r="E11" s="73">
        <f>B11*D11/10000</f>
        <v/>
      </c>
      <c r="F11" s="74">
        <f>B11/30.48</f>
        <v/>
      </c>
      <c r="G11" s="74">
        <f>D11/30.48</f>
        <v/>
      </c>
      <c r="H11" s="247" t="n"/>
      <c r="I11" s="252" t="n"/>
      <c r="J11" s="255" t="n"/>
      <c r="N11" s="270" t="n"/>
      <c r="O11" t="inlineStr">
        <is>
          <t>SBL</t>
        </is>
      </c>
    </row>
    <row r="12" ht="17.25" customHeight="1" s="305">
      <c r="A12" s="8" t="inlineStr">
        <is>
          <t>KLM-11</t>
        </is>
      </c>
      <c r="B12" s="5" t="n">
        <v>259</v>
      </c>
      <c r="C12" s="72" t="inlineStr">
        <is>
          <t>X</t>
        </is>
      </c>
      <c r="D12" s="5" t="n">
        <v>66</v>
      </c>
      <c r="E12" s="73">
        <f>B12*D12/10000</f>
        <v/>
      </c>
      <c r="F12" s="74">
        <f>B12/30.48</f>
        <v/>
      </c>
      <c r="G12" s="74">
        <f>D12/30.48</f>
        <v/>
      </c>
      <c r="H12" s="247" t="n"/>
      <c r="I12" s="252" t="n"/>
      <c r="J12" s="255" t="n"/>
      <c r="N12" s="270" t="n"/>
      <c r="O12" t="inlineStr">
        <is>
          <t>SBL</t>
        </is>
      </c>
    </row>
    <row r="13" ht="17.25" customHeight="1" s="305">
      <c r="A13" s="8" t="inlineStr">
        <is>
          <t>KLM-12</t>
        </is>
      </c>
      <c r="B13" s="5" t="n">
        <v>341</v>
      </c>
      <c r="C13" s="72" t="inlineStr">
        <is>
          <t>X</t>
        </is>
      </c>
      <c r="D13" s="5" t="n">
        <v>78</v>
      </c>
      <c r="E13" s="73">
        <f>B13*D13/10000</f>
        <v/>
      </c>
      <c r="F13" s="74">
        <f>B13/30.48</f>
        <v/>
      </c>
      <c r="G13" s="74">
        <f>D13/30.48</f>
        <v/>
      </c>
      <c r="H13" s="247" t="n"/>
      <c r="I13" s="252" t="n"/>
      <c r="J13" s="255" t="n"/>
      <c r="N13" s="270" t="n"/>
      <c r="O13" t="inlineStr">
        <is>
          <t>SBL</t>
        </is>
      </c>
    </row>
    <row r="14" ht="17.25" customHeight="1" s="305">
      <c r="A14" s="8" t="inlineStr">
        <is>
          <t>KLM-13</t>
        </is>
      </c>
      <c r="B14" s="5" t="n">
        <v>353</v>
      </c>
      <c r="C14" s="72" t="inlineStr">
        <is>
          <t>X</t>
        </is>
      </c>
      <c r="D14" s="5" t="n">
        <v>79</v>
      </c>
      <c r="E14" s="73">
        <f>B14*D14/10000</f>
        <v/>
      </c>
      <c r="F14" s="74">
        <f>B14/30.48</f>
        <v/>
      </c>
      <c r="G14" s="74">
        <f>D14/30.48</f>
        <v/>
      </c>
      <c r="H14" s="247" t="n"/>
      <c r="I14" s="252" t="n"/>
      <c r="J14" s="255" t="n"/>
      <c r="N14" s="270" t="n"/>
      <c r="O14" t="inlineStr">
        <is>
          <t>SBL</t>
        </is>
      </c>
    </row>
    <row r="15" ht="17.25" customHeight="1" s="305">
      <c r="A15" s="8" t="inlineStr">
        <is>
          <t>KLM-14</t>
        </is>
      </c>
      <c r="B15" s="5" t="n">
        <v>310</v>
      </c>
      <c r="C15" s="72" t="inlineStr">
        <is>
          <t>X</t>
        </is>
      </c>
      <c r="D15" s="5" t="n">
        <v>95</v>
      </c>
      <c r="E15" s="73">
        <f>B15*D15/10000</f>
        <v/>
      </c>
      <c r="F15" s="74">
        <f>B15/30.48</f>
        <v/>
      </c>
      <c r="G15" s="74">
        <f>D15/30.48</f>
        <v/>
      </c>
      <c r="H15" s="247" t="n"/>
      <c r="I15" s="252" t="n"/>
      <c r="J15" s="255" t="n"/>
      <c r="N15" s="270" t="n"/>
      <c r="O15" t="inlineStr">
        <is>
          <t>SBL</t>
        </is>
      </c>
    </row>
    <row r="16" ht="17.25" customHeight="1" s="305">
      <c r="A16" s="8" t="inlineStr">
        <is>
          <t>KLM-15</t>
        </is>
      </c>
      <c r="B16" s="5" t="n">
        <v>278</v>
      </c>
      <c r="C16" s="72" t="inlineStr">
        <is>
          <t>X</t>
        </is>
      </c>
      <c r="D16" s="5" t="n">
        <v>85</v>
      </c>
      <c r="E16" s="73">
        <f>B16*D16/10000</f>
        <v/>
      </c>
      <c r="F16" s="74">
        <f>B16/30.48</f>
        <v/>
      </c>
      <c r="G16" s="74">
        <f>D16/30.48</f>
        <v/>
      </c>
      <c r="H16" s="247" t="n"/>
      <c r="I16" s="252" t="n"/>
      <c r="J16" s="255" t="n"/>
      <c r="N16" s="270" t="n"/>
      <c r="O16" t="inlineStr">
        <is>
          <t>SBL</t>
        </is>
      </c>
    </row>
    <row r="17" ht="17.25" customHeight="1" s="305">
      <c r="A17" s="8" t="inlineStr">
        <is>
          <t>KLM-16</t>
        </is>
      </c>
      <c r="B17" s="5" t="n">
        <v>308</v>
      </c>
      <c r="C17" s="72" t="inlineStr">
        <is>
          <t>X</t>
        </is>
      </c>
      <c r="D17" s="5" t="n">
        <v>87</v>
      </c>
      <c r="E17" s="73">
        <f>B17*D17/10000</f>
        <v/>
      </c>
      <c r="F17" s="74">
        <f>B17/30.48</f>
        <v/>
      </c>
      <c r="G17" s="74">
        <f>D17/30.48</f>
        <v/>
      </c>
      <c r="H17" s="247" t="n"/>
      <c r="I17" s="252" t="n"/>
      <c r="J17" s="255" t="n"/>
      <c r="N17" s="270" t="n"/>
      <c r="O17" t="inlineStr">
        <is>
          <t>SBL</t>
        </is>
      </c>
    </row>
    <row r="18" ht="17.25" customHeight="1" s="305">
      <c r="A18" s="8" t="inlineStr">
        <is>
          <t>KLM-17</t>
        </is>
      </c>
      <c r="B18" s="5" t="n">
        <v>340</v>
      </c>
      <c r="C18" s="72" t="inlineStr">
        <is>
          <t>X</t>
        </is>
      </c>
      <c r="D18" s="5" t="n">
        <v>89</v>
      </c>
      <c r="E18" s="73">
        <f>B18*D18/10000</f>
        <v/>
      </c>
      <c r="F18" s="74">
        <f>B18/30.48</f>
        <v/>
      </c>
      <c r="G18" s="74">
        <f>D18/30.48</f>
        <v/>
      </c>
      <c r="H18" s="247" t="n"/>
      <c r="I18" s="252" t="n"/>
      <c r="J18" s="255" t="n"/>
      <c r="N18" s="270" t="n"/>
      <c r="O18" t="inlineStr">
        <is>
          <t>SBL</t>
        </is>
      </c>
    </row>
    <row r="19" ht="17.25" customHeight="1" s="305">
      <c r="A19" s="8" t="inlineStr">
        <is>
          <t>KLM-18</t>
        </is>
      </c>
      <c r="B19" s="5" t="n">
        <v>348</v>
      </c>
      <c r="C19" s="72" t="inlineStr">
        <is>
          <t>X</t>
        </is>
      </c>
      <c r="D19" s="5" t="n">
        <v>82</v>
      </c>
      <c r="E19" s="73">
        <f>B19*D19/10000</f>
        <v/>
      </c>
      <c r="F19" s="74">
        <f>B19/30.48</f>
        <v/>
      </c>
      <c r="G19" s="74">
        <f>D19/30.48</f>
        <v/>
      </c>
      <c r="H19" s="247" t="n"/>
      <c r="I19" s="252" t="n"/>
      <c r="J19" s="255" t="n"/>
      <c r="N19" s="270" t="n"/>
      <c r="O19" t="inlineStr">
        <is>
          <t>SBL</t>
        </is>
      </c>
    </row>
    <row r="20" ht="17.25" customHeight="1" s="305">
      <c r="A20" s="8" t="inlineStr">
        <is>
          <t>KLM-19</t>
        </is>
      </c>
      <c r="B20" s="5" t="n">
        <v>320</v>
      </c>
      <c r="C20" s="72" t="inlineStr">
        <is>
          <t>X</t>
        </is>
      </c>
      <c r="D20" s="5" t="n">
        <v>93</v>
      </c>
      <c r="E20" s="73">
        <f>B20*D20/10000</f>
        <v/>
      </c>
      <c r="F20" s="74">
        <f>B20/30.48</f>
        <v/>
      </c>
      <c r="G20" s="74">
        <f>D20/30.48</f>
        <v/>
      </c>
      <c r="H20" s="247" t="n"/>
      <c r="I20" s="252" t="n"/>
      <c r="J20" s="255" t="n"/>
      <c r="N20" s="270" t="n"/>
      <c r="O20" t="inlineStr">
        <is>
          <t>SBL</t>
        </is>
      </c>
    </row>
    <row r="21" ht="17.25" customHeight="1" s="305">
      <c r="A21" s="8" t="inlineStr">
        <is>
          <t>KLM-20</t>
        </is>
      </c>
      <c r="B21" s="5" t="n">
        <v>277</v>
      </c>
      <c r="C21" s="72" t="inlineStr">
        <is>
          <t>X</t>
        </is>
      </c>
      <c r="D21" s="5" t="n">
        <v>83</v>
      </c>
      <c r="E21" s="73">
        <f>B21*D21/10000</f>
        <v/>
      </c>
      <c r="F21" s="74">
        <f>B21/30.48</f>
        <v/>
      </c>
      <c r="G21" s="74">
        <f>D21/30.48</f>
        <v/>
      </c>
      <c r="H21" s="247" t="n"/>
      <c r="I21" s="252" t="n"/>
      <c r="J21" s="255" t="n"/>
      <c r="N21" s="270" t="n"/>
      <c r="O21" t="inlineStr">
        <is>
          <t>SBL</t>
        </is>
      </c>
    </row>
    <row r="22" ht="17.25" customHeight="1" s="305">
      <c r="A22" s="8" t="inlineStr">
        <is>
          <t>KLM-21</t>
        </is>
      </c>
      <c r="B22" s="5" t="n">
        <v>318</v>
      </c>
      <c r="C22" s="72" t="inlineStr">
        <is>
          <t>X</t>
        </is>
      </c>
      <c r="D22" s="5" t="n">
        <v>99</v>
      </c>
      <c r="E22" s="73">
        <f>B22*D22/10000</f>
        <v/>
      </c>
      <c r="F22" s="74">
        <f>B22/30.48</f>
        <v/>
      </c>
      <c r="G22" s="74">
        <f>D22/30.48</f>
        <v/>
      </c>
      <c r="H22" s="247" t="n"/>
      <c r="I22" s="252" t="n"/>
      <c r="J22" s="255" t="n"/>
      <c r="N22" s="270" t="n"/>
      <c r="O22" t="inlineStr">
        <is>
          <t>SBL</t>
        </is>
      </c>
    </row>
    <row r="23" ht="17.25" customHeight="1" s="305">
      <c r="A23" s="8" t="inlineStr">
        <is>
          <t>KLM-22</t>
        </is>
      </c>
      <c r="B23" s="5" t="n">
        <v>364</v>
      </c>
      <c r="C23" s="72" t="inlineStr">
        <is>
          <t>X</t>
        </is>
      </c>
      <c r="D23" s="5" t="n">
        <v>91</v>
      </c>
      <c r="E23" s="73">
        <f>B23*D23/10000</f>
        <v/>
      </c>
      <c r="F23" s="74">
        <f>B23/30.48</f>
        <v/>
      </c>
      <c r="G23" s="74">
        <f>D23/30.48</f>
        <v/>
      </c>
      <c r="H23" s="247" t="n"/>
      <c r="I23" s="252" t="n"/>
      <c r="J23" s="255" t="n"/>
      <c r="N23" s="270" t="n"/>
      <c r="O23" t="inlineStr">
        <is>
          <t>SBL</t>
        </is>
      </c>
    </row>
    <row r="24" ht="17.25" customHeight="1" s="305">
      <c r="A24" s="8" t="inlineStr">
        <is>
          <t>KLM-23</t>
        </is>
      </c>
      <c r="B24" s="5" t="n">
        <v>280</v>
      </c>
      <c r="C24" s="72" t="inlineStr">
        <is>
          <t>X</t>
        </is>
      </c>
      <c r="D24" s="5" t="n">
        <v>91</v>
      </c>
      <c r="E24" s="73">
        <f>B24*D24/10000</f>
        <v/>
      </c>
      <c r="F24" s="74">
        <f>B24/30.48</f>
        <v/>
      </c>
      <c r="G24" s="74">
        <f>D24/30.48</f>
        <v/>
      </c>
      <c r="H24" s="247" t="n"/>
      <c r="I24" s="252" t="n"/>
      <c r="J24" s="255" t="n"/>
      <c r="N24" s="270" t="n"/>
      <c r="O24" t="inlineStr">
        <is>
          <t>SBL</t>
        </is>
      </c>
    </row>
    <row r="25" ht="17.25" customHeight="1" s="305">
      <c r="A25" s="8" t="inlineStr">
        <is>
          <t>KLM-24</t>
        </is>
      </c>
      <c r="B25" s="5" t="n">
        <v>273</v>
      </c>
      <c r="C25" s="72" t="inlineStr">
        <is>
          <t>X</t>
        </is>
      </c>
      <c r="D25" s="5" t="n">
        <v>180</v>
      </c>
      <c r="E25" s="73">
        <f>B25*D25/10000</f>
        <v/>
      </c>
      <c r="F25" s="74">
        <f>B25/30.48</f>
        <v/>
      </c>
      <c r="G25" s="74">
        <f>D25/30.48</f>
        <v/>
      </c>
      <c r="H25" s="247" t="n"/>
      <c r="I25" s="252" t="n"/>
      <c r="J25" s="255" t="n"/>
      <c r="L25" s="250" t="inlineStr">
        <is>
          <t>VR</t>
        </is>
      </c>
      <c r="N25" s="270" t="inlineStr">
        <is>
          <t>RST</t>
        </is>
      </c>
      <c r="O25" t="inlineStr">
        <is>
          <t>SBL</t>
        </is>
      </c>
    </row>
    <row r="26" ht="17.25" customHeight="1" s="305">
      <c r="A26" s="8" t="inlineStr">
        <is>
          <t>KLM-25</t>
        </is>
      </c>
      <c r="B26" s="5" t="n">
        <v>366</v>
      </c>
      <c r="C26" s="72" t="inlineStr">
        <is>
          <t>X</t>
        </is>
      </c>
      <c r="D26" s="5" t="n">
        <v>83</v>
      </c>
      <c r="E26" s="73">
        <f>B26*D26/10000</f>
        <v/>
      </c>
      <c r="F26" s="74">
        <f>B26/30.48</f>
        <v/>
      </c>
      <c r="G26" s="74">
        <f>D26/30.48</f>
        <v/>
      </c>
      <c r="H26" s="247" t="n"/>
      <c r="I26" s="252" t="n"/>
      <c r="J26" s="255" t="n"/>
      <c r="N26" s="270" t="n"/>
      <c r="O26" t="inlineStr">
        <is>
          <t>SBL</t>
        </is>
      </c>
    </row>
    <row r="27" ht="17.25" customHeight="1" s="305">
      <c r="A27" s="8" t="inlineStr">
        <is>
          <t>KLM-26</t>
        </is>
      </c>
      <c r="B27" s="5" t="n">
        <v>290</v>
      </c>
      <c r="C27" s="72" t="inlineStr">
        <is>
          <t>X</t>
        </is>
      </c>
      <c r="D27" s="5" t="n">
        <v>95</v>
      </c>
      <c r="E27" s="73">
        <f>B27*D27/10000</f>
        <v/>
      </c>
      <c r="F27" s="74">
        <f>B27/30.48</f>
        <v/>
      </c>
      <c r="G27" s="74">
        <f>D27/30.48</f>
        <v/>
      </c>
      <c r="H27" s="247" t="n"/>
      <c r="I27" s="252" t="n"/>
      <c r="J27" s="255" t="n"/>
      <c r="N27" s="270" t="n"/>
      <c r="O27" t="inlineStr">
        <is>
          <t>SBL</t>
        </is>
      </c>
    </row>
    <row r="28" ht="17.25" customHeight="1" s="305">
      <c r="A28" s="8" t="inlineStr">
        <is>
          <t>KLM-27</t>
        </is>
      </c>
      <c r="B28" s="5" t="n">
        <v>324</v>
      </c>
      <c r="C28" s="72" t="inlineStr">
        <is>
          <t>X</t>
        </is>
      </c>
      <c r="D28" s="5" t="n">
        <v>102</v>
      </c>
      <c r="E28" s="73">
        <f>B28*D28/10000</f>
        <v/>
      </c>
      <c r="F28" s="74">
        <f>B28/30.48</f>
        <v/>
      </c>
      <c r="G28" s="74">
        <f>D28/30.48</f>
        <v/>
      </c>
      <c r="H28" s="247" t="n"/>
      <c r="I28" s="252" t="n"/>
      <c r="J28" s="255" t="n"/>
      <c r="N28" s="270" t="n"/>
      <c r="O28" t="inlineStr">
        <is>
          <t>SBL</t>
        </is>
      </c>
    </row>
    <row r="29" ht="17.25" customHeight="1" s="305">
      <c r="A29" s="8" t="inlineStr">
        <is>
          <t>KLM-28</t>
        </is>
      </c>
      <c r="B29" s="5" t="n">
        <v>286</v>
      </c>
      <c r="C29" s="72" t="inlineStr">
        <is>
          <t>X</t>
        </is>
      </c>
      <c r="D29" s="5" t="n">
        <v>91</v>
      </c>
      <c r="E29" s="73">
        <f>B29*D29/10000</f>
        <v/>
      </c>
      <c r="F29" s="74">
        <f>B29/30.48</f>
        <v/>
      </c>
      <c r="G29" s="74">
        <f>D29/30.48</f>
        <v/>
      </c>
      <c r="H29" s="247" t="n"/>
      <c r="I29" s="252" t="n"/>
      <c r="J29" s="255" t="n"/>
      <c r="N29" s="270" t="n"/>
      <c r="O29" t="inlineStr">
        <is>
          <t>SBL</t>
        </is>
      </c>
    </row>
    <row r="30" ht="17.25" customHeight="1" s="305">
      <c r="A30" s="8" t="inlineStr">
        <is>
          <t>KLM-29</t>
        </is>
      </c>
      <c r="B30" s="5" t="n">
        <v>271</v>
      </c>
      <c r="C30" s="72" t="inlineStr">
        <is>
          <t>X</t>
        </is>
      </c>
      <c r="D30" s="5" t="n">
        <v>76</v>
      </c>
      <c r="E30" s="73">
        <f>B30*D30/10000</f>
        <v/>
      </c>
      <c r="F30" s="74">
        <f>B30/30.48</f>
        <v/>
      </c>
      <c r="G30" s="74">
        <f>D30/30.48</f>
        <v/>
      </c>
      <c r="H30" s="247" t="n"/>
      <c r="I30" s="252" t="n"/>
      <c r="J30" s="255" t="n"/>
      <c r="N30" s="270" t="n"/>
      <c r="O30" t="inlineStr">
        <is>
          <t>SBL</t>
        </is>
      </c>
    </row>
    <row r="31" ht="17.25" customHeight="1" s="305">
      <c r="A31" s="8" t="inlineStr">
        <is>
          <t>KLM-30</t>
        </is>
      </c>
      <c r="B31" s="5" t="n">
        <v>367</v>
      </c>
      <c r="C31" s="72" t="inlineStr">
        <is>
          <t>X</t>
        </is>
      </c>
      <c r="D31" s="5" t="n">
        <v>62</v>
      </c>
      <c r="E31" s="73">
        <f>B31*D31/10000</f>
        <v/>
      </c>
      <c r="F31" s="74">
        <f>B31/30.48</f>
        <v/>
      </c>
      <c r="G31" s="74">
        <f>D31/30.48</f>
        <v/>
      </c>
      <c r="H31" s="247" t="n"/>
      <c r="I31" s="252" t="n"/>
      <c r="J31" s="255" t="n"/>
      <c r="N31" s="270" t="n"/>
      <c r="O31" t="inlineStr">
        <is>
          <t>SBL</t>
        </is>
      </c>
    </row>
    <row r="32" ht="17.25" customHeight="1" s="305">
      <c r="A32" s="8" t="inlineStr">
        <is>
          <t>KLM-31</t>
        </is>
      </c>
      <c r="B32" s="5" t="n">
        <v>94</v>
      </c>
      <c r="C32" s="72" t="inlineStr">
        <is>
          <t>X</t>
        </is>
      </c>
      <c r="D32" s="5" t="n">
        <v>65</v>
      </c>
      <c r="E32" s="73">
        <f>B32*D32/10000</f>
        <v/>
      </c>
      <c r="F32" s="74">
        <f>B32/30.48</f>
        <v/>
      </c>
      <c r="G32" s="74">
        <f>D32/30.48</f>
        <v/>
      </c>
      <c r="H32" s="247" t="n"/>
      <c r="I32" s="252" t="n"/>
      <c r="J32" s="255" t="n"/>
      <c r="N32" s="270" t="n"/>
      <c r="O32" t="inlineStr">
        <is>
          <t>SBL</t>
        </is>
      </c>
    </row>
    <row r="33" ht="17.25" customHeight="1" s="305">
      <c r="A33" s="8" t="inlineStr">
        <is>
          <t>KLM-32</t>
        </is>
      </c>
      <c r="B33" s="5" t="n">
        <v>226</v>
      </c>
      <c r="C33" s="72" t="inlineStr">
        <is>
          <t>X</t>
        </is>
      </c>
      <c r="D33" s="5" t="n">
        <v>74</v>
      </c>
      <c r="E33" s="73">
        <f>B33*D33/10000</f>
        <v/>
      </c>
      <c r="F33" s="74">
        <f>B33/30.48</f>
        <v/>
      </c>
      <c r="G33" s="74">
        <f>D33/30.48</f>
        <v/>
      </c>
      <c r="H33" s="247" t="n"/>
      <c r="I33" s="252" t="n"/>
      <c r="J33" s="255" t="n"/>
      <c r="N33" s="270" t="n"/>
      <c r="O33" t="inlineStr">
        <is>
          <t>SBL</t>
        </is>
      </c>
    </row>
    <row r="34" ht="17.25" customHeight="1" s="305">
      <c r="A34" s="8" t="inlineStr">
        <is>
          <t>KLM-33</t>
        </is>
      </c>
      <c r="B34" s="5" t="n">
        <v>286</v>
      </c>
      <c r="C34" s="72" t="inlineStr">
        <is>
          <t>X</t>
        </is>
      </c>
      <c r="D34" s="5" t="n">
        <v>61</v>
      </c>
      <c r="E34" s="73">
        <f>B34*D34/10000</f>
        <v/>
      </c>
      <c r="F34" s="74">
        <f>B34/30.48</f>
        <v/>
      </c>
      <c r="G34" s="74">
        <f>D34/30.48</f>
        <v/>
      </c>
      <c r="H34" s="247" t="n"/>
      <c r="I34" s="252" t="n"/>
      <c r="J34" s="255" t="n"/>
      <c r="N34" s="270" t="n"/>
      <c r="O34" t="inlineStr">
        <is>
          <t>SBL</t>
        </is>
      </c>
    </row>
    <row r="35" ht="17.25" customHeight="1" s="305">
      <c r="A35" s="8" t="inlineStr">
        <is>
          <t>KLM-34</t>
        </is>
      </c>
      <c r="B35" s="5" t="n">
        <v>349</v>
      </c>
      <c r="C35" s="72" t="inlineStr">
        <is>
          <t>X</t>
        </is>
      </c>
      <c r="D35" s="5" t="n">
        <v>82</v>
      </c>
      <c r="E35" s="73">
        <f>B35*D35/10000</f>
        <v/>
      </c>
      <c r="F35" s="74">
        <f>B35/30.48</f>
        <v/>
      </c>
      <c r="G35" s="74">
        <f>D35/30.48</f>
        <v/>
      </c>
      <c r="H35" s="247" t="n"/>
      <c r="I35" s="252" t="n"/>
      <c r="J35" s="255" t="n"/>
      <c r="N35" s="270" t="n"/>
      <c r="O35" t="inlineStr">
        <is>
          <t>SBL</t>
        </is>
      </c>
    </row>
    <row r="36" ht="17.25" customHeight="1" s="305">
      <c r="A36" s="8" t="inlineStr">
        <is>
          <t>KLM-35</t>
        </is>
      </c>
      <c r="B36" s="5" t="n">
        <v>333</v>
      </c>
      <c r="C36" s="72" t="inlineStr">
        <is>
          <t>X</t>
        </is>
      </c>
      <c r="D36" s="5" t="n">
        <v>77</v>
      </c>
      <c r="E36" s="73">
        <f>B36*D36/10000</f>
        <v/>
      </c>
      <c r="F36" s="74">
        <f>B36/30.48</f>
        <v/>
      </c>
      <c r="G36" s="74">
        <f>D36/30.48</f>
        <v/>
      </c>
      <c r="H36" s="247" t="n"/>
      <c r="I36" s="252" t="n"/>
      <c r="J36" s="255" t="n"/>
      <c r="N36" s="270" t="n"/>
      <c r="O36" t="inlineStr">
        <is>
          <t>SBL</t>
        </is>
      </c>
    </row>
    <row r="37" ht="17.25" customHeight="1" s="305">
      <c r="A37" s="8" t="inlineStr">
        <is>
          <t>KLM-36</t>
        </is>
      </c>
      <c r="B37" s="5" t="n">
        <v>334</v>
      </c>
      <c r="C37" s="72" t="inlineStr">
        <is>
          <t>X</t>
        </is>
      </c>
      <c r="D37" s="5" t="n">
        <v>78</v>
      </c>
      <c r="E37" s="73">
        <f>B37*D37/10000</f>
        <v/>
      </c>
      <c r="F37" s="74">
        <f>B37/30.48</f>
        <v/>
      </c>
      <c r="G37" s="74">
        <f>D37/30.48</f>
        <v/>
      </c>
      <c r="H37" s="247" t="n"/>
      <c r="I37" s="252" t="n"/>
      <c r="J37" s="255" t="n"/>
      <c r="N37" s="270" t="n"/>
      <c r="O37" t="inlineStr">
        <is>
          <t>SBL</t>
        </is>
      </c>
    </row>
    <row r="38" ht="17.25" customHeight="1" s="305">
      <c r="A38" s="8" t="inlineStr">
        <is>
          <t>KLM-37</t>
        </is>
      </c>
      <c r="B38" s="5" t="n">
        <v>311</v>
      </c>
      <c r="C38" s="72" t="inlineStr">
        <is>
          <t>X</t>
        </is>
      </c>
      <c r="D38" s="5" t="n">
        <v>187</v>
      </c>
      <c r="E38" s="73">
        <f>B38*D38/10000</f>
        <v/>
      </c>
      <c r="F38" s="74">
        <f>B38/30.48</f>
        <v/>
      </c>
      <c r="G38" s="74">
        <f>D38/30.48</f>
        <v/>
      </c>
      <c r="H38" s="247" t="n"/>
      <c r="I38" s="252" t="n"/>
      <c r="J38" s="255" t="n"/>
      <c r="L38" s="250" t="inlineStr">
        <is>
          <t>VR</t>
        </is>
      </c>
      <c r="N38" s="270" t="inlineStr">
        <is>
          <t>RST</t>
        </is>
      </c>
      <c r="O38" t="inlineStr">
        <is>
          <t>SBL</t>
        </is>
      </c>
    </row>
    <row r="39" ht="17.25" customHeight="1" s="305">
      <c r="A39" s="8" t="inlineStr">
        <is>
          <t>KLM-38</t>
        </is>
      </c>
      <c r="B39" s="5" t="n">
        <v>323</v>
      </c>
      <c r="C39" s="72" t="inlineStr">
        <is>
          <t>X</t>
        </is>
      </c>
      <c r="D39" s="5" t="n">
        <v>87</v>
      </c>
      <c r="E39" s="73">
        <f>B39*D39/10000</f>
        <v/>
      </c>
      <c r="F39" s="74">
        <f>B39/30.48</f>
        <v/>
      </c>
      <c r="G39" s="74">
        <f>D39/30.48</f>
        <v/>
      </c>
      <c r="H39" s="247" t="n"/>
      <c r="I39" s="252" t="n"/>
      <c r="J39" s="255" t="n"/>
      <c r="N39" s="270" t="n"/>
      <c r="O39" t="inlineStr">
        <is>
          <t>SBL</t>
        </is>
      </c>
    </row>
    <row r="40" ht="17.25" customHeight="1" s="305">
      <c r="A40" s="8" t="inlineStr">
        <is>
          <t>KLM-39</t>
        </is>
      </c>
      <c r="B40" s="5" t="n">
        <v>378</v>
      </c>
      <c r="C40" s="72" t="inlineStr">
        <is>
          <t>X</t>
        </is>
      </c>
      <c r="D40" s="5" t="n">
        <v>157</v>
      </c>
      <c r="E40" s="73">
        <f>B40*D40/10000</f>
        <v/>
      </c>
      <c r="F40" s="74">
        <f>B40/30.48</f>
        <v/>
      </c>
      <c r="G40" s="74">
        <f>D40/30.48</f>
        <v/>
      </c>
      <c r="H40" s="247" t="n"/>
      <c r="I40" s="252" t="n"/>
      <c r="J40" s="255" t="n"/>
      <c r="L40" s="250" t="inlineStr">
        <is>
          <t>VR</t>
        </is>
      </c>
      <c r="N40" s="270" t="inlineStr">
        <is>
          <t>RST</t>
        </is>
      </c>
      <c r="O40" t="inlineStr">
        <is>
          <t>SBL</t>
        </is>
      </c>
    </row>
    <row r="41" ht="17.25" customHeight="1" s="305">
      <c r="A41" s="8" t="inlineStr">
        <is>
          <t>KLM-40</t>
        </is>
      </c>
      <c r="B41" s="5" t="n">
        <v>398</v>
      </c>
      <c r="C41" s="72" t="inlineStr">
        <is>
          <t>X</t>
        </is>
      </c>
      <c r="D41" s="5" t="n">
        <v>162</v>
      </c>
      <c r="E41" s="73">
        <f>B41*D41/10000</f>
        <v/>
      </c>
      <c r="F41" s="74">
        <f>B41/30.48</f>
        <v/>
      </c>
      <c r="G41" s="74">
        <f>D41/30.48</f>
        <v/>
      </c>
      <c r="H41" s="247" t="n"/>
      <c r="I41" s="252" t="n"/>
      <c r="J41" s="255" t="n"/>
      <c r="L41" s="250" t="inlineStr">
        <is>
          <t>VR</t>
        </is>
      </c>
      <c r="N41" s="270" t="inlineStr">
        <is>
          <t>RST</t>
        </is>
      </c>
      <c r="O41" t="inlineStr">
        <is>
          <t>SBL</t>
        </is>
      </c>
    </row>
    <row r="42" ht="17.25" customHeight="1" s="305">
      <c r="A42" s="8" t="inlineStr">
        <is>
          <t>KLM-41</t>
        </is>
      </c>
      <c r="B42" s="5" t="n">
        <v>296</v>
      </c>
      <c r="C42" s="72" t="inlineStr">
        <is>
          <t>X</t>
        </is>
      </c>
      <c r="D42" s="5" t="n">
        <v>125</v>
      </c>
      <c r="E42" s="73">
        <f>B42*D42/10000</f>
        <v/>
      </c>
      <c r="F42" s="74">
        <f>B42/30.48</f>
        <v/>
      </c>
      <c r="G42" s="74">
        <f>D42/30.48</f>
        <v/>
      </c>
      <c r="H42" s="247" t="n"/>
      <c r="I42" s="252" t="n"/>
      <c r="J42" s="255" t="n"/>
      <c r="L42" s="250" t="inlineStr">
        <is>
          <t>VR</t>
        </is>
      </c>
      <c r="N42" s="270" t="n"/>
      <c r="O42" t="inlineStr">
        <is>
          <t>SBL</t>
        </is>
      </c>
    </row>
    <row r="43" ht="17.25" customHeight="1" s="305">
      <c r="A43" s="8" t="inlineStr">
        <is>
          <t>KLM-42</t>
        </is>
      </c>
      <c r="B43" s="5" t="n">
        <v>341</v>
      </c>
      <c r="C43" s="72" t="inlineStr">
        <is>
          <t>X</t>
        </is>
      </c>
      <c r="D43" s="5" t="n">
        <v>90</v>
      </c>
      <c r="E43" s="73">
        <f>B43*D43/10000</f>
        <v/>
      </c>
      <c r="F43" s="74">
        <f>B43/30.48</f>
        <v/>
      </c>
      <c r="G43" s="74">
        <f>D43/30.48</f>
        <v/>
      </c>
      <c r="H43" s="247" t="n"/>
      <c r="I43" s="252" t="n"/>
      <c r="J43" s="255" t="n"/>
      <c r="N43" s="270" t="n"/>
      <c r="O43" t="inlineStr">
        <is>
          <t>SBL</t>
        </is>
      </c>
    </row>
    <row r="44" ht="17.25" customHeight="1" s="305">
      <c r="A44" s="8" t="inlineStr">
        <is>
          <t>KLM-43</t>
        </is>
      </c>
      <c r="B44" s="5" t="n">
        <v>290</v>
      </c>
      <c r="C44" s="72" t="inlineStr">
        <is>
          <t>X</t>
        </is>
      </c>
      <c r="D44" s="5" t="n">
        <v>89</v>
      </c>
      <c r="E44" s="73">
        <f>B44*D44/10000</f>
        <v/>
      </c>
      <c r="F44" s="74">
        <f>B44/30.48</f>
        <v/>
      </c>
      <c r="G44" s="74">
        <f>D44/30.48</f>
        <v/>
      </c>
      <c r="H44" s="247" t="n"/>
      <c r="I44" s="252" t="n"/>
      <c r="J44" s="255" t="n"/>
      <c r="N44" s="270" t="n"/>
      <c r="O44" t="inlineStr">
        <is>
          <t>SBL</t>
        </is>
      </c>
    </row>
    <row r="45" ht="17.25" customHeight="1" s="305">
      <c r="A45" s="8" t="inlineStr">
        <is>
          <t>KLM-44</t>
        </is>
      </c>
      <c r="B45" s="5" t="n">
        <v>240</v>
      </c>
      <c r="C45" s="72" t="inlineStr">
        <is>
          <t>X</t>
        </is>
      </c>
      <c r="D45" s="5" t="n">
        <v>91</v>
      </c>
      <c r="E45" s="73">
        <f>B45*D45/10000</f>
        <v/>
      </c>
      <c r="F45" s="74">
        <f>B45/30.48</f>
        <v/>
      </c>
      <c r="G45" s="74">
        <f>D45/30.48</f>
        <v/>
      </c>
      <c r="H45" s="247" t="n"/>
      <c r="I45" s="252" t="n"/>
      <c r="J45" s="255" t="n"/>
      <c r="N45" s="270" t="n"/>
      <c r="O45" t="inlineStr">
        <is>
          <t>SBL</t>
        </is>
      </c>
    </row>
    <row r="46" ht="17.25" customHeight="1" s="305">
      <c r="A46" s="28" t="inlineStr">
        <is>
          <t>KLM-45</t>
        </is>
      </c>
      <c r="B46" s="29" t="n">
        <v>364</v>
      </c>
      <c r="C46" s="236" t="inlineStr">
        <is>
          <t>X</t>
        </is>
      </c>
      <c r="D46" s="29" t="n">
        <v>81</v>
      </c>
      <c r="E46" s="237">
        <f>B46*D46/10000</f>
        <v/>
      </c>
      <c r="F46" s="238">
        <f>B46/30.48</f>
        <v/>
      </c>
      <c r="G46" s="238">
        <f>D46/30.48</f>
        <v/>
      </c>
      <c r="H46" s="248" t="n"/>
      <c r="I46" s="252" t="n"/>
      <c r="J46" s="255" t="n"/>
      <c r="N46" s="270" t="n"/>
      <c r="O46" t="inlineStr">
        <is>
          <t>SBL</t>
        </is>
      </c>
    </row>
    <row r="47" ht="17.25" customHeight="1" s="305">
      <c r="A47" s="8" t="inlineStr">
        <is>
          <t>KLM-46</t>
        </is>
      </c>
      <c r="B47" s="9" t="n">
        <v>89</v>
      </c>
      <c r="C47" s="239" t="inlineStr">
        <is>
          <t>X</t>
        </is>
      </c>
      <c r="D47" s="9" t="n">
        <v>306</v>
      </c>
      <c r="E47" s="73">
        <f>B47*D47/10000</f>
        <v/>
      </c>
      <c r="F47" s="74">
        <f>B47/30.48</f>
        <v/>
      </c>
      <c r="G47" s="74">
        <f>D47/30.48</f>
        <v/>
      </c>
      <c r="H47" s="249" t="n"/>
      <c r="I47" s="252" t="n"/>
      <c r="J47" s="255" t="n"/>
      <c r="L47" s="250" t="inlineStr">
        <is>
          <t>VR</t>
        </is>
      </c>
      <c r="N47" s="270" t="n"/>
    </row>
    <row r="48" ht="17.25" customHeight="1" s="305">
      <c r="A48" s="8" t="inlineStr">
        <is>
          <t>KLM-48</t>
        </is>
      </c>
      <c r="B48" s="9" t="n">
        <v>75</v>
      </c>
      <c r="C48" s="239" t="inlineStr">
        <is>
          <t>X</t>
        </is>
      </c>
      <c r="D48" s="9" t="n">
        <v>368</v>
      </c>
      <c r="E48" s="73">
        <f>B48*D48/10000</f>
        <v/>
      </c>
      <c r="F48" s="74">
        <f>B48/30.48</f>
        <v/>
      </c>
      <c r="G48" s="74">
        <f>D48/30.48</f>
        <v/>
      </c>
      <c r="H48" s="249" t="n"/>
      <c r="I48" s="252" t="n"/>
      <c r="J48" s="255" t="n"/>
      <c r="N48" s="270" t="n"/>
    </row>
    <row r="49" ht="17.25" customHeight="1" s="305">
      <c r="A49" s="28" t="inlineStr">
        <is>
          <t>KLM-49</t>
        </is>
      </c>
      <c r="B49" s="9" t="n">
        <v>83</v>
      </c>
      <c r="C49" s="236" t="inlineStr">
        <is>
          <t>X</t>
        </is>
      </c>
      <c r="D49" s="9" t="n">
        <v>353</v>
      </c>
      <c r="E49" s="237">
        <f>B49*D49/10000</f>
        <v/>
      </c>
      <c r="F49" s="238">
        <f>B49/30.48</f>
        <v/>
      </c>
      <c r="G49" s="238">
        <f>D49/30.48</f>
        <v/>
      </c>
      <c r="H49" s="249" t="n"/>
      <c r="I49" s="252" t="n"/>
      <c r="J49" s="255" t="n"/>
      <c r="L49" s="250" t="inlineStr">
        <is>
          <t>VR</t>
        </is>
      </c>
      <c r="N49" s="270" t="n"/>
    </row>
    <row r="50" ht="17.25" customHeight="1" s="305">
      <c r="A50" s="8" t="inlineStr">
        <is>
          <t>KLM-50</t>
        </is>
      </c>
      <c r="B50" s="9" t="n">
        <v>90</v>
      </c>
      <c r="C50" s="239" t="inlineStr">
        <is>
          <t>X</t>
        </is>
      </c>
      <c r="D50" s="9" t="n">
        <v>377</v>
      </c>
      <c r="E50" s="73">
        <f>B50*D50/10000</f>
        <v/>
      </c>
      <c r="F50" s="74">
        <f>B50/30.48</f>
        <v/>
      </c>
      <c r="G50" s="74">
        <f>D50/30.48</f>
        <v/>
      </c>
      <c r="H50" s="249" t="n"/>
      <c r="I50" s="252" t="n"/>
      <c r="J50" s="255" t="n"/>
      <c r="L50" s="250" t="inlineStr">
        <is>
          <t>VR</t>
        </is>
      </c>
      <c r="N50" s="270" t="n"/>
    </row>
    <row r="51" ht="17.25" customHeight="1" s="305">
      <c r="A51" s="28" t="inlineStr">
        <is>
          <t>KLM-51</t>
        </is>
      </c>
      <c r="B51" s="9" t="n">
        <v>72</v>
      </c>
      <c r="C51" s="236" t="inlineStr">
        <is>
          <t>X</t>
        </is>
      </c>
      <c r="D51" s="9" t="n">
        <v>353</v>
      </c>
      <c r="E51" s="237">
        <f>B51*D51/10000</f>
        <v/>
      </c>
      <c r="F51" s="238">
        <f>B51/30.48</f>
        <v/>
      </c>
      <c r="G51" s="238">
        <f>D51/30.48</f>
        <v/>
      </c>
      <c r="H51" s="249" t="n"/>
      <c r="I51" s="252" t="n"/>
      <c r="J51" s="255" t="n"/>
      <c r="N51" s="270" t="n"/>
    </row>
    <row r="52" ht="17.25" customHeight="1" s="305">
      <c r="A52" s="8" t="inlineStr">
        <is>
          <t>KLM-52</t>
        </is>
      </c>
      <c r="B52" s="9" t="n">
        <v>72</v>
      </c>
      <c r="C52" s="239" t="inlineStr">
        <is>
          <t>X</t>
        </is>
      </c>
      <c r="D52" s="9" t="n">
        <v>351</v>
      </c>
      <c r="E52" s="73">
        <f>B52*D52/10000</f>
        <v/>
      </c>
      <c r="F52" s="74">
        <f>B52/30.48</f>
        <v/>
      </c>
      <c r="G52" s="74">
        <f>D52/30.48</f>
        <v/>
      </c>
      <c r="H52" s="249" t="n"/>
      <c r="I52" s="252" t="n"/>
      <c r="J52" s="255" t="n"/>
      <c r="N52" s="270" t="n"/>
    </row>
    <row r="53" ht="17.25" customHeight="1" s="305">
      <c r="A53" s="28" t="inlineStr">
        <is>
          <t>KLM-53</t>
        </is>
      </c>
      <c r="B53" s="9" t="n">
        <v>79</v>
      </c>
      <c r="C53" s="236" t="inlineStr">
        <is>
          <t>X</t>
        </is>
      </c>
      <c r="D53" s="9" t="n">
        <v>226</v>
      </c>
      <c r="E53" s="237">
        <f>B53*D53/10000</f>
        <v/>
      </c>
      <c r="F53" s="238">
        <f>B53/30.48</f>
        <v/>
      </c>
      <c r="G53" s="238">
        <f>D53/30.48</f>
        <v/>
      </c>
      <c r="H53" s="249" t="n"/>
      <c r="I53" s="252" t="n"/>
      <c r="J53" s="255" t="n"/>
      <c r="N53" s="270" t="n"/>
    </row>
    <row r="54" ht="17.25" customHeight="1" s="305">
      <c r="A54" s="8" t="inlineStr">
        <is>
          <t>KLM-54</t>
        </is>
      </c>
      <c r="B54" s="9" t="n">
        <v>70</v>
      </c>
      <c r="C54" s="239" t="inlineStr">
        <is>
          <t>X</t>
        </is>
      </c>
      <c r="D54" s="9" t="n">
        <v>259</v>
      </c>
      <c r="E54" s="73">
        <f>B54*D54/10000</f>
        <v/>
      </c>
      <c r="F54" s="74">
        <f>B54/30.48</f>
        <v/>
      </c>
      <c r="G54" s="74">
        <f>D54/30.48</f>
        <v/>
      </c>
      <c r="H54" s="249" t="n"/>
      <c r="I54" s="252" t="n"/>
      <c r="J54" s="255" t="n"/>
      <c r="N54" s="270" t="n"/>
    </row>
    <row r="55" ht="17.25" customHeight="1" s="305">
      <c r="A55" s="28" t="inlineStr">
        <is>
          <t>KLM-55</t>
        </is>
      </c>
      <c r="B55" s="9" t="n">
        <v>155</v>
      </c>
      <c r="C55" s="236" t="inlineStr">
        <is>
          <t>X</t>
        </is>
      </c>
      <c r="D55" s="9" t="n">
        <v>341</v>
      </c>
      <c r="E55" s="237">
        <f>B55*D55/10000</f>
        <v/>
      </c>
      <c r="F55" s="238">
        <f>B55/30.48</f>
        <v/>
      </c>
      <c r="G55" s="238">
        <f>D55/30.48</f>
        <v/>
      </c>
      <c r="H55" s="249" t="n"/>
      <c r="I55" s="252" t="n"/>
      <c r="J55" s="255" t="n"/>
      <c r="N55" s="270" t="n"/>
    </row>
    <row r="56" ht="17.25" customHeight="1" s="305">
      <c r="A56" s="8" t="inlineStr">
        <is>
          <t>KLM-56</t>
        </is>
      </c>
      <c r="B56" s="9" t="n">
        <v>76</v>
      </c>
      <c r="C56" s="239" t="inlineStr">
        <is>
          <t>X</t>
        </is>
      </c>
      <c r="D56" s="9" t="n">
        <v>148</v>
      </c>
      <c r="E56" s="73">
        <f>B56*D56/10000</f>
        <v/>
      </c>
      <c r="F56" s="74">
        <f>B56/30.48</f>
        <v/>
      </c>
      <c r="G56" s="74">
        <f>D56/30.48</f>
        <v/>
      </c>
      <c r="H56" s="249" t="n"/>
      <c r="I56" s="252" t="n"/>
      <c r="J56" s="255" t="n"/>
      <c r="N56" s="270" t="n"/>
    </row>
    <row r="57" ht="17.25" customHeight="1" s="305">
      <c r="A57" s="8" t="inlineStr">
        <is>
          <t>KLM-58</t>
        </is>
      </c>
      <c r="B57" s="9" t="n">
        <v>84</v>
      </c>
      <c r="C57" s="239" t="inlineStr">
        <is>
          <t>X</t>
        </is>
      </c>
      <c r="D57" s="9" t="n">
        <v>377</v>
      </c>
      <c r="E57" s="73">
        <f>B57*D57/10000</f>
        <v/>
      </c>
      <c r="F57" s="74">
        <f>B57/30.48</f>
        <v/>
      </c>
      <c r="G57" s="74">
        <f>D57/30.48</f>
        <v/>
      </c>
      <c r="H57" s="249" t="n"/>
      <c r="I57" s="252" t="n"/>
      <c r="J57" s="255" t="n"/>
      <c r="L57" s="250" t="inlineStr">
        <is>
          <t>VR</t>
        </is>
      </c>
      <c r="N57" s="270" t="n"/>
    </row>
    <row r="58" ht="17.25" customHeight="1" s="305">
      <c r="A58" s="28" t="inlineStr">
        <is>
          <t>KLM-59</t>
        </is>
      </c>
      <c r="B58" s="9" t="n">
        <v>83</v>
      </c>
      <c r="C58" s="236" t="inlineStr">
        <is>
          <t>X</t>
        </is>
      </c>
      <c r="D58" s="9" t="n">
        <v>364</v>
      </c>
      <c r="E58" s="237">
        <f>B58*D58/10000</f>
        <v/>
      </c>
      <c r="F58" s="238">
        <f>B58/30.48</f>
        <v/>
      </c>
      <c r="G58" s="238">
        <f>D58/30.48</f>
        <v/>
      </c>
      <c r="H58" s="249" t="n"/>
      <c r="I58" s="252" t="n"/>
      <c r="J58" s="255" t="n"/>
      <c r="N58" s="270" t="n"/>
    </row>
    <row r="59" ht="17.25" customHeight="1" s="305">
      <c r="A59" s="28" t="inlineStr">
        <is>
          <t>KLM-61</t>
        </is>
      </c>
      <c r="B59" s="9" t="n">
        <v>78</v>
      </c>
      <c r="C59" s="236" t="inlineStr">
        <is>
          <t>X</t>
        </is>
      </c>
      <c r="D59" s="9" t="n">
        <v>277</v>
      </c>
      <c r="E59" s="237">
        <f>B59*D59/10000</f>
        <v/>
      </c>
      <c r="F59" s="238">
        <f>B59/30.48</f>
        <v/>
      </c>
      <c r="G59" s="238">
        <f>D59/30.48</f>
        <v/>
      </c>
      <c r="H59" s="249" t="n"/>
      <c r="I59" s="252" t="n"/>
      <c r="J59" s="255" t="n"/>
      <c r="N59" s="270" t="n"/>
    </row>
    <row r="60" ht="17.25" customHeight="1" s="305">
      <c r="A60" s="8" t="inlineStr">
        <is>
          <t>KLM-62</t>
        </is>
      </c>
      <c r="B60" s="71" t="n">
        <v>76</v>
      </c>
      <c r="C60" s="239" t="inlineStr">
        <is>
          <t>X</t>
        </is>
      </c>
      <c r="D60" s="71" t="n">
        <v>286</v>
      </c>
      <c r="E60" s="73">
        <f>B60*D60/10000</f>
        <v/>
      </c>
      <c r="F60" s="74">
        <f>B60/30.48</f>
        <v/>
      </c>
      <c r="G60" s="74">
        <f>D60/30.48</f>
        <v/>
      </c>
      <c r="H60" s="249" t="n"/>
      <c r="I60" s="252" t="n"/>
      <c r="J60" s="255" t="n"/>
      <c r="N60" s="270" t="n"/>
    </row>
    <row r="61" ht="17.25" customHeight="1" s="305">
      <c r="A61" s="8" t="inlineStr">
        <is>
          <t>KLM-63</t>
        </is>
      </c>
      <c r="B61" s="71" t="n">
        <v>78</v>
      </c>
      <c r="C61" s="239" t="inlineStr">
        <is>
          <t>X</t>
        </is>
      </c>
      <c r="D61" s="71" t="n">
        <v>308</v>
      </c>
      <c r="E61" s="73">
        <f>B61*D61/10000</f>
        <v/>
      </c>
      <c r="F61" s="74">
        <f>B61/30.48</f>
        <v/>
      </c>
      <c r="G61" s="74">
        <f>D61/30.48</f>
        <v/>
      </c>
      <c r="I61" s="252" t="n"/>
      <c r="J61" s="255" t="n"/>
      <c r="N61" s="270" t="n"/>
    </row>
    <row r="62" ht="17.25" customHeight="1" s="305">
      <c r="A62" s="8" t="inlineStr">
        <is>
          <t>KLM-64</t>
        </is>
      </c>
      <c r="B62" s="71" t="n">
        <v>79</v>
      </c>
      <c r="C62" s="239" t="inlineStr">
        <is>
          <t>X</t>
        </is>
      </c>
      <c r="D62" s="71" t="n">
        <v>199</v>
      </c>
      <c r="E62" s="73">
        <f>B62*D62/10000</f>
        <v/>
      </c>
      <c r="F62" s="74">
        <f>B62/30.48</f>
        <v/>
      </c>
      <c r="G62" s="74">
        <f>D62/30.48</f>
        <v/>
      </c>
    </row>
    <row r="63" ht="17.25" customHeight="1" s="305">
      <c r="A63" s="8" t="inlineStr">
        <is>
          <t>KLM-65</t>
        </is>
      </c>
      <c r="B63" s="71" t="n"/>
      <c r="C63" s="239" t="inlineStr">
        <is>
          <t>X</t>
        </is>
      </c>
      <c r="D63" s="71" t="n"/>
      <c r="E63" s="73">
        <f>B63*D63/10000</f>
        <v/>
      </c>
      <c r="F63" s="74">
        <f>B63/30.48</f>
        <v/>
      </c>
      <c r="G63" s="74">
        <f>D63/30.48</f>
        <v/>
      </c>
    </row>
    <row r="64" ht="17.25" customHeight="1" s="305">
      <c r="A64" s="8" t="inlineStr">
        <is>
          <t>KLM-66</t>
        </is>
      </c>
      <c r="B64" s="71" t="n"/>
      <c r="C64" s="239" t="inlineStr">
        <is>
          <t>X</t>
        </is>
      </c>
      <c r="D64" s="71" t="n"/>
      <c r="E64" s="73">
        <f>B64*D64/10000</f>
        <v/>
      </c>
      <c r="F64" s="74">
        <f>B64/30.48</f>
        <v/>
      </c>
      <c r="G64" s="74">
        <f>D64/30.48</f>
        <v/>
      </c>
    </row>
    <row r="65" ht="17.25" customHeight="1" s="305">
      <c r="A65" s="8" t="inlineStr">
        <is>
          <t>KLM-67</t>
        </is>
      </c>
      <c r="B65" s="71" t="n"/>
      <c r="C65" s="239" t="inlineStr">
        <is>
          <t>X</t>
        </is>
      </c>
      <c r="D65" s="71" t="n"/>
      <c r="E65" s="73">
        <f>B65*D65/10000</f>
        <v/>
      </c>
      <c r="F65" s="74">
        <f>B65/30.48</f>
        <v/>
      </c>
      <c r="G65" s="74">
        <f>D65/30.48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topLeftCell="B1" workbookViewId="0">
      <selection activeCell="G2" sqref="G2"/>
    </sheetView>
  </sheetViews>
  <sheetFormatPr baseColWidth="8" defaultRowHeight="15"/>
  <cols>
    <col width="9.42578125" customWidth="1" style="305" min="1" max="1"/>
    <col width="31.28515625" bestFit="1" customWidth="1" style="305" min="2" max="2"/>
    <col width="31.85546875" bestFit="1" customWidth="1" style="305" min="3" max="3"/>
    <col width="19.42578125" customWidth="1" style="305" min="4" max="4"/>
    <col width="18.42578125" customWidth="1" style="256" min="5" max="5"/>
    <col width="39.5703125" customWidth="1" style="256" min="6" max="6"/>
    <col width="18.28515625" customWidth="1" style="305" min="7" max="7"/>
    <col width="32.5703125" customWidth="1" style="305" min="8" max="8"/>
    <col width="28.28515625" customWidth="1" style="305" min="9" max="9"/>
    <col width="9.140625" customWidth="1" style="256" min="10" max="10"/>
  </cols>
  <sheetData>
    <row r="1">
      <c r="A1" s="625" t="inlineStr">
        <is>
          <t xml:space="preserve">ETSY Mail adresleri </t>
        </is>
      </c>
      <c r="B1" s="726" t="n"/>
      <c r="C1" s="313" t="n"/>
      <c r="D1" s="408" t="inlineStr">
        <is>
          <t>ETSY Şifreleri</t>
        </is>
      </c>
      <c r="E1" s="409" t="inlineStr">
        <is>
          <t>Authenticator</t>
        </is>
      </c>
      <c r="F1" s="410" t="inlineStr">
        <is>
          <t>Mail Adres</t>
        </is>
      </c>
      <c r="G1" s="411" t="inlineStr">
        <is>
          <t>Mail Şifre</t>
        </is>
      </c>
      <c r="H1" s="421" t="inlineStr">
        <is>
          <t>Kredi Kartı</t>
        </is>
      </c>
      <c r="I1" s="376" t="inlineStr">
        <is>
          <t>Banka Kartı</t>
        </is>
      </c>
    </row>
    <row r="2">
      <c r="A2" s="108" t="n">
        <v>1</v>
      </c>
      <c r="B2" s="171" t="inlineStr">
        <is>
          <t>Rugs Kilim</t>
        </is>
      </c>
      <c r="C2" s="165" t="inlineStr">
        <is>
          <t>rugskilimm@gmail.com</t>
        </is>
      </c>
      <c r="D2" s="184" t="inlineStr">
        <is>
          <t>Hasan429256.</t>
        </is>
      </c>
      <c r="E2" s="378" t="inlineStr">
        <is>
          <t>OFF</t>
        </is>
      </c>
      <c r="F2" s="412" t="inlineStr">
        <is>
          <t>rugskilimm@gmail.com</t>
        </is>
      </c>
      <c r="G2" s="373" t="inlineStr">
        <is>
          <t>Hasan429256.</t>
        </is>
      </c>
      <c r="H2" s="422" t="inlineStr">
        <is>
          <t>Sabriye Kahveci - 0640 - Master</t>
        </is>
      </c>
      <c r="I2" s="375" t="inlineStr">
        <is>
          <t>beyzanur kahveci - 5001</t>
        </is>
      </c>
      <c r="J2" s="256" t="inlineStr">
        <is>
          <t>!</t>
        </is>
      </c>
    </row>
    <row r="3">
      <c r="A3" s="108" t="n">
        <v>2</v>
      </c>
      <c r="B3" s="171" t="inlineStr">
        <is>
          <t xml:space="preserve">Patch Arts Carpet </t>
        </is>
      </c>
      <c r="C3" s="165" t="inlineStr">
        <is>
          <t>malatyapatcharts@gmail.com</t>
        </is>
      </c>
      <c r="D3" s="184" t="inlineStr">
        <is>
          <t>Hasan429256.</t>
        </is>
      </c>
      <c r="E3" s="378" t="inlineStr">
        <is>
          <t>Hasan  KAHVECİ</t>
        </is>
      </c>
      <c r="F3" s="413" t="inlineStr">
        <is>
          <t>malatyapatcharts@gmail.com</t>
        </is>
      </c>
      <c r="G3" s="374" t="inlineStr">
        <is>
          <t>Beyza299144.</t>
        </is>
      </c>
      <c r="H3" s="423" t="inlineStr">
        <is>
          <t>Hasan Benna Kahveci - 4695</t>
        </is>
      </c>
      <c r="I3" s="374" t="inlineStr">
        <is>
          <t>Hasan Benna Kahveci - 5007</t>
        </is>
      </c>
      <c r="J3" s="256" t="inlineStr">
        <is>
          <t>!</t>
        </is>
      </c>
    </row>
    <row r="4">
      <c r="A4" s="108" t="n">
        <v>3</v>
      </c>
      <c r="B4" s="171" t="inlineStr">
        <is>
          <t xml:space="preserve">Old New Rugs </t>
        </is>
      </c>
      <c r="C4" s="166" t="inlineStr">
        <is>
          <t>oldnewrugs@gmail.com</t>
        </is>
      </c>
      <c r="D4" s="184" t="inlineStr">
        <is>
          <t>Beyza299144.</t>
        </is>
      </c>
      <c r="E4" s="378" t="inlineStr">
        <is>
          <t>OFF</t>
        </is>
      </c>
      <c r="F4" s="413" t="inlineStr">
        <is>
          <t>oldnewrugs@gmail.com</t>
        </is>
      </c>
      <c r="G4" s="374" t="inlineStr">
        <is>
          <t>anatolianrug321</t>
        </is>
      </c>
      <c r="H4" s="423" t="inlineStr">
        <is>
          <t>Hasan Benna Kahveci - 4695</t>
        </is>
      </c>
      <c r="I4" s="374" t="inlineStr">
        <is>
          <t>Sabriye Kahveci - 7587</t>
        </is>
      </c>
      <c r="J4" s="256" t="inlineStr">
        <is>
          <t>*</t>
        </is>
      </c>
    </row>
    <row r="5">
      <c r="A5" s="108" t="n">
        <v>4</v>
      </c>
      <c r="B5" s="171" t="inlineStr">
        <is>
          <t>Rug Shop Turkey</t>
        </is>
      </c>
      <c r="C5" s="166" t="inlineStr">
        <is>
          <t>rugshopturkey@gmail.com</t>
        </is>
      </c>
      <c r="D5" s="184" t="inlineStr">
        <is>
          <t>Hasan429256.</t>
        </is>
      </c>
      <c r="E5" s="378" t="inlineStr">
        <is>
          <t>Yasin ŞAHİN</t>
        </is>
      </c>
      <c r="F5" s="413" t="inlineStr">
        <is>
          <t>rugshopturkey@gmail.com</t>
        </is>
      </c>
      <c r="G5" s="374" t="inlineStr">
        <is>
          <t>Hasan429256.</t>
        </is>
      </c>
      <c r="H5" s="423" t="inlineStr">
        <is>
          <t>Yasin Şahin - 8099 - Master</t>
        </is>
      </c>
      <c r="I5" s="374" t="inlineStr">
        <is>
          <t>Yasin Şahin - 5002</t>
        </is>
      </c>
      <c r="J5" s="256" t="inlineStr">
        <is>
          <t>*</t>
        </is>
      </c>
    </row>
    <row r="6">
      <c r="A6" s="108" t="n">
        <v>5</v>
      </c>
      <c r="B6" s="171" t="inlineStr">
        <is>
          <t>Woven Turkish Rugs</t>
        </is>
      </c>
      <c r="C6" s="166" t="inlineStr">
        <is>
          <t>woventurkishrugs@gmail.com</t>
        </is>
      </c>
      <c r="D6" s="184" t="inlineStr">
        <is>
          <t>Bayram299144.</t>
        </is>
      </c>
      <c r="E6" s="378" t="inlineStr">
        <is>
          <t>Mağaza cihazı</t>
        </is>
      </c>
      <c r="F6" s="412" t="inlineStr">
        <is>
          <t>woventurkishrugs@gmail.com</t>
        </is>
      </c>
      <c r="G6" s="373" t="inlineStr">
        <is>
          <t>Bayram429256.</t>
        </is>
      </c>
      <c r="H6" s="423" t="n"/>
      <c r="I6" s="374" t="n"/>
      <c r="J6" s="256" t="inlineStr">
        <is>
          <t>*</t>
        </is>
      </c>
    </row>
    <row r="7">
      <c r="A7" s="108" t="n">
        <v>6</v>
      </c>
      <c r="B7" s="171" t="inlineStr">
        <is>
          <t>Boho Rug House</t>
        </is>
      </c>
      <c r="C7" s="166" t="inlineStr">
        <is>
          <t>bohorughouse@gmail.com</t>
        </is>
      </c>
      <c r="D7" s="184" t="inlineStr">
        <is>
          <t>Beyza429256.</t>
        </is>
      </c>
      <c r="E7" s="378" t="inlineStr">
        <is>
          <t>Hasan Kahveci</t>
        </is>
      </c>
      <c r="F7" s="379" t="inlineStr">
        <is>
          <t>bohorughouse@gmail.com</t>
        </is>
      </c>
      <c r="G7" s="374" t="inlineStr">
        <is>
          <t>Beyza429256</t>
        </is>
      </c>
      <c r="H7" s="423" t="inlineStr">
        <is>
          <t>Hasan Benna Kahveci -</t>
        </is>
      </c>
      <c r="I7" s="374" t="inlineStr">
        <is>
          <t>beyzanur kahveci -</t>
        </is>
      </c>
      <c r="J7" s="256" t="inlineStr">
        <is>
          <t>*</t>
        </is>
      </c>
    </row>
    <row r="8">
      <c r="A8" s="108" t="n">
        <v>7</v>
      </c>
      <c r="B8" s="171" t="inlineStr">
        <is>
          <t>Loomix Rug</t>
        </is>
      </c>
      <c r="C8" s="166" t="inlineStr">
        <is>
          <t>loomixrugs@gmail.com</t>
        </is>
      </c>
      <c r="D8" s="184" t="inlineStr">
        <is>
          <t>Hasan429256.</t>
        </is>
      </c>
      <c r="E8" s="378" t="inlineStr">
        <is>
          <t>Mağaza cihazı</t>
        </is>
      </c>
      <c r="F8" s="379" t="inlineStr">
        <is>
          <t>loomixrugs@gmail.com</t>
        </is>
      </c>
      <c r="G8" s="374" t="inlineStr">
        <is>
          <t>Hasan429256.</t>
        </is>
      </c>
      <c r="H8" s="423" t="n"/>
      <c r="I8" s="374" t="n"/>
      <c r="J8" s="256" t="inlineStr">
        <is>
          <t>*</t>
        </is>
      </c>
    </row>
    <row r="9">
      <c r="A9" s="108" t="n">
        <v>8</v>
      </c>
      <c r="B9" s="171" t="inlineStr">
        <is>
          <t>Loop Rug</t>
        </is>
      </c>
      <c r="C9" s="166" t="inlineStr">
        <is>
          <t>looprugstore@gmail.com</t>
        </is>
      </c>
      <c r="D9" s="184" t="inlineStr">
        <is>
          <t>Suat429256.</t>
        </is>
      </c>
      <c r="E9" s="378" t="inlineStr">
        <is>
          <t>Suat Uçkun</t>
        </is>
      </c>
      <c r="F9" s="412" t="inlineStr">
        <is>
          <t>looprugstore@gmail.com</t>
        </is>
      </c>
      <c r="G9" s="373" t="inlineStr">
        <is>
          <t>Suat429256.</t>
        </is>
      </c>
      <c r="H9" s="424" t="inlineStr">
        <is>
          <t>Suat Uçkun-Yapıkredi</t>
        </is>
      </c>
      <c r="I9" s="373" t="inlineStr">
        <is>
          <t>Suat Uçkun- Ziraat</t>
        </is>
      </c>
      <c r="J9" s="256" t="inlineStr">
        <is>
          <t>*</t>
        </is>
      </c>
    </row>
    <row r="10">
      <c r="A10" s="108" t="n">
        <v>9</v>
      </c>
      <c r="B10" s="171" t="inlineStr">
        <is>
          <t>Woven Loom Rugs</t>
        </is>
      </c>
      <c r="C10" s="166" t="inlineStr">
        <is>
          <t>wovenloomrug@gmail.com</t>
        </is>
      </c>
      <c r="D10" s="184" t="inlineStr">
        <is>
          <t>Beyza429256.</t>
        </is>
      </c>
      <c r="E10" s="378" t="inlineStr">
        <is>
          <t>Hasan Kahveci</t>
        </is>
      </c>
      <c r="F10" s="414" t="inlineStr">
        <is>
          <t>wovenloomrugs@gmail.com</t>
        </is>
      </c>
      <c r="G10" s="373" t="inlineStr">
        <is>
          <t>Beyza429256.</t>
        </is>
      </c>
      <c r="H10" s="423" t="n"/>
      <c r="I10" s="374" t="n"/>
      <c r="J10" s="256" t="inlineStr">
        <is>
          <t>*</t>
        </is>
      </c>
    </row>
    <row r="11" ht="28.5" customHeight="1" s="305">
      <c r="A11" s="108" t="n">
        <v>10</v>
      </c>
      <c r="B11" s="171" t="inlineStr">
        <is>
          <t>Wool Cotton Rugs</t>
        </is>
      </c>
      <c r="C11" s="166" t="inlineStr">
        <is>
          <t>woolhandwovenrugs@gmail.com</t>
        </is>
      </c>
      <c r="D11" s="184" t="inlineStr">
        <is>
          <t>Ferdi429256.</t>
        </is>
      </c>
      <c r="E11" s="378" t="inlineStr">
        <is>
          <t>Hasan Kahveci</t>
        </is>
      </c>
      <c r="F11" s="414" t="inlineStr">
        <is>
          <t>woolhandwovenrugs@gmail.com</t>
        </is>
      </c>
      <c r="G11" s="373" t="inlineStr">
        <is>
          <t>Hasan429256.</t>
        </is>
      </c>
      <c r="H11" s="424" t="inlineStr">
        <is>
          <t>Hasan Benna Kahveci</t>
        </is>
      </c>
      <c r="I11" s="377" t="inlineStr">
        <is>
          <t>Hasan Benna Kahveci - Kuveyttürk</t>
        </is>
      </c>
      <c r="J11" s="256" t="inlineStr">
        <is>
          <t>*</t>
        </is>
      </c>
    </row>
    <row r="12">
      <c r="A12" s="108" t="n">
        <v>11</v>
      </c>
      <c r="B12" s="415" t="n"/>
      <c r="C12" s="416" t="n"/>
      <c r="D12" s="184" t="n"/>
      <c r="E12" s="378" t="n"/>
      <c r="F12" s="417" t="n"/>
      <c r="G12" s="418" t="n"/>
      <c r="H12" s="423" t="n"/>
      <c r="I12" s="374" t="n"/>
    </row>
    <row r="13">
      <c r="A13" s="108" t="n">
        <v>12</v>
      </c>
      <c r="B13" s="171" t="inlineStr">
        <is>
          <t>Rugs Kilim LLC</t>
        </is>
      </c>
      <c r="C13" s="166" t="inlineStr">
        <is>
          <t>hello@rugskilim.com</t>
        </is>
      </c>
      <c r="D13" s="184" t="inlineStr">
        <is>
          <t>Hasan429256.</t>
        </is>
      </c>
      <c r="E13" s="378" t="inlineStr">
        <is>
          <t>Hasan Kahveci</t>
        </is>
      </c>
      <c r="F13" s="414" t="inlineStr">
        <is>
          <t>hello@rugskilim.com</t>
        </is>
      </c>
      <c r="G13" s="373" t="inlineStr">
        <is>
          <t>Hasan429256.</t>
        </is>
      </c>
      <c r="H13" s="424" t="inlineStr">
        <is>
          <t>Mercury</t>
        </is>
      </c>
      <c r="I13" s="373" t="inlineStr">
        <is>
          <t>Mercury</t>
        </is>
      </c>
      <c r="J13" s="256" t="inlineStr">
        <is>
          <t>!</t>
        </is>
      </c>
    </row>
    <row r="14">
      <c r="A14" s="108" t="n">
        <v>13</v>
      </c>
      <c r="B14" s="171" t="inlineStr">
        <is>
          <t>Vintage Rug Emporium</t>
        </is>
      </c>
      <c r="C14" s="166" t="inlineStr">
        <is>
          <t>vintageworldrug@gmail.com</t>
        </is>
      </c>
      <c r="D14" s="184" t="inlineStr">
        <is>
          <t>?</t>
        </is>
      </c>
      <c r="E14" s="378" t="inlineStr">
        <is>
          <t>Suat uçkun</t>
        </is>
      </c>
      <c r="F14" s="379" t="inlineStr">
        <is>
          <t>vintageworldrug@gmail.com</t>
        </is>
      </c>
      <c r="G14" s="375" t="inlineStr">
        <is>
          <t>vintageworldrug321</t>
        </is>
      </c>
      <c r="H14" s="425" t="inlineStr">
        <is>
          <t>Hasan Benna Kahveci - 4695</t>
        </is>
      </c>
      <c r="I14" s="380" t="inlineStr">
        <is>
          <t>Yunus Anıl - 5002</t>
        </is>
      </c>
    </row>
    <row r="15">
      <c r="A15" s="108" t="n"/>
      <c r="B15" s="419" t="inlineStr">
        <is>
          <t>MAKİNA</t>
        </is>
      </c>
      <c r="C15" s="166" t="n"/>
      <c r="D15" s="184" t="n"/>
      <c r="E15" s="378" t="n"/>
      <c r="F15" s="379" t="n"/>
      <c r="G15" s="375" t="n"/>
      <c r="H15" s="425" t="n"/>
      <c r="I15" s="380" t="n"/>
      <c r="J15" s="256" t="inlineStr">
        <is>
          <t>!</t>
        </is>
      </c>
    </row>
    <row r="16">
      <c r="A16" s="108" t="n">
        <v>14</v>
      </c>
      <c r="B16" s="171" t="inlineStr">
        <is>
          <t>Rugs Kilim Store - Makina</t>
        </is>
      </c>
      <c r="C16" s="166" t="inlineStr">
        <is>
          <t>woodcutdesignya@gmail.com</t>
        </is>
      </c>
      <c r="D16" s="184" t="inlineStr">
        <is>
          <t>Yasinayaz44</t>
        </is>
      </c>
      <c r="E16" s="378" t="inlineStr">
        <is>
          <t>Yasin AYAZ</t>
        </is>
      </c>
      <c r="F16" s="379" t="inlineStr">
        <is>
          <t>woodcutdesignya@gmail.com</t>
        </is>
      </c>
      <c r="G16" s="375" t="inlineStr">
        <is>
          <t>Yasinayaz44</t>
        </is>
      </c>
      <c r="H16" s="426" t="inlineStr">
        <is>
          <t>Yasin Ayaz - 1037 - Mater</t>
        </is>
      </c>
      <c r="I16" s="374" t="inlineStr">
        <is>
          <t>Yasin Ayaz - 2105</t>
        </is>
      </c>
      <c r="J16" s="256" t="inlineStr">
        <is>
          <t>!</t>
        </is>
      </c>
    </row>
    <row r="17">
      <c r="A17" s="108" t="n">
        <v>15</v>
      </c>
      <c r="B17" s="171" t="inlineStr">
        <is>
          <t>Oushak Loom Rugs - Makina</t>
        </is>
      </c>
      <c r="C17" s="166" t="inlineStr">
        <is>
          <t>oushakloomrugs@gmail.com</t>
        </is>
      </c>
      <c r="D17" s="184" t="inlineStr">
        <is>
          <t>Hasan429256.</t>
        </is>
      </c>
      <c r="E17" s="378" t="inlineStr">
        <is>
          <t>Hasan Kahveci</t>
        </is>
      </c>
      <c r="F17" s="379" t="inlineStr">
        <is>
          <t>oushakloomrugs@gmail.com</t>
        </is>
      </c>
      <c r="G17" s="375" t="inlineStr">
        <is>
          <t>Hasan429256.</t>
        </is>
      </c>
      <c r="H17" s="426" t="n"/>
      <c r="I17" s="374" t="n"/>
      <c r="J17" s="256" t="inlineStr">
        <is>
          <t>*</t>
        </is>
      </c>
    </row>
    <row r="18">
      <c r="A18" s="108" t="n">
        <v>16</v>
      </c>
      <c r="B18" s="171" t="inlineStr">
        <is>
          <t>Rugs Fair</t>
        </is>
      </c>
      <c r="C18" s="166" t="inlineStr">
        <is>
          <t>rugfairr@gmail.com</t>
        </is>
      </c>
      <c r="D18" s="184" t="n"/>
      <c r="E18" s="378" t="n"/>
      <c r="F18" s="420" t="inlineStr">
        <is>
          <t>rugfairr@gmail.com</t>
        </is>
      </c>
      <c r="G18" s="418" t="n"/>
      <c r="H18" s="423" t="n"/>
      <c r="I18" s="374" t="n"/>
      <c r="J18" s="256" t="inlineStr">
        <is>
          <t>!</t>
        </is>
      </c>
    </row>
    <row r="19">
      <c r="A19" s="108" t="n">
        <v>17</v>
      </c>
      <c r="B19" s="171" t="inlineStr">
        <is>
          <t>Lulu Rugs</t>
        </is>
      </c>
      <c r="C19" s="166" t="inlineStr">
        <is>
          <t>Lulurugs0@gmail.com</t>
        </is>
      </c>
      <c r="D19" s="184" t="inlineStr">
        <is>
          <t>Lulurugs429.</t>
        </is>
      </c>
      <c r="E19" s="378" t="n"/>
      <c r="F19" s="166" t="inlineStr">
        <is>
          <t>Lulurugs0@gmail.com</t>
        </is>
      </c>
      <c r="G19" s="418" t="inlineStr">
        <is>
          <t>Lulurugs429.</t>
        </is>
      </c>
      <c r="H19" s="405" t="n"/>
      <c r="I19" s="406" t="n"/>
    </row>
    <row r="20">
      <c r="A20" s="162" t="n">
        <v>18</v>
      </c>
      <c r="B20" s="401" t="inlineStr">
        <is>
          <t>İlmek Rug</t>
        </is>
      </c>
      <c r="C20" s="407" t="inlineStr">
        <is>
          <t>ilmekrugs@gmail.com</t>
        </is>
      </c>
      <c r="D20" s="183" t="inlineStr">
        <is>
          <t>ilmek429256.</t>
        </is>
      </c>
      <c r="E20" s="402" t="n"/>
      <c r="F20" s="403" t="n"/>
      <c r="G20" s="404" t="n"/>
      <c r="H20" s="405" t="n"/>
      <c r="I20" s="406" t="n"/>
    </row>
    <row r="21">
      <c r="A21" s="627" t="inlineStr">
        <is>
          <t>ÇALIŞMA MAİLLERİ</t>
        </is>
      </c>
      <c r="B21" s="727" t="n"/>
      <c r="C21" s="727" t="n"/>
      <c r="D21" s="698" t="n"/>
      <c r="F21" s="346" t="n"/>
      <c r="G21" s="371" t="n"/>
    </row>
    <row r="22">
      <c r="A22" s="162" t="n">
        <v>1</v>
      </c>
      <c r="B22" s="174" t="inlineStr">
        <is>
          <t>ANA BİLGİSAYAR</t>
        </is>
      </c>
      <c r="C22" s="168" t="inlineStr">
        <is>
          <t>oldanatolianrugs@gmail.com</t>
        </is>
      </c>
      <c r="D22" s="441" t="inlineStr">
        <is>
          <t>anatolianrug321</t>
        </is>
      </c>
      <c r="F22" s="253" t="n"/>
      <c r="G22" s="256" t="n"/>
    </row>
    <row r="23">
      <c r="A23" s="108" t="n">
        <v>2</v>
      </c>
      <c r="B23" s="175" t="inlineStr">
        <is>
          <t>EXCELL</t>
        </is>
      </c>
      <c r="C23" s="166" t="inlineStr">
        <is>
          <t>oldanatolianrugs@hotmail.com</t>
        </is>
      </c>
      <c r="D23" s="181" t="inlineStr">
        <is>
          <t>anadolukilim321</t>
        </is>
      </c>
      <c r="E23" s="86" t="inlineStr">
        <is>
          <t>HOTMAİL ŞİFRE</t>
        </is>
      </c>
      <c r="F23" s="253" t="n"/>
    </row>
    <row r="24">
      <c r="A24" s="163" t="n">
        <v>3</v>
      </c>
      <c r="B24" s="176" t="inlineStr">
        <is>
          <t>FEDEX</t>
        </is>
      </c>
      <c r="C24" s="167" t="inlineStr">
        <is>
          <t>hasanbennakahveci@hotmail.com</t>
        </is>
      </c>
      <c r="D24" s="182" t="inlineStr">
        <is>
          <t>Hasan247544</t>
        </is>
      </c>
      <c r="E24" s="372" t="inlineStr">
        <is>
          <t>Rugskilim247544</t>
        </is>
      </c>
      <c r="F24" s="253" t="n"/>
    </row>
    <row r="25">
      <c r="A25" s="163" t="n">
        <v>4</v>
      </c>
      <c r="B25" s="176" t="inlineStr">
        <is>
          <t>SHİPREADY</t>
        </is>
      </c>
      <c r="C25" s="231" t="inlineStr">
        <is>
          <t>hasanbennakahveci@hotmail.com</t>
        </is>
      </c>
      <c r="D25" s="184" t="inlineStr">
        <is>
          <t>Rugskilim247544.</t>
        </is>
      </c>
      <c r="E25" s="370" t="n"/>
      <c r="F25" s="253" t="n"/>
    </row>
    <row r="26">
      <c r="A26" s="625" t="inlineStr">
        <is>
          <t>PCLOUD TELEFON VE PC MAİLLERİ</t>
        </is>
      </c>
      <c r="B26" s="726" t="n"/>
      <c r="C26" s="726" t="n"/>
      <c r="D26" s="313" t="n"/>
      <c r="F26" s="253" t="n"/>
    </row>
    <row r="27">
      <c r="A27" s="162" t="n">
        <v>1</v>
      </c>
      <c r="B27" s="177" t="inlineStr">
        <is>
          <t>MÜCAHİD PCLOUD TELEFON</t>
        </is>
      </c>
      <c r="C27" s="168" t="inlineStr">
        <is>
          <t>mchd.orhan@gmail.com</t>
        </is>
      </c>
      <c r="D27" s="183" t="inlineStr">
        <is>
          <t>Kullanıcı Dahilinde</t>
        </is>
      </c>
      <c r="F27" s="253" t="n"/>
    </row>
    <row r="28">
      <c r="A28" s="108" t="n">
        <v>2</v>
      </c>
      <c r="B28" s="178" t="inlineStr">
        <is>
          <t>PATCH ARTS CARPET</t>
        </is>
      </c>
      <c r="C28" s="166" t="inlineStr">
        <is>
          <t>hasanbennakahveci@gmail.com</t>
        </is>
      </c>
      <c r="D28" s="184" t="inlineStr">
        <is>
          <t>hasan247544</t>
        </is>
      </c>
      <c r="F28" s="253" t="n"/>
    </row>
    <row r="29">
      <c r="A29" s="108" t="n">
        <v>3</v>
      </c>
      <c r="B29" s="178" t="inlineStr">
        <is>
          <t>OLD NEW RUGS</t>
        </is>
      </c>
      <c r="C29" s="166" t="inlineStr">
        <is>
          <t>oldanatolianrugs@gmail.com</t>
        </is>
      </c>
      <c r="D29" s="184" t="inlineStr">
        <is>
          <t>anatolianrug3210</t>
        </is>
      </c>
      <c r="F29" s="253" t="n"/>
    </row>
    <row r="30">
      <c r="A30" s="108" t="n">
        <v>4</v>
      </c>
      <c r="B30" s="178" t="inlineStr">
        <is>
          <t>VİNTAGE RUGS EMPORİUM</t>
        </is>
      </c>
      <c r="C30" s="166" t="inlineStr">
        <is>
          <t>vintageworldrug@gmail.com</t>
        </is>
      </c>
      <c r="D30" s="184" t="inlineStr">
        <is>
          <t>hasan247544</t>
        </is>
      </c>
      <c r="F30" s="253" t="n"/>
    </row>
    <row r="31">
      <c r="A31" s="108" t="n">
        <v>5</v>
      </c>
      <c r="B31" s="178" t="inlineStr">
        <is>
          <t>ÇALIŞMA PC-1</t>
        </is>
      </c>
      <c r="C31" s="166" t="inlineStr">
        <is>
          <t>calismapc44@gmail.com</t>
        </is>
      </c>
      <c r="D31" s="184" t="inlineStr">
        <is>
          <t>malatya4406.</t>
        </is>
      </c>
      <c r="F31" s="253" t="n"/>
    </row>
    <row r="32">
      <c r="A32" s="163" t="n">
        <v>6</v>
      </c>
      <c r="B32" s="179" t="inlineStr">
        <is>
          <t>Sibel pcloud</t>
        </is>
      </c>
      <c r="C32" s="167" t="inlineStr">
        <is>
          <t>calismasibel@gmail.com</t>
        </is>
      </c>
      <c r="D32" s="185" t="inlineStr">
        <is>
          <t>serkansibel44</t>
        </is>
      </c>
      <c r="F32" s="253" t="n"/>
    </row>
    <row r="33">
      <c r="A33" s="163" t="n">
        <v>7</v>
      </c>
      <c r="B33" s="179" t="inlineStr">
        <is>
          <t>SİBEL</t>
        </is>
      </c>
      <c r="C33" s="167" t="inlineStr">
        <is>
          <t>sibelcalisma@gmail.com</t>
        </is>
      </c>
      <c r="D33" s="185" t="inlineStr">
        <is>
          <t>hasan247544</t>
        </is>
      </c>
      <c r="F33" s="253" t="n"/>
    </row>
    <row r="34">
      <c r="A34" s="625" t="inlineStr">
        <is>
          <t>MAĞAZA TELEFON ICLOUD</t>
        </is>
      </c>
      <c r="B34" s="726" t="n"/>
      <c r="C34" s="726" t="n"/>
      <c r="D34" s="313" t="n"/>
      <c r="F34" s="253" t="n"/>
    </row>
    <row r="35">
      <c r="A35" s="162" t="n">
        <v>1</v>
      </c>
      <c r="B35" s="172" t="inlineStr">
        <is>
          <t>PATCH ARTS CARPET 2. TELEFON</t>
        </is>
      </c>
      <c r="C35" s="164" t="inlineStr">
        <is>
          <t>hasank.4426@gmail.com</t>
        </is>
      </c>
      <c r="D35" s="183" t="inlineStr">
        <is>
          <t>Anatolian321.</t>
        </is>
      </c>
      <c r="F35" s="253" t="n"/>
    </row>
    <row r="36">
      <c r="A36" s="108" t="n">
        <v>2</v>
      </c>
      <c r="B36" s="171" t="inlineStr">
        <is>
          <t>TURKEY RUG SHOP</t>
        </is>
      </c>
      <c r="C36" s="169" t="inlineStr">
        <is>
          <t>Şahısa Ait Kullanılan Telefon</t>
        </is>
      </c>
      <c r="D36" s="184" t="n"/>
      <c r="F36" s="253" t="n"/>
    </row>
    <row r="37">
      <c r="A37" s="108" t="n">
        <v>3</v>
      </c>
      <c r="B37" s="171" t="inlineStr">
        <is>
          <t>OLD NEW RUGS</t>
        </is>
      </c>
      <c r="C37" s="166" t="inlineStr">
        <is>
          <t>oldnewrugs@gmail.com</t>
        </is>
      </c>
      <c r="D37" s="184" t="inlineStr">
        <is>
          <t>Anatolianrugs321</t>
        </is>
      </c>
      <c r="F37" s="253" t="n"/>
    </row>
    <row r="38">
      <c r="A38" s="108" t="n">
        <v>4</v>
      </c>
      <c r="B38" s="171" t="inlineStr">
        <is>
          <t>VİNTAGE RUGS EMPORİUM</t>
        </is>
      </c>
      <c r="C38" s="166" t="inlineStr">
        <is>
          <t>hasank.2544@gmail.com</t>
        </is>
      </c>
      <c r="D38" s="184" t="inlineStr">
        <is>
          <t>Anatolian321.</t>
        </is>
      </c>
      <c r="F38" s="253" t="n"/>
    </row>
    <row r="39">
      <c r="A39" s="163" t="n">
        <v>5</v>
      </c>
      <c r="B39" s="173" t="inlineStr">
        <is>
          <t>RUGS KİLİM</t>
        </is>
      </c>
      <c r="C39" s="167" t="inlineStr">
        <is>
          <t>efesrugshop@gmail.com</t>
        </is>
      </c>
      <c r="D39" s="185" t="inlineStr">
        <is>
          <t>Anatolian321.</t>
        </is>
      </c>
      <c r="F39" s="253" t="n"/>
    </row>
    <row r="40">
      <c r="A40" s="625" t="inlineStr">
        <is>
          <t>WEP SİTESİ MAİL VE SOSYAL MEDYA</t>
        </is>
      </c>
      <c r="B40" s="726" t="n"/>
      <c r="C40" s="726" t="n"/>
      <c r="D40" s="313" t="n"/>
      <c r="F40" s="253" t="n"/>
    </row>
    <row r="41">
      <c r="A41" s="108" t="n"/>
      <c r="B41" s="170" t="inlineStr">
        <is>
          <t>WORDPRESS</t>
        </is>
      </c>
      <c r="C41" s="170" t="inlineStr">
        <is>
          <t>ŞİFRE</t>
        </is>
      </c>
      <c r="D41" s="170" t="inlineStr">
        <is>
          <t>MAİL</t>
        </is>
      </c>
      <c r="F41" s="253" t="n"/>
    </row>
    <row r="42">
      <c r="A42" s="108" t="n">
        <v>1</v>
      </c>
      <c r="B42" s="180" t="inlineStr">
        <is>
          <t>PANEL KULLANICI ADI = admin44</t>
        </is>
      </c>
      <c r="C42" s="184" t="inlineStr">
        <is>
          <t>Admin!4438</t>
        </is>
      </c>
      <c r="D42" s="186" t="n"/>
      <c r="F42" s="253" t="n"/>
    </row>
    <row r="43">
      <c r="A43" s="108" t="n">
        <v>2</v>
      </c>
      <c r="B43" s="180" t="inlineStr">
        <is>
          <t>X Kullanıcı adı = Rugs_Kilim</t>
        </is>
      </c>
      <c r="C43" s="184" t="n"/>
      <c r="D43" s="186" t="n"/>
      <c r="F43" s="253" t="n"/>
    </row>
    <row r="44">
      <c r="A44" s="108" t="n">
        <v>3</v>
      </c>
      <c r="B44" s="180" t="inlineStr">
        <is>
          <t>İnstagram K.Adı = Rugskilimoffical</t>
        </is>
      </c>
      <c r="C44" s="184" t="inlineStr">
        <is>
          <t>Hasan429256.</t>
        </is>
      </c>
      <c r="D44" s="369" t="inlineStr">
        <is>
          <t>hello@rugskilim.com</t>
        </is>
      </c>
      <c r="F44" s="253" t="n"/>
    </row>
    <row r="45">
      <c r="A45" s="108" t="n">
        <v>4</v>
      </c>
      <c r="B45" s="180" t="inlineStr">
        <is>
          <t>Facebook = Rugskilimshop</t>
        </is>
      </c>
      <c r="C45" s="184" t="inlineStr">
        <is>
          <t>Hasan429256.</t>
        </is>
      </c>
      <c r="D45" s="369" t="inlineStr">
        <is>
          <t>hello@rugskilim.com</t>
        </is>
      </c>
      <c r="F45" s="253" t="n"/>
    </row>
    <row r="46">
      <c r="A46" s="108" t="n">
        <v>5</v>
      </c>
      <c r="B46" s="180" t="inlineStr">
        <is>
          <t>Pinterest K.Adı = RugsKilim</t>
        </is>
      </c>
      <c r="C46" s="184" t="inlineStr">
        <is>
          <t>Hasan429256.</t>
        </is>
      </c>
      <c r="D46" s="186" t="n"/>
      <c r="F46" s="253" t="n"/>
    </row>
    <row r="47">
      <c r="A47" s="108" t="n">
        <v>6</v>
      </c>
      <c r="B47" s="180" t="inlineStr">
        <is>
          <t>Youtube = Rugs Kilim</t>
        </is>
      </c>
      <c r="C47" s="184" t="n"/>
      <c r="D47" s="186" t="n"/>
      <c r="F47" s="253" t="n"/>
    </row>
    <row r="48">
      <c r="A48" s="108" t="n">
        <v>7</v>
      </c>
      <c r="B48" s="368" t="inlineStr">
        <is>
          <t xml:space="preserve">Wifi şifre </t>
        </is>
      </c>
      <c r="C48" s="184" t="inlineStr">
        <is>
          <t>anadolu44050</t>
        </is>
      </c>
      <c r="D48" s="186" t="n"/>
      <c r="F48" s="253" t="n"/>
    </row>
    <row r="49">
      <c r="A49" s="108" t="n">
        <v>8</v>
      </c>
      <c r="B49" s="626" t="inlineStr">
        <is>
          <t>NOT = Bütün sosyal medya hasapları 'hello@rugskilim' ana hesabına bağlıdır.</t>
        </is>
      </c>
      <c r="C49" s="728" t="n"/>
      <c r="D49" s="729" t="n"/>
      <c r="F49" s="253" t="n"/>
    </row>
    <row r="50">
      <c r="A50" s="108" t="n">
        <v>9</v>
      </c>
      <c r="B50" s="700" t="n"/>
      <c r="C50" s="727" t="n"/>
      <c r="D50" s="698" t="n"/>
      <c r="F50" s="253" t="n"/>
    </row>
    <row r="51">
      <c r="A51" s="162" t="inlineStr">
        <is>
          <t>Ebay</t>
        </is>
      </c>
      <c r="B51" s="401" t="inlineStr">
        <is>
          <t>Hello@rugskilimcom</t>
        </is>
      </c>
      <c r="C51" s="407" t="inlineStr">
        <is>
          <t>Hasan429.</t>
        </is>
      </c>
      <c r="D51" s="183" t="n"/>
      <c r="E51" s="402" t="n"/>
      <c r="F51" s="403" t="n"/>
      <c r="G51" s="404" t="n"/>
      <c r="H51" s="405" t="n"/>
      <c r="I51" s="406" t="n"/>
    </row>
  </sheetData>
  <mergeCells count="6">
    <mergeCell ref="A40:D40"/>
    <mergeCell ref="A1:C1"/>
    <mergeCell ref="A34:D34"/>
    <mergeCell ref="A26:D26"/>
    <mergeCell ref="A21:D21"/>
    <mergeCell ref="B49:D50"/>
  </mergeCells>
  <hyperlinks>
    <hyperlink xmlns:r="http://schemas.openxmlformats.org/officeDocument/2006/relationships" ref="D1" display="woolhandwovenrugs@gmail.com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F7" r:id="rId8"/>
    <hyperlink xmlns:r="http://schemas.openxmlformats.org/officeDocument/2006/relationships" ref="C8" r:id="rId9"/>
    <hyperlink xmlns:r="http://schemas.openxmlformats.org/officeDocument/2006/relationships" ref="F8" r:id="rId10"/>
    <hyperlink xmlns:r="http://schemas.openxmlformats.org/officeDocument/2006/relationships" ref="C9" r:id="rId11"/>
    <hyperlink xmlns:r="http://schemas.openxmlformats.org/officeDocument/2006/relationships" ref="C10" r:id="rId12"/>
    <hyperlink xmlns:r="http://schemas.openxmlformats.org/officeDocument/2006/relationships" ref="C11" r:id="rId13"/>
    <hyperlink xmlns:r="http://schemas.openxmlformats.org/officeDocument/2006/relationships" ref="C13" r:id="rId14"/>
    <hyperlink xmlns:r="http://schemas.openxmlformats.org/officeDocument/2006/relationships" ref="C14" r:id="rId15"/>
    <hyperlink xmlns:r="http://schemas.openxmlformats.org/officeDocument/2006/relationships" ref="F14" r:id="rId16"/>
    <hyperlink xmlns:r="http://schemas.openxmlformats.org/officeDocument/2006/relationships" ref="C16" r:id="rId17"/>
    <hyperlink xmlns:r="http://schemas.openxmlformats.org/officeDocument/2006/relationships" ref="F16" r:id="rId18"/>
    <hyperlink xmlns:r="http://schemas.openxmlformats.org/officeDocument/2006/relationships" ref="C17" r:id="rId19"/>
    <hyperlink xmlns:r="http://schemas.openxmlformats.org/officeDocument/2006/relationships" ref="F17" r:id="rId20"/>
    <hyperlink xmlns:r="http://schemas.openxmlformats.org/officeDocument/2006/relationships" ref="C18" r:id="rId21"/>
    <hyperlink xmlns:r="http://schemas.openxmlformats.org/officeDocument/2006/relationships" ref="C19" r:id="rId22"/>
    <hyperlink xmlns:r="http://schemas.openxmlformats.org/officeDocument/2006/relationships" ref="F19" r:id="rId23"/>
    <hyperlink xmlns:r="http://schemas.openxmlformats.org/officeDocument/2006/relationships" ref="C20" r:id="rId24"/>
    <hyperlink xmlns:r="http://schemas.openxmlformats.org/officeDocument/2006/relationships" ref="C22" r:id="rId25"/>
    <hyperlink xmlns:r="http://schemas.openxmlformats.org/officeDocument/2006/relationships" ref="C23" r:id="rId26"/>
    <hyperlink xmlns:r="http://schemas.openxmlformats.org/officeDocument/2006/relationships" ref="C24" r:id="rId27"/>
    <hyperlink xmlns:r="http://schemas.openxmlformats.org/officeDocument/2006/relationships" ref="C25" r:id="rId28"/>
    <hyperlink xmlns:r="http://schemas.openxmlformats.org/officeDocument/2006/relationships" ref="C27" r:id="rId29"/>
    <hyperlink xmlns:r="http://schemas.openxmlformats.org/officeDocument/2006/relationships" ref="C28" r:id="rId30"/>
    <hyperlink xmlns:r="http://schemas.openxmlformats.org/officeDocument/2006/relationships" ref="C29" r:id="rId31"/>
    <hyperlink xmlns:r="http://schemas.openxmlformats.org/officeDocument/2006/relationships" ref="C30" r:id="rId32"/>
    <hyperlink xmlns:r="http://schemas.openxmlformats.org/officeDocument/2006/relationships" ref="C31" r:id="rId33"/>
    <hyperlink xmlns:r="http://schemas.openxmlformats.org/officeDocument/2006/relationships" ref="C32" r:id="rId34"/>
    <hyperlink xmlns:r="http://schemas.openxmlformats.org/officeDocument/2006/relationships" ref="C33" r:id="rId35"/>
    <hyperlink xmlns:r="http://schemas.openxmlformats.org/officeDocument/2006/relationships" ref="C35" r:id="rId36"/>
    <hyperlink xmlns:r="http://schemas.openxmlformats.org/officeDocument/2006/relationships" ref="C37" r:id="rId37"/>
    <hyperlink xmlns:r="http://schemas.openxmlformats.org/officeDocument/2006/relationships" ref="C38" r:id="rId38"/>
    <hyperlink xmlns:r="http://schemas.openxmlformats.org/officeDocument/2006/relationships" ref="C39" r:id="rId39"/>
    <hyperlink xmlns:r="http://schemas.openxmlformats.org/officeDocument/2006/relationships" ref="D44" r:id="rId40"/>
    <hyperlink xmlns:r="http://schemas.openxmlformats.org/officeDocument/2006/relationships" ref="D45" r:id="rId41"/>
  </hyperlinks>
  <pageMargins left="0.7" right="0.7" top="0.75" bottom="0.75" header="0.3" footer="0.3"/>
  <pageSetup orientation="portrait" paperSize="9" fitToHeight="0" blackAndWhit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0"/>
  <sheetViews>
    <sheetView topLeftCell="A36" workbookViewId="0">
      <selection activeCell="R62" sqref="R62:S63"/>
    </sheetView>
  </sheetViews>
  <sheetFormatPr baseColWidth="8" defaultRowHeight="15"/>
  <cols>
    <col width="3.28515625" bestFit="1" customWidth="1" style="305" min="1" max="1"/>
    <col hidden="1" width="1.42578125" customWidth="1" style="305" min="5" max="5"/>
    <col width="15.7109375" bestFit="1" customWidth="1" style="305" min="6" max="6"/>
    <col width="15" bestFit="1" customWidth="1" style="305" min="7" max="7"/>
    <col width="14.7109375" customWidth="1" style="305" min="8" max="8"/>
    <col hidden="1" width="13" customWidth="1" style="305" min="9" max="9"/>
    <col width="3.28515625" bestFit="1" customWidth="1" style="305" min="11" max="11"/>
    <col hidden="1" width="13" customWidth="1" style="305" min="15" max="15"/>
    <col width="16.140625" bestFit="1" customWidth="1" style="305" min="16" max="16"/>
    <col width="15.28515625" bestFit="1" customWidth="1" style="305" min="17" max="17"/>
  </cols>
  <sheetData>
    <row r="1">
      <c r="A1" s="648" t="inlineStr">
        <is>
          <t>-2024 OCAK-       1/6 ARASI</t>
        </is>
      </c>
      <c r="B1" s="726" t="n"/>
      <c r="C1" s="726" t="n"/>
      <c r="D1" s="726" t="n"/>
      <c r="E1" s="726" t="n"/>
      <c r="F1" s="726" t="n"/>
      <c r="G1" s="726" t="n"/>
      <c r="H1" s="726" t="n"/>
      <c r="I1" s="313" t="n"/>
      <c r="K1" s="648" t="inlineStr">
        <is>
          <t>-2024 OCAK-       7/13 ARASI</t>
        </is>
      </c>
      <c r="L1" s="726" t="n"/>
      <c r="M1" s="726" t="n"/>
      <c r="N1" s="726" t="n"/>
      <c r="O1" s="726" t="n"/>
      <c r="P1" s="726" t="n"/>
      <c r="Q1" s="726" t="n"/>
      <c r="R1" s="726" t="n"/>
      <c r="S1" s="313" t="n"/>
    </row>
    <row r="2">
      <c r="A2" s="637" t="inlineStr">
        <is>
          <t>GİDERLER-KİM ? NE ?</t>
        </is>
      </c>
      <c r="B2" s="727" t="n"/>
      <c r="C2" s="727" t="n"/>
      <c r="D2" s="727" t="n"/>
      <c r="E2" s="698" t="n"/>
      <c r="F2" s="193" t="inlineStr">
        <is>
          <t>YAPILAN ÖDEME</t>
        </is>
      </c>
      <c r="G2" s="657" t="inlineStr">
        <is>
          <t>GELİRLER</t>
        </is>
      </c>
      <c r="H2" s="727" t="n"/>
      <c r="I2" s="698" t="n"/>
      <c r="K2" s="637" t="inlineStr">
        <is>
          <t>GİDERLER-KİM ? NE ?</t>
        </is>
      </c>
      <c r="L2" s="727" t="n"/>
      <c r="M2" s="727" t="n"/>
      <c r="N2" s="727" t="n"/>
      <c r="O2" s="698" t="n"/>
      <c r="P2" s="193" t="inlineStr">
        <is>
          <t>YAPILAN ÖDEME</t>
        </is>
      </c>
      <c r="Q2" s="657" t="inlineStr">
        <is>
          <t>GELİRLER</t>
        </is>
      </c>
      <c r="R2" s="727" t="n"/>
      <c r="S2" s="698" t="n"/>
    </row>
    <row r="3">
      <c r="A3" s="192" t="n">
        <v>1</v>
      </c>
      <c r="B3" s="644" t="n"/>
      <c r="C3" s="726" t="n"/>
      <c r="D3" s="313" t="n"/>
      <c r="E3" s="200" t="n"/>
      <c r="F3" s="730" t="n">
        <v>0</v>
      </c>
      <c r="G3" s="661" t="inlineStr">
        <is>
          <t>ETSY</t>
        </is>
      </c>
      <c r="I3" s="697" t="n"/>
      <c r="K3" s="192" t="n">
        <v>1</v>
      </c>
      <c r="L3" s="731" t="inlineStr">
        <is>
          <t>ÖZGE MAAŞ</t>
        </is>
      </c>
      <c r="M3" s="726" t="n"/>
      <c r="N3" s="726" t="n"/>
      <c r="O3" s="313" t="n"/>
      <c r="P3" s="730" t="n">
        <v>0</v>
      </c>
      <c r="Q3" s="661" t="inlineStr">
        <is>
          <t>ETSY</t>
        </is>
      </c>
      <c r="S3" s="697" t="n"/>
    </row>
    <row r="4">
      <c r="A4" s="25" t="n">
        <v>2</v>
      </c>
      <c r="B4" s="641" t="n"/>
      <c r="C4" s="727" t="n"/>
      <c r="D4" s="727" t="n"/>
      <c r="E4" s="698" t="n"/>
      <c r="F4" s="732" t="n">
        <v>0</v>
      </c>
      <c r="G4" s="733" t="n">
        <v>500</v>
      </c>
      <c r="H4" s="728" t="n"/>
      <c r="I4" s="729" t="n"/>
      <c r="K4" s="25" t="n">
        <v>2</v>
      </c>
      <c r="L4" s="641" t="n"/>
      <c r="M4" s="727" t="n"/>
      <c r="N4" s="727" t="n"/>
      <c r="O4" s="698" t="n"/>
      <c r="P4" s="732" t="n">
        <v>0</v>
      </c>
      <c r="Q4" s="733" t="n">
        <v>500</v>
      </c>
      <c r="R4" s="728" t="n"/>
      <c r="S4" s="729" t="n"/>
    </row>
    <row r="5">
      <c r="A5" s="25" t="n">
        <v>3</v>
      </c>
      <c r="B5" s="639" t="n"/>
      <c r="C5" s="727" t="n"/>
      <c r="D5" s="727" t="n"/>
      <c r="E5" s="698" t="n"/>
      <c r="F5" s="734" t="n">
        <v>0</v>
      </c>
      <c r="G5" s="699" t="n"/>
      <c r="I5" s="697" t="n"/>
      <c r="K5" s="25" t="n">
        <v>3</v>
      </c>
      <c r="L5" s="639" t="n"/>
      <c r="M5" s="727" t="n"/>
      <c r="N5" s="727" t="n"/>
      <c r="O5" s="698" t="n"/>
      <c r="P5" s="734" t="n">
        <v>0</v>
      </c>
      <c r="Q5" s="699" t="n"/>
      <c r="S5" s="697" t="n"/>
    </row>
    <row r="6">
      <c r="A6" s="25" t="n">
        <v>4</v>
      </c>
      <c r="B6" s="643" t="n"/>
      <c r="C6" s="726" t="n"/>
      <c r="D6" s="726" t="n"/>
      <c r="E6" s="313" t="n"/>
      <c r="F6" s="732" t="n">
        <v>0</v>
      </c>
      <c r="G6" s="699" t="n"/>
      <c r="I6" s="697" t="n"/>
      <c r="K6" s="25" t="n">
        <v>4</v>
      </c>
      <c r="L6" s="643" t="n"/>
      <c r="M6" s="726" t="n"/>
      <c r="N6" s="726" t="n"/>
      <c r="O6" s="313" t="n"/>
      <c r="P6" s="732" t="n">
        <v>0</v>
      </c>
      <c r="Q6" s="699" t="n"/>
      <c r="S6" s="697" t="n"/>
    </row>
    <row r="7">
      <c r="A7" s="25" t="n">
        <v>5</v>
      </c>
      <c r="B7" s="644" t="n"/>
      <c r="C7" s="726" t="n"/>
      <c r="D7" s="726" t="n"/>
      <c r="E7" s="313" t="n"/>
      <c r="F7" s="734" t="n">
        <v>0</v>
      </c>
      <c r="G7" s="699" t="n"/>
      <c r="I7" s="697" t="n"/>
      <c r="K7" s="25" t="n">
        <v>5</v>
      </c>
      <c r="L7" s="644" t="n"/>
      <c r="M7" s="726" t="n"/>
      <c r="N7" s="726" t="n"/>
      <c r="O7" s="313" t="n"/>
      <c r="P7" s="734" t="n">
        <v>0</v>
      </c>
      <c r="Q7" s="699" t="n"/>
      <c r="S7" s="697" t="n"/>
    </row>
    <row r="8">
      <c r="A8" s="25" t="n">
        <v>6</v>
      </c>
      <c r="B8" s="643" t="n"/>
      <c r="C8" s="726" t="n"/>
      <c r="D8" s="726" t="n"/>
      <c r="E8" s="313" t="n"/>
      <c r="F8" s="732" t="n">
        <v>0</v>
      </c>
      <c r="G8" s="699" t="n"/>
      <c r="I8" s="697" t="n"/>
      <c r="K8" s="25" t="n">
        <v>6</v>
      </c>
      <c r="L8" s="643" t="n"/>
      <c r="M8" s="726" t="n"/>
      <c r="N8" s="726" t="n"/>
      <c r="O8" s="313" t="n"/>
      <c r="P8" s="732" t="n">
        <v>0</v>
      </c>
      <c r="Q8" s="699" t="n"/>
      <c r="S8" s="697" t="n"/>
    </row>
    <row r="9">
      <c r="A9" s="25" t="n">
        <v>7</v>
      </c>
      <c r="B9" s="644" t="n"/>
      <c r="C9" s="726" t="n"/>
      <c r="D9" s="726" t="n"/>
      <c r="E9" s="313" t="n"/>
      <c r="F9" s="734" t="n">
        <v>0</v>
      </c>
      <c r="G9" s="699" t="n"/>
      <c r="I9" s="697" t="n"/>
      <c r="K9" s="25" t="n">
        <v>7</v>
      </c>
      <c r="L9" s="644" t="n"/>
      <c r="M9" s="726" t="n"/>
      <c r="N9" s="726" t="n"/>
      <c r="O9" s="313" t="n"/>
      <c r="P9" s="734" t="n">
        <v>0</v>
      </c>
      <c r="Q9" s="699" t="n"/>
      <c r="S9" s="697" t="n"/>
    </row>
    <row r="10">
      <c r="A10" s="25" t="n">
        <v>8</v>
      </c>
      <c r="B10" s="643" t="n"/>
      <c r="C10" s="726" t="n"/>
      <c r="D10" s="726" t="n"/>
      <c r="E10" s="313" t="n"/>
      <c r="F10" s="732" t="n">
        <v>0</v>
      </c>
      <c r="G10" s="699" t="n"/>
      <c r="I10" s="697" t="n"/>
      <c r="K10" s="25" t="n">
        <v>8</v>
      </c>
      <c r="L10" s="643" t="n"/>
      <c r="M10" s="726" t="n"/>
      <c r="N10" s="726" t="n"/>
      <c r="O10" s="313" t="n"/>
      <c r="P10" s="732" t="n">
        <v>0</v>
      </c>
      <c r="Q10" s="699" t="n"/>
      <c r="S10" s="697" t="n"/>
    </row>
    <row r="11">
      <c r="A11" s="25" t="n">
        <v>9</v>
      </c>
      <c r="B11" s="644" t="n"/>
      <c r="C11" s="726" t="n"/>
      <c r="D11" s="726" t="n"/>
      <c r="E11" s="313" t="n"/>
      <c r="F11" s="734" t="n">
        <v>0</v>
      </c>
      <c r="G11" s="699" t="n"/>
      <c r="I11" s="697" t="n"/>
      <c r="K11" s="25" t="n">
        <v>9</v>
      </c>
      <c r="L11" s="644" t="n"/>
      <c r="M11" s="726" t="n"/>
      <c r="N11" s="726" t="n"/>
      <c r="O11" s="313" t="n"/>
      <c r="P11" s="734" t="n">
        <v>0</v>
      </c>
      <c r="Q11" s="699" t="n"/>
      <c r="S11" s="697" t="n"/>
    </row>
    <row r="12">
      <c r="A12" s="25" t="n">
        <v>10</v>
      </c>
      <c r="B12" s="643" t="n"/>
      <c r="C12" s="726" t="n"/>
      <c r="D12" s="726" t="n"/>
      <c r="E12" s="313" t="n"/>
      <c r="F12" s="732" t="n">
        <v>0</v>
      </c>
      <c r="G12" s="699" t="n"/>
      <c r="I12" s="697" t="n"/>
      <c r="K12" s="25" t="n">
        <v>10</v>
      </c>
      <c r="L12" s="643" t="n"/>
      <c r="M12" s="726" t="n"/>
      <c r="N12" s="726" t="n"/>
      <c r="O12" s="313" t="n"/>
      <c r="P12" s="732" t="n">
        <v>0</v>
      </c>
      <c r="Q12" s="699" t="n"/>
      <c r="S12" s="697" t="n"/>
    </row>
    <row r="13">
      <c r="A13" s="25" t="n">
        <v>11</v>
      </c>
      <c r="B13" s="644" t="n"/>
      <c r="C13" s="726" t="n"/>
      <c r="D13" s="726" t="n"/>
      <c r="E13" s="313" t="n"/>
      <c r="F13" s="734" t="n">
        <v>0</v>
      </c>
      <c r="G13" s="700" t="n"/>
      <c r="H13" s="727" t="n"/>
      <c r="I13" s="698" t="n"/>
      <c r="K13" s="25" t="n">
        <v>11</v>
      </c>
      <c r="L13" s="644" t="n"/>
      <c r="M13" s="726" t="n"/>
      <c r="N13" s="726" t="n"/>
      <c r="O13" s="313" t="n"/>
      <c r="P13" s="734" t="n">
        <v>0</v>
      </c>
      <c r="Q13" s="700" t="n"/>
      <c r="R13" s="727" t="n"/>
      <c r="S13" s="698" t="n"/>
    </row>
    <row r="14">
      <c r="A14" s="25" t="n">
        <v>12</v>
      </c>
      <c r="B14" s="643" t="n"/>
      <c r="C14" s="726" t="n"/>
      <c r="D14" s="726" t="n"/>
      <c r="E14" s="313" t="n"/>
      <c r="F14" s="735" t="n">
        <v>0</v>
      </c>
      <c r="G14" s="195" t="inlineStr">
        <is>
          <t>TOPLAM</t>
        </is>
      </c>
      <c r="H14" s="736">
        <f>SUM(G4)</f>
        <v/>
      </c>
      <c r="I14" s="313" t="n"/>
      <c r="K14" s="25" t="n">
        <v>12</v>
      </c>
      <c r="L14" s="643" t="n"/>
      <c r="M14" s="726" t="n"/>
      <c r="N14" s="726" t="n"/>
      <c r="O14" s="313" t="n"/>
      <c r="P14" s="735" t="n">
        <v>0</v>
      </c>
      <c r="Q14" s="195" t="inlineStr">
        <is>
          <t>TOPLAM</t>
        </is>
      </c>
      <c r="R14" s="736">
        <f>SUM(Q4)</f>
        <v/>
      </c>
      <c r="S14" s="313" t="n"/>
    </row>
    <row r="15">
      <c r="A15" s="25" t="n">
        <v>13</v>
      </c>
      <c r="B15" s="644" t="n"/>
      <c r="C15" s="726" t="n"/>
      <c r="D15" s="726" t="n"/>
      <c r="E15" s="313" t="n"/>
      <c r="F15" s="730" t="n">
        <v>0</v>
      </c>
      <c r="G15" s="668" t="inlineStr">
        <is>
          <t>DİĞERLERİ</t>
        </is>
      </c>
      <c r="I15" s="697" t="n"/>
      <c r="K15" s="25" t="n">
        <v>13</v>
      </c>
      <c r="L15" s="644" t="n"/>
      <c r="M15" s="726" t="n"/>
      <c r="N15" s="726" t="n"/>
      <c r="O15" s="313" t="n"/>
      <c r="P15" s="730" t="n">
        <v>0</v>
      </c>
      <c r="Q15" s="668" t="inlineStr">
        <is>
          <t>DİĞERLERİ</t>
        </is>
      </c>
      <c r="S15" s="697" t="n"/>
    </row>
    <row r="16">
      <c r="A16" s="25" t="n">
        <v>14</v>
      </c>
      <c r="B16" s="643" t="n"/>
      <c r="C16" s="726" t="n"/>
      <c r="D16" s="726" t="n"/>
      <c r="E16" s="313" t="n"/>
      <c r="F16" s="735" t="n">
        <v>0</v>
      </c>
      <c r="G16" s="737" t="n">
        <v>0</v>
      </c>
      <c r="H16" s="728" t="n"/>
      <c r="I16" s="729" t="n"/>
      <c r="K16" s="25" t="n">
        <v>14</v>
      </c>
      <c r="L16" s="643" t="n"/>
      <c r="M16" s="726" t="n"/>
      <c r="N16" s="726" t="n"/>
      <c r="O16" s="313" t="n"/>
      <c r="P16" s="735" t="n">
        <v>0</v>
      </c>
      <c r="Q16" s="737" t="n">
        <v>0</v>
      </c>
      <c r="R16" s="728" t="n"/>
      <c r="S16" s="729" t="n"/>
    </row>
    <row r="17">
      <c r="A17" s="25" t="n">
        <v>15</v>
      </c>
      <c r="B17" s="644" t="n"/>
      <c r="C17" s="726" t="n"/>
      <c r="D17" s="726" t="n"/>
      <c r="E17" s="313" t="n"/>
      <c r="F17" s="730" t="n">
        <v>0</v>
      </c>
      <c r="I17" s="697" t="n"/>
      <c r="K17" s="25" t="n">
        <v>15</v>
      </c>
      <c r="L17" s="644" t="n"/>
      <c r="M17" s="726" t="n"/>
      <c r="N17" s="726" t="n"/>
      <c r="O17" s="313" t="n"/>
      <c r="P17" s="730" t="n">
        <v>0</v>
      </c>
      <c r="S17" s="697" t="n"/>
    </row>
    <row r="18">
      <c r="A18" s="25" t="n">
        <v>16</v>
      </c>
      <c r="B18" s="643" t="n"/>
      <c r="C18" s="726" t="n"/>
      <c r="D18" s="726" t="n"/>
      <c r="E18" s="313" t="n"/>
      <c r="F18" s="735" t="n">
        <v>0</v>
      </c>
      <c r="I18" s="697" t="n"/>
      <c r="K18" s="25" t="n">
        <v>16</v>
      </c>
      <c r="L18" s="643" t="n"/>
      <c r="M18" s="726" t="n"/>
      <c r="N18" s="726" t="n"/>
      <c r="O18" s="313" t="n"/>
      <c r="P18" s="735" t="n">
        <v>0</v>
      </c>
      <c r="S18" s="697" t="n"/>
    </row>
    <row r="19">
      <c r="A19" s="25" t="n">
        <v>17</v>
      </c>
      <c r="B19" s="644" t="n"/>
      <c r="C19" s="726" t="n"/>
      <c r="D19" s="726" t="n"/>
      <c r="E19" s="313" t="n"/>
      <c r="F19" s="730" t="n">
        <v>0</v>
      </c>
      <c r="I19" s="697" t="n"/>
      <c r="K19" s="25" t="n">
        <v>17</v>
      </c>
      <c r="L19" s="644" t="n"/>
      <c r="M19" s="726" t="n"/>
      <c r="N19" s="726" t="n"/>
      <c r="O19" s="313" t="n"/>
      <c r="P19" s="730" t="n">
        <v>0</v>
      </c>
      <c r="S19" s="697" t="n"/>
    </row>
    <row r="20">
      <c r="A20" s="25" t="n">
        <v>18</v>
      </c>
      <c r="B20" s="643" t="n"/>
      <c r="C20" s="726" t="n"/>
      <c r="D20" s="726" t="n"/>
      <c r="E20" s="313" t="n"/>
      <c r="F20" s="735" t="n">
        <v>0</v>
      </c>
      <c r="I20" s="697" t="n"/>
      <c r="K20" s="25" t="n">
        <v>18</v>
      </c>
      <c r="L20" s="643" t="n"/>
      <c r="M20" s="726" t="n"/>
      <c r="N20" s="726" t="n"/>
      <c r="O20" s="313" t="n"/>
      <c r="P20" s="735" t="n">
        <v>0</v>
      </c>
      <c r="S20" s="697" t="n"/>
    </row>
    <row r="21">
      <c r="A21" s="25" t="n">
        <v>19</v>
      </c>
      <c r="B21" s="644" t="n"/>
      <c r="C21" s="726" t="n"/>
      <c r="D21" s="726" t="n"/>
      <c r="E21" s="313" t="n"/>
      <c r="F21" s="730" t="n">
        <v>0</v>
      </c>
      <c r="I21" s="697" t="n"/>
      <c r="K21" s="25" t="n">
        <v>19</v>
      </c>
      <c r="L21" s="644" t="n"/>
      <c r="M21" s="726" t="n"/>
      <c r="N21" s="726" t="n"/>
      <c r="O21" s="313" t="n"/>
      <c r="P21" s="730" t="n">
        <v>0</v>
      </c>
      <c r="S21" s="697" t="n"/>
    </row>
    <row r="22">
      <c r="A22" s="25" t="n">
        <v>20</v>
      </c>
      <c r="B22" s="643" t="n"/>
      <c r="C22" s="726" t="n"/>
      <c r="D22" s="726" t="n"/>
      <c r="E22" s="313" t="n"/>
      <c r="F22" s="735" t="n">
        <v>0</v>
      </c>
      <c r="I22" s="697" t="n"/>
      <c r="K22" s="25" t="n">
        <v>20</v>
      </c>
      <c r="L22" s="643" t="n"/>
      <c r="M22" s="726" t="n"/>
      <c r="N22" s="726" t="n"/>
      <c r="O22" s="313" t="n"/>
      <c r="P22" s="735" t="n">
        <v>0</v>
      </c>
      <c r="S22" s="697" t="n"/>
    </row>
    <row r="23">
      <c r="A23" s="25" t="n">
        <v>21</v>
      </c>
      <c r="B23" s="644" t="n"/>
      <c r="C23" s="726" t="n"/>
      <c r="D23" s="726" t="n"/>
      <c r="E23" s="313" t="n"/>
      <c r="F23" s="730" t="n">
        <v>0</v>
      </c>
      <c r="I23" s="697" t="n"/>
      <c r="K23" s="25" t="n">
        <v>21</v>
      </c>
      <c r="L23" s="644" t="n"/>
      <c r="M23" s="726" t="n"/>
      <c r="N23" s="726" t="n"/>
      <c r="O23" s="313" t="n"/>
      <c r="P23" s="730" t="n">
        <v>0</v>
      </c>
      <c r="S23" s="697" t="n"/>
    </row>
    <row r="24">
      <c r="A24" s="25" t="n">
        <v>22</v>
      </c>
      <c r="B24" s="643" t="n"/>
      <c r="C24" s="726" t="n"/>
      <c r="D24" s="726" t="n"/>
      <c r="E24" s="313" t="n"/>
      <c r="F24" s="735" t="n">
        <v>0</v>
      </c>
      <c r="G24" s="727" t="n"/>
      <c r="H24" s="727" t="n"/>
      <c r="I24" s="698" t="n"/>
      <c r="K24" s="25" t="n">
        <v>22</v>
      </c>
      <c r="L24" s="643" t="n"/>
      <c r="M24" s="726" t="n"/>
      <c r="N24" s="726" t="n"/>
      <c r="O24" s="313" t="n"/>
      <c r="P24" s="735" t="n">
        <v>0</v>
      </c>
      <c r="Q24" s="727" t="n"/>
      <c r="R24" s="727" t="n"/>
      <c r="S24" s="698" t="n"/>
    </row>
    <row r="25">
      <c r="A25" s="25" t="n">
        <v>23</v>
      </c>
      <c r="B25" s="644" t="n"/>
      <c r="C25" s="726" t="n"/>
      <c r="D25" s="726" t="n"/>
      <c r="E25" s="313" t="n"/>
      <c r="F25" s="730" t="n">
        <v>0</v>
      </c>
      <c r="G25" s="198" t="inlineStr">
        <is>
          <t>TOPLAM</t>
        </is>
      </c>
      <c r="H25" s="738">
        <f>SUM(G16)</f>
        <v/>
      </c>
      <c r="I25" s="697" t="n"/>
      <c r="K25" s="25" t="n">
        <v>23</v>
      </c>
      <c r="L25" s="644" t="n"/>
      <c r="M25" s="726" t="n"/>
      <c r="N25" s="726" t="n"/>
      <c r="O25" s="313" t="n"/>
      <c r="P25" s="730" t="n">
        <v>0</v>
      </c>
      <c r="Q25" s="198" t="inlineStr">
        <is>
          <t>TOPLAM</t>
        </is>
      </c>
      <c r="R25" s="738">
        <f>SUM(Q16)</f>
        <v/>
      </c>
      <c r="S25" s="697" t="n"/>
    </row>
    <row r="26">
      <c r="A26" s="25" t="n">
        <v>24</v>
      </c>
      <c r="B26" s="643" t="n"/>
      <c r="C26" s="726" t="n"/>
      <c r="D26" s="726" t="n"/>
      <c r="E26" s="313" t="n"/>
      <c r="F26" s="735" t="n">
        <v>0</v>
      </c>
      <c r="G26" s="196" t="inlineStr">
        <is>
          <t>ETSY</t>
        </is>
      </c>
      <c r="H26" s="739">
        <f>SUM(H14)</f>
        <v/>
      </c>
      <c r="I26" s="313" t="n"/>
      <c r="K26" s="25" t="n">
        <v>24</v>
      </c>
      <c r="L26" s="643" t="n"/>
      <c r="M26" s="726" t="n"/>
      <c r="N26" s="726" t="n"/>
      <c r="O26" s="313" t="n"/>
      <c r="P26" s="735" t="n">
        <v>0</v>
      </c>
      <c r="Q26" s="196" t="inlineStr">
        <is>
          <t>ETSY</t>
        </is>
      </c>
      <c r="R26" s="739">
        <f>SUM(R14)</f>
        <v/>
      </c>
      <c r="S26" s="313" t="n"/>
    </row>
    <row r="27">
      <c r="A27" s="635" t="n">
        <v>25</v>
      </c>
      <c r="B27" s="644" t="n"/>
      <c r="C27" s="726" t="n"/>
      <c r="D27" s="726" t="n"/>
      <c r="E27" s="313" t="n"/>
      <c r="F27" s="730" t="n">
        <v>0</v>
      </c>
      <c r="G27" s="197" t="inlineStr">
        <is>
          <t>DİĞERLERİ</t>
        </is>
      </c>
      <c r="H27" s="740">
        <f>SUM(H25)</f>
        <v/>
      </c>
      <c r="I27" s="313" t="n"/>
      <c r="K27" s="635" t="n">
        <v>25</v>
      </c>
      <c r="L27" s="644" t="n"/>
      <c r="M27" s="726" t="n"/>
      <c r="N27" s="726" t="n"/>
      <c r="O27" s="313" t="n"/>
      <c r="P27" s="730" t="n">
        <v>0</v>
      </c>
      <c r="Q27" s="197" t="inlineStr">
        <is>
          <t>DİĞERLERİ</t>
        </is>
      </c>
      <c r="R27" s="740">
        <f>SUM(R25)</f>
        <v/>
      </c>
      <c r="S27" s="313" t="n"/>
    </row>
    <row r="28">
      <c r="A28" s="672" t="inlineStr">
        <is>
          <t>GİDERLER TOPLAM</t>
        </is>
      </c>
      <c r="B28" s="726" t="n"/>
      <c r="C28" s="726" t="n"/>
      <c r="D28" s="313" t="n"/>
      <c r="E28" s="199" t="inlineStr">
        <is>
          <t>TOPLAM</t>
        </is>
      </c>
      <c r="F28" s="741">
        <f>SUM(F3:F27)</f>
        <v/>
      </c>
      <c r="G28" s="194" t="inlineStr">
        <is>
          <t>GELİR TOPLAM</t>
        </is>
      </c>
      <c r="H28" s="742">
        <f>SUM(H27,H26)</f>
        <v/>
      </c>
      <c r="I28" s="698" t="n"/>
      <c r="K28" s="672" t="inlineStr">
        <is>
          <t>GİDERLER TOPLAM</t>
        </is>
      </c>
      <c r="L28" s="726" t="n"/>
      <c r="M28" s="726" t="n"/>
      <c r="N28" s="313" t="n"/>
      <c r="O28" s="199" t="inlineStr">
        <is>
          <t>TOPLAM</t>
        </is>
      </c>
      <c r="P28" s="741">
        <f>SUM(P3:P27)</f>
        <v/>
      </c>
      <c r="Q28" s="194" t="inlineStr">
        <is>
          <t>GELİR TOPLAM</t>
        </is>
      </c>
      <c r="R28" s="742">
        <f>SUM(R27,R26)</f>
        <v/>
      </c>
      <c r="S28" s="698" t="n"/>
    </row>
    <row r="30">
      <c r="A30" s="653" t="inlineStr">
        <is>
          <t>HAFTALIK HESAP</t>
        </is>
      </c>
      <c r="B30" s="728" t="n"/>
      <c r="C30" s="728" t="n"/>
      <c r="D30" s="728" t="n"/>
      <c r="E30" s="728" t="n"/>
      <c r="F30" s="728" t="n"/>
      <c r="G30" s="729" t="n"/>
      <c r="H30" s="743">
        <f>SUM(H28-F28)</f>
        <v/>
      </c>
      <c r="I30" s="729" t="n"/>
      <c r="K30" s="653" t="inlineStr">
        <is>
          <t>HAFTALIK TOPLAM HESAP</t>
        </is>
      </c>
      <c r="L30" s="728" t="n"/>
      <c r="M30" s="728" t="n"/>
      <c r="N30" s="728" t="n"/>
      <c r="O30" s="728" t="n"/>
      <c r="P30" s="728" t="n"/>
      <c r="Q30" s="729" t="n"/>
      <c r="R30" s="743">
        <f>SUM(H30,+R28-P28)</f>
        <v/>
      </c>
      <c r="S30" s="729" t="n"/>
    </row>
    <row r="31">
      <c r="A31" s="700" t="n"/>
      <c r="B31" s="727" t="n"/>
      <c r="C31" s="727" t="n"/>
      <c r="D31" s="727" t="n"/>
      <c r="E31" s="727" t="n"/>
      <c r="F31" s="727" t="n"/>
      <c r="G31" s="698" t="n"/>
      <c r="H31" s="700" t="n"/>
      <c r="I31" s="698" t="n"/>
      <c r="K31" s="700" t="n"/>
      <c r="L31" s="727" t="n"/>
      <c r="M31" s="727" t="n"/>
      <c r="N31" s="727" t="n"/>
      <c r="O31" s="727" t="n"/>
      <c r="P31" s="727" t="n"/>
      <c r="Q31" s="698" t="n"/>
      <c r="R31" s="700" t="n"/>
      <c r="S31" s="698" t="n"/>
    </row>
    <row r="33">
      <c r="A33" s="648" t="inlineStr">
        <is>
          <t>-2024 OCAK-       14/20 ARASI</t>
        </is>
      </c>
      <c r="B33" s="726" t="n"/>
      <c r="C33" s="726" t="n"/>
      <c r="D33" s="726" t="n"/>
      <c r="E33" s="726" t="n"/>
      <c r="F33" s="726" t="n"/>
      <c r="G33" s="726" t="n"/>
      <c r="H33" s="726" t="n"/>
      <c r="I33" s="313" t="n"/>
      <c r="K33" s="648" t="inlineStr">
        <is>
          <t>-2024 OCAK-       21/31 ARASI</t>
        </is>
      </c>
      <c r="L33" s="726" t="n"/>
      <c r="M33" s="726" t="n"/>
      <c r="N33" s="726" t="n"/>
      <c r="O33" s="726" t="n"/>
      <c r="P33" s="726" t="n"/>
      <c r="Q33" s="726" t="n"/>
      <c r="R33" s="726" t="n"/>
      <c r="S33" s="313" t="n"/>
    </row>
    <row r="34">
      <c r="A34" s="637" t="inlineStr">
        <is>
          <t>GİDERLER-KİM ? NE ?</t>
        </is>
      </c>
      <c r="B34" s="727" t="n"/>
      <c r="C34" s="727" t="n"/>
      <c r="D34" s="727" t="n"/>
      <c r="E34" s="698" t="n"/>
      <c r="F34" s="193" t="inlineStr">
        <is>
          <t>YAPILAN ÖDEME</t>
        </is>
      </c>
      <c r="G34" s="657" t="inlineStr">
        <is>
          <t>GELİRLER</t>
        </is>
      </c>
      <c r="H34" s="727" t="n"/>
      <c r="I34" s="698" t="n"/>
      <c r="K34" s="637" t="inlineStr">
        <is>
          <t>GİDERLER-KİM ? NE ?</t>
        </is>
      </c>
      <c r="L34" s="727" t="n"/>
      <c r="M34" s="727" t="n"/>
      <c r="N34" s="727" t="n"/>
      <c r="O34" s="698" t="n"/>
      <c r="P34" s="193" t="inlineStr">
        <is>
          <t>YAPILAN ÖDEME</t>
        </is>
      </c>
      <c r="Q34" s="657" t="inlineStr">
        <is>
          <t>GELİRLER</t>
        </is>
      </c>
      <c r="R34" s="727" t="n"/>
      <c r="S34" s="698" t="n"/>
    </row>
    <row r="35">
      <c r="A35" s="192" t="n">
        <v>1</v>
      </c>
      <c r="B35" s="644" t="n"/>
      <c r="C35" s="726" t="n"/>
      <c r="D35" s="313" t="n"/>
      <c r="E35" s="200" t="n"/>
      <c r="F35" s="730" t="n">
        <v>0</v>
      </c>
      <c r="G35" s="661" t="inlineStr">
        <is>
          <t>ETSY</t>
        </is>
      </c>
      <c r="I35" s="697" t="n"/>
      <c r="K35" s="192" t="n">
        <v>1</v>
      </c>
      <c r="L35" s="644" t="n"/>
      <c r="M35" s="726" t="n"/>
      <c r="N35" s="313" t="n"/>
      <c r="O35" s="200" t="n"/>
      <c r="P35" s="730" t="n">
        <v>0</v>
      </c>
      <c r="Q35" s="661" t="inlineStr">
        <is>
          <t>ETSY</t>
        </is>
      </c>
      <c r="S35" s="697" t="n"/>
    </row>
    <row r="36">
      <c r="A36" s="25" t="n">
        <v>2</v>
      </c>
      <c r="B36" s="641" t="n"/>
      <c r="C36" s="727" t="n"/>
      <c r="D36" s="727" t="n"/>
      <c r="E36" s="698" t="n"/>
      <c r="F36" s="732" t="n">
        <v>0</v>
      </c>
      <c r="G36" s="733" t="n">
        <v>500</v>
      </c>
      <c r="H36" s="728" t="n"/>
      <c r="I36" s="729" t="n"/>
      <c r="K36" s="25" t="n">
        <v>2</v>
      </c>
      <c r="L36" s="641" t="n"/>
      <c r="M36" s="727" t="n"/>
      <c r="N36" s="727" t="n"/>
      <c r="O36" s="698" t="n"/>
      <c r="P36" s="732" t="n">
        <v>0</v>
      </c>
      <c r="Q36" s="733" t="n">
        <v>500</v>
      </c>
      <c r="R36" s="728" t="n"/>
      <c r="S36" s="729" t="n"/>
    </row>
    <row r="37">
      <c r="A37" s="25" t="n">
        <v>3</v>
      </c>
      <c r="B37" s="639" t="n"/>
      <c r="C37" s="727" t="n"/>
      <c r="D37" s="727" t="n"/>
      <c r="E37" s="698" t="n"/>
      <c r="F37" s="734" t="n">
        <v>0</v>
      </c>
      <c r="G37" s="699" t="n"/>
      <c r="I37" s="697" t="n"/>
      <c r="K37" s="25" t="n">
        <v>3</v>
      </c>
      <c r="L37" s="639" t="n"/>
      <c r="M37" s="727" t="n"/>
      <c r="N37" s="727" t="n"/>
      <c r="O37" s="698" t="n"/>
      <c r="P37" s="734" t="n">
        <v>0</v>
      </c>
      <c r="Q37" s="699" t="n"/>
      <c r="S37" s="697" t="n"/>
    </row>
    <row r="38">
      <c r="A38" s="25" t="n">
        <v>4</v>
      </c>
      <c r="B38" s="643" t="n"/>
      <c r="C38" s="726" t="n"/>
      <c r="D38" s="726" t="n"/>
      <c r="E38" s="313" t="n"/>
      <c r="F38" s="732" t="n">
        <v>0</v>
      </c>
      <c r="G38" s="699" t="n"/>
      <c r="I38" s="697" t="n"/>
      <c r="K38" s="25" t="n">
        <v>4</v>
      </c>
      <c r="L38" s="643" t="n"/>
      <c r="M38" s="726" t="n"/>
      <c r="N38" s="726" t="n"/>
      <c r="O38" s="313" t="n"/>
      <c r="P38" s="732" t="n">
        <v>0</v>
      </c>
      <c r="Q38" s="699" t="n"/>
      <c r="S38" s="697" t="n"/>
    </row>
    <row r="39">
      <c r="A39" s="25" t="n">
        <v>5</v>
      </c>
      <c r="B39" s="644" t="n"/>
      <c r="C39" s="726" t="n"/>
      <c r="D39" s="726" t="n"/>
      <c r="E39" s="313" t="n"/>
      <c r="F39" s="734" t="n">
        <v>0</v>
      </c>
      <c r="G39" s="699" t="n"/>
      <c r="I39" s="697" t="n"/>
      <c r="K39" s="25" t="n">
        <v>5</v>
      </c>
      <c r="L39" s="644" t="n"/>
      <c r="M39" s="726" t="n"/>
      <c r="N39" s="726" t="n"/>
      <c r="O39" s="313" t="n"/>
      <c r="P39" s="734" t="n">
        <v>0</v>
      </c>
      <c r="Q39" s="699" t="n"/>
      <c r="S39" s="697" t="n"/>
    </row>
    <row r="40">
      <c r="A40" s="25" t="n">
        <v>6</v>
      </c>
      <c r="B40" s="643" t="n"/>
      <c r="C40" s="726" t="n"/>
      <c r="D40" s="726" t="n"/>
      <c r="E40" s="313" t="n"/>
      <c r="F40" s="732" t="n">
        <v>0</v>
      </c>
      <c r="G40" s="699" t="n"/>
      <c r="I40" s="697" t="n"/>
      <c r="K40" s="25" t="n">
        <v>6</v>
      </c>
      <c r="L40" s="643" t="n"/>
      <c r="M40" s="726" t="n"/>
      <c r="N40" s="726" t="n"/>
      <c r="O40" s="313" t="n"/>
      <c r="P40" s="732" t="n">
        <v>0</v>
      </c>
      <c r="Q40" s="699" t="n"/>
      <c r="S40" s="697" t="n"/>
    </row>
    <row r="41">
      <c r="A41" s="25" t="n">
        <v>7</v>
      </c>
      <c r="B41" s="644" t="n"/>
      <c r="C41" s="726" t="n"/>
      <c r="D41" s="726" t="n"/>
      <c r="E41" s="313" t="n"/>
      <c r="F41" s="734" t="n">
        <v>0</v>
      </c>
      <c r="G41" s="699" t="n"/>
      <c r="I41" s="697" t="n"/>
      <c r="K41" s="25" t="n">
        <v>7</v>
      </c>
      <c r="L41" s="644" t="n"/>
      <c r="M41" s="726" t="n"/>
      <c r="N41" s="726" t="n"/>
      <c r="O41" s="313" t="n"/>
      <c r="P41" s="734" t="n">
        <v>0</v>
      </c>
      <c r="Q41" s="699" t="n"/>
      <c r="S41" s="697" t="n"/>
    </row>
    <row r="42">
      <c r="A42" s="25" t="n">
        <v>8</v>
      </c>
      <c r="B42" s="643" t="n"/>
      <c r="C42" s="726" t="n"/>
      <c r="D42" s="726" t="n"/>
      <c r="E42" s="313" t="n"/>
      <c r="F42" s="732" t="n">
        <v>0</v>
      </c>
      <c r="G42" s="699" t="n"/>
      <c r="I42" s="697" t="n"/>
      <c r="K42" s="25" t="n">
        <v>8</v>
      </c>
      <c r="L42" s="643" t="n"/>
      <c r="M42" s="726" t="n"/>
      <c r="N42" s="726" t="n"/>
      <c r="O42" s="313" t="n"/>
      <c r="P42" s="732" t="n">
        <v>0</v>
      </c>
      <c r="Q42" s="699" t="n"/>
      <c r="S42" s="697" t="n"/>
    </row>
    <row r="43">
      <c r="A43" s="25" t="n">
        <v>9</v>
      </c>
      <c r="B43" s="644" t="n"/>
      <c r="C43" s="726" t="n"/>
      <c r="D43" s="726" t="n"/>
      <c r="E43" s="313" t="n"/>
      <c r="F43" s="734" t="n">
        <v>0</v>
      </c>
      <c r="G43" s="699" t="n"/>
      <c r="I43" s="697" t="n"/>
      <c r="K43" s="25" t="n">
        <v>9</v>
      </c>
      <c r="L43" s="644" t="n"/>
      <c r="M43" s="726" t="n"/>
      <c r="N43" s="726" t="n"/>
      <c r="O43" s="313" t="n"/>
      <c r="P43" s="734" t="n">
        <v>0</v>
      </c>
      <c r="Q43" s="699" t="n"/>
      <c r="S43" s="697" t="n"/>
    </row>
    <row r="44">
      <c r="A44" s="25" t="n">
        <v>10</v>
      </c>
      <c r="B44" s="643" t="n"/>
      <c r="C44" s="726" t="n"/>
      <c r="D44" s="726" t="n"/>
      <c r="E44" s="313" t="n"/>
      <c r="F44" s="732" t="n">
        <v>0</v>
      </c>
      <c r="G44" s="699" t="n"/>
      <c r="I44" s="697" t="n"/>
      <c r="K44" s="25" t="n">
        <v>10</v>
      </c>
      <c r="L44" s="643" t="n"/>
      <c r="M44" s="726" t="n"/>
      <c r="N44" s="726" t="n"/>
      <c r="O44" s="313" t="n"/>
      <c r="P44" s="732" t="n">
        <v>0</v>
      </c>
      <c r="Q44" s="699" t="n"/>
      <c r="S44" s="697" t="n"/>
    </row>
    <row r="45">
      <c r="A45" s="25" t="n">
        <v>11</v>
      </c>
      <c r="B45" s="644" t="n"/>
      <c r="C45" s="726" t="n"/>
      <c r="D45" s="726" t="n"/>
      <c r="E45" s="313" t="n"/>
      <c r="F45" s="734" t="n">
        <v>0</v>
      </c>
      <c r="G45" s="700" t="n"/>
      <c r="H45" s="727" t="n"/>
      <c r="I45" s="698" t="n"/>
      <c r="K45" s="25" t="n">
        <v>11</v>
      </c>
      <c r="L45" s="644" t="n"/>
      <c r="M45" s="726" t="n"/>
      <c r="N45" s="726" t="n"/>
      <c r="O45" s="313" t="n"/>
      <c r="P45" s="734" t="n">
        <v>0</v>
      </c>
      <c r="Q45" s="700" t="n"/>
      <c r="R45" s="727" t="n"/>
      <c r="S45" s="698" t="n"/>
    </row>
    <row r="46">
      <c r="A46" s="25" t="n">
        <v>12</v>
      </c>
      <c r="B46" s="643" t="n"/>
      <c r="C46" s="726" t="n"/>
      <c r="D46" s="726" t="n"/>
      <c r="E46" s="313" t="n"/>
      <c r="F46" s="735" t="n">
        <v>0</v>
      </c>
      <c r="G46" s="195" t="inlineStr">
        <is>
          <t>TOPLAM</t>
        </is>
      </c>
      <c r="H46" s="736">
        <f>SUM(G36)</f>
        <v/>
      </c>
      <c r="I46" s="313" t="n"/>
      <c r="K46" s="25" t="n">
        <v>12</v>
      </c>
      <c r="L46" s="643" t="n"/>
      <c r="M46" s="726" t="n"/>
      <c r="N46" s="726" t="n"/>
      <c r="O46" s="313" t="n"/>
      <c r="P46" s="735" t="n">
        <v>0</v>
      </c>
      <c r="Q46" s="195" t="inlineStr">
        <is>
          <t>TOPLAM</t>
        </is>
      </c>
      <c r="R46" s="736">
        <f>SUM(Q36)</f>
        <v/>
      </c>
      <c r="S46" s="313" t="n"/>
    </row>
    <row r="47">
      <c r="A47" s="25" t="n">
        <v>13</v>
      </c>
      <c r="B47" s="644" t="n"/>
      <c r="C47" s="726" t="n"/>
      <c r="D47" s="726" t="n"/>
      <c r="E47" s="313" t="n"/>
      <c r="F47" s="730" t="n">
        <v>0</v>
      </c>
      <c r="G47" s="668" t="inlineStr">
        <is>
          <t>DİĞERLERİ</t>
        </is>
      </c>
      <c r="I47" s="697" t="n"/>
      <c r="K47" s="25" t="n">
        <v>13</v>
      </c>
      <c r="L47" s="644" t="n"/>
      <c r="M47" s="726" t="n"/>
      <c r="N47" s="726" t="n"/>
      <c r="O47" s="313" t="n"/>
      <c r="P47" s="730" t="n">
        <v>0</v>
      </c>
      <c r="Q47" s="668" t="inlineStr">
        <is>
          <t>DİĞERLERİ</t>
        </is>
      </c>
      <c r="S47" s="697" t="n"/>
    </row>
    <row r="48">
      <c r="A48" s="25" t="n">
        <v>14</v>
      </c>
      <c r="B48" s="643" t="n"/>
      <c r="C48" s="726" t="n"/>
      <c r="D48" s="726" t="n"/>
      <c r="E48" s="313" t="n"/>
      <c r="F48" s="735" t="n">
        <v>0</v>
      </c>
      <c r="G48" s="737" t="n">
        <v>0</v>
      </c>
      <c r="H48" s="728" t="n"/>
      <c r="I48" s="729" t="n"/>
      <c r="K48" s="25" t="n">
        <v>14</v>
      </c>
      <c r="L48" s="643" t="n"/>
      <c r="M48" s="726" t="n"/>
      <c r="N48" s="726" t="n"/>
      <c r="O48" s="313" t="n"/>
      <c r="P48" s="735" t="n">
        <v>0</v>
      </c>
      <c r="Q48" s="737" t="n">
        <v>0</v>
      </c>
      <c r="R48" s="728" t="n"/>
      <c r="S48" s="729" t="n"/>
    </row>
    <row r="49">
      <c r="A49" s="25" t="n">
        <v>15</v>
      </c>
      <c r="B49" s="644" t="n"/>
      <c r="C49" s="726" t="n"/>
      <c r="D49" s="726" t="n"/>
      <c r="E49" s="313" t="n"/>
      <c r="F49" s="730" t="n">
        <v>0</v>
      </c>
      <c r="I49" s="697" t="n"/>
      <c r="K49" s="25" t="n">
        <v>15</v>
      </c>
      <c r="L49" s="644" t="n"/>
      <c r="M49" s="726" t="n"/>
      <c r="N49" s="726" t="n"/>
      <c r="O49" s="313" t="n"/>
      <c r="P49" s="730" t="n">
        <v>0</v>
      </c>
      <c r="S49" s="697" t="n"/>
    </row>
    <row r="50">
      <c r="A50" s="25" t="n">
        <v>16</v>
      </c>
      <c r="B50" s="643" t="n"/>
      <c r="C50" s="726" t="n"/>
      <c r="D50" s="726" t="n"/>
      <c r="E50" s="313" t="n"/>
      <c r="F50" s="735" t="n">
        <v>0</v>
      </c>
      <c r="I50" s="697" t="n"/>
      <c r="K50" s="25" t="n">
        <v>16</v>
      </c>
      <c r="L50" s="643" t="n"/>
      <c r="M50" s="726" t="n"/>
      <c r="N50" s="726" t="n"/>
      <c r="O50" s="313" t="n"/>
      <c r="P50" s="735" t="n">
        <v>0</v>
      </c>
      <c r="S50" s="697" t="n"/>
    </row>
    <row r="51">
      <c r="A51" s="25" t="n">
        <v>17</v>
      </c>
      <c r="B51" s="644" t="n"/>
      <c r="C51" s="726" t="n"/>
      <c r="D51" s="726" t="n"/>
      <c r="E51" s="313" t="n"/>
      <c r="F51" s="730" t="n">
        <v>0</v>
      </c>
      <c r="I51" s="697" t="n"/>
      <c r="K51" s="25" t="n">
        <v>17</v>
      </c>
      <c r="L51" s="644" t="n"/>
      <c r="M51" s="726" t="n"/>
      <c r="N51" s="726" t="n"/>
      <c r="O51" s="313" t="n"/>
      <c r="P51" s="730" t="n">
        <v>0</v>
      </c>
      <c r="S51" s="697" t="n"/>
    </row>
    <row r="52">
      <c r="A52" s="25" t="n">
        <v>18</v>
      </c>
      <c r="B52" s="643" t="n"/>
      <c r="C52" s="726" t="n"/>
      <c r="D52" s="726" t="n"/>
      <c r="E52" s="313" t="n"/>
      <c r="F52" s="735" t="n">
        <v>0</v>
      </c>
      <c r="I52" s="697" t="n"/>
      <c r="K52" s="25" t="n">
        <v>18</v>
      </c>
      <c r="L52" s="643" t="n"/>
      <c r="M52" s="726" t="n"/>
      <c r="N52" s="726" t="n"/>
      <c r="O52" s="313" t="n"/>
      <c r="P52" s="735" t="n">
        <v>0</v>
      </c>
      <c r="S52" s="697" t="n"/>
    </row>
    <row r="53">
      <c r="A53" s="25" t="n">
        <v>19</v>
      </c>
      <c r="B53" s="644" t="n"/>
      <c r="C53" s="726" t="n"/>
      <c r="D53" s="726" t="n"/>
      <c r="E53" s="313" t="n"/>
      <c r="F53" s="730" t="n">
        <v>0</v>
      </c>
      <c r="I53" s="697" t="n"/>
      <c r="K53" s="25" t="n">
        <v>19</v>
      </c>
      <c r="L53" s="644" t="n"/>
      <c r="M53" s="726" t="n"/>
      <c r="N53" s="726" t="n"/>
      <c r="O53" s="313" t="n"/>
      <c r="P53" s="730" t="n">
        <v>0</v>
      </c>
      <c r="S53" s="697" t="n"/>
    </row>
    <row r="54">
      <c r="A54" s="25" t="n">
        <v>20</v>
      </c>
      <c r="B54" s="643" t="n"/>
      <c r="C54" s="726" t="n"/>
      <c r="D54" s="726" t="n"/>
      <c r="E54" s="313" t="n"/>
      <c r="F54" s="735" t="n">
        <v>0</v>
      </c>
      <c r="I54" s="697" t="n"/>
      <c r="K54" s="25" t="n">
        <v>20</v>
      </c>
      <c r="L54" s="643" t="n"/>
      <c r="M54" s="726" t="n"/>
      <c r="N54" s="726" t="n"/>
      <c r="O54" s="313" t="n"/>
      <c r="P54" s="735" t="n">
        <v>0</v>
      </c>
      <c r="S54" s="697" t="n"/>
    </row>
    <row r="55">
      <c r="A55" s="25" t="n">
        <v>21</v>
      </c>
      <c r="B55" s="644" t="n"/>
      <c r="C55" s="726" t="n"/>
      <c r="D55" s="726" t="n"/>
      <c r="E55" s="313" t="n"/>
      <c r="F55" s="730" t="n">
        <v>0</v>
      </c>
      <c r="I55" s="697" t="n"/>
      <c r="K55" s="25" t="n">
        <v>21</v>
      </c>
      <c r="L55" s="644" t="n"/>
      <c r="M55" s="726" t="n"/>
      <c r="N55" s="726" t="n"/>
      <c r="O55" s="313" t="n"/>
      <c r="P55" s="730" t="n">
        <v>0</v>
      </c>
      <c r="S55" s="697" t="n"/>
    </row>
    <row r="56">
      <c r="A56" s="25" t="n">
        <v>22</v>
      </c>
      <c r="B56" s="643" t="n"/>
      <c r="C56" s="726" t="n"/>
      <c r="D56" s="726" t="n"/>
      <c r="E56" s="313" t="n"/>
      <c r="F56" s="735" t="n">
        <v>0</v>
      </c>
      <c r="G56" s="727" t="n"/>
      <c r="H56" s="727" t="n"/>
      <c r="I56" s="698" t="n"/>
      <c r="K56" s="25" t="n">
        <v>22</v>
      </c>
      <c r="L56" s="643" t="n"/>
      <c r="M56" s="726" t="n"/>
      <c r="N56" s="726" t="n"/>
      <c r="O56" s="313" t="n"/>
      <c r="P56" s="735" t="n">
        <v>0</v>
      </c>
      <c r="Q56" s="727" t="n"/>
      <c r="R56" s="727" t="n"/>
      <c r="S56" s="698" t="n"/>
    </row>
    <row r="57">
      <c r="A57" s="25" t="n">
        <v>23</v>
      </c>
      <c r="B57" s="644" t="n"/>
      <c r="C57" s="726" t="n"/>
      <c r="D57" s="726" t="n"/>
      <c r="E57" s="313" t="n"/>
      <c r="F57" s="730" t="n">
        <v>0</v>
      </c>
      <c r="G57" s="198" t="inlineStr">
        <is>
          <t>TOPLAM</t>
        </is>
      </c>
      <c r="H57" s="738">
        <f>SUM(G48)</f>
        <v/>
      </c>
      <c r="I57" s="697" t="n"/>
      <c r="K57" s="25" t="n">
        <v>23</v>
      </c>
      <c r="L57" s="644" t="n"/>
      <c r="M57" s="726" t="n"/>
      <c r="N57" s="726" t="n"/>
      <c r="O57" s="313" t="n"/>
      <c r="P57" s="730" t="n">
        <v>0</v>
      </c>
      <c r="Q57" s="198" t="inlineStr">
        <is>
          <t>TOPLAM</t>
        </is>
      </c>
      <c r="R57" s="738">
        <f>SUM(Q48)</f>
        <v/>
      </c>
      <c r="S57" s="697" t="n"/>
    </row>
    <row r="58">
      <c r="A58" s="25" t="n">
        <v>24</v>
      </c>
      <c r="B58" s="643" t="n"/>
      <c r="C58" s="726" t="n"/>
      <c r="D58" s="726" t="n"/>
      <c r="E58" s="313" t="n"/>
      <c r="F58" s="735" t="n">
        <v>0</v>
      </c>
      <c r="G58" s="196" t="inlineStr">
        <is>
          <t>ETSY</t>
        </is>
      </c>
      <c r="H58" s="739">
        <f>SUM(H46)</f>
        <v/>
      </c>
      <c r="I58" s="313" t="n"/>
      <c r="K58" s="25" t="n">
        <v>24</v>
      </c>
      <c r="L58" s="643" t="n"/>
      <c r="M58" s="726" t="n"/>
      <c r="N58" s="726" t="n"/>
      <c r="O58" s="313" t="n"/>
      <c r="P58" s="735" t="n">
        <v>0</v>
      </c>
      <c r="Q58" s="196" t="inlineStr">
        <is>
          <t>ETSY</t>
        </is>
      </c>
      <c r="R58" s="739">
        <f>SUM(R46)</f>
        <v/>
      </c>
      <c r="S58" s="313" t="n"/>
    </row>
    <row r="59">
      <c r="A59" s="635" t="n">
        <v>25</v>
      </c>
      <c r="B59" s="644" t="n"/>
      <c r="C59" s="726" t="n"/>
      <c r="D59" s="726" t="n"/>
      <c r="E59" s="313" t="n"/>
      <c r="F59" s="730" t="n">
        <v>0</v>
      </c>
      <c r="G59" s="197" t="inlineStr">
        <is>
          <t>DİĞERLERİ</t>
        </is>
      </c>
      <c r="H59" s="740">
        <f>SUM(H57)</f>
        <v/>
      </c>
      <c r="I59" s="313" t="n"/>
      <c r="K59" s="635" t="n">
        <v>25</v>
      </c>
      <c r="L59" s="644" t="n"/>
      <c r="M59" s="726" t="n"/>
      <c r="N59" s="726" t="n"/>
      <c r="O59" s="313" t="n"/>
      <c r="P59" s="730" t="n">
        <v>0</v>
      </c>
      <c r="Q59" s="197" t="inlineStr">
        <is>
          <t>DİĞERLERİ</t>
        </is>
      </c>
      <c r="R59" s="740">
        <f>SUM(R57)</f>
        <v/>
      </c>
      <c r="S59" s="313" t="n"/>
    </row>
    <row r="60">
      <c r="A60" s="672" t="inlineStr">
        <is>
          <t>GİDERLER TOPLAM</t>
        </is>
      </c>
      <c r="B60" s="726" t="n"/>
      <c r="C60" s="726" t="n"/>
      <c r="D60" s="313" t="n"/>
      <c r="E60" s="199" t="inlineStr">
        <is>
          <t>TOPLAM</t>
        </is>
      </c>
      <c r="F60" s="741">
        <f>SUM(F35:F59)</f>
        <v/>
      </c>
      <c r="G60" s="194" t="inlineStr">
        <is>
          <t>GELİR TOPLAM</t>
        </is>
      </c>
      <c r="H60" s="742">
        <f>SUM(H59,H58)</f>
        <v/>
      </c>
      <c r="I60" s="698" t="n"/>
      <c r="K60" s="672" t="inlineStr">
        <is>
          <t>GİDERLER TOPLAM</t>
        </is>
      </c>
      <c r="L60" s="726" t="n"/>
      <c r="M60" s="726" t="n"/>
      <c r="N60" s="313" t="n"/>
      <c r="O60" s="199" t="inlineStr">
        <is>
          <t>TOPLAM</t>
        </is>
      </c>
      <c r="P60" s="741">
        <f>SUM(P35:P59)</f>
        <v/>
      </c>
      <c r="Q60" s="194" t="inlineStr">
        <is>
          <t>GELİR TOPLAM</t>
        </is>
      </c>
      <c r="R60" s="742">
        <f>SUM(R59,R58)</f>
        <v/>
      </c>
      <c r="S60" s="698" t="n"/>
    </row>
    <row r="62">
      <c r="A62" s="653" t="inlineStr">
        <is>
          <t>HAFTALIK HESAP</t>
        </is>
      </c>
      <c r="B62" s="728" t="n"/>
      <c r="C62" s="728" t="n"/>
      <c r="D62" s="728" t="n"/>
      <c r="E62" s="728" t="n"/>
      <c r="F62" s="728" t="n"/>
      <c r="G62" s="729" t="n"/>
      <c r="H62" s="743">
        <f>SUM(R30,H60-F60)</f>
        <v/>
      </c>
      <c r="I62" s="729" t="n"/>
      <c r="K62" s="653" t="inlineStr">
        <is>
          <t>HAFTALIK HESAP</t>
        </is>
      </c>
      <c r="L62" s="728" t="n"/>
      <c r="M62" s="728" t="n"/>
      <c r="N62" s="728" t="n"/>
      <c r="O62" s="728" t="n"/>
      <c r="P62" s="728" t="n"/>
      <c r="Q62" s="729" t="n"/>
      <c r="R62" s="743">
        <f>SUM(R60+H62-P60)</f>
        <v/>
      </c>
      <c r="S62" s="729" t="n"/>
    </row>
    <row r="63">
      <c r="A63" s="700" t="n"/>
      <c r="B63" s="727" t="n"/>
      <c r="C63" s="727" t="n"/>
      <c r="D63" s="727" t="n"/>
      <c r="E63" s="727" t="n"/>
      <c r="F63" s="727" t="n"/>
      <c r="G63" s="698" t="n"/>
      <c r="H63" s="700" t="n"/>
      <c r="I63" s="698" t="n"/>
      <c r="K63" s="700" t="n"/>
      <c r="L63" s="727" t="n"/>
      <c r="M63" s="727" t="n"/>
      <c r="N63" s="727" t="n"/>
      <c r="O63" s="727" t="n"/>
      <c r="P63" s="727" t="n"/>
      <c r="Q63" s="698" t="n"/>
      <c r="R63" s="700" t="n"/>
      <c r="S63" s="698" t="n"/>
    </row>
    <row r="65">
      <c r="A65" s="646" t="inlineStr">
        <is>
          <t>AYLIK ETSY GELEN</t>
        </is>
      </c>
      <c r="B65" s="728" t="n"/>
      <c r="C65" s="728" t="n"/>
      <c r="D65" s="729" t="n"/>
      <c r="E65" s="206" t="n"/>
      <c r="F65" s="744">
        <f>SUM(R58,H58,R26,H26)</f>
        <v/>
      </c>
      <c r="G65" s="729" t="n"/>
    </row>
    <row r="66">
      <c r="A66" s="700" t="n"/>
      <c r="B66" s="727" t="n"/>
      <c r="C66" s="727" t="n"/>
      <c r="D66" s="698" t="n"/>
      <c r="E66" s="206" t="n"/>
      <c r="F66" s="700" t="n"/>
      <c r="G66" s="698" t="n"/>
    </row>
    <row r="67">
      <c r="A67" s="628" t="inlineStr">
        <is>
          <t>AYLIK DİĞERLERİ GELEN</t>
        </is>
      </c>
      <c r="B67" s="728" t="n"/>
      <c r="C67" s="728" t="n"/>
      <c r="D67" s="729" t="n"/>
      <c r="E67" s="207" t="n"/>
      <c r="F67" s="745">
        <f>SUM(R59,H59,R27,H27)</f>
        <v/>
      </c>
      <c r="G67" s="697" t="n"/>
    </row>
    <row r="68">
      <c r="A68" s="700" t="n"/>
      <c r="B68" s="727" t="n"/>
      <c r="C68" s="727" t="n"/>
      <c r="D68" s="698" t="n"/>
      <c r="E68" s="207" t="n"/>
      <c r="F68" s="700" t="n"/>
      <c r="G68" s="698" t="n"/>
    </row>
    <row r="69">
      <c r="A69" s="630" t="inlineStr">
        <is>
          <t>AYLIK GİDERLER TOPLAM</t>
        </is>
      </c>
      <c r="B69" s="728" t="n"/>
      <c r="C69" s="728" t="n"/>
      <c r="D69" s="729" t="n"/>
      <c r="E69" s="205" t="n"/>
      <c r="F69" s="746">
        <f>SUM(F28,P28,F60,P60)</f>
        <v/>
      </c>
      <c r="G69" s="729" t="n"/>
    </row>
    <row r="70">
      <c r="A70" s="700" t="n"/>
      <c r="B70" s="727" t="n"/>
      <c r="C70" s="727" t="n"/>
      <c r="D70" s="698" t="n"/>
      <c r="E70" s="205" t="n"/>
      <c r="F70" s="700" t="n"/>
      <c r="G70" s="698" t="n"/>
    </row>
  </sheetData>
  <mergeCells count="166">
    <mergeCell ref="L50:O50"/>
    <mergeCell ref="L56:O56"/>
    <mergeCell ref="R28:S28"/>
    <mergeCell ref="L35:N35"/>
    <mergeCell ref="L52:O52"/>
    <mergeCell ref="L41:O41"/>
    <mergeCell ref="B36:E36"/>
    <mergeCell ref="L49:O49"/>
    <mergeCell ref="G15:I15"/>
    <mergeCell ref="L27:O27"/>
    <mergeCell ref="B45:E45"/>
    <mergeCell ref="L36:O36"/>
    <mergeCell ref="Q15:S15"/>
    <mergeCell ref="A33:I33"/>
    <mergeCell ref="A65:D66"/>
    <mergeCell ref="L17:O17"/>
    <mergeCell ref="R62:S63"/>
    <mergeCell ref="B47:E47"/>
    <mergeCell ref="A60:D60"/>
    <mergeCell ref="B22:E22"/>
    <mergeCell ref="L19:O19"/>
    <mergeCell ref="L53:O53"/>
    <mergeCell ref="B12:E12"/>
    <mergeCell ref="L3:O3"/>
    <mergeCell ref="B21:E21"/>
    <mergeCell ref="L12:O12"/>
    <mergeCell ref="B39:E39"/>
    <mergeCell ref="B14:E14"/>
    <mergeCell ref="L5:O5"/>
    <mergeCell ref="F65:G66"/>
    <mergeCell ref="G2:I2"/>
    <mergeCell ref="B23:E23"/>
    <mergeCell ref="L45:O45"/>
    <mergeCell ref="L14:O14"/>
    <mergeCell ref="B13:E13"/>
    <mergeCell ref="B38:E38"/>
    <mergeCell ref="L55:O55"/>
    <mergeCell ref="L4:O4"/>
    <mergeCell ref="L38:O38"/>
    <mergeCell ref="R58:S58"/>
    <mergeCell ref="A67:D68"/>
    <mergeCell ref="L54:O54"/>
    <mergeCell ref="Q16:S24"/>
    <mergeCell ref="K34:O34"/>
    <mergeCell ref="A34:E34"/>
    <mergeCell ref="B40:E40"/>
    <mergeCell ref="B49:E49"/>
    <mergeCell ref="K1:S1"/>
    <mergeCell ref="L40:O40"/>
    <mergeCell ref="R60:S60"/>
    <mergeCell ref="Q4:S13"/>
    <mergeCell ref="A69:D70"/>
    <mergeCell ref="L21:O21"/>
    <mergeCell ref="B51:E51"/>
    <mergeCell ref="R59:S59"/>
    <mergeCell ref="A28:D28"/>
    <mergeCell ref="H25:I25"/>
    <mergeCell ref="B41:E41"/>
    <mergeCell ref="B26:E26"/>
    <mergeCell ref="B50:E50"/>
    <mergeCell ref="R25:S25"/>
    <mergeCell ref="B16:E16"/>
    <mergeCell ref="F67:G68"/>
    <mergeCell ref="B25:E25"/>
    <mergeCell ref="L16:O16"/>
    <mergeCell ref="L57:O57"/>
    <mergeCell ref="B27:E27"/>
    <mergeCell ref="B18:E18"/>
    <mergeCell ref="F69:G70"/>
    <mergeCell ref="B11:E11"/>
    <mergeCell ref="H28:I28"/>
    <mergeCell ref="Q47:S47"/>
    <mergeCell ref="L42:O42"/>
    <mergeCell ref="G36:I45"/>
    <mergeCell ref="A62:G63"/>
    <mergeCell ref="B53:E53"/>
    <mergeCell ref="K62:Q63"/>
    <mergeCell ref="L39:O39"/>
    <mergeCell ref="A1:I1"/>
    <mergeCell ref="L20:O20"/>
    <mergeCell ref="B37:E37"/>
    <mergeCell ref="R14:S14"/>
    <mergeCell ref="H14:I14"/>
    <mergeCell ref="R30:S31"/>
    <mergeCell ref="L44:O44"/>
    <mergeCell ref="A30:G31"/>
    <mergeCell ref="L22:O22"/>
    <mergeCell ref="B6:E6"/>
    <mergeCell ref="Q35:S35"/>
    <mergeCell ref="L59:O59"/>
    <mergeCell ref="B15:E15"/>
    <mergeCell ref="B55:E55"/>
    <mergeCell ref="L6:O6"/>
    <mergeCell ref="G34:I34"/>
    <mergeCell ref="R57:S57"/>
    <mergeCell ref="L46:O46"/>
    <mergeCell ref="G3:I3"/>
    <mergeCell ref="H58:I58"/>
    <mergeCell ref="B24:E24"/>
    <mergeCell ref="Q34:S34"/>
    <mergeCell ref="K28:N28"/>
    <mergeCell ref="L48:O48"/>
    <mergeCell ref="G48:I56"/>
    <mergeCell ref="H60:I60"/>
    <mergeCell ref="G4:I13"/>
    <mergeCell ref="B54:E54"/>
    <mergeCell ref="B7:E7"/>
    <mergeCell ref="L7:O7"/>
    <mergeCell ref="R27:S27"/>
    <mergeCell ref="G47:I47"/>
    <mergeCell ref="B56:E56"/>
    <mergeCell ref="L47:O47"/>
    <mergeCell ref="A2:E2"/>
    <mergeCell ref="B43:E43"/>
    <mergeCell ref="B58:E58"/>
    <mergeCell ref="B35:D35"/>
    <mergeCell ref="B52:E52"/>
    <mergeCell ref="L43:O43"/>
    <mergeCell ref="H57:I57"/>
    <mergeCell ref="L24:O24"/>
    <mergeCell ref="B42:E42"/>
    <mergeCell ref="L18:O18"/>
    <mergeCell ref="B17:E17"/>
    <mergeCell ref="B57:E57"/>
    <mergeCell ref="L8:O8"/>
    <mergeCell ref="L26:O26"/>
    <mergeCell ref="R46:S46"/>
    <mergeCell ref="B44:E44"/>
    <mergeCell ref="L58:O58"/>
    <mergeCell ref="B19:E19"/>
    <mergeCell ref="L10:O10"/>
    <mergeCell ref="L25:O25"/>
    <mergeCell ref="B9:E9"/>
    <mergeCell ref="L9:O9"/>
    <mergeCell ref="K30:Q31"/>
    <mergeCell ref="B5:E5"/>
    <mergeCell ref="B20:E20"/>
    <mergeCell ref="L11:O11"/>
    <mergeCell ref="H59:I59"/>
    <mergeCell ref="B4:E4"/>
    <mergeCell ref="Q36:S45"/>
    <mergeCell ref="H46:I46"/>
    <mergeCell ref="H62:I63"/>
    <mergeCell ref="G35:I35"/>
    <mergeCell ref="B59:E59"/>
    <mergeCell ref="B46:E46"/>
    <mergeCell ref="Q2:S2"/>
    <mergeCell ref="H30:I31"/>
    <mergeCell ref="L37:O37"/>
    <mergeCell ref="R26:S26"/>
    <mergeCell ref="L13:O13"/>
    <mergeCell ref="B48:E48"/>
    <mergeCell ref="K2:O2"/>
    <mergeCell ref="K60:N60"/>
    <mergeCell ref="L15:O15"/>
    <mergeCell ref="H27:I27"/>
    <mergeCell ref="Q3:S3"/>
    <mergeCell ref="L23:O23"/>
    <mergeCell ref="B3:D3"/>
    <mergeCell ref="B8:E8"/>
    <mergeCell ref="K33:S33"/>
    <mergeCell ref="G16:I24"/>
    <mergeCell ref="L51:O51"/>
    <mergeCell ref="Q48:S56"/>
    <mergeCell ref="B10:E10"/>
    <mergeCell ref="H26:I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0"/>
  <sheetViews>
    <sheetView topLeftCell="A26" workbookViewId="0">
      <selection activeCell="P47" sqref="P47"/>
    </sheetView>
  </sheetViews>
  <sheetFormatPr baseColWidth="8" defaultRowHeight="15"/>
  <cols>
    <col width="10.85546875" bestFit="1" customWidth="1" style="305" min="16" max="16"/>
  </cols>
  <sheetData>
    <row r="1">
      <c r="A1" s="648" t="inlineStr">
        <is>
          <t>-2024 OCAK-       1/6 ARASI</t>
        </is>
      </c>
      <c r="B1" s="726" t="n"/>
      <c r="C1" s="726" t="n"/>
      <c r="D1" s="726" t="n"/>
      <c r="E1" s="726" t="n"/>
      <c r="F1" s="726" t="n"/>
      <c r="G1" s="726" t="n"/>
      <c r="H1" s="726" t="n"/>
      <c r="I1" s="313" t="n"/>
      <c r="K1" s="648" t="inlineStr">
        <is>
          <t>-2024 OCAK-       7/13 ARASI</t>
        </is>
      </c>
      <c r="L1" s="726" t="n"/>
      <c r="M1" s="726" t="n"/>
      <c r="N1" s="726" t="n"/>
      <c r="O1" s="726" t="n"/>
      <c r="P1" s="726" t="n"/>
      <c r="Q1" s="726" t="n"/>
      <c r="R1" s="726" t="n"/>
      <c r="S1" s="313" t="n"/>
    </row>
    <row r="2">
      <c r="A2" s="637" t="inlineStr">
        <is>
          <t>GİDERLER-KİM ? NE ?</t>
        </is>
      </c>
      <c r="B2" s="727" t="n"/>
      <c r="C2" s="727" t="n"/>
      <c r="D2" s="727" t="n"/>
      <c r="E2" s="698" t="n"/>
      <c r="F2" s="193" t="inlineStr">
        <is>
          <t>YAPILAN ÖDEME</t>
        </is>
      </c>
      <c r="G2" s="657" t="inlineStr">
        <is>
          <t>GELİRLER</t>
        </is>
      </c>
      <c r="H2" s="727" t="n"/>
      <c r="I2" s="698" t="n"/>
      <c r="K2" s="637" t="inlineStr">
        <is>
          <t>GİDERLER-KİM ? NE ?</t>
        </is>
      </c>
      <c r="L2" s="727" t="n"/>
      <c r="M2" s="727" t="n"/>
      <c r="N2" s="727" t="n"/>
      <c r="O2" s="698" t="n"/>
      <c r="P2" s="193" t="inlineStr">
        <is>
          <t>YAPILAN ÖDEME</t>
        </is>
      </c>
      <c r="Q2" s="657" t="inlineStr">
        <is>
          <t>GELİRLER</t>
        </is>
      </c>
      <c r="R2" s="727" t="n"/>
      <c r="S2" s="698" t="n"/>
    </row>
    <row r="3">
      <c r="A3" s="192" t="n">
        <v>1</v>
      </c>
      <c r="B3" s="644" t="n"/>
      <c r="C3" s="726" t="n"/>
      <c r="D3" s="313" t="n"/>
      <c r="E3" s="200" t="n"/>
      <c r="F3" s="730" t="n">
        <v>0</v>
      </c>
      <c r="G3" s="661" t="inlineStr">
        <is>
          <t>ETSY</t>
        </is>
      </c>
      <c r="I3" s="697" t="n"/>
      <c r="K3" s="192" t="n">
        <v>1</v>
      </c>
      <c r="L3" s="731" t="inlineStr">
        <is>
          <t>ÖZGE MAAŞ</t>
        </is>
      </c>
      <c r="M3" s="726" t="n"/>
      <c r="N3" s="726" t="n"/>
      <c r="O3" s="313" t="n"/>
      <c r="P3" s="730" t="n">
        <v>0</v>
      </c>
      <c r="Q3" s="661" t="inlineStr">
        <is>
          <t>ETSY</t>
        </is>
      </c>
      <c r="S3" s="697" t="n"/>
    </row>
    <row r="4">
      <c r="A4" s="25" t="n">
        <v>2</v>
      </c>
      <c r="B4" s="641" t="n"/>
      <c r="C4" s="727" t="n"/>
      <c r="D4" s="727" t="n"/>
      <c r="E4" s="698" t="n"/>
      <c r="F4" s="732" t="n">
        <v>0</v>
      </c>
      <c r="G4" s="733" t="n">
        <v>500</v>
      </c>
      <c r="H4" s="728" t="n"/>
      <c r="I4" s="729" t="n"/>
      <c r="K4" s="25" t="n">
        <v>2</v>
      </c>
      <c r="L4" s="641" t="n"/>
      <c r="M4" s="727" t="n"/>
      <c r="N4" s="727" t="n"/>
      <c r="O4" s="698" t="n"/>
      <c r="P4" s="732" t="n">
        <v>0</v>
      </c>
      <c r="Q4" s="733" t="n">
        <v>500</v>
      </c>
      <c r="R4" s="728" t="n"/>
      <c r="S4" s="729" t="n"/>
    </row>
    <row r="5">
      <c r="A5" s="25" t="n">
        <v>3</v>
      </c>
      <c r="B5" s="639" t="n"/>
      <c r="C5" s="727" t="n"/>
      <c r="D5" s="727" t="n"/>
      <c r="E5" s="698" t="n"/>
      <c r="F5" s="734" t="n">
        <v>0</v>
      </c>
      <c r="G5" s="699" t="n"/>
      <c r="I5" s="697" t="n"/>
      <c r="K5" s="25" t="n">
        <v>3</v>
      </c>
      <c r="L5" s="639" t="n"/>
      <c r="M5" s="727" t="n"/>
      <c r="N5" s="727" t="n"/>
      <c r="O5" s="698" t="n"/>
      <c r="P5" s="734" t="n">
        <v>0</v>
      </c>
      <c r="Q5" s="699" t="n"/>
      <c r="S5" s="697" t="n"/>
    </row>
    <row r="6">
      <c r="A6" s="25" t="n">
        <v>4</v>
      </c>
      <c r="B6" s="643" t="n"/>
      <c r="C6" s="726" t="n"/>
      <c r="D6" s="726" t="n"/>
      <c r="E6" s="313" t="n"/>
      <c r="F6" s="732" t="n">
        <v>0</v>
      </c>
      <c r="G6" s="699" t="n"/>
      <c r="I6" s="697" t="n"/>
      <c r="K6" s="25" t="n">
        <v>4</v>
      </c>
      <c r="L6" s="643" t="n"/>
      <c r="M6" s="726" t="n"/>
      <c r="N6" s="726" t="n"/>
      <c r="O6" s="313" t="n"/>
      <c r="P6" s="732" t="n">
        <v>0</v>
      </c>
      <c r="Q6" s="699" t="n"/>
      <c r="S6" s="697" t="n"/>
    </row>
    <row r="7">
      <c r="A7" s="25" t="n">
        <v>5</v>
      </c>
      <c r="B7" s="644" t="n"/>
      <c r="C7" s="726" t="n"/>
      <c r="D7" s="726" t="n"/>
      <c r="E7" s="313" t="n"/>
      <c r="F7" s="734" t="n">
        <v>0</v>
      </c>
      <c r="G7" s="699" t="n"/>
      <c r="I7" s="697" t="n"/>
      <c r="K7" s="25" t="n">
        <v>5</v>
      </c>
      <c r="L7" s="644" t="n"/>
      <c r="M7" s="726" t="n"/>
      <c r="N7" s="726" t="n"/>
      <c r="O7" s="313" t="n"/>
      <c r="P7" s="734" t="n">
        <v>0</v>
      </c>
      <c r="Q7" s="699" t="n"/>
      <c r="S7" s="697" t="n"/>
    </row>
    <row r="8">
      <c r="A8" s="25" t="n">
        <v>6</v>
      </c>
      <c r="B8" s="643" t="n"/>
      <c r="C8" s="726" t="n"/>
      <c r="D8" s="726" t="n"/>
      <c r="E8" s="313" t="n"/>
      <c r="F8" s="732" t="n">
        <v>0</v>
      </c>
      <c r="G8" s="699" t="n"/>
      <c r="I8" s="697" t="n"/>
      <c r="K8" s="25" t="n">
        <v>6</v>
      </c>
      <c r="L8" s="643" t="n"/>
      <c r="M8" s="726" t="n"/>
      <c r="N8" s="726" t="n"/>
      <c r="O8" s="313" t="n"/>
      <c r="P8" s="732" t="n">
        <v>500</v>
      </c>
      <c r="Q8" s="699" t="n"/>
      <c r="S8" s="697" t="n"/>
    </row>
    <row r="9">
      <c r="A9" s="25" t="n">
        <v>7</v>
      </c>
      <c r="B9" s="644" t="n"/>
      <c r="C9" s="726" t="n"/>
      <c r="D9" s="726" t="n"/>
      <c r="E9" s="313" t="n"/>
      <c r="F9" s="734" t="n">
        <v>0</v>
      </c>
      <c r="G9" s="699" t="n"/>
      <c r="I9" s="697" t="n"/>
      <c r="K9" s="25" t="n">
        <v>7</v>
      </c>
      <c r="L9" s="644" t="n"/>
      <c r="M9" s="726" t="n"/>
      <c r="N9" s="726" t="n"/>
      <c r="O9" s="313" t="n"/>
      <c r="P9" s="734" t="n">
        <v>0</v>
      </c>
      <c r="Q9" s="699" t="n"/>
      <c r="S9" s="697" t="n"/>
    </row>
    <row r="10">
      <c r="A10" s="25" t="n">
        <v>8</v>
      </c>
      <c r="B10" s="643" t="n"/>
      <c r="C10" s="726" t="n"/>
      <c r="D10" s="726" t="n"/>
      <c r="E10" s="313" t="n"/>
      <c r="F10" s="732" t="n">
        <v>0</v>
      </c>
      <c r="G10" s="699" t="n"/>
      <c r="I10" s="697" t="n"/>
      <c r="K10" s="25" t="n">
        <v>8</v>
      </c>
      <c r="L10" s="643" t="n"/>
      <c r="M10" s="726" t="n"/>
      <c r="N10" s="726" t="n"/>
      <c r="O10" s="313" t="n"/>
      <c r="P10" s="732" t="n">
        <v>0</v>
      </c>
      <c r="Q10" s="699" t="n"/>
      <c r="S10" s="697" t="n"/>
    </row>
    <row r="11">
      <c r="A11" s="25" t="n">
        <v>9</v>
      </c>
      <c r="B11" s="644" t="n"/>
      <c r="C11" s="726" t="n"/>
      <c r="D11" s="726" t="n"/>
      <c r="E11" s="313" t="n"/>
      <c r="F11" s="734" t="n">
        <v>0</v>
      </c>
      <c r="G11" s="699" t="n"/>
      <c r="I11" s="697" t="n"/>
      <c r="K11" s="25" t="n">
        <v>9</v>
      </c>
      <c r="L11" s="644" t="n"/>
      <c r="M11" s="726" t="n"/>
      <c r="N11" s="726" t="n"/>
      <c r="O11" s="313" t="n"/>
      <c r="P11" s="734" t="n">
        <v>0</v>
      </c>
      <c r="Q11" s="699" t="n"/>
      <c r="S11" s="697" t="n"/>
    </row>
    <row r="12">
      <c r="A12" s="25" t="n">
        <v>10</v>
      </c>
      <c r="B12" s="643" t="n"/>
      <c r="C12" s="726" t="n"/>
      <c r="D12" s="726" t="n"/>
      <c r="E12" s="313" t="n"/>
      <c r="F12" s="732" t="n">
        <v>0</v>
      </c>
      <c r="G12" s="699" t="n"/>
      <c r="I12" s="697" t="n"/>
      <c r="K12" s="25" t="n">
        <v>10</v>
      </c>
      <c r="L12" s="643" t="n"/>
      <c r="M12" s="726" t="n"/>
      <c r="N12" s="726" t="n"/>
      <c r="O12" s="313" t="n"/>
      <c r="P12" s="732" t="n">
        <v>0</v>
      </c>
      <c r="Q12" s="699" t="n"/>
      <c r="S12" s="697" t="n"/>
    </row>
    <row r="13">
      <c r="A13" s="25" t="n">
        <v>11</v>
      </c>
      <c r="B13" s="644" t="n"/>
      <c r="C13" s="726" t="n"/>
      <c r="D13" s="726" t="n"/>
      <c r="E13" s="313" t="n"/>
      <c r="F13" s="734" t="n">
        <v>0</v>
      </c>
      <c r="G13" s="700" t="n"/>
      <c r="H13" s="727" t="n"/>
      <c r="I13" s="698" t="n"/>
      <c r="K13" s="25" t="n">
        <v>11</v>
      </c>
      <c r="L13" s="644" t="n"/>
      <c r="M13" s="726" t="n"/>
      <c r="N13" s="726" t="n"/>
      <c r="O13" s="313" t="n"/>
      <c r="P13" s="734" t="n">
        <v>0</v>
      </c>
      <c r="Q13" s="700" t="n"/>
      <c r="R13" s="727" t="n"/>
      <c r="S13" s="698" t="n"/>
    </row>
    <row r="14">
      <c r="A14" s="25" t="n">
        <v>12</v>
      </c>
      <c r="B14" s="643" t="n"/>
      <c r="C14" s="726" t="n"/>
      <c r="D14" s="726" t="n"/>
      <c r="E14" s="313" t="n"/>
      <c r="F14" s="735" t="n">
        <v>0</v>
      </c>
      <c r="G14" s="195" t="inlineStr">
        <is>
          <t>TOPLAM</t>
        </is>
      </c>
      <c r="H14" s="736">
        <f>SUM(G4)</f>
        <v/>
      </c>
      <c r="I14" s="313" t="n"/>
      <c r="K14" s="25" t="n">
        <v>12</v>
      </c>
      <c r="L14" s="643" t="n"/>
      <c r="M14" s="726" t="n"/>
      <c r="N14" s="726" t="n"/>
      <c r="O14" s="313" t="n"/>
      <c r="P14" s="735" t="n">
        <v>0</v>
      </c>
      <c r="Q14" s="195" t="inlineStr">
        <is>
          <t>TOPLAM</t>
        </is>
      </c>
      <c r="R14" s="736">
        <f>SUM(Q4)</f>
        <v/>
      </c>
      <c r="S14" s="313" t="n"/>
    </row>
    <row r="15">
      <c r="A15" s="25" t="n">
        <v>13</v>
      </c>
      <c r="B15" s="644" t="n"/>
      <c r="C15" s="726" t="n"/>
      <c r="D15" s="726" t="n"/>
      <c r="E15" s="313" t="n"/>
      <c r="F15" s="730" t="n">
        <v>500</v>
      </c>
      <c r="G15" s="668" t="inlineStr">
        <is>
          <t>DİĞERLERİ</t>
        </is>
      </c>
      <c r="I15" s="697" t="n"/>
      <c r="K15" s="25" t="n">
        <v>13</v>
      </c>
      <c r="L15" s="644" t="n"/>
      <c r="M15" s="726" t="n"/>
      <c r="N15" s="726" t="n"/>
      <c r="O15" s="313" t="n"/>
      <c r="P15" s="730" t="n">
        <v>0</v>
      </c>
      <c r="Q15" s="668" t="inlineStr">
        <is>
          <t>DİĞERLERİ</t>
        </is>
      </c>
      <c r="S15" s="697" t="n"/>
    </row>
    <row r="16">
      <c r="A16" s="25" t="n">
        <v>14</v>
      </c>
      <c r="B16" s="643" t="n"/>
      <c r="C16" s="726" t="n"/>
      <c r="D16" s="726" t="n"/>
      <c r="E16" s="313" t="n"/>
      <c r="F16" s="735" t="n">
        <v>0</v>
      </c>
      <c r="G16" s="737" t="n">
        <v>0</v>
      </c>
      <c r="H16" s="728" t="n"/>
      <c r="I16" s="729" t="n"/>
      <c r="K16" s="25" t="n">
        <v>14</v>
      </c>
      <c r="L16" s="643" t="n"/>
      <c r="M16" s="726" t="n"/>
      <c r="N16" s="726" t="n"/>
      <c r="O16" s="313" t="n"/>
      <c r="P16" s="735" t="n">
        <v>0</v>
      </c>
      <c r="Q16" s="737" t="n">
        <v>500</v>
      </c>
      <c r="R16" s="728" t="n"/>
      <c r="S16" s="729" t="n"/>
    </row>
    <row r="17">
      <c r="A17" s="25" t="n">
        <v>15</v>
      </c>
      <c r="B17" s="644" t="n"/>
      <c r="C17" s="726" t="n"/>
      <c r="D17" s="726" t="n"/>
      <c r="E17" s="313" t="n"/>
      <c r="F17" s="730" t="n">
        <v>0</v>
      </c>
      <c r="I17" s="697" t="n"/>
      <c r="K17" s="25" t="n">
        <v>15</v>
      </c>
      <c r="L17" s="644" t="n"/>
      <c r="M17" s="726" t="n"/>
      <c r="N17" s="726" t="n"/>
      <c r="O17" s="313" t="n"/>
      <c r="P17" s="730" t="n">
        <v>0</v>
      </c>
      <c r="S17" s="697" t="n"/>
    </row>
    <row r="18">
      <c r="A18" s="25" t="n">
        <v>16</v>
      </c>
      <c r="B18" s="643" t="n"/>
      <c r="C18" s="726" t="n"/>
      <c r="D18" s="726" t="n"/>
      <c r="E18" s="313" t="n"/>
      <c r="F18" s="735" t="n">
        <v>0</v>
      </c>
      <c r="I18" s="697" t="n"/>
      <c r="K18" s="25" t="n">
        <v>16</v>
      </c>
      <c r="L18" s="643" t="n"/>
      <c r="M18" s="726" t="n"/>
      <c r="N18" s="726" t="n"/>
      <c r="O18" s="313" t="n"/>
      <c r="P18" s="735" t="n">
        <v>0</v>
      </c>
      <c r="S18" s="697" t="n"/>
    </row>
    <row r="19">
      <c r="A19" s="25" t="n">
        <v>17</v>
      </c>
      <c r="B19" s="644" t="n"/>
      <c r="C19" s="726" t="n"/>
      <c r="D19" s="726" t="n"/>
      <c r="E19" s="313" t="n"/>
      <c r="F19" s="730" t="n">
        <v>0</v>
      </c>
      <c r="I19" s="697" t="n"/>
      <c r="K19" s="25" t="n">
        <v>17</v>
      </c>
      <c r="L19" s="644" t="n"/>
      <c r="M19" s="726" t="n"/>
      <c r="N19" s="726" t="n"/>
      <c r="O19" s="313" t="n"/>
      <c r="P19" s="730" t="n">
        <v>0</v>
      </c>
      <c r="S19" s="697" t="n"/>
    </row>
    <row r="20">
      <c r="A20" s="25" t="n">
        <v>18</v>
      </c>
      <c r="B20" s="643" t="n"/>
      <c r="C20" s="726" t="n"/>
      <c r="D20" s="726" t="n"/>
      <c r="E20" s="313" t="n"/>
      <c r="F20" s="735" t="n">
        <v>0</v>
      </c>
      <c r="I20" s="697" t="n"/>
      <c r="K20" s="25" t="n">
        <v>18</v>
      </c>
      <c r="L20" s="643" t="n"/>
      <c r="M20" s="726" t="n"/>
      <c r="N20" s="726" t="n"/>
      <c r="O20" s="313" t="n"/>
      <c r="P20" s="735" t="n">
        <v>0</v>
      </c>
      <c r="S20" s="697" t="n"/>
    </row>
    <row r="21">
      <c r="A21" s="25" t="n">
        <v>19</v>
      </c>
      <c r="B21" s="644" t="n"/>
      <c r="C21" s="726" t="n"/>
      <c r="D21" s="726" t="n"/>
      <c r="E21" s="313" t="n"/>
      <c r="F21" s="730" t="n">
        <v>0</v>
      </c>
      <c r="I21" s="697" t="n"/>
      <c r="K21" s="25" t="n">
        <v>19</v>
      </c>
      <c r="L21" s="644" t="n"/>
      <c r="M21" s="726" t="n"/>
      <c r="N21" s="726" t="n"/>
      <c r="O21" s="313" t="n"/>
      <c r="P21" s="730" t="n">
        <v>0</v>
      </c>
      <c r="S21" s="697" t="n"/>
    </row>
    <row r="22">
      <c r="A22" s="25" t="n">
        <v>20</v>
      </c>
      <c r="B22" s="643" t="n"/>
      <c r="C22" s="726" t="n"/>
      <c r="D22" s="726" t="n"/>
      <c r="E22" s="313" t="n"/>
      <c r="F22" s="735" t="n">
        <v>0</v>
      </c>
      <c r="I22" s="697" t="n"/>
      <c r="K22" s="25" t="n">
        <v>20</v>
      </c>
      <c r="L22" s="643" t="n"/>
      <c r="M22" s="726" t="n"/>
      <c r="N22" s="726" t="n"/>
      <c r="O22" s="313" t="n"/>
      <c r="P22" s="735" t="n">
        <v>0</v>
      </c>
      <c r="S22" s="697" t="n"/>
    </row>
    <row r="23">
      <c r="A23" s="25" t="n">
        <v>21</v>
      </c>
      <c r="B23" s="644" t="n"/>
      <c r="C23" s="726" t="n"/>
      <c r="D23" s="726" t="n"/>
      <c r="E23" s="313" t="n"/>
      <c r="F23" s="730" t="n">
        <v>0</v>
      </c>
      <c r="I23" s="697" t="n"/>
      <c r="K23" s="25" t="n">
        <v>21</v>
      </c>
      <c r="L23" s="644" t="n"/>
      <c r="M23" s="726" t="n"/>
      <c r="N23" s="726" t="n"/>
      <c r="O23" s="313" t="n"/>
      <c r="P23" s="730" t="n">
        <v>0</v>
      </c>
      <c r="S23" s="697" t="n"/>
    </row>
    <row r="24">
      <c r="A24" s="25" t="n">
        <v>22</v>
      </c>
      <c r="B24" s="643" t="n"/>
      <c r="C24" s="726" t="n"/>
      <c r="D24" s="726" t="n"/>
      <c r="E24" s="313" t="n"/>
      <c r="F24" s="735" t="n">
        <v>0</v>
      </c>
      <c r="G24" s="727" t="n"/>
      <c r="H24" s="727" t="n"/>
      <c r="I24" s="698" t="n"/>
      <c r="K24" s="25" t="n">
        <v>22</v>
      </c>
      <c r="L24" s="643" t="n"/>
      <c r="M24" s="726" t="n"/>
      <c r="N24" s="726" t="n"/>
      <c r="O24" s="313" t="n"/>
      <c r="P24" s="735" t="n">
        <v>0</v>
      </c>
      <c r="Q24" s="727" t="n"/>
      <c r="R24" s="727" t="n"/>
      <c r="S24" s="698" t="n"/>
    </row>
    <row r="25">
      <c r="A25" s="25" t="n">
        <v>23</v>
      </c>
      <c r="B25" s="644" t="n"/>
      <c r="C25" s="726" t="n"/>
      <c r="D25" s="726" t="n"/>
      <c r="E25" s="313" t="n"/>
      <c r="F25" s="730" t="n">
        <v>0</v>
      </c>
      <c r="G25" s="198" t="inlineStr">
        <is>
          <t>TOPLAM</t>
        </is>
      </c>
      <c r="H25" s="738">
        <f>SUM(G16)</f>
        <v/>
      </c>
      <c r="I25" s="697" t="n"/>
      <c r="K25" s="25" t="n">
        <v>23</v>
      </c>
      <c r="L25" s="644" t="n"/>
      <c r="M25" s="726" t="n"/>
      <c r="N25" s="726" t="n"/>
      <c r="O25" s="313" t="n"/>
      <c r="P25" s="730" t="n">
        <v>0</v>
      </c>
      <c r="Q25" s="198" t="inlineStr">
        <is>
          <t>TOPLAM</t>
        </is>
      </c>
      <c r="R25" s="738">
        <f>SUM(Q16)</f>
        <v/>
      </c>
      <c r="S25" s="697" t="n"/>
    </row>
    <row r="26">
      <c r="A26" s="25" t="n">
        <v>24</v>
      </c>
      <c r="B26" s="643" t="n"/>
      <c r="C26" s="726" t="n"/>
      <c r="D26" s="726" t="n"/>
      <c r="E26" s="313" t="n"/>
      <c r="F26" s="735" t="n">
        <v>0</v>
      </c>
      <c r="G26" s="196" t="inlineStr">
        <is>
          <t>ETSY</t>
        </is>
      </c>
      <c r="H26" s="739">
        <f>SUM(H14)</f>
        <v/>
      </c>
      <c r="I26" s="313" t="n"/>
      <c r="K26" s="25" t="n">
        <v>24</v>
      </c>
      <c r="L26" s="643" t="n"/>
      <c r="M26" s="726" t="n"/>
      <c r="N26" s="726" t="n"/>
      <c r="O26" s="313" t="n"/>
      <c r="P26" s="735" t="n">
        <v>0</v>
      </c>
      <c r="Q26" s="196" t="inlineStr">
        <is>
          <t>ETSY</t>
        </is>
      </c>
      <c r="R26" s="739">
        <f>SUM(R14)</f>
        <v/>
      </c>
      <c r="S26" s="313" t="n"/>
    </row>
    <row r="27">
      <c r="A27" s="635" t="n">
        <v>25</v>
      </c>
      <c r="B27" s="644" t="n"/>
      <c r="C27" s="726" t="n"/>
      <c r="D27" s="726" t="n"/>
      <c r="E27" s="313" t="n"/>
      <c r="F27" s="730" t="n">
        <v>0</v>
      </c>
      <c r="G27" s="197" t="inlineStr">
        <is>
          <t>DİĞERLERİ</t>
        </is>
      </c>
      <c r="H27" s="740">
        <f>SUM(H25)</f>
        <v/>
      </c>
      <c r="I27" s="313" t="n"/>
      <c r="K27" s="635" t="n">
        <v>25</v>
      </c>
      <c r="L27" s="644" t="n"/>
      <c r="M27" s="726" t="n"/>
      <c r="N27" s="726" t="n"/>
      <c r="O27" s="313" t="n"/>
      <c r="P27" s="730" t="n">
        <v>0</v>
      </c>
      <c r="Q27" s="197" t="inlineStr">
        <is>
          <t>DİĞERLERİ</t>
        </is>
      </c>
      <c r="R27" s="740">
        <f>SUM(R25)</f>
        <v/>
      </c>
      <c r="S27" s="313" t="n"/>
    </row>
    <row r="28">
      <c r="A28" s="672" t="inlineStr">
        <is>
          <t>GİDERLER TOPLAM</t>
        </is>
      </c>
      <c r="B28" s="726" t="n"/>
      <c r="C28" s="726" t="n"/>
      <c r="D28" s="313" t="n"/>
      <c r="E28" s="199" t="inlineStr">
        <is>
          <t>TOPLAM</t>
        </is>
      </c>
      <c r="F28" s="741">
        <f>SUM(F3:F27)</f>
        <v/>
      </c>
      <c r="G28" s="194" t="inlineStr">
        <is>
          <t>GELİR TOPLAM</t>
        </is>
      </c>
      <c r="H28" s="742">
        <f>SUM(H27,H26)</f>
        <v/>
      </c>
      <c r="I28" s="698" t="n"/>
      <c r="K28" s="672" t="inlineStr">
        <is>
          <t>GİDERLER TOPLAM</t>
        </is>
      </c>
      <c r="L28" s="726" t="n"/>
      <c r="M28" s="726" t="n"/>
      <c r="N28" s="313" t="n"/>
      <c r="O28" s="199" t="inlineStr">
        <is>
          <t>TOPLAM</t>
        </is>
      </c>
      <c r="P28" s="741">
        <f>SUM(P3:P27)</f>
        <v/>
      </c>
      <c r="Q28" s="194" t="inlineStr">
        <is>
          <t>GELİR TOPLAM</t>
        </is>
      </c>
      <c r="R28" s="742">
        <f>SUM(R27,R26)</f>
        <v/>
      </c>
      <c r="S28" s="698" t="n"/>
    </row>
    <row r="30">
      <c r="A30" s="653" t="inlineStr">
        <is>
          <t>HAFTALIK HESAP</t>
        </is>
      </c>
      <c r="B30" s="728" t="n"/>
      <c r="C30" s="728" t="n"/>
      <c r="D30" s="728" t="n"/>
      <c r="E30" s="728" t="n"/>
      <c r="F30" s="728" t="n"/>
      <c r="G30" s="729" t="n"/>
      <c r="H30" s="743">
        <f>SUM(H28+'2024 OCAK '!R62-Sayfa2!F28)</f>
        <v/>
      </c>
      <c r="I30" s="729" t="n"/>
      <c r="K30" s="653" t="inlineStr">
        <is>
          <t>HAFTALIK TOPLAM HESAP</t>
        </is>
      </c>
      <c r="L30" s="728" t="n"/>
      <c r="M30" s="728" t="n"/>
      <c r="N30" s="728" t="n"/>
      <c r="O30" s="728" t="n"/>
      <c r="P30" s="728" t="n"/>
      <c r="Q30" s="729" t="n"/>
      <c r="R30" s="743">
        <f>SUM(H30,+R28-P28)</f>
        <v/>
      </c>
      <c r="S30" s="729" t="n"/>
    </row>
    <row r="31">
      <c r="A31" s="700" t="n"/>
      <c r="B31" s="727" t="n"/>
      <c r="C31" s="727" t="n"/>
      <c r="D31" s="727" t="n"/>
      <c r="E31" s="727" t="n"/>
      <c r="F31" s="727" t="n"/>
      <c r="G31" s="698" t="n"/>
      <c r="H31" s="700" t="n"/>
      <c r="I31" s="698" t="n"/>
      <c r="K31" s="700" t="n"/>
      <c r="L31" s="727" t="n"/>
      <c r="M31" s="727" t="n"/>
      <c r="N31" s="727" t="n"/>
      <c r="O31" s="727" t="n"/>
      <c r="P31" s="727" t="n"/>
      <c r="Q31" s="698" t="n"/>
      <c r="R31" s="700" t="n"/>
      <c r="S31" s="698" t="n"/>
    </row>
    <row r="33">
      <c r="A33" s="648" t="inlineStr">
        <is>
          <t>-2024 OCAK-       14/20 ARASI</t>
        </is>
      </c>
      <c r="B33" s="726" t="n"/>
      <c r="C33" s="726" t="n"/>
      <c r="D33" s="726" t="n"/>
      <c r="E33" s="726" t="n"/>
      <c r="F33" s="726" t="n"/>
      <c r="G33" s="726" t="n"/>
      <c r="H33" s="726" t="n"/>
      <c r="I33" s="313" t="n"/>
      <c r="K33" s="648" t="inlineStr">
        <is>
          <t>-2024 OCAK-       21/31 ARASI</t>
        </is>
      </c>
      <c r="L33" s="726" t="n"/>
      <c r="M33" s="726" t="n"/>
      <c r="N33" s="726" t="n"/>
      <c r="O33" s="726" t="n"/>
      <c r="P33" s="726" t="n"/>
      <c r="Q33" s="726" t="n"/>
      <c r="R33" s="726" t="n"/>
      <c r="S33" s="313" t="n"/>
    </row>
    <row r="34">
      <c r="A34" s="637" t="inlineStr">
        <is>
          <t>GİDERLER-KİM ? NE ?</t>
        </is>
      </c>
      <c r="B34" s="727" t="n"/>
      <c r="C34" s="727" t="n"/>
      <c r="D34" s="727" t="n"/>
      <c r="E34" s="698" t="n"/>
      <c r="F34" s="193" t="inlineStr">
        <is>
          <t>YAPILAN ÖDEME</t>
        </is>
      </c>
      <c r="G34" s="657" t="inlineStr">
        <is>
          <t>GELİRLER</t>
        </is>
      </c>
      <c r="H34" s="727" t="n"/>
      <c r="I34" s="698" t="n"/>
      <c r="K34" s="637" t="inlineStr">
        <is>
          <t>GİDERLER-KİM ? NE ?</t>
        </is>
      </c>
      <c r="L34" s="727" t="n"/>
      <c r="M34" s="727" t="n"/>
      <c r="N34" s="727" t="n"/>
      <c r="O34" s="698" t="n"/>
      <c r="P34" s="193" t="inlineStr">
        <is>
          <t>YAPILAN ÖDEME</t>
        </is>
      </c>
      <c r="Q34" s="657" t="inlineStr">
        <is>
          <t>GELİRLER</t>
        </is>
      </c>
      <c r="R34" s="727" t="n"/>
      <c r="S34" s="698" t="n"/>
    </row>
    <row r="35">
      <c r="A35" s="192" t="n">
        <v>1</v>
      </c>
      <c r="B35" s="644" t="n"/>
      <c r="C35" s="726" t="n"/>
      <c r="D35" s="313" t="n"/>
      <c r="E35" s="200" t="n"/>
      <c r="F35" s="730" t="n">
        <v>0</v>
      </c>
      <c r="G35" s="661" t="inlineStr">
        <is>
          <t>ETSY</t>
        </is>
      </c>
      <c r="I35" s="697" t="n"/>
      <c r="K35" s="192" t="n">
        <v>1</v>
      </c>
      <c r="L35" s="644" t="n"/>
      <c r="M35" s="726" t="n"/>
      <c r="N35" s="313" t="n"/>
      <c r="O35" s="200" t="n"/>
      <c r="P35" s="730" t="n">
        <v>0</v>
      </c>
      <c r="Q35" s="661" t="inlineStr">
        <is>
          <t>ETSY</t>
        </is>
      </c>
      <c r="S35" s="697" t="n"/>
    </row>
    <row r="36">
      <c r="A36" s="25" t="n">
        <v>2</v>
      </c>
      <c r="B36" s="641" t="n"/>
      <c r="C36" s="727" t="n"/>
      <c r="D36" s="727" t="n"/>
      <c r="E36" s="698" t="n"/>
      <c r="F36" s="732" t="n">
        <v>0</v>
      </c>
      <c r="G36" s="733" t="n">
        <v>500</v>
      </c>
      <c r="H36" s="728" t="n"/>
      <c r="I36" s="729" t="n"/>
      <c r="K36" s="25" t="n">
        <v>2</v>
      </c>
      <c r="L36" s="641" t="n"/>
      <c r="M36" s="727" t="n"/>
      <c r="N36" s="727" t="n"/>
      <c r="O36" s="698" t="n"/>
      <c r="P36" s="732" t="n">
        <v>0</v>
      </c>
      <c r="Q36" s="733" t="n">
        <v>500</v>
      </c>
      <c r="R36" s="728" t="n"/>
      <c r="S36" s="729" t="n"/>
    </row>
    <row r="37">
      <c r="A37" s="25" t="n">
        <v>3</v>
      </c>
      <c r="B37" s="639" t="n"/>
      <c r="C37" s="727" t="n"/>
      <c r="D37" s="727" t="n"/>
      <c r="E37" s="698" t="n"/>
      <c r="F37" s="734" t="n">
        <v>0</v>
      </c>
      <c r="G37" s="699" t="n"/>
      <c r="I37" s="697" t="n"/>
      <c r="K37" s="25" t="n">
        <v>3</v>
      </c>
      <c r="L37" s="639" t="n"/>
      <c r="M37" s="727" t="n"/>
      <c r="N37" s="727" t="n"/>
      <c r="O37" s="698" t="n"/>
      <c r="P37" s="734" t="n">
        <v>0</v>
      </c>
      <c r="Q37" s="699" t="n"/>
      <c r="S37" s="697" t="n"/>
    </row>
    <row r="38">
      <c r="A38" s="25" t="n">
        <v>4</v>
      </c>
      <c r="B38" s="643" t="n"/>
      <c r="C38" s="726" t="n"/>
      <c r="D38" s="726" t="n"/>
      <c r="E38" s="313" t="n"/>
      <c r="F38" s="732" t="n">
        <v>0</v>
      </c>
      <c r="G38" s="699" t="n"/>
      <c r="I38" s="697" t="n"/>
      <c r="K38" s="25" t="n">
        <v>4</v>
      </c>
      <c r="L38" s="643" t="n"/>
      <c r="M38" s="726" t="n"/>
      <c r="N38" s="726" t="n"/>
      <c r="O38" s="313" t="n"/>
      <c r="P38" s="732" t="n">
        <v>0</v>
      </c>
      <c r="Q38" s="699" t="n"/>
      <c r="S38" s="697" t="n"/>
    </row>
    <row r="39">
      <c r="A39" s="25" t="n">
        <v>5</v>
      </c>
      <c r="B39" s="644" t="n"/>
      <c r="C39" s="726" t="n"/>
      <c r="D39" s="726" t="n"/>
      <c r="E39" s="313" t="n"/>
      <c r="F39" s="734" t="n">
        <v>0</v>
      </c>
      <c r="G39" s="699" t="n"/>
      <c r="I39" s="697" t="n"/>
      <c r="K39" s="25" t="n">
        <v>5</v>
      </c>
      <c r="L39" s="644" t="n"/>
      <c r="M39" s="726" t="n"/>
      <c r="N39" s="726" t="n"/>
      <c r="O39" s="313" t="n"/>
      <c r="P39" s="734" t="n">
        <v>0</v>
      </c>
      <c r="Q39" s="699" t="n"/>
      <c r="S39" s="697" t="n"/>
    </row>
    <row r="40">
      <c r="A40" s="25" t="n">
        <v>6</v>
      </c>
      <c r="B40" s="643" t="n"/>
      <c r="C40" s="726" t="n"/>
      <c r="D40" s="726" t="n"/>
      <c r="E40" s="313" t="n"/>
      <c r="F40" s="732" t="n">
        <v>0</v>
      </c>
      <c r="G40" s="699" t="n"/>
      <c r="I40" s="697" t="n"/>
      <c r="K40" s="25" t="n">
        <v>6</v>
      </c>
      <c r="L40" s="643" t="n"/>
      <c r="M40" s="726" t="n"/>
      <c r="N40" s="726" t="n"/>
      <c r="O40" s="313" t="n"/>
      <c r="P40" s="732" t="n">
        <v>0</v>
      </c>
      <c r="Q40" s="699" t="n"/>
      <c r="S40" s="697" t="n"/>
    </row>
    <row r="41">
      <c r="A41" s="25" t="n">
        <v>7</v>
      </c>
      <c r="B41" s="644" t="n"/>
      <c r="C41" s="726" t="n"/>
      <c r="D41" s="726" t="n"/>
      <c r="E41" s="313" t="n"/>
      <c r="F41" s="734" t="n">
        <v>500</v>
      </c>
      <c r="G41" s="699" t="n"/>
      <c r="I41" s="697" t="n"/>
      <c r="K41" s="25" t="n">
        <v>7</v>
      </c>
      <c r="L41" s="644" t="n"/>
      <c r="M41" s="726" t="n"/>
      <c r="N41" s="726" t="n"/>
      <c r="O41" s="313" t="n"/>
      <c r="P41" s="734" t="n">
        <v>0</v>
      </c>
      <c r="Q41" s="699" t="n"/>
      <c r="S41" s="697" t="n"/>
    </row>
    <row r="42">
      <c r="A42" s="25" t="n">
        <v>8</v>
      </c>
      <c r="B42" s="643" t="n"/>
      <c r="C42" s="726" t="n"/>
      <c r="D42" s="726" t="n"/>
      <c r="E42" s="313" t="n"/>
      <c r="F42" s="732" t="n">
        <v>0</v>
      </c>
      <c r="G42" s="699" t="n"/>
      <c r="I42" s="697" t="n"/>
      <c r="K42" s="25" t="n">
        <v>8</v>
      </c>
      <c r="L42" s="643" t="n"/>
      <c r="M42" s="726" t="n"/>
      <c r="N42" s="726" t="n"/>
      <c r="O42" s="313" t="n"/>
      <c r="P42" s="732" t="n">
        <v>0</v>
      </c>
      <c r="Q42" s="699" t="n"/>
      <c r="S42" s="697" t="n"/>
    </row>
    <row r="43">
      <c r="A43" s="25" t="n">
        <v>9</v>
      </c>
      <c r="B43" s="644" t="n"/>
      <c r="C43" s="726" t="n"/>
      <c r="D43" s="726" t="n"/>
      <c r="E43" s="313" t="n"/>
      <c r="F43" s="734" t="n">
        <v>0</v>
      </c>
      <c r="G43" s="699" t="n"/>
      <c r="I43" s="697" t="n"/>
      <c r="K43" s="25" t="n">
        <v>9</v>
      </c>
      <c r="L43" s="644" t="n"/>
      <c r="M43" s="726" t="n"/>
      <c r="N43" s="726" t="n"/>
      <c r="O43" s="313" t="n"/>
      <c r="P43" s="734" t="n">
        <v>0</v>
      </c>
      <c r="Q43" s="699" t="n"/>
      <c r="S43" s="697" t="n"/>
    </row>
    <row r="44">
      <c r="A44" s="25" t="n">
        <v>10</v>
      </c>
      <c r="B44" s="643" t="n"/>
      <c r="C44" s="726" t="n"/>
      <c r="D44" s="726" t="n"/>
      <c r="E44" s="313" t="n"/>
      <c r="F44" s="732" t="n">
        <v>0</v>
      </c>
      <c r="G44" s="699" t="n"/>
      <c r="I44" s="697" t="n"/>
      <c r="K44" s="25" t="n">
        <v>10</v>
      </c>
      <c r="L44" s="643" t="n"/>
      <c r="M44" s="726" t="n"/>
      <c r="N44" s="726" t="n"/>
      <c r="O44" s="313" t="n"/>
      <c r="P44" s="732" t="n">
        <v>0</v>
      </c>
      <c r="Q44" s="699" t="n"/>
      <c r="S44" s="697" t="n"/>
    </row>
    <row r="45">
      <c r="A45" s="25" t="n">
        <v>11</v>
      </c>
      <c r="B45" s="644" t="n"/>
      <c r="C45" s="726" t="n"/>
      <c r="D45" s="726" t="n"/>
      <c r="E45" s="313" t="n"/>
      <c r="F45" s="734" t="n">
        <v>0</v>
      </c>
      <c r="G45" s="700" t="n"/>
      <c r="H45" s="727" t="n"/>
      <c r="I45" s="698" t="n"/>
      <c r="K45" s="25" t="n">
        <v>11</v>
      </c>
      <c r="L45" s="644" t="n"/>
      <c r="M45" s="726" t="n"/>
      <c r="N45" s="726" t="n"/>
      <c r="O45" s="313" t="n"/>
      <c r="P45" s="734" t="n">
        <v>0</v>
      </c>
      <c r="Q45" s="700" t="n"/>
      <c r="R45" s="727" t="n"/>
      <c r="S45" s="698" t="n"/>
    </row>
    <row r="46">
      <c r="A46" s="25" t="n">
        <v>12</v>
      </c>
      <c r="B46" s="643" t="n"/>
      <c r="C46" s="726" t="n"/>
      <c r="D46" s="726" t="n"/>
      <c r="E46" s="313" t="n"/>
      <c r="F46" s="735" t="n">
        <v>0</v>
      </c>
      <c r="G46" s="195" t="inlineStr">
        <is>
          <t>TOPLAM</t>
        </is>
      </c>
      <c r="H46" s="736">
        <f>SUM(G36)</f>
        <v/>
      </c>
      <c r="I46" s="313" t="n"/>
      <c r="K46" s="25" t="n">
        <v>12</v>
      </c>
      <c r="L46" s="643" t="n"/>
      <c r="M46" s="726" t="n"/>
      <c r="N46" s="726" t="n"/>
      <c r="O46" s="313" t="n"/>
      <c r="P46" s="735" t="n">
        <v>2000</v>
      </c>
      <c r="Q46" s="195" t="inlineStr">
        <is>
          <t>TOPLAM</t>
        </is>
      </c>
      <c r="R46" s="736">
        <f>SUM(Q36)</f>
        <v/>
      </c>
      <c r="S46" s="313" t="n"/>
    </row>
    <row r="47">
      <c r="A47" s="25" t="n">
        <v>13</v>
      </c>
      <c r="B47" s="644" t="n"/>
      <c r="C47" s="726" t="n"/>
      <c r="D47" s="726" t="n"/>
      <c r="E47" s="313" t="n"/>
      <c r="F47" s="730" t="n">
        <v>0</v>
      </c>
      <c r="G47" s="668" t="inlineStr">
        <is>
          <t>DİĞERLERİ</t>
        </is>
      </c>
      <c r="I47" s="697" t="n"/>
      <c r="K47" s="25" t="n">
        <v>13</v>
      </c>
      <c r="L47" s="644" t="n"/>
      <c r="M47" s="726" t="n"/>
      <c r="N47" s="726" t="n"/>
      <c r="O47" s="313" t="n"/>
      <c r="P47" s="730" t="n">
        <v>0</v>
      </c>
      <c r="Q47" s="668" t="inlineStr">
        <is>
          <t>DİĞERLERİ</t>
        </is>
      </c>
      <c r="S47" s="697" t="n"/>
    </row>
    <row r="48">
      <c r="A48" s="25" t="n">
        <v>14</v>
      </c>
      <c r="B48" s="643" t="n"/>
      <c r="C48" s="726" t="n"/>
      <c r="D48" s="726" t="n"/>
      <c r="E48" s="313" t="n"/>
      <c r="F48" s="735" t="n">
        <v>0</v>
      </c>
      <c r="G48" s="737" t="n">
        <v>500</v>
      </c>
      <c r="H48" s="728" t="n"/>
      <c r="I48" s="729" t="n"/>
      <c r="K48" s="25" t="n">
        <v>14</v>
      </c>
      <c r="L48" s="643" t="n"/>
      <c r="M48" s="726" t="n"/>
      <c r="N48" s="726" t="n"/>
      <c r="O48" s="313" t="n"/>
      <c r="P48" s="735" t="n">
        <v>0</v>
      </c>
      <c r="Q48" s="737" t="n">
        <v>500</v>
      </c>
      <c r="R48" s="728" t="n"/>
      <c r="S48" s="729" t="n"/>
    </row>
    <row r="49">
      <c r="A49" s="25" t="n">
        <v>15</v>
      </c>
      <c r="B49" s="644" t="n"/>
      <c r="C49" s="726" t="n"/>
      <c r="D49" s="726" t="n"/>
      <c r="E49" s="313" t="n"/>
      <c r="F49" s="730" t="n">
        <v>0</v>
      </c>
      <c r="I49" s="697" t="n"/>
      <c r="K49" s="25" t="n">
        <v>15</v>
      </c>
      <c r="L49" s="644" t="n"/>
      <c r="M49" s="726" t="n"/>
      <c r="N49" s="726" t="n"/>
      <c r="O49" s="313" t="n"/>
      <c r="P49" s="730" t="n">
        <v>0</v>
      </c>
      <c r="S49" s="697" t="n"/>
    </row>
    <row r="50">
      <c r="A50" s="25" t="n">
        <v>16</v>
      </c>
      <c r="B50" s="643" t="n"/>
      <c r="C50" s="726" t="n"/>
      <c r="D50" s="726" t="n"/>
      <c r="E50" s="313" t="n"/>
      <c r="F50" s="735" t="n">
        <v>0</v>
      </c>
      <c r="I50" s="697" t="n"/>
      <c r="K50" s="25" t="n">
        <v>16</v>
      </c>
      <c r="L50" s="643" t="n"/>
      <c r="M50" s="726" t="n"/>
      <c r="N50" s="726" t="n"/>
      <c r="O50" s="313" t="n"/>
      <c r="P50" s="735" t="n">
        <v>0</v>
      </c>
      <c r="S50" s="697" t="n"/>
    </row>
    <row r="51">
      <c r="A51" s="25" t="n">
        <v>17</v>
      </c>
      <c r="B51" s="644" t="n"/>
      <c r="C51" s="726" t="n"/>
      <c r="D51" s="726" t="n"/>
      <c r="E51" s="313" t="n"/>
      <c r="F51" s="730" t="n">
        <v>0</v>
      </c>
      <c r="I51" s="697" t="n"/>
      <c r="K51" s="25" t="n">
        <v>17</v>
      </c>
      <c r="L51" s="644" t="n"/>
      <c r="M51" s="726" t="n"/>
      <c r="N51" s="726" t="n"/>
      <c r="O51" s="313" t="n"/>
      <c r="P51" s="730" t="n">
        <v>0</v>
      </c>
      <c r="S51" s="697" t="n"/>
    </row>
    <row r="52">
      <c r="A52" s="25" t="n">
        <v>18</v>
      </c>
      <c r="B52" s="643" t="n"/>
      <c r="C52" s="726" t="n"/>
      <c r="D52" s="726" t="n"/>
      <c r="E52" s="313" t="n"/>
      <c r="F52" s="735" t="n">
        <v>0</v>
      </c>
      <c r="I52" s="697" t="n"/>
      <c r="K52" s="25" t="n">
        <v>18</v>
      </c>
      <c r="L52" s="643" t="n"/>
      <c r="M52" s="726" t="n"/>
      <c r="N52" s="726" t="n"/>
      <c r="O52" s="313" t="n"/>
      <c r="P52" s="735" t="n">
        <v>0</v>
      </c>
      <c r="S52" s="697" t="n"/>
    </row>
    <row r="53">
      <c r="A53" s="25" t="n">
        <v>19</v>
      </c>
      <c r="B53" s="644" t="n"/>
      <c r="C53" s="726" t="n"/>
      <c r="D53" s="726" t="n"/>
      <c r="E53" s="313" t="n"/>
      <c r="F53" s="730" t="n">
        <v>0</v>
      </c>
      <c r="I53" s="697" t="n"/>
      <c r="K53" s="25" t="n">
        <v>19</v>
      </c>
      <c r="L53" s="644" t="n"/>
      <c r="M53" s="726" t="n"/>
      <c r="N53" s="726" t="n"/>
      <c r="O53" s="313" t="n"/>
      <c r="P53" s="730" t="n">
        <v>0</v>
      </c>
      <c r="S53" s="697" t="n"/>
    </row>
    <row r="54">
      <c r="A54" s="25" t="n">
        <v>20</v>
      </c>
      <c r="B54" s="643" t="n"/>
      <c r="C54" s="726" t="n"/>
      <c r="D54" s="726" t="n"/>
      <c r="E54" s="313" t="n"/>
      <c r="F54" s="735" t="n">
        <v>0</v>
      </c>
      <c r="I54" s="697" t="n"/>
      <c r="K54" s="25" t="n">
        <v>20</v>
      </c>
      <c r="L54" s="643" t="n"/>
      <c r="M54" s="726" t="n"/>
      <c r="N54" s="726" t="n"/>
      <c r="O54" s="313" t="n"/>
      <c r="P54" s="735" t="n">
        <v>0</v>
      </c>
      <c r="S54" s="697" t="n"/>
    </row>
    <row r="55">
      <c r="A55" s="25" t="n">
        <v>21</v>
      </c>
      <c r="B55" s="644" t="n"/>
      <c r="C55" s="726" t="n"/>
      <c r="D55" s="726" t="n"/>
      <c r="E55" s="313" t="n"/>
      <c r="F55" s="730" t="n">
        <v>0</v>
      </c>
      <c r="I55" s="697" t="n"/>
      <c r="K55" s="25" t="n">
        <v>21</v>
      </c>
      <c r="L55" s="644" t="n"/>
      <c r="M55" s="726" t="n"/>
      <c r="N55" s="726" t="n"/>
      <c r="O55" s="313" t="n"/>
      <c r="P55" s="730" t="n">
        <v>0</v>
      </c>
      <c r="S55" s="697" t="n"/>
    </row>
    <row r="56">
      <c r="A56" s="25" t="n">
        <v>22</v>
      </c>
      <c r="B56" s="643" t="n"/>
      <c r="C56" s="726" t="n"/>
      <c r="D56" s="726" t="n"/>
      <c r="E56" s="313" t="n"/>
      <c r="F56" s="735" t="n">
        <v>0</v>
      </c>
      <c r="G56" s="727" t="n"/>
      <c r="H56" s="727" t="n"/>
      <c r="I56" s="698" t="n"/>
      <c r="K56" s="25" t="n">
        <v>22</v>
      </c>
      <c r="L56" s="643" t="n"/>
      <c r="M56" s="726" t="n"/>
      <c r="N56" s="726" t="n"/>
      <c r="O56" s="313" t="n"/>
      <c r="P56" s="735" t="n">
        <v>0</v>
      </c>
      <c r="Q56" s="727" t="n"/>
      <c r="R56" s="727" t="n"/>
      <c r="S56" s="698" t="n"/>
    </row>
    <row r="57">
      <c r="A57" s="25" t="n">
        <v>23</v>
      </c>
      <c r="B57" s="644" t="n"/>
      <c r="C57" s="726" t="n"/>
      <c r="D57" s="726" t="n"/>
      <c r="E57" s="313" t="n"/>
      <c r="F57" s="730" t="n">
        <v>0</v>
      </c>
      <c r="G57" s="198" t="inlineStr">
        <is>
          <t>TOPLAM</t>
        </is>
      </c>
      <c r="H57" s="738">
        <f>SUM(G48)</f>
        <v/>
      </c>
      <c r="I57" s="697" t="n"/>
      <c r="K57" s="25" t="n">
        <v>23</v>
      </c>
      <c r="L57" s="644" t="n"/>
      <c r="M57" s="726" t="n"/>
      <c r="N57" s="726" t="n"/>
      <c r="O57" s="313" t="n"/>
      <c r="P57" s="730" t="n">
        <v>0</v>
      </c>
      <c r="Q57" s="198" t="inlineStr">
        <is>
          <t>TOPLAM</t>
        </is>
      </c>
      <c r="R57" s="738">
        <f>SUM(Q48)</f>
        <v/>
      </c>
      <c r="S57" s="697" t="n"/>
    </row>
    <row r="58">
      <c r="A58" s="25" t="n">
        <v>24</v>
      </c>
      <c r="B58" s="643" t="n"/>
      <c r="C58" s="726" t="n"/>
      <c r="D58" s="726" t="n"/>
      <c r="E58" s="313" t="n"/>
      <c r="F58" s="735" t="n">
        <v>0</v>
      </c>
      <c r="G58" s="196" t="inlineStr">
        <is>
          <t>ETSY</t>
        </is>
      </c>
      <c r="H58" s="739">
        <f>SUM(H46)</f>
        <v/>
      </c>
      <c r="I58" s="313" t="n"/>
      <c r="K58" s="25" t="n">
        <v>24</v>
      </c>
      <c r="L58" s="643" t="n"/>
      <c r="M58" s="726" t="n"/>
      <c r="N58" s="726" t="n"/>
      <c r="O58" s="313" t="n"/>
      <c r="P58" s="735" t="n">
        <v>0</v>
      </c>
      <c r="Q58" s="196" t="inlineStr">
        <is>
          <t>ETSY</t>
        </is>
      </c>
      <c r="R58" s="739">
        <f>SUM(R46)</f>
        <v/>
      </c>
      <c r="S58" s="313" t="n"/>
    </row>
    <row r="59">
      <c r="A59" s="635" t="n">
        <v>25</v>
      </c>
      <c r="B59" s="644" t="n"/>
      <c r="C59" s="726" t="n"/>
      <c r="D59" s="726" t="n"/>
      <c r="E59" s="313" t="n"/>
      <c r="F59" s="730" t="n">
        <v>0</v>
      </c>
      <c r="G59" s="197" t="inlineStr">
        <is>
          <t>DİĞERLERİ</t>
        </is>
      </c>
      <c r="H59" s="740">
        <f>SUM(H57)</f>
        <v/>
      </c>
      <c r="I59" s="313" t="n"/>
      <c r="K59" s="635" t="n">
        <v>25</v>
      </c>
      <c r="L59" s="644" t="n"/>
      <c r="M59" s="726" t="n"/>
      <c r="N59" s="726" t="n"/>
      <c r="O59" s="313" t="n"/>
      <c r="P59" s="730" t="n">
        <v>0</v>
      </c>
      <c r="Q59" s="197" t="inlineStr">
        <is>
          <t>DİĞERLERİ</t>
        </is>
      </c>
      <c r="R59" s="740">
        <f>SUM(R57)</f>
        <v/>
      </c>
      <c r="S59" s="313" t="n"/>
    </row>
    <row r="60">
      <c r="A60" s="672" t="inlineStr">
        <is>
          <t>GİDERLER TOPLAM</t>
        </is>
      </c>
      <c r="B60" s="726" t="n"/>
      <c r="C60" s="726" t="n"/>
      <c r="D60" s="313" t="n"/>
      <c r="E60" s="199" t="inlineStr">
        <is>
          <t>TOPLAM</t>
        </is>
      </c>
      <c r="F60" s="741">
        <f>SUM(F35:F59)</f>
        <v/>
      </c>
      <c r="G60" s="194" t="inlineStr">
        <is>
          <t>GELİR TOPLAM</t>
        </is>
      </c>
      <c r="H60" s="742">
        <f>SUM(H59,H58)</f>
        <v/>
      </c>
      <c r="I60" s="698" t="n"/>
      <c r="K60" s="672" t="inlineStr">
        <is>
          <t>GİDERLER TOPLAM</t>
        </is>
      </c>
      <c r="L60" s="726" t="n"/>
      <c r="M60" s="726" t="n"/>
      <c r="N60" s="313" t="n"/>
      <c r="O60" s="199" t="inlineStr">
        <is>
          <t>TOPLAM</t>
        </is>
      </c>
      <c r="P60" s="741">
        <f>SUM(P35:P59)</f>
        <v/>
      </c>
      <c r="Q60" s="194" t="inlineStr">
        <is>
          <t>GELİR TOPLAM</t>
        </is>
      </c>
      <c r="R60" s="742">
        <f>SUM(R59,R58)</f>
        <v/>
      </c>
      <c r="S60" s="698" t="n"/>
    </row>
    <row r="62">
      <c r="A62" s="653" t="inlineStr">
        <is>
          <t>HAFTALIK HESAP</t>
        </is>
      </c>
      <c r="B62" s="728" t="n"/>
      <c r="C62" s="728" t="n"/>
      <c r="D62" s="728" t="n"/>
      <c r="E62" s="728" t="n"/>
      <c r="F62" s="728" t="n"/>
      <c r="G62" s="729" t="n"/>
      <c r="H62" s="743">
        <f>SUM(R30,H60-F60)</f>
        <v/>
      </c>
      <c r="I62" s="729" t="n"/>
      <c r="K62" s="653" t="inlineStr">
        <is>
          <t>HAFTALIK HESAP</t>
        </is>
      </c>
      <c r="L62" s="728" t="n"/>
      <c r="M62" s="728" t="n"/>
      <c r="N62" s="728" t="n"/>
      <c r="O62" s="728" t="n"/>
      <c r="P62" s="728" t="n"/>
      <c r="Q62" s="729" t="n"/>
      <c r="R62" s="743">
        <f>SUM(R60+H62-P60)</f>
        <v/>
      </c>
      <c r="S62" s="729" t="n"/>
    </row>
    <row r="63">
      <c r="A63" s="700" t="n"/>
      <c r="B63" s="727" t="n"/>
      <c r="C63" s="727" t="n"/>
      <c r="D63" s="727" t="n"/>
      <c r="E63" s="727" t="n"/>
      <c r="F63" s="727" t="n"/>
      <c r="G63" s="698" t="n"/>
      <c r="H63" s="700" t="n"/>
      <c r="I63" s="698" t="n"/>
      <c r="K63" s="700" t="n"/>
      <c r="L63" s="727" t="n"/>
      <c r="M63" s="727" t="n"/>
      <c r="N63" s="727" t="n"/>
      <c r="O63" s="727" t="n"/>
      <c r="P63" s="727" t="n"/>
      <c r="Q63" s="698" t="n"/>
      <c r="R63" s="700" t="n"/>
      <c r="S63" s="698" t="n"/>
    </row>
    <row r="65">
      <c r="A65" s="646" t="inlineStr">
        <is>
          <t>AYLIK ETSY GELEN</t>
        </is>
      </c>
      <c r="B65" s="728" t="n"/>
      <c r="C65" s="728" t="n"/>
      <c r="D65" s="729" t="n"/>
      <c r="E65" s="206" t="n"/>
      <c r="F65" s="744">
        <f>SUM(R58,H58,R26,H26)</f>
        <v/>
      </c>
      <c r="G65" s="729" t="n"/>
    </row>
    <row r="66">
      <c r="A66" s="700" t="n"/>
      <c r="B66" s="727" t="n"/>
      <c r="C66" s="727" t="n"/>
      <c r="D66" s="698" t="n"/>
      <c r="E66" s="206" t="n"/>
      <c r="F66" s="700" t="n"/>
      <c r="G66" s="698" t="n"/>
    </row>
    <row r="67">
      <c r="A67" s="628" t="inlineStr">
        <is>
          <t>AYLIK DİĞERLERİ GELEN</t>
        </is>
      </c>
      <c r="B67" s="728" t="n"/>
      <c r="C67" s="728" t="n"/>
      <c r="D67" s="729" t="n"/>
      <c r="E67" s="207" t="n"/>
      <c r="F67" s="745">
        <f>SUM(R59,H59,R27,H27)</f>
        <v/>
      </c>
      <c r="G67" s="697" t="n"/>
    </row>
    <row r="68">
      <c r="A68" s="700" t="n"/>
      <c r="B68" s="727" t="n"/>
      <c r="C68" s="727" t="n"/>
      <c r="D68" s="698" t="n"/>
      <c r="E68" s="207" t="n"/>
      <c r="F68" s="700" t="n"/>
      <c r="G68" s="698" t="n"/>
    </row>
    <row r="69">
      <c r="A69" s="630" t="inlineStr">
        <is>
          <t>AYLIK GİDERLER TOPLAM</t>
        </is>
      </c>
      <c r="B69" s="728" t="n"/>
      <c r="C69" s="728" t="n"/>
      <c r="D69" s="729" t="n"/>
      <c r="E69" s="205" t="n"/>
      <c r="F69" s="746">
        <f>SUM(F28,P28,F60,P60)</f>
        <v/>
      </c>
      <c r="G69" s="729" t="n"/>
    </row>
    <row r="70">
      <c r="A70" s="700" t="n"/>
      <c r="B70" s="727" t="n"/>
      <c r="C70" s="727" t="n"/>
      <c r="D70" s="698" t="n"/>
      <c r="E70" s="205" t="n"/>
      <c r="F70" s="700" t="n"/>
      <c r="G70" s="698" t="n"/>
    </row>
  </sheetData>
  <mergeCells count="166">
    <mergeCell ref="L50:O50"/>
    <mergeCell ref="L56:O56"/>
    <mergeCell ref="R28:S28"/>
    <mergeCell ref="L35:N35"/>
    <mergeCell ref="L52:O52"/>
    <mergeCell ref="B36:E36"/>
    <mergeCell ref="L49:O49"/>
    <mergeCell ref="L27:O27"/>
    <mergeCell ref="G15:I15"/>
    <mergeCell ref="B45:E45"/>
    <mergeCell ref="Q15:S15"/>
    <mergeCell ref="L36:O36"/>
    <mergeCell ref="A33:I33"/>
    <mergeCell ref="A65:D66"/>
    <mergeCell ref="L17:O17"/>
    <mergeCell ref="B47:E47"/>
    <mergeCell ref="R62:S63"/>
    <mergeCell ref="A60:D60"/>
    <mergeCell ref="B22:E22"/>
    <mergeCell ref="L19:O19"/>
    <mergeCell ref="L53:O53"/>
    <mergeCell ref="B12:E12"/>
    <mergeCell ref="L3:O3"/>
    <mergeCell ref="B21:E21"/>
    <mergeCell ref="L12:O12"/>
    <mergeCell ref="B39:E39"/>
    <mergeCell ref="B14:E14"/>
    <mergeCell ref="L5:O5"/>
    <mergeCell ref="F65:G66"/>
    <mergeCell ref="G2:I2"/>
    <mergeCell ref="B23:E23"/>
    <mergeCell ref="L14:O14"/>
    <mergeCell ref="L45:O45"/>
    <mergeCell ref="B13:E13"/>
    <mergeCell ref="B38:E38"/>
    <mergeCell ref="L55:O55"/>
    <mergeCell ref="L4:O4"/>
    <mergeCell ref="L38:O38"/>
    <mergeCell ref="R58:S58"/>
    <mergeCell ref="A67:D68"/>
    <mergeCell ref="Q16:S24"/>
    <mergeCell ref="A34:E34"/>
    <mergeCell ref="K34:O34"/>
    <mergeCell ref="B40:E40"/>
    <mergeCell ref="B49:E49"/>
    <mergeCell ref="K1:S1"/>
    <mergeCell ref="L40:O40"/>
    <mergeCell ref="R60:S60"/>
    <mergeCell ref="Q4:S13"/>
    <mergeCell ref="A69:D70"/>
    <mergeCell ref="L21:O21"/>
    <mergeCell ref="B51:E51"/>
    <mergeCell ref="A28:D28"/>
    <mergeCell ref="R59:S59"/>
    <mergeCell ref="H25:I25"/>
    <mergeCell ref="B26:E26"/>
    <mergeCell ref="B41:E41"/>
    <mergeCell ref="B50:E50"/>
    <mergeCell ref="R25:S25"/>
    <mergeCell ref="B16:E16"/>
    <mergeCell ref="F67:G68"/>
    <mergeCell ref="B25:E25"/>
    <mergeCell ref="L16:O16"/>
    <mergeCell ref="L57:O57"/>
    <mergeCell ref="B18:E18"/>
    <mergeCell ref="B27:E27"/>
    <mergeCell ref="F69:G70"/>
    <mergeCell ref="B11:E11"/>
    <mergeCell ref="H28:I28"/>
    <mergeCell ref="Q47:S47"/>
    <mergeCell ref="L42:O42"/>
    <mergeCell ref="G36:I45"/>
    <mergeCell ref="A62:G63"/>
    <mergeCell ref="B53:E53"/>
    <mergeCell ref="L39:O39"/>
    <mergeCell ref="K62:Q63"/>
    <mergeCell ref="A1:I1"/>
    <mergeCell ref="L20:O20"/>
    <mergeCell ref="R14:S14"/>
    <mergeCell ref="H14:I14"/>
    <mergeCell ref="B37:E37"/>
    <mergeCell ref="R30:S31"/>
    <mergeCell ref="L44:O44"/>
    <mergeCell ref="A30:G31"/>
    <mergeCell ref="L22:O22"/>
    <mergeCell ref="B6:E6"/>
    <mergeCell ref="Q35:S35"/>
    <mergeCell ref="B15:E15"/>
    <mergeCell ref="L59:O59"/>
    <mergeCell ref="L6:O6"/>
    <mergeCell ref="B55:E55"/>
    <mergeCell ref="G3:I3"/>
    <mergeCell ref="B24:E24"/>
    <mergeCell ref="G34:I34"/>
    <mergeCell ref="L46:O46"/>
    <mergeCell ref="R57:S57"/>
    <mergeCell ref="H58:I58"/>
    <mergeCell ref="Q34:S34"/>
    <mergeCell ref="K28:N28"/>
    <mergeCell ref="L48:O48"/>
    <mergeCell ref="G48:I56"/>
    <mergeCell ref="H60:I60"/>
    <mergeCell ref="G4:I13"/>
    <mergeCell ref="B54:E54"/>
    <mergeCell ref="B7:E7"/>
    <mergeCell ref="L7:O7"/>
    <mergeCell ref="R27:S27"/>
    <mergeCell ref="G47:I47"/>
    <mergeCell ref="B56:E56"/>
    <mergeCell ref="L47:O47"/>
    <mergeCell ref="A2:E2"/>
    <mergeCell ref="B43:E43"/>
    <mergeCell ref="B58:E58"/>
    <mergeCell ref="B35:D35"/>
    <mergeCell ref="B52:E52"/>
    <mergeCell ref="L43:O43"/>
    <mergeCell ref="H57:I57"/>
    <mergeCell ref="L24:O24"/>
    <mergeCell ref="B42:E42"/>
    <mergeCell ref="L18:O18"/>
    <mergeCell ref="B17:E17"/>
    <mergeCell ref="L8:O8"/>
    <mergeCell ref="B57:E57"/>
    <mergeCell ref="L26:O26"/>
    <mergeCell ref="R46:S46"/>
    <mergeCell ref="B44:E44"/>
    <mergeCell ref="L58:O58"/>
    <mergeCell ref="B19:E19"/>
    <mergeCell ref="L10:O10"/>
    <mergeCell ref="L25:O25"/>
    <mergeCell ref="B9:E9"/>
    <mergeCell ref="L9:O9"/>
    <mergeCell ref="K30:Q31"/>
    <mergeCell ref="B5:E5"/>
    <mergeCell ref="B20:E20"/>
    <mergeCell ref="L11:O11"/>
    <mergeCell ref="B10:E10"/>
    <mergeCell ref="H59:I59"/>
    <mergeCell ref="B4:E4"/>
    <mergeCell ref="Q36:S45"/>
    <mergeCell ref="H46:I46"/>
    <mergeCell ref="H62:I63"/>
    <mergeCell ref="G35:I35"/>
    <mergeCell ref="B59:E59"/>
    <mergeCell ref="B46:E46"/>
    <mergeCell ref="Q2:S2"/>
    <mergeCell ref="H30:I31"/>
    <mergeCell ref="L37:O37"/>
    <mergeCell ref="R26:S26"/>
    <mergeCell ref="L13:O13"/>
    <mergeCell ref="K2:O2"/>
    <mergeCell ref="B48:E48"/>
    <mergeCell ref="K60:N60"/>
    <mergeCell ref="L15:O15"/>
    <mergeCell ref="H27:I27"/>
    <mergeCell ref="Q3:S3"/>
    <mergeCell ref="L23:O23"/>
    <mergeCell ref="B3:D3"/>
    <mergeCell ref="B8:E8"/>
    <mergeCell ref="K33:S33"/>
    <mergeCell ref="G16:I24"/>
    <mergeCell ref="H26:I26"/>
    <mergeCell ref="L51:O51"/>
    <mergeCell ref="Q48:S56"/>
    <mergeCell ref="L54:O54"/>
    <mergeCell ref="L41:O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124"/>
  <sheetViews>
    <sheetView workbookViewId="0">
      <selection activeCell="F10" sqref="F10"/>
    </sheetView>
  </sheetViews>
  <sheetFormatPr baseColWidth="8" defaultRowHeight="15"/>
  <cols>
    <col width="28" bestFit="1" customWidth="1" style="305" min="1" max="1"/>
    <col width="28.140625" bestFit="1" customWidth="1" style="305" min="2" max="2"/>
    <col width="30.85546875" customWidth="1" style="305" min="3" max="3"/>
    <col width="20" bestFit="1" customWidth="1" style="305" min="4" max="4"/>
    <col width="15.28515625" bestFit="1" customWidth="1" style="305" min="5" max="5"/>
    <col width="22.42578125" bestFit="1" customWidth="1" style="305" min="6" max="6"/>
    <col width="30.140625" customWidth="1" style="305" min="7" max="7"/>
    <col width="28" bestFit="1" customWidth="1" style="305" min="8" max="8"/>
    <col width="15.28515625" bestFit="1" customWidth="1" style="305" min="9" max="9"/>
    <col width="28.140625" bestFit="1" customWidth="1" style="305" min="10" max="10"/>
    <col width="29.28515625" customWidth="1" style="305" min="11" max="12"/>
    <col width="20" bestFit="1" customWidth="1" style="305" min="13" max="13"/>
    <col width="15.28515625" bestFit="1" customWidth="1" style="305" min="14" max="14"/>
    <col width="22.42578125" bestFit="1" customWidth="1" style="305" min="15" max="15"/>
    <col width="28.28515625" customWidth="1" style="305" min="16" max="16"/>
    <col width="27.5703125" customWidth="1" style="305" min="17" max="17"/>
    <col width="20" bestFit="1" customWidth="1" style="305" min="18" max="18"/>
  </cols>
  <sheetData>
    <row r="1">
      <c r="A1" s="119" t="n"/>
      <c r="B1" s="109" t="n">
        <v>2022</v>
      </c>
      <c r="C1" s="688" t="inlineStr">
        <is>
          <t>CİRO</t>
        </is>
      </c>
      <c r="D1" s="131" t="inlineStr">
        <is>
          <t>SATILAN ÜRÜN ADET</t>
        </is>
      </c>
      <c r="E1" s="128" t="n"/>
      <c r="F1" s="109" t="n">
        <v>2023</v>
      </c>
      <c r="G1" s="127" t="inlineStr">
        <is>
          <t>CİRO</t>
        </is>
      </c>
      <c r="H1" s="131" t="inlineStr">
        <is>
          <t>SATILAN ÜRÜN ADET</t>
        </is>
      </c>
      <c r="I1" s="128" t="n"/>
      <c r="J1" s="109" t="n">
        <v>2024</v>
      </c>
      <c r="K1" s="127" t="inlineStr">
        <is>
          <t>CİRO</t>
        </is>
      </c>
      <c r="L1" s="313" t="n"/>
      <c r="M1" s="131" t="inlineStr">
        <is>
          <t>SATILAN ÜRÜN ADET</t>
        </is>
      </c>
      <c r="N1" s="128" t="n"/>
      <c r="O1" s="109" t="n">
        <v>2025</v>
      </c>
      <c r="P1" s="127" t="inlineStr">
        <is>
          <t>CİRO</t>
        </is>
      </c>
      <c r="Q1" s="313" t="n"/>
      <c r="R1" s="131" t="inlineStr">
        <is>
          <t>SATILAN ÜRÜN ADET</t>
        </is>
      </c>
    </row>
    <row r="2">
      <c r="A2" s="119" t="n"/>
      <c r="B2" s="110" t="inlineStr">
        <is>
          <t>1-OCAK-</t>
        </is>
      </c>
      <c r="C2" s="747" t="n"/>
      <c r="D2" s="71" t="n"/>
      <c r="E2" s="128" t="n"/>
      <c r="F2" s="110" t="inlineStr">
        <is>
          <t>1-OCAK-</t>
        </is>
      </c>
      <c r="G2" s="748" t="n"/>
      <c r="H2" s="71" t="n"/>
      <c r="I2" s="128" t="n"/>
      <c r="J2" s="110" t="inlineStr">
        <is>
          <t>1-OCAK-</t>
        </is>
      </c>
      <c r="K2" s="748" t="inlineStr">
        <is>
          <t>TL</t>
        </is>
      </c>
      <c r="L2" s="749" t="inlineStr">
        <is>
          <t>USD</t>
        </is>
      </c>
      <c r="M2" s="71" t="n"/>
      <c r="N2" s="128" t="n"/>
      <c r="O2" s="110" t="inlineStr">
        <is>
          <t>1-OCAK-</t>
        </is>
      </c>
      <c r="P2" s="748" t="inlineStr">
        <is>
          <t>TL</t>
        </is>
      </c>
      <c r="Q2" s="749" t="inlineStr">
        <is>
          <t>USD</t>
        </is>
      </c>
      <c r="R2" s="71" t="n"/>
    </row>
    <row r="3">
      <c r="A3" s="108" t="n">
        <v>1</v>
      </c>
      <c r="B3" s="120" t="inlineStr">
        <is>
          <t>PatchArtsCarpet</t>
        </is>
      </c>
      <c r="C3" s="750" t="n">
        <v>0</v>
      </c>
      <c r="D3" s="751" t="n">
        <v>0</v>
      </c>
      <c r="E3" s="129" t="n">
        <v>1</v>
      </c>
      <c r="F3" s="111" t="inlineStr">
        <is>
          <t>PatchArtsCarpet</t>
        </is>
      </c>
      <c r="G3" s="752" t="n">
        <v>186886</v>
      </c>
      <c r="H3" s="751" t="n">
        <v>64</v>
      </c>
      <c r="I3" s="129" t="n">
        <v>1</v>
      </c>
      <c r="J3" s="111" t="inlineStr">
        <is>
          <t>PatchArtsCarpet</t>
        </is>
      </c>
      <c r="K3" s="750" t="n">
        <v>142139</v>
      </c>
      <c r="L3" s="753" t="n">
        <v>4680</v>
      </c>
      <c r="M3" s="754" t="n">
        <v>66</v>
      </c>
      <c r="N3" s="129" t="n">
        <v>1</v>
      </c>
      <c r="O3" s="111" t="inlineStr">
        <is>
          <t>PatchArtsCarpet</t>
        </is>
      </c>
      <c r="P3" s="750" t="n">
        <v>0</v>
      </c>
      <c r="Q3" s="753" t="n">
        <v>0</v>
      </c>
      <c r="R3" s="754" t="n"/>
    </row>
    <row r="4">
      <c r="A4" s="108" t="n">
        <v>2</v>
      </c>
      <c r="B4" s="121" t="inlineStr">
        <is>
          <t>Turkey Rug Shop</t>
        </is>
      </c>
      <c r="C4" s="750" t="n">
        <v>0</v>
      </c>
      <c r="D4" s="693" t="n"/>
      <c r="E4" s="129" t="n">
        <v>2</v>
      </c>
      <c r="F4" s="112" t="inlineStr">
        <is>
          <t>Turkey Rug Shop</t>
        </is>
      </c>
      <c r="G4" s="752" t="n">
        <v>187904</v>
      </c>
      <c r="H4" s="693" t="n"/>
      <c r="I4" s="129" t="n">
        <v>2</v>
      </c>
      <c r="J4" s="112" t="inlineStr">
        <is>
          <t>Turkey Rug Shop</t>
        </is>
      </c>
      <c r="K4" s="750" t="n">
        <v>413531</v>
      </c>
      <c r="L4" s="753" t="n">
        <v>13616</v>
      </c>
      <c r="M4" s="697" t="n"/>
      <c r="N4" s="129" t="n">
        <v>2</v>
      </c>
      <c r="O4" s="112" t="inlineStr">
        <is>
          <t>Turkey Rug Shop</t>
        </is>
      </c>
      <c r="P4" s="750" t="n">
        <v>0</v>
      </c>
      <c r="Q4" s="753" t="n">
        <v>0</v>
      </c>
      <c r="R4" s="697" t="n"/>
    </row>
    <row r="5">
      <c r="A5" s="108" t="n">
        <v>3</v>
      </c>
      <c r="B5" s="122" t="inlineStr">
        <is>
          <t>Old New Rugs</t>
        </is>
      </c>
      <c r="C5" s="750" t="n">
        <v>0</v>
      </c>
      <c r="D5" s="693" t="n"/>
      <c r="E5" s="129" t="n">
        <v>3</v>
      </c>
      <c r="F5" s="113" t="inlineStr">
        <is>
          <t>Old New Rugs</t>
        </is>
      </c>
      <c r="G5" s="752" t="n">
        <v>32801</v>
      </c>
      <c r="H5" s="693" t="n"/>
      <c r="I5" s="129" t="n">
        <v>3</v>
      </c>
      <c r="J5" s="113" t="inlineStr">
        <is>
          <t>Old New Rugs</t>
        </is>
      </c>
      <c r="K5" s="750" t="n">
        <v>72102</v>
      </c>
      <c r="L5" s="753" t="n">
        <v>2374</v>
      </c>
      <c r="M5" s="697" t="n"/>
      <c r="N5" s="129" t="n">
        <v>3</v>
      </c>
      <c r="O5" s="113" t="inlineStr">
        <is>
          <t>Old New Rugs</t>
        </is>
      </c>
      <c r="P5" s="750" t="n">
        <v>0</v>
      </c>
      <c r="Q5" s="753" t="n">
        <v>0</v>
      </c>
      <c r="R5" s="697" t="n"/>
    </row>
    <row r="6">
      <c r="A6" s="108" t="n">
        <v>4</v>
      </c>
      <c r="B6" s="123" t="inlineStr">
        <is>
          <t>Vintage Rugs Emporium</t>
        </is>
      </c>
      <c r="C6" s="750" t="n">
        <v>0</v>
      </c>
      <c r="D6" s="693" t="n"/>
      <c r="E6" s="129" t="n">
        <v>4</v>
      </c>
      <c r="F6" s="114" t="inlineStr">
        <is>
          <t>Vintage Rugs Emporium</t>
        </is>
      </c>
      <c r="G6" s="752" t="n">
        <v>19454</v>
      </c>
      <c r="H6" s="693" t="n"/>
      <c r="I6" s="129" t="n">
        <v>4</v>
      </c>
      <c r="J6" s="114" t="inlineStr">
        <is>
          <t>Vintage Rugs Emporium</t>
        </is>
      </c>
      <c r="K6" s="750" t="n">
        <v>10899</v>
      </c>
      <c r="L6" s="753" t="n">
        <v>358</v>
      </c>
      <c r="M6" s="697" t="n"/>
      <c r="N6" s="129" t="n">
        <v>4</v>
      </c>
      <c r="O6" s="114" t="inlineStr">
        <is>
          <t>Vintage Rugs Emporium</t>
        </is>
      </c>
      <c r="P6" s="750" t="n">
        <v>0</v>
      </c>
      <c r="Q6" s="753" t="n">
        <v>0</v>
      </c>
      <c r="R6" s="697" t="n"/>
    </row>
    <row r="7">
      <c r="A7" s="108" t="n">
        <v>5</v>
      </c>
      <c r="B7" s="124" t="inlineStr">
        <is>
          <t>Rugs Kilimm</t>
        </is>
      </c>
      <c r="C7" s="750" t="n">
        <v>0</v>
      </c>
      <c r="D7" s="693" t="n"/>
      <c r="E7" s="129" t="n">
        <v>5</v>
      </c>
      <c r="F7" s="115" t="inlineStr">
        <is>
          <t>Rugs Kilimm</t>
        </is>
      </c>
      <c r="G7" s="752" t="n">
        <v>-1813</v>
      </c>
      <c r="H7" s="693" t="n"/>
      <c r="I7" s="129" t="n">
        <v>5</v>
      </c>
      <c r="J7" s="115" t="inlineStr">
        <is>
          <t>Rugs Kilimm</t>
        </is>
      </c>
      <c r="K7" s="750" t="n">
        <v>27281</v>
      </c>
      <c r="L7" s="753" t="n">
        <v>898</v>
      </c>
      <c r="M7" s="697" t="n"/>
      <c r="N7" s="129" t="n">
        <v>5</v>
      </c>
      <c r="O7" s="115" t="inlineStr">
        <is>
          <t>Rugs Kilimm</t>
        </is>
      </c>
      <c r="P7" s="750" t="n">
        <v>0</v>
      </c>
      <c r="Q7" s="753" t="n">
        <v>0</v>
      </c>
      <c r="R7" s="697" t="n"/>
    </row>
    <row r="8">
      <c r="A8" s="108" t="n">
        <v>6</v>
      </c>
      <c r="B8" s="125" t="inlineStr">
        <is>
          <t>Shoppier</t>
        </is>
      </c>
      <c r="C8" s="750" t="n">
        <v>0</v>
      </c>
      <c r="D8" s="694" t="n"/>
      <c r="E8" s="129" t="n">
        <v>6</v>
      </c>
      <c r="F8" s="116" t="inlineStr">
        <is>
          <t>Shoppier</t>
        </is>
      </c>
      <c r="G8" s="752" t="n">
        <v>7126</v>
      </c>
      <c r="H8" s="694" t="n"/>
      <c r="I8" s="129" t="n">
        <v>6</v>
      </c>
      <c r="J8" s="116" t="inlineStr">
        <is>
          <t>Shoppier</t>
        </is>
      </c>
      <c r="K8" s="750" t="n">
        <v>0</v>
      </c>
      <c r="L8" s="753" t="n">
        <v>0</v>
      </c>
      <c r="M8" s="698" t="n"/>
      <c r="N8" s="129" t="n">
        <v>6</v>
      </c>
      <c r="O8" s="116" t="inlineStr">
        <is>
          <t>Shoppier</t>
        </is>
      </c>
      <c r="P8" s="750" t="n">
        <v>0</v>
      </c>
      <c r="Q8" s="753" t="n">
        <v>0</v>
      </c>
      <c r="R8" s="698" t="n"/>
    </row>
    <row r="9">
      <c r="A9" s="119" t="n"/>
      <c r="B9" s="126" t="inlineStr">
        <is>
          <t>TOPLAM</t>
        </is>
      </c>
      <c r="C9" s="755" t="n">
        <v>0</v>
      </c>
      <c r="D9" s="71" t="n"/>
      <c r="E9" s="128" t="n"/>
      <c r="F9" s="117" t="inlineStr">
        <is>
          <t>TOPLAM</t>
        </is>
      </c>
      <c r="G9" s="756">
        <f>SUM(G3:G8)</f>
        <v/>
      </c>
      <c r="H9" s="71" t="n"/>
      <c r="I9" s="128" t="n"/>
      <c r="J9" s="117" t="inlineStr">
        <is>
          <t>TOPLAM</t>
        </is>
      </c>
      <c r="K9" s="756">
        <f>SUM(K3:K8)</f>
        <v/>
      </c>
      <c r="L9" s="757">
        <f>SUM(L3:L8)</f>
        <v/>
      </c>
      <c r="M9" s="71" t="n"/>
      <c r="N9" s="128" t="n"/>
      <c r="O9" s="117" t="inlineStr">
        <is>
          <t>TOPLAM</t>
        </is>
      </c>
      <c r="P9" s="756" t="n">
        <v>0</v>
      </c>
      <c r="Q9" s="757">
        <f>SUM(Q3:Q8)</f>
        <v/>
      </c>
      <c r="R9" s="71" t="n"/>
    </row>
    <row r="10">
      <c r="A10" s="119" t="n"/>
      <c r="B10" s="110" t="inlineStr">
        <is>
          <t>2-ŞUBAT-</t>
        </is>
      </c>
      <c r="C10" s="747" t="n"/>
      <c r="D10" s="71" t="n"/>
      <c r="E10" s="128" t="n"/>
      <c r="F10" s="110" t="inlineStr">
        <is>
          <t>2-ŞUBAT-</t>
        </is>
      </c>
      <c r="G10" s="748" t="n"/>
      <c r="H10" s="71" t="n"/>
      <c r="I10" s="128" t="n"/>
      <c r="J10" s="110" t="inlineStr">
        <is>
          <t>2-ŞUBAT-</t>
        </is>
      </c>
      <c r="K10" s="748" t="n">
        <v>0</v>
      </c>
      <c r="L10" s="749" t="n"/>
      <c r="M10" s="71" t="n"/>
      <c r="N10" s="128" t="n"/>
      <c r="O10" s="110" t="inlineStr">
        <is>
          <t>2-ŞUBAT-</t>
        </is>
      </c>
      <c r="P10" s="748" t="n">
        <v>0</v>
      </c>
      <c r="Q10" s="749" t="n"/>
      <c r="R10" s="71" t="n"/>
    </row>
    <row r="11">
      <c r="A11" s="108" t="n">
        <v>1</v>
      </c>
      <c r="B11" s="120" t="inlineStr">
        <is>
          <t>PatchArtsCarpet</t>
        </is>
      </c>
      <c r="C11" s="750" t="n">
        <v>0</v>
      </c>
      <c r="D11" s="751" t="n">
        <v>0</v>
      </c>
      <c r="E11" s="129" t="n">
        <v>1</v>
      </c>
      <c r="F11" s="111" t="inlineStr">
        <is>
          <t>PatchArtsCarpet</t>
        </is>
      </c>
      <c r="G11" s="752" t="n">
        <v>153067</v>
      </c>
      <c r="H11" s="751" t="n">
        <v>56</v>
      </c>
      <c r="I11" s="129" t="n">
        <v>1</v>
      </c>
      <c r="J11" s="111" t="inlineStr">
        <is>
          <t>PatchArtsCarpet</t>
        </is>
      </c>
      <c r="K11" s="750" t="n">
        <v>109837</v>
      </c>
      <c r="L11" s="753" t="n">
        <v>3507</v>
      </c>
      <c r="M11" s="754" t="n"/>
      <c r="N11" s="129" t="n">
        <v>1</v>
      </c>
      <c r="O11" s="111" t="inlineStr">
        <is>
          <t>PatchArtsCarpet</t>
        </is>
      </c>
      <c r="P11" s="750" t="n">
        <v>0</v>
      </c>
      <c r="Q11" s="753" t="n">
        <v>0</v>
      </c>
      <c r="R11" s="754" t="n"/>
    </row>
    <row r="12">
      <c r="A12" s="108" t="n">
        <v>2</v>
      </c>
      <c r="B12" s="121" t="inlineStr">
        <is>
          <t>Turkey Rug Shop</t>
        </is>
      </c>
      <c r="C12" s="750" t="n">
        <v>0</v>
      </c>
      <c r="D12" s="693" t="n"/>
      <c r="E12" s="129" t="n">
        <v>2</v>
      </c>
      <c r="F12" s="112" t="inlineStr">
        <is>
          <t>Turkey Rug Shop</t>
        </is>
      </c>
      <c r="G12" s="752" t="n">
        <v>165205</v>
      </c>
      <c r="H12" s="693" t="n"/>
      <c r="I12" s="129" t="n">
        <v>2</v>
      </c>
      <c r="J12" s="112" t="inlineStr">
        <is>
          <t>Turkey Rug Shop</t>
        </is>
      </c>
      <c r="K12" s="750" t="n">
        <v>236827</v>
      </c>
      <c r="L12" s="753" t="n">
        <v>7561</v>
      </c>
      <c r="M12" s="697" t="n"/>
      <c r="N12" s="129" t="n">
        <v>2</v>
      </c>
      <c r="O12" s="112" t="inlineStr">
        <is>
          <t>Turkey Rug Shop</t>
        </is>
      </c>
      <c r="P12" s="750" t="n">
        <v>0</v>
      </c>
      <c r="Q12" s="753" t="n">
        <v>0</v>
      </c>
      <c r="R12" s="697" t="n"/>
    </row>
    <row r="13">
      <c r="A13" s="108" t="n">
        <v>3</v>
      </c>
      <c r="B13" s="122" t="inlineStr">
        <is>
          <t>Old New Rugs</t>
        </is>
      </c>
      <c r="C13" s="750" t="n">
        <v>0</v>
      </c>
      <c r="D13" s="693" t="n"/>
      <c r="E13" s="129" t="n">
        <v>3</v>
      </c>
      <c r="F13" s="113" t="inlineStr">
        <is>
          <t>Old New Rugs</t>
        </is>
      </c>
      <c r="G13" s="752" t="n">
        <v>38402</v>
      </c>
      <c r="H13" s="693" t="n"/>
      <c r="I13" s="129" t="n">
        <v>3</v>
      </c>
      <c r="J13" s="113" t="inlineStr">
        <is>
          <t>Old New Rugs</t>
        </is>
      </c>
      <c r="K13" s="750" t="n">
        <v>46429</v>
      </c>
      <c r="L13" s="753" t="n">
        <v>1482</v>
      </c>
      <c r="M13" s="697" t="n"/>
      <c r="N13" s="129" t="n">
        <v>3</v>
      </c>
      <c r="O13" s="113" t="inlineStr">
        <is>
          <t>Old New Rugs</t>
        </is>
      </c>
      <c r="P13" s="750" t="n">
        <v>0</v>
      </c>
      <c r="Q13" s="753" t="n">
        <v>0</v>
      </c>
      <c r="R13" s="697" t="n"/>
    </row>
    <row r="14">
      <c r="A14" s="108" t="n">
        <v>4</v>
      </c>
      <c r="B14" s="123" t="inlineStr">
        <is>
          <t>Vintage Rugs Emporium</t>
        </is>
      </c>
      <c r="C14" s="750" t="n">
        <v>0</v>
      </c>
      <c r="D14" s="693" t="n"/>
      <c r="E14" s="129" t="n">
        <v>4</v>
      </c>
      <c r="F14" s="114" t="inlineStr">
        <is>
          <t>Vintage Rugs Emporium</t>
        </is>
      </c>
      <c r="G14" s="752" t="n">
        <v>20508</v>
      </c>
      <c r="H14" s="693" t="n"/>
      <c r="I14" s="129" t="n">
        <v>4</v>
      </c>
      <c r="J14" s="114" t="inlineStr">
        <is>
          <t>Vintage Rugs Emporium</t>
        </is>
      </c>
      <c r="K14" s="750" t="n">
        <v>52947</v>
      </c>
      <c r="L14" s="753" t="n">
        <v>1690</v>
      </c>
      <c r="M14" s="697" t="n"/>
      <c r="N14" s="129" t="n">
        <v>4</v>
      </c>
      <c r="O14" s="114" t="inlineStr">
        <is>
          <t>Vintage Rugs Emporium</t>
        </is>
      </c>
      <c r="P14" s="750" t="n">
        <v>0</v>
      </c>
      <c r="Q14" s="753" t="n">
        <v>0</v>
      </c>
      <c r="R14" s="697" t="n"/>
    </row>
    <row r="15">
      <c r="A15" s="108" t="n">
        <v>5</v>
      </c>
      <c r="B15" s="124" t="inlineStr">
        <is>
          <t>Rugs Kilimm</t>
        </is>
      </c>
      <c r="C15" s="750" t="n">
        <v>0</v>
      </c>
      <c r="D15" s="693" t="n"/>
      <c r="E15" s="129" t="n">
        <v>5</v>
      </c>
      <c r="F15" s="115" t="inlineStr">
        <is>
          <t>Rugs Kilimm</t>
        </is>
      </c>
      <c r="G15" s="752" t="n">
        <v>-1664</v>
      </c>
      <c r="H15" s="693" t="n"/>
      <c r="I15" s="129" t="n">
        <v>5</v>
      </c>
      <c r="J15" s="115" t="inlineStr">
        <is>
          <t>Rugs Kilimm</t>
        </is>
      </c>
      <c r="K15" s="750" t="n">
        <v>0</v>
      </c>
      <c r="L15" s="753" t="n">
        <v>0</v>
      </c>
      <c r="M15" s="697" t="n"/>
      <c r="N15" s="129" t="n">
        <v>5</v>
      </c>
      <c r="O15" s="115" t="inlineStr">
        <is>
          <t>Rugs Kilimm</t>
        </is>
      </c>
      <c r="P15" s="750" t="n">
        <v>0</v>
      </c>
      <c r="Q15" s="753" t="n">
        <v>0</v>
      </c>
      <c r="R15" s="697" t="n"/>
    </row>
    <row r="16">
      <c r="A16" s="108" t="n">
        <v>6</v>
      </c>
      <c r="B16" s="125" t="inlineStr">
        <is>
          <t>Shoppier</t>
        </is>
      </c>
      <c r="C16" s="750" t="n">
        <v>0</v>
      </c>
      <c r="D16" s="694" t="n"/>
      <c r="E16" s="129" t="n">
        <v>6</v>
      </c>
      <c r="F16" s="116" t="inlineStr">
        <is>
          <t>Shoppier</t>
        </is>
      </c>
      <c r="G16" s="752" t="n">
        <v>135244</v>
      </c>
      <c r="H16" s="694" t="n"/>
      <c r="I16" s="129" t="n">
        <v>6</v>
      </c>
      <c r="J16" s="116" t="inlineStr">
        <is>
          <t>Shoppier</t>
        </is>
      </c>
      <c r="K16" s="750" t="n">
        <v>0</v>
      </c>
      <c r="L16" s="753" t="n">
        <v>0</v>
      </c>
      <c r="M16" s="698" t="n"/>
      <c r="N16" s="129" t="n">
        <v>6</v>
      </c>
      <c r="O16" s="116" t="inlineStr">
        <is>
          <t>Shoppier</t>
        </is>
      </c>
      <c r="P16" s="750" t="n">
        <v>0</v>
      </c>
      <c r="Q16" s="753" t="n">
        <v>0</v>
      </c>
      <c r="R16" s="698" t="n"/>
    </row>
    <row r="17">
      <c r="A17" s="119" t="n"/>
      <c r="B17" s="126" t="inlineStr">
        <is>
          <t>TOPLAM</t>
        </is>
      </c>
      <c r="C17" s="755" t="n">
        <v>0</v>
      </c>
      <c r="D17" s="71" t="n"/>
      <c r="E17" s="128" t="n"/>
      <c r="F17" s="117" t="inlineStr">
        <is>
          <t>TOPLAM</t>
        </is>
      </c>
      <c r="G17" s="756">
        <f>SUM(G11:G16)</f>
        <v/>
      </c>
      <c r="H17" s="71" t="n"/>
      <c r="I17" s="128" t="n"/>
      <c r="J17" s="117" t="inlineStr">
        <is>
          <t>TOPLAM</t>
        </is>
      </c>
      <c r="K17" s="756">
        <f>SUM(K16,K15,K14,K13,K12,K11)</f>
        <v/>
      </c>
      <c r="L17" s="757">
        <f>SUM(L11:L16)</f>
        <v/>
      </c>
      <c r="M17" s="71" t="n"/>
      <c r="N17" s="128" t="n"/>
      <c r="O17" s="117" t="inlineStr">
        <is>
          <t>TOPLAM</t>
        </is>
      </c>
      <c r="P17" s="756" t="n">
        <v>0</v>
      </c>
      <c r="Q17" s="757">
        <f>SUM(Q11:Q16)</f>
        <v/>
      </c>
      <c r="R17" s="71" t="n"/>
    </row>
    <row r="18">
      <c r="A18" s="108" t="n">
        <v>1</v>
      </c>
      <c r="B18" s="118" t="inlineStr">
        <is>
          <t>3-MART-</t>
        </is>
      </c>
      <c r="C18" s="758" t="n"/>
      <c r="D18" s="71" t="n"/>
      <c r="E18" s="129" t="n">
        <v>1</v>
      </c>
      <c r="F18" s="118" t="inlineStr">
        <is>
          <t>3-MART-</t>
        </is>
      </c>
      <c r="G18" s="759" t="n"/>
      <c r="H18" s="71" t="n"/>
      <c r="I18" s="129" t="n">
        <v>1</v>
      </c>
      <c r="J18" s="118" t="inlineStr">
        <is>
          <t>3-MART-</t>
        </is>
      </c>
      <c r="K18" s="759" t="n">
        <v>0</v>
      </c>
      <c r="L18" s="760" t="n"/>
      <c r="M18" s="71" t="n"/>
      <c r="N18" s="129" t="n">
        <v>1</v>
      </c>
      <c r="O18" s="118" t="inlineStr">
        <is>
          <t>3-MART-</t>
        </is>
      </c>
      <c r="P18" s="759" t="n">
        <v>0</v>
      </c>
      <c r="Q18" s="760" t="n"/>
      <c r="R18" s="71" t="n"/>
    </row>
    <row r="19">
      <c r="A19" s="108" t="n">
        <v>2</v>
      </c>
      <c r="B19" s="120" t="inlineStr">
        <is>
          <t>PatchArtsCarpet</t>
        </is>
      </c>
      <c r="C19" s="750" t="n">
        <v>53448</v>
      </c>
      <c r="D19" s="751" t="n">
        <v>25</v>
      </c>
      <c r="E19" s="129" t="n">
        <v>2</v>
      </c>
      <c r="F19" s="111" t="inlineStr">
        <is>
          <t>PatchArtsCarpet</t>
        </is>
      </c>
      <c r="G19" s="752" t="n">
        <v>246872</v>
      </c>
      <c r="H19" s="751" t="n">
        <v>80</v>
      </c>
      <c r="I19" s="129" t="n">
        <v>2</v>
      </c>
      <c r="J19" s="111" t="inlineStr">
        <is>
          <t>PatchArtsCarpet</t>
        </is>
      </c>
      <c r="K19" s="750" t="n">
        <v>0</v>
      </c>
      <c r="L19" s="753" t="n">
        <v>0</v>
      </c>
      <c r="M19" s="754" t="n"/>
      <c r="N19" s="129" t="n">
        <v>2</v>
      </c>
      <c r="O19" s="111" t="inlineStr">
        <is>
          <t>PatchArtsCarpet</t>
        </is>
      </c>
      <c r="P19" s="750" t="n">
        <v>0</v>
      </c>
      <c r="Q19" s="753" t="n">
        <v>0</v>
      </c>
      <c r="R19" s="754" t="n"/>
    </row>
    <row r="20">
      <c r="A20" s="108" t="n">
        <v>3</v>
      </c>
      <c r="B20" s="121" t="inlineStr">
        <is>
          <t>Turkey Rug Shop</t>
        </is>
      </c>
      <c r="C20" s="750" t="n">
        <v>39400</v>
      </c>
      <c r="D20" s="693" t="n"/>
      <c r="E20" s="129" t="n">
        <v>3</v>
      </c>
      <c r="F20" s="112" t="inlineStr">
        <is>
          <t>Turkey Rug Shop</t>
        </is>
      </c>
      <c r="G20" s="752" t="n">
        <v>226572</v>
      </c>
      <c r="H20" s="693" t="n"/>
      <c r="I20" s="129" t="n">
        <v>3</v>
      </c>
      <c r="J20" s="112" t="inlineStr">
        <is>
          <t>Turkey Rug Shop</t>
        </is>
      </c>
      <c r="K20" s="750" t="n">
        <v>0</v>
      </c>
      <c r="L20" s="753" t="n">
        <v>0</v>
      </c>
      <c r="M20" s="697" t="n"/>
      <c r="N20" s="129" t="n">
        <v>3</v>
      </c>
      <c r="O20" s="112" t="inlineStr">
        <is>
          <t>Turkey Rug Shop</t>
        </is>
      </c>
      <c r="P20" s="750" t="n">
        <v>0</v>
      </c>
      <c r="Q20" s="753" t="n">
        <v>0</v>
      </c>
      <c r="R20" s="697" t="n"/>
    </row>
    <row r="21">
      <c r="A21" s="108" t="n">
        <v>4</v>
      </c>
      <c r="B21" s="122" t="inlineStr">
        <is>
          <t>Old New Rugs</t>
        </is>
      </c>
      <c r="C21" s="750" t="n">
        <v>24300</v>
      </c>
      <c r="D21" s="693" t="n"/>
      <c r="E21" s="129" t="n">
        <v>4</v>
      </c>
      <c r="F21" s="113" t="inlineStr">
        <is>
          <t>Old New Rugs</t>
        </is>
      </c>
      <c r="G21" s="752" t="n">
        <v>82697</v>
      </c>
      <c r="H21" s="693" t="n"/>
      <c r="I21" s="129" t="n">
        <v>4</v>
      </c>
      <c r="J21" s="113" t="inlineStr">
        <is>
          <t>Old New Rugs</t>
        </is>
      </c>
      <c r="K21" s="750" t="n">
        <v>0</v>
      </c>
      <c r="L21" s="753" t="n">
        <v>0</v>
      </c>
      <c r="M21" s="697" t="n"/>
      <c r="N21" s="129" t="n">
        <v>4</v>
      </c>
      <c r="O21" s="113" t="inlineStr">
        <is>
          <t>Old New Rugs</t>
        </is>
      </c>
      <c r="P21" s="750" t="n">
        <v>0</v>
      </c>
      <c r="Q21" s="753" t="n">
        <v>0</v>
      </c>
      <c r="R21" s="697" t="n"/>
    </row>
    <row r="22">
      <c r="A22" s="108" t="n">
        <v>5</v>
      </c>
      <c r="B22" s="123" t="inlineStr">
        <is>
          <t>Vintage Rugs Emporium</t>
        </is>
      </c>
      <c r="C22" s="750" t="n">
        <v>0</v>
      </c>
      <c r="D22" s="693" t="n"/>
      <c r="E22" s="129" t="n">
        <v>5</v>
      </c>
      <c r="F22" s="114" t="inlineStr">
        <is>
          <t>Vintage Rugs Emporium</t>
        </is>
      </c>
      <c r="G22" s="752" t="n">
        <v>17900</v>
      </c>
      <c r="H22" s="693" t="n"/>
      <c r="I22" s="129" t="n">
        <v>5</v>
      </c>
      <c r="J22" s="114" t="inlineStr">
        <is>
          <t>Vintage Rugs Emporium</t>
        </is>
      </c>
      <c r="K22" s="750" t="n">
        <v>0</v>
      </c>
      <c r="L22" s="753" t="n">
        <v>0</v>
      </c>
      <c r="M22" s="697" t="n"/>
      <c r="N22" s="129" t="n">
        <v>5</v>
      </c>
      <c r="O22" s="114" t="inlineStr">
        <is>
          <t>Vintage Rugs Emporium</t>
        </is>
      </c>
      <c r="P22" s="750" t="n">
        <v>0</v>
      </c>
      <c r="Q22" s="753" t="n">
        <v>0</v>
      </c>
      <c r="R22" s="697" t="n"/>
    </row>
    <row r="23">
      <c r="A23" s="108" t="n">
        <v>6</v>
      </c>
      <c r="B23" s="124" t="inlineStr">
        <is>
          <t>Rugs Kilimm</t>
        </is>
      </c>
      <c r="C23" s="750" t="n">
        <v>0</v>
      </c>
      <c r="D23" s="693" t="n"/>
      <c r="E23" s="129" t="n">
        <v>6</v>
      </c>
      <c r="F23" s="115" t="inlineStr">
        <is>
          <t>Rugs Kilimm</t>
        </is>
      </c>
      <c r="G23" s="752" t="n">
        <v>84290</v>
      </c>
      <c r="H23" s="693" t="n"/>
      <c r="I23" s="129" t="n">
        <v>6</v>
      </c>
      <c r="J23" s="115" t="inlineStr">
        <is>
          <t>Rugs Kilimm</t>
        </is>
      </c>
      <c r="K23" s="750" t="n">
        <v>0</v>
      </c>
      <c r="L23" s="753" t="n">
        <v>0</v>
      </c>
      <c r="M23" s="697" t="n"/>
      <c r="N23" s="129" t="n">
        <v>6</v>
      </c>
      <c r="O23" s="115" t="inlineStr">
        <is>
          <t>Rugs Kilimm</t>
        </is>
      </c>
      <c r="P23" s="750" t="n">
        <v>0</v>
      </c>
      <c r="Q23" s="753" t="n">
        <v>0</v>
      </c>
      <c r="R23" s="697" t="n"/>
    </row>
    <row r="24">
      <c r="A24" s="119" t="n"/>
      <c r="B24" s="125" t="inlineStr">
        <is>
          <t>Shoppier</t>
        </is>
      </c>
      <c r="C24" s="750" t="n">
        <v>0</v>
      </c>
      <c r="D24" s="694" t="n"/>
      <c r="E24" s="128" t="n"/>
      <c r="F24" s="116" t="inlineStr">
        <is>
          <t>Shoppier</t>
        </is>
      </c>
      <c r="G24" s="752" t="n">
        <v>0</v>
      </c>
      <c r="H24" s="694" t="n"/>
      <c r="I24" s="128" t="n"/>
      <c r="J24" s="116" t="inlineStr">
        <is>
          <t>Shoppier</t>
        </is>
      </c>
      <c r="K24" s="750" t="n">
        <v>0</v>
      </c>
      <c r="L24" s="753" t="n">
        <v>0</v>
      </c>
      <c r="M24" s="698" t="n"/>
      <c r="N24" s="128" t="n"/>
      <c r="O24" s="116" t="inlineStr">
        <is>
          <t>Shoppier</t>
        </is>
      </c>
      <c r="P24" s="750" t="n">
        <v>0</v>
      </c>
      <c r="Q24" s="753" t="n">
        <v>0</v>
      </c>
      <c r="R24" s="698" t="n"/>
    </row>
    <row r="25">
      <c r="A25" s="119" t="n"/>
      <c r="B25" s="126" t="inlineStr">
        <is>
          <t>TOPLAM</t>
        </is>
      </c>
      <c r="C25" s="755">
        <f>SUM(C19:C24)</f>
        <v/>
      </c>
      <c r="D25" s="71" t="n"/>
      <c r="E25" s="128" t="n"/>
      <c r="F25" s="117" t="inlineStr">
        <is>
          <t>TOPLAM</t>
        </is>
      </c>
      <c r="G25" s="756">
        <f>SUM(G19:G24)</f>
        <v/>
      </c>
      <c r="H25" s="71" t="n"/>
      <c r="I25" s="128" t="n"/>
      <c r="J25" s="117" t="inlineStr">
        <is>
          <t>TOPLAM</t>
        </is>
      </c>
      <c r="K25" s="756" t="n">
        <v>0</v>
      </c>
      <c r="L25" s="757">
        <f>SUM(L19:L24)</f>
        <v/>
      </c>
      <c r="M25" s="71" t="n"/>
      <c r="N25" s="128" t="n"/>
      <c r="O25" s="117" t="inlineStr">
        <is>
          <t>TOPLAM</t>
        </is>
      </c>
      <c r="P25" s="756" t="n">
        <v>0</v>
      </c>
      <c r="Q25" s="757">
        <f>SUM(Q19:Q24)</f>
        <v/>
      </c>
      <c r="R25" s="71" t="n"/>
    </row>
    <row r="26">
      <c r="A26" s="119" t="n"/>
      <c r="B26" s="118" t="inlineStr">
        <is>
          <t>4-NİSAN-</t>
        </is>
      </c>
      <c r="C26" s="758" t="n"/>
      <c r="D26" s="71" t="n"/>
      <c r="E26" s="128" t="n"/>
      <c r="F26" s="118" t="inlineStr">
        <is>
          <t>4-NİSAN-</t>
        </is>
      </c>
      <c r="G26" s="759" t="n"/>
      <c r="H26" s="71" t="n"/>
      <c r="I26" s="128" t="n"/>
      <c r="J26" s="118" t="inlineStr">
        <is>
          <t>4-NİSAN-</t>
        </is>
      </c>
      <c r="K26" s="759" t="n">
        <v>0</v>
      </c>
      <c r="L26" s="760" t="n"/>
      <c r="M26" s="71" t="n"/>
      <c r="N26" s="128" t="n"/>
      <c r="O26" s="118" t="inlineStr">
        <is>
          <t>4-NİSAN-</t>
        </is>
      </c>
      <c r="P26" s="759" t="n">
        <v>0</v>
      </c>
      <c r="Q26" s="760" t="n"/>
      <c r="R26" s="71" t="n"/>
    </row>
    <row r="27">
      <c r="A27" s="108" t="n">
        <v>1</v>
      </c>
      <c r="B27" s="120" t="inlineStr">
        <is>
          <t>PatchArtsCarpet</t>
        </is>
      </c>
      <c r="C27" s="750" t="n">
        <v>12069</v>
      </c>
      <c r="D27" s="751" t="n">
        <v>31</v>
      </c>
      <c r="E27" s="129" t="n">
        <v>1</v>
      </c>
      <c r="F27" s="111" t="inlineStr">
        <is>
          <t>PatchArtsCarpet</t>
        </is>
      </c>
      <c r="G27" s="752" t="n">
        <v>110035</v>
      </c>
      <c r="H27" s="751" t="n">
        <v>45</v>
      </c>
      <c r="I27" s="129" t="n">
        <v>1</v>
      </c>
      <c r="J27" s="111" t="inlineStr">
        <is>
          <t>PatchArtsCarpet</t>
        </is>
      </c>
      <c r="K27" s="750" t="n">
        <v>0</v>
      </c>
      <c r="L27" s="753" t="n">
        <v>0</v>
      </c>
      <c r="M27" s="754" t="n"/>
      <c r="N27" s="129" t="n">
        <v>1</v>
      </c>
      <c r="O27" s="111" t="inlineStr">
        <is>
          <t>PatchArtsCarpet</t>
        </is>
      </c>
      <c r="P27" s="750" t="n">
        <v>0</v>
      </c>
      <c r="Q27" s="753" t="n">
        <v>0</v>
      </c>
      <c r="R27" s="754" t="n"/>
    </row>
    <row r="28">
      <c r="A28" s="108" t="n">
        <v>2</v>
      </c>
      <c r="B28" s="121" t="inlineStr">
        <is>
          <t>Turkey Rug Shop</t>
        </is>
      </c>
      <c r="C28" s="750" t="n">
        <v>600</v>
      </c>
      <c r="D28" s="693" t="n"/>
      <c r="E28" s="129" t="n">
        <v>2</v>
      </c>
      <c r="F28" s="112" t="inlineStr">
        <is>
          <t>Turkey Rug Shop</t>
        </is>
      </c>
      <c r="G28" s="752" t="n">
        <v>92620</v>
      </c>
      <c r="H28" s="693" t="n"/>
      <c r="I28" s="129" t="n">
        <v>2</v>
      </c>
      <c r="J28" s="112" t="inlineStr">
        <is>
          <t>Turkey Rug Shop</t>
        </is>
      </c>
      <c r="K28" s="750" t="n">
        <v>0</v>
      </c>
      <c r="L28" s="753" t="n">
        <v>0</v>
      </c>
      <c r="M28" s="697" t="n"/>
      <c r="N28" s="129" t="n">
        <v>2</v>
      </c>
      <c r="O28" s="112" t="inlineStr">
        <is>
          <t>Turkey Rug Shop</t>
        </is>
      </c>
      <c r="P28" s="750" t="n">
        <v>0</v>
      </c>
      <c r="Q28" s="753" t="n">
        <v>0</v>
      </c>
      <c r="R28" s="697" t="n"/>
    </row>
    <row r="29">
      <c r="A29" s="108" t="n">
        <v>3</v>
      </c>
      <c r="B29" s="122" t="inlineStr">
        <is>
          <t>Old New Rugs</t>
        </is>
      </c>
      <c r="C29" s="750" t="n">
        <v>55846</v>
      </c>
      <c r="D29" s="693" t="n"/>
      <c r="E29" s="129" t="n">
        <v>3</v>
      </c>
      <c r="F29" s="113" t="inlineStr">
        <is>
          <t>Old New Rugs</t>
        </is>
      </c>
      <c r="G29" s="752" t="n">
        <v>55551</v>
      </c>
      <c r="H29" s="693" t="n"/>
      <c r="I29" s="129" t="n">
        <v>3</v>
      </c>
      <c r="J29" s="113" t="inlineStr">
        <is>
          <t>Old New Rugs</t>
        </is>
      </c>
      <c r="K29" s="750" t="n">
        <v>0</v>
      </c>
      <c r="L29" s="753" t="n">
        <v>0</v>
      </c>
      <c r="M29" s="697" t="n"/>
      <c r="N29" s="129" t="n">
        <v>3</v>
      </c>
      <c r="O29" s="113" t="inlineStr">
        <is>
          <t>Old New Rugs</t>
        </is>
      </c>
      <c r="P29" s="750" t="n">
        <v>0</v>
      </c>
      <c r="Q29" s="753" t="n">
        <v>0</v>
      </c>
      <c r="R29" s="697" t="n"/>
    </row>
    <row r="30">
      <c r="A30" s="108" t="n">
        <v>4</v>
      </c>
      <c r="B30" s="123" t="inlineStr">
        <is>
          <t>Vintage Rugs Emporium</t>
        </is>
      </c>
      <c r="C30" s="750" t="n">
        <v>0</v>
      </c>
      <c r="D30" s="693" t="n"/>
      <c r="E30" s="129" t="n">
        <v>4</v>
      </c>
      <c r="F30" s="114" t="inlineStr">
        <is>
          <t>Vintage Rugs Emporium</t>
        </is>
      </c>
      <c r="G30" s="752" t="n">
        <v>3235</v>
      </c>
      <c r="H30" s="693" t="n"/>
      <c r="I30" s="129" t="n">
        <v>4</v>
      </c>
      <c r="J30" s="114" t="inlineStr">
        <is>
          <t>Vintage Rugs Emporium</t>
        </is>
      </c>
      <c r="K30" s="750" t="n">
        <v>0</v>
      </c>
      <c r="L30" s="753" t="n">
        <v>0</v>
      </c>
      <c r="M30" s="697" t="n"/>
      <c r="N30" s="129" t="n">
        <v>4</v>
      </c>
      <c r="O30" s="114" t="inlineStr">
        <is>
          <t>Vintage Rugs Emporium</t>
        </is>
      </c>
      <c r="P30" s="750" t="n">
        <v>0</v>
      </c>
      <c r="Q30" s="753" t="n">
        <v>0</v>
      </c>
      <c r="R30" s="697" t="n"/>
    </row>
    <row r="31">
      <c r="A31" s="108" t="n">
        <v>5</v>
      </c>
      <c r="B31" s="124" t="inlineStr">
        <is>
          <t>Rugs Kilimm</t>
        </is>
      </c>
      <c r="C31" s="750" t="n">
        <v>0</v>
      </c>
      <c r="D31" s="693" t="n"/>
      <c r="E31" s="129" t="n">
        <v>5</v>
      </c>
      <c r="F31" s="115" t="inlineStr">
        <is>
          <t>Rugs Kilimm</t>
        </is>
      </c>
      <c r="G31" s="752" t="n">
        <v>-987</v>
      </c>
      <c r="H31" s="693" t="n"/>
      <c r="I31" s="129" t="n">
        <v>5</v>
      </c>
      <c r="J31" s="115" t="inlineStr">
        <is>
          <t>Rugs Kilimm</t>
        </is>
      </c>
      <c r="K31" s="750" t="n">
        <v>0</v>
      </c>
      <c r="L31" s="753" t="n">
        <v>0</v>
      </c>
      <c r="M31" s="697" t="n"/>
      <c r="N31" s="129" t="n">
        <v>5</v>
      </c>
      <c r="O31" s="115" t="inlineStr">
        <is>
          <t>Rugs Kilimm</t>
        </is>
      </c>
      <c r="P31" s="750" t="n">
        <v>0</v>
      </c>
      <c r="Q31" s="753" t="n">
        <v>0</v>
      </c>
      <c r="R31" s="697" t="n"/>
    </row>
    <row r="32">
      <c r="A32" s="108" t="n">
        <v>6</v>
      </c>
      <c r="B32" s="125" t="inlineStr">
        <is>
          <t>Shoppier</t>
        </is>
      </c>
      <c r="C32" s="750" t="n">
        <v>0</v>
      </c>
      <c r="D32" s="694" t="n"/>
      <c r="E32" s="129" t="n">
        <v>6</v>
      </c>
      <c r="F32" s="116" t="inlineStr">
        <is>
          <t>Shoppier</t>
        </is>
      </c>
      <c r="G32" s="752" t="n">
        <v>0</v>
      </c>
      <c r="H32" s="694" t="n"/>
      <c r="I32" s="129" t="n">
        <v>6</v>
      </c>
      <c r="J32" s="116" t="inlineStr">
        <is>
          <t>Shoppier</t>
        </is>
      </c>
      <c r="K32" s="750" t="n">
        <v>0</v>
      </c>
      <c r="L32" s="753" t="n">
        <v>0</v>
      </c>
      <c r="M32" s="698" t="n"/>
      <c r="N32" s="129" t="n">
        <v>6</v>
      </c>
      <c r="O32" s="116" t="inlineStr">
        <is>
          <t>Shoppier</t>
        </is>
      </c>
      <c r="P32" s="750" t="n">
        <v>0</v>
      </c>
      <c r="Q32" s="753" t="n">
        <v>0</v>
      </c>
      <c r="R32" s="698" t="n"/>
    </row>
    <row r="33">
      <c r="A33" s="119" t="n"/>
      <c r="B33" s="126" t="inlineStr">
        <is>
          <t>TOPLAM</t>
        </is>
      </c>
      <c r="C33" s="755">
        <f>SUM(C27:C32)</f>
        <v/>
      </c>
      <c r="D33" s="71" t="n"/>
      <c r="E33" s="128" t="n"/>
      <c r="F33" s="117" t="inlineStr">
        <is>
          <t>TOPLAM</t>
        </is>
      </c>
      <c r="G33" s="756">
        <f>SUM(G27:G32)</f>
        <v/>
      </c>
      <c r="H33" s="71" t="n"/>
      <c r="I33" s="128" t="n"/>
      <c r="J33" s="117" t="inlineStr">
        <is>
          <t>TOPLAM</t>
        </is>
      </c>
      <c r="K33" s="756" t="n">
        <v>0</v>
      </c>
      <c r="L33" s="757">
        <f>SUM(L27:L32)</f>
        <v/>
      </c>
      <c r="M33" s="71" t="n"/>
      <c r="N33" s="128" t="n"/>
      <c r="O33" s="117" t="inlineStr">
        <is>
          <t>TOPLAM</t>
        </is>
      </c>
      <c r="P33" s="756" t="n">
        <v>0</v>
      </c>
      <c r="Q33" s="757">
        <f>SUM(Q27:Q32)</f>
        <v/>
      </c>
      <c r="R33" s="71" t="n"/>
    </row>
    <row r="34">
      <c r="A34" s="119" t="n"/>
      <c r="B34" s="118" t="inlineStr">
        <is>
          <t>5-MAYIS-</t>
        </is>
      </c>
      <c r="C34" s="758" t="n"/>
      <c r="D34" s="71" t="n"/>
      <c r="E34" s="128" t="n"/>
      <c r="F34" s="118" t="inlineStr">
        <is>
          <t>5-MAYIS-</t>
        </is>
      </c>
      <c r="G34" s="759" t="n"/>
      <c r="H34" s="71" t="n"/>
      <c r="I34" s="128" t="n"/>
      <c r="J34" s="118" t="inlineStr">
        <is>
          <t>5-MAYIS-</t>
        </is>
      </c>
      <c r="K34" s="759" t="n">
        <v>0</v>
      </c>
      <c r="L34" s="760" t="n"/>
      <c r="M34" s="71" t="n"/>
      <c r="N34" s="128" t="n"/>
      <c r="O34" s="118" t="inlineStr">
        <is>
          <t>5-MAYIS-</t>
        </is>
      </c>
      <c r="P34" s="759" t="n">
        <v>0</v>
      </c>
      <c r="Q34" s="760" t="n"/>
      <c r="R34" s="71" t="n"/>
    </row>
    <row r="35">
      <c r="A35" s="108" t="n">
        <v>1</v>
      </c>
      <c r="B35" s="120" t="inlineStr">
        <is>
          <t>PatchArtsCarpet</t>
        </is>
      </c>
      <c r="C35" s="750" t="n">
        <v>43476</v>
      </c>
      <c r="D35" s="751" t="n">
        <v>41</v>
      </c>
      <c r="E35" s="129" t="n">
        <v>1</v>
      </c>
      <c r="F35" s="111" t="inlineStr">
        <is>
          <t>PatchArtsCarpet</t>
        </is>
      </c>
      <c r="G35" s="752" t="n">
        <v>148859</v>
      </c>
      <c r="H35" s="751" t="n">
        <v>50</v>
      </c>
      <c r="I35" s="129" t="n">
        <v>1</v>
      </c>
      <c r="J35" s="111" t="inlineStr">
        <is>
          <t>PatchArtsCarpet</t>
        </is>
      </c>
      <c r="K35" s="750" t="n">
        <v>0</v>
      </c>
      <c r="L35" s="753" t="n">
        <v>0</v>
      </c>
      <c r="M35" s="754" t="n"/>
      <c r="N35" s="129" t="n">
        <v>1</v>
      </c>
      <c r="O35" s="111" t="inlineStr">
        <is>
          <t>PatchArtsCarpet</t>
        </is>
      </c>
      <c r="P35" s="750" t="n">
        <v>0</v>
      </c>
      <c r="Q35" s="753" t="n">
        <v>0</v>
      </c>
      <c r="R35" s="754" t="n"/>
    </row>
    <row r="36">
      <c r="A36" s="108" t="n">
        <v>2</v>
      </c>
      <c r="B36" s="121" t="inlineStr">
        <is>
          <t>Turkey Rug Shop</t>
        </is>
      </c>
      <c r="C36" s="750" t="n">
        <v>35620</v>
      </c>
      <c r="D36" s="693" t="n"/>
      <c r="E36" s="129" t="n">
        <v>2</v>
      </c>
      <c r="F36" s="112" t="inlineStr">
        <is>
          <t>Turkey Rug Shop</t>
        </is>
      </c>
      <c r="G36" s="752" t="n">
        <v>116728</v>
      </c>
      <c r="H36" s="693" t="n"/>
      <c r="I36" s="129" t="n">
        <v>2</v>
      </c>
      <c r="J36" s="112" t="inlineStr">
        <is>
          <t>Turkey Rug Shop</t>
        </is>
      </c>
      <c r="K36" s="750" t="n">
        <v>0</v>
      </c>
      <c r="L36" s="753" t="n">
        <v>0</v>
      </c>
      <c r="M36" s="697" t="n"/>
      <c r="N36" s="129" t="n">
        <v>2</v>
      </c>
      <c r="O36" s="112" t="inlineStr">
        <is>
          <t>Turkey Rug Shop</t>
        </is>
      </c>
      <c r="P36" s="750" t="n">
        <v>0</v>
      </c>
      <c r="Q36" s="753" t="n">
        <v>0</v>
      </c>
      <c r="R36" s="697" t="n"/>
    </row>
    <row r="37">
      <c r="A37" s="108" t="n">
        <v>3</v>
      </c>
      <c r="B37" s="122" t="inlineStr">
        <is>
          <t>Old New Rugs</t>
        </is>
      </c>
      <c r="C37" s="750" t="n">
        <v>62958</v>
      </c>
      <c r="D37" s="693" t="n"/>
      <c r="E37" s="129" t="n">
        <v>3</v>
      </c>
      <c r="F37" s="113" t="inlineStr">
        <is>
          <t>Old New Rugs</t>
        </is>
      </c>
      <c r="G37" s="752" t="n">
        <v>33976</v>
      </c>
      <c r="H37" s="693" t="n"/>
      <c r="I37" s="129" t="n">
        <v>3</v>
      </c>
      <c r="J37" s="113" t="inlineStr">
        <is>
          <t>Old New Rugs</t>
        </is>
      </c>
      <c r="K37" s="750" t="n">
        <v>0</v>
      </c>
      <c r="L37" s="753" t="n">
        <v>0</v>
      </c>
      <c r="M37" s="697" t="n"/>
      <c r="N37" s="129" t="n">
        <v>3</v>
      </c>
      <c r="O37" s="113" t="inlineStr">
        <is>
          <t>Old New Rugs</t>
        </is>
      </c>
      <c r="P37" s="750" t="n">
        <v>0</v>
      </c>
      <c r="Q37" s="753" t="n">
        <v>0</v>
      </c>
      <c r="R37" s="697" t="n"/>
    </row>
    <row r="38">
      <c r="A38" s="108" t="n">
        <v>4</v>
      </c>
      <c r="B38" s="123" t="inlineStr">
        <is>
          <t>Vintage Rugs Emporium</t>
        </is>
      </c>
      <c r="C38" s="750" t="n">
        <v>0</v>
      </c>
      <c r="D38" s="693" t="n"/>
      <c r="E38" s="129" t="n">
        <v>4</v>
      </c>
      <c r="F38" s="114" t="inlineStr">
        <is>
          <t>Vintage Rugs Emporium</t>
        </is>
      </c>
      <c r="G38" s="752" t="n">
        <v>9935</v>
      </c>
      <c r="H38" s="693" t="n"/>
      <c r="I38" s="129" t="n">
        <v>4</v>
      </c>
      <c r="J38" s="114" t="inlineStr">
        <is>
          <t>Vintage Rugs Emporium</t>
        </is>
      </c>
      <c r="K38" s="750" t="n">
        <v>0</v>
      </c>
      <c r="L38" s="753" t="n">
        <v>0</v>
      </c>
      <c r="M38" s="697" t="n"/>
      <c r="N38" s="129" t="n">
        <v>4</v>
      </c>
      <c r="O38" s="114" t="inlineStr">
        <is>
          <t>Vintage Rugs Emporium</t>
        </is>
      </c>
      <c r="P38" s="750" t="n">
        <v>0</v>
      </c>
      <c r="Q38" s="753" t="n">
        <v>0</v>
      </c>
      <c r="R38" s="697" t="n"/>
    </row>
    <row r="39">
      <c r="A39" s="108" t="n">
        <v>5</v>
      </c>
      <c r="B39" s="124" t="inlineStr">
        <is>
          <t>Rugs Kilimm</t>
        </is>
      </c>
      <c r="C39" s="750" t="n">
        <v>0</v>
      </c>
      <c r="D39" s="693" t="n"/>
      <c r="E39" s="129" t="n">
        <v>5</v>
      </c>
      <c r="F39" s="115" t="inlineStr">
        <is>
          <t>Rugs Kilimm</t>
        </is>
      </c>
      <c r="G39" s="752" t="n">
        <v>-817</v>
      </c>
      <c r="H39" s="693" t="n"/>
      <c r="I39" s="129" t="n">
        <v>5</v>
      </c>
      <c r="J39" s="115" t="inlineStr">
        <is>
          <t>Rugs Kilimm</t>
        </is>
      </c>
      <c r="K39" s="750" t="n">
        <v>0</v>
      </c>
      <c r="L39" s="753" t="n">
        <v>0</v>
      </c>
      <c r="M39" s="697" t="n"/>
      <c r="N39" s="129" t="n">
        <v>5</v>
      </c>
      <c r="O39" s="115" t="inlineStr">
        <is>
          <t>Rugs Kilimm</t>
        </is>
      </c>
      <c r="P39" s="750" t="n">
        <v>0</v>
      </c>
      <c r="Q39" s="753" t="n">
        <v>0</v>
      </c>
      <c r="R39" s="697" t="n"/>
    </row>
    <row r="40">
      <c r="A40" s="108" t="n">
        <v>6</v>
      </c>
      <c r="B40" s="125" t="inlineStr">
        <is>
          <t>Shoppier</t>
        </is>
      </c>
      <c r="C40" s="750" t="n">
        <v>0</v>
      </c>
      <c r="D40" s="694" t="n"/>
      <c r="E40" s="129" t="n">
        <v>6</v>
      </c>
      <c r="F40" s="116" t="inlineStr">
        <is>
          <t>Shoppier</t>
        </is>
      </c>
      <c r="G40" s="752" t="n">
        <v>0</v>
      </c>
      <c r="H40" s="694" t="n"/>
      <c r="I40" s="129" t="n">
        <v>6</v>
      </c>
      <c r="J40" s="116" t="inlineStr">
        <is>
          <t>Shoppier</t>
        </is>
      </c>
      <c r="K40" s="750" t="n">
        <v>0</v>
      </c>
      <c r="L40" s="753" t="n">
        <v>0</v>
      </c>
      <c r="M40" s="698" t="n"/>
      <c r="N40" s="129" t="n">
        <v>6</v>
      </c>
      <c r="O40" s="116" t="inlineStr">
        <is>
          <t>Shoppier</t>
        </is>
      </c>
      <c r="P40" s="750" t="n">
        <v>0</v>
      </c>
      <c r="Q40" s="753" t="n">
        <v>0</v>
      </c>
      <c r="R40" s="698" t="n"/>
    </row>
    <row r="41">
      <c r="A41" s="119" t="n"/>
      <c r="B41" s="126" t="inlineStr">
        <is>
          <t>TOPLAM</t>
        </is>
      </c>
      <c r="C41" s="755">
        <f>SUM(C35:C40)</f>
        <v/>
      </c>
      <c r="D41" s="71" t="n"/>
      <c r="E41" s="128" t="n"/>
      <c r="F41" s="117" t="inlineStr">
        <is>
          <t>TOPLAM</t>
        </is>
      </c>
      <c r="G41" s="756">
        <f>SUM(G35:G40)</f>
        <v/>
      </c>
      <c r="H41" s="71" t="n"/>
      <c r="I41" s="128" t="n"/>
      <c r="J41" s="117" t="inlineStr">
        <is>
          <t>TOPLAM</t>
        </is>
      </c>
      <c r="K41" s="756" t="n">
        <v>0</v>
      </c>
      <c r="L41" s="757">
        <f>SUM(L35:L40)</f>
        <v/>
      </c>
      <c r="M41" s="71" t="n"/>
      <c r="N41" s="128" t="n"/>
      <c r="O41" s="117" t="inlineStr">
        <is>
          <t>TOPLAM</t>
        </is>
      </c>
      <c r="P41" s="756" t="n">
        <v>0</v>
      </c>
      <c r="Q41" s="757">
        <f>SUM(Q35:Q40)</f>
        <v/>
      </c>
      <c r="R41" s="71" t="n"/>
    </row>
    <row r="42">
      <c r="A42" s="119" t="n"/>
      <c r="B42" s="118" t="inlineStr">
        <is>
          <t>6-HAZİRAN-</t>
        </is>
      </c>
      <c r="C42" s="758" t="n"/>
      <c r="D42" s="71" t="n"/>
      <c r="E42" s="128" t="n"/>
      <c r="F42" s="118" t="inlineStr">
        <is>
          <t>6-HAZİRAN-</t>
        </is>
      </c>
      <c r="G42" s="759" t="n"/>
      <c r="H42" s="71" t="n"/>
      <c r="I42" s="128" t="n"/>
      <c r="J42" s="118" t="inlineStr">
        <is>
          <t>6-HAZİRAN-</t>
        </is>
      </c>
      <c r="K42" s="759" t="n">
        <v>0</v>
      </c>
      <c r="L42" s="760" t="n"/>
      <c r="M42" s="71" t="n"/>
      <c r="N42" s="128" t="n"/>
      <c r="O42" s="118" t="inlineStr">
        <is>
          <t>6-HAZİRAN-</t>
        </is>
      </c>
      <c r="P42" s="759" t="n">
        <v>0</v>
      </c>
      <c r="Q42" s="760" t="n"/>
      <c r="R42" s="71" t="n"/>
    </row>
    <row r="43">
      <c r="A43" s="108" t="n">
        <v>1</v>
      </c>
      <c r="B43" s="120" t="inlineStr">
        <is>
          <t>PatchArtsCarpet</t>
        </is>
      </c>
      <c r="C43" s="750" t="n">
        <v>235982</v>
      </c>
      <c r="D43" s="751" t="n">
        <v>55</v>
      </c>
      <c r="E43" s="129" t="n">
        <v>1</v>
      </c>
      <c r="F43" s="111" t="inlineStr">
        <is>
          <t>PatchArtsCarpet</t>
        </is>
      </c>
      <c r="G43" s="752" t="n">
        <v>112319</v>
      </c>
      <c r="H43" s="751" t="n">
        <v>54</v>
      </c>
      <c r="I43" s="129" t="n">
        <v>1</v>
      </c>
      <c r="J43" s="111" t="inlineStr">
        <is>
          <t>PatchArtsCarpet</t>
        </is>
      </c>
      <c r="K43" s="750" t="n">
        <v>0</v>
      </c>
      <c r="L43" s="753" t="n">
        <v>0</v>
      </c>
      <c r="M43" s="754" t="n"/>
      <c r="N43" s="129" t="n">
        <v>1</v>
      </c>
      <c r="O43" s="111" t="inlineStr">
        <is>
          <t>PatchArtsCarpet</t>
        </is>
      </c>
      <c r="P43" s="750" t="n">
        <v>0</v>
      </c>
      <c r="Q43" s="753" t="n">
        <v>0</v>
      </c>
      <c r="R43" s="754" t="n"/>
    </row>
    <row r="44">
      <c r="A44" s="108" t="n">
        <v>2</v>
      </c>
      <c r="B44" s="121" t="inlineStr">
        <is>
          <t>Turkey Rug Shop</t>
        </is>
      </c>
      <c r="C44" s="750" t="n">
        <v>59777</v>
      </c>
      <c r="D44" s="693" t="n"/>
      <c r="E44" s="129" t="n">
        <v>2</v>
      </c>
      <c r="F44" s="112" t="inlineStr">
        <is>
          <t>Turkey Rug Shop</t>
        </is>
      </c>
      <c r="G44" s="752" t="n">
        <v>104765</v>
      </c>
      <c r="H44" s="693" t="n"/>
      <c r="I44" s="129" t="n">
        <v>2</v>
      </c>
      <c r="J44" s="112" t="inlineStr">
        <is>
          <t>Turkey Rug Shop</t>
        </is>
      </c>
      <c r="K44" s="750" t="n">
        <v>0</v>
      </c>
      <c r="L44" s="753" t="n">
        <v>0</v>
      </c>
      <c r="M44" s="697" t="n"/>
      <c r="N44" s="129" t="n">
        <v>2</v>
      </c>
      <c r="O44" s="112" t="inlineStr">
        <is>
          <t>Turkey Rug Shop</t>
        </is>
      </c>
      <c r="P44" s="750" t="n">
        <v>0</v>
      </c>
      <c r="Q44" s="753" t="n">
        <v>0</v>
      </c>
      <c r="R44" s="697" t="n"/>
    </row>
    <row r="45">
      <c r="A45" s="108" t="n">
        <v>3</v>
      </c>
      <c r="B45" s="122" t="inlineStr">
        <is>
          <t>Old New Rugs</t>
        </is>
      </c>
      <c r="C45" s="750" t="n">
        <v>64594</v>
      </c>
      <c r="D45" s="693" t="n"/>
      <c r="E45" s="129" t="n">
        <v>3</v>
      </c>
      <c r="F45" s="113" t="inlineStr">
        <is>
          <t>Old New Rugs</t>
        </is>
      </c>
      <c r="G45" s="752" t="n">
        <v>54859</v>
      </c>
      <c r="H45" s="693" t="n"/>
      <c r="I45" s="129" t="n">
        <v>3</v>
      </c>
      <c r="J45" s="113" t="inlineStr">
        <is>
          <t>Old New Rugs</t>
        </is>
      </c>
      <c r="K45" s="750" t="n">
        <v>0</v>
      </c>
      <c r="L45" s="753" t="n">
        <v>0</v>
      </c>
      <c r="M45" s="697" t="n"/>
      <c r="N45" s="129" t="n">
        <v>3</v>
      </c>
      <c r="O45" s="113" t="inlineStr">
        <is>
          <t>Old New Rugs</t>
        </is>
      </c>
      <c r="P45" s="750" t="n">
        <v>0</v>
      </c>
      <c r="Q45" s="753" t="n">
        <v>0</v>
      </c>
      <c r="R45" s="697" t="n"/>
    </row>
    <row r="46">
      <c r="A46" s="108" t="n">
        <v>4</v>
      </c>
      <c r="B46" s="123" t="inlineStr">
        <is>
          <t>Vintage Rugs Emporium</t>
        </is>
      </c>
      <c r="C46" s="750" t="n">
        <v>0</v>
      </c>
      <c r="D46" s="693" t="n"/>
      <c r="E46" s="129" t="n">
        <v>4</v>
      </c>
      <c r="F46" s="114" t="inlineStr">
        <is>
          <t>Vintage Rugs Emporium</t>
        </is>
      </c>
      <c r="G46" s="752" t="n">
        <v>61542</v>
      </c>
      <c r="H46" s="693" t="n"/>
      <c r="I46" s="129" t="n">
        <v>4</v>
      </c>
      <c r="J46" s="114" t="inlineStr">
        <is>
          <t>Vintage Rugs Emporium</t>
        </is>
      </c>
      <c r="K46" s="750" t="n">
        <v>0</v>
      </c>
      <c r="L46" s="753" t="n">
        <v>0</v>
      </c>
      <c r="M46" s="697" t="n"/>
      <c r="N46" s="129" t="n">
        <v>4</v>
      </c>
      <c r="O46" s="114" t="inlineStr">
        <is>
          <t>Vintage Rugs Emporium</t>
        </is>
      </c>
      <c r="P46" s="750" t="n">
        <v>0</v>
      </c>
      <c r="Q46" s="753" t="n">
        <v>0</v>
      </c>
      <c r="R46" s="697" t="n"/>
    </row>
    <row r="47">
      <c r="A47" s="108" t="n">
        <v>5</v>
      </c>
      <c r="B47" s="124" t="inlineStr">
        <is>
          <t>Rugs Kilimm</t>
        </is>
      </c>
      <c r="C47" s="750" t="n">
        <v>0</v>
      </c>
      <c r="D47" s="693" t="n"/>
      <c r="E47" s="129" t="n">
        <v>5</v>
      </c>
      <c r="F47" s="115" t="inlineStr">
        <is>
          <t>Rugs Kilimm</t>
        </is>
      </c>
      <c r="G47" s="752" t="n">
        <v>6332</v>
      </c>
      <c r="H47" s="693" t="n"/>
      <c r="I47" s="129" t="n">
        <v>5</v>
      </c>
      <c r="J47" s="115" t="inlineStr">
        <is>
          <t>Rugs Kilimm</t>
        </is>
      </c>
      <c r="K47" s="750" t="n">
        <v>0</v>
      </c>
      <c r="L47" s="753" t="n">
        <v>0</v>
      </c>
      <c r="M47" s="697" t="n"/>
      <c r="N47" s="129" t="n">
        <v>5</v>
      </c>
      <c r="O47" s="115" t="inlineStr">
        <is>
          <t>Rugs Kilimm</t>
        </is>
      </c>
      <c r="P47" s="750" t="n">
        <v>0</v>
      </c>
      <c r="Q47" s="753" t="n">
        <v>0</v>
      </c>
      <c r="R47" s="697" t="n"/>
    </row>
    <row r="48">
      <c r="A48" s="108" t="n">
        <v>6</v>
      </c>
      <c r="B48" s="125" t="inlineStr">
        <is>
          <t>Shoppier</t>
        </is>
      </c>
      <c r="C48" s="750" t="n">
        <v>0</v>
      </c>
      <c r="D48" s="694" t="n"/>
      <c r="E48" s="129" t="n">
        <v>6</v>
      </c>
      <c r="F48" s="116" t="inlineStr">
        <is>
          <t>Shoppier</t>
        </is>
      </c>
      <c r="G48" s="752" t="n">
        <v>105074</v>
      </c>
      <c r="H48" s="694" t="n"/>
      <c r="I48" s="129" t="n">
        <v>6</v>
      </c>
      <c r="J48" s="116" t="inlineStr">
        <is>
          <t>Shoppier</t>
        </is>
      </c>
      <c r="K48" s="750" t="n">
        <v>0</v>
      </c>
      <c r="L48" s="753" t="n">
        <v>0</v>
      </c>
      <c r="M48" s="698" t="n"/>
      <c r="N48" s="129" t="n">
        <v>6</v>
      </c>
      <c r="O48" s="116" t="inlineStr">
        <is>
          <t>Shoppier</t>
        </is>
      </c>
      <c r="P48" s="750" t="n">
        <v>0</v>
      </c>
      <c r="Q48" s="753" t="n">
        <v>0</v>
      </c>
      <c r="R48" s="698" t="n"/>
    </row>
    <row r="49">
      <c r="A49" s="119" t="n"/>
      <c r="B49" s="126" t="inlineStr">
        <is>
          <t>TOPLAM</t>
        </is>
      </c>
      <c r="C49" s="755">
        <f>SUM(C43:C48)</f>
        <v/>
      </c>
      <c r="D49" s="71" t="n"/>
      <c r="E49" s="128" t="n"/>
      <c r="F49" s="117" t="inlineStr">
        <is>
          <t>TOPLAM</t>
        </is>
      </c>
      <c r="G49" s="756">
        <f>SUM(G43:G48)</f>
        <v/>
      </c>
      <c r="H49" s="71" t="n"/>
      <c r="I49" s="128" t="n"/>
      <c r="J49" s="117" t="inlineStr">
        <is>
          <t>TOPLAM</t>
        </is>
      </c>
      <c r="K49" s="756" t="n">
        <v>0</v>
      </c>
      <c r="L49" s="757">
        <f>SUM(L43:L48)</f>
        <v/>
      </c>
      <c r="M49" s="71" t="n"/>
      <c r="N49" s="128" t="n"/>
      <c r="O49" s="117" t="inlineStr">
        <is>
          <t>TOPLAM</t>
        </is>
      </c>
      <c r="P49" s="756" t="n">
        <v>0</v>
      </c>
      <c r="Q49" s="757">
        <f>SUM(Q43:Q48)</f>
        <v/>
      </c>
      <c r="R49" s="71" t="n"/>
    </row>
    <row r="50">
      <c r="A50" s="119" t="n"/>
      <c r="B50" s="118" t="inlineStr">
        <is>
          <t>7-TEMMUZ-</t>
        </is>
      </c>
      <c r="C50" s="758" t="n"/>
      <c r="D50" s="71" t="n"/>
      <c r="E50" s="128" t="n"/>
      <c r="F50" s="118" t="inlineStr">
        <is>
          <t>7-TEMMUZ-</t>
        </is>
      </c>
      <c r="G50" s="759" t="n"/>
      <c r="H50" s="71" t="n"/>
      <c r="I50" s="128" t="n"/>
      <c r="J50" s="118" t="inlineStr">
        <is>
          <t>7-TEMMUZ-</t>
        </is>
      </c>
      <c r="K50" s="759" t="n">
        <v>0</v>
      </c>
      <c r="L50" s="760" t="n"/>
      <c r="M50" s="71" t="n"/>
      <c r="N50" s="128" t="n"/>
      <c r="O50" s="118" t="inlineStr">
        <is>
          <t>7-TEMMUZ-</t>
        </is>
      </c>
      <c r="P50" s="759" t="n">
        <v>0</v>
      </c>
      <c r="Q50" s="760" t="n"/>
      <c r="R50" s="71" t="n"/>
    </row>
    <row r="51">
      <c r="A51" s="108" t="n">
        <v>1</v>
      </c>
      <c r="B51" s="120" t="inlineStr">
        <is>
          <t>PatchArtsCarpet</t>
        </is>
      </c>
      <c r="C51" s="750" t="n">
        <v>249412</v>
      </c>
      <c r="D51" s="751" t="n">
        <v>56</v>
      </c>
      <c r="E51" s="129" t="n">
        <v>1</v>
      </c>
      <c r="F51" s="111" t="inlineStr">
        <is>
          <t>PatchArtsCarpet</t>
        </is>
      </c>
      <c r="G51" s="752" t="n">
        <v>151946</v>
      </c>
      <c r="H51" s="751" t="n">
        <v>57</v>
      </c>
      <c r="I51" s="129" t="n">
        <v>1</v>
      </c>
      <c r="J51" s="111" t="inlineStr">
        <is>
          <t>PatchArtsCarpet</t>
        </is>
      </c>
      <c r="K51" s="750" t="n">
        <v>0</v>
      </c>
      <c r="L51" s="753" t="n">
        <v>0</v>
      </c>
      <c r="M51" s="754" t="n"/>
      <c r="N51" s="129" t="n">
        <v>1</v>
      </c>
      <c r="O51" s="111" t="inlineStr">
        <is>
          <t>PatchArtsCarpet</t>
        </is>
      </c>
      <c r="P51" s="750" t="n">
        <v>0</v>
      </c>
      <c r="Q51" s="753" t="n">
        <v>0</v>
      </c>
      <c r="R51" s="754" t="n"/>
    </row>
    <row r="52">
      <c r="A52" s="108" t="n">
        <v>2</v>
      </c>
      <c r="B52" s="121" t="inlineStr">
        <is>
          <t>Turkey Rug Shop</t>
        </is>
      </c>
      <c r="C52" s="750" t="n">
        <v>157187</v>
      </c>
      <c r="D52" s="693" t="n"/>
      <c r="E52" s="129" t="n">
        <v>2</v>
      </c>
      <c r="F52" s="112" t="inlineStr">
        <is>
          <t>Turkey Rug Shop</t>
        </is>
      </c>
      <c r="G52" s="752" t="n">
        <v>247672</v>
      </c>
      <c r="H52" s="693" t="n"/>
      <c r="I52" s="129" t="n">
        <v>2</v>
      </c>
      <c r="J52" s="112" t="inlineStr">
        <is>
          <t>Turkey Rug Shop</t>
        </is>
      </c>
      <c r="K52" s="750" t="n">
        <v>0</v>
      </c>
      <c r="L52" s="753" t="n">
        <v>0</v>
      </c>
      <c r="M52" s="697" t="n"/>
      <c r="N52" s="129" t="n">
        <v>2</v>
      </c>
      <c r="O52" s="112" t="inlineStr">
        <is>
          <t>Turkey Rug Shop</t>
        </is>
      </c>
      <c r="P52" s="750" t="n">
        <v>0</v>
      </c>
      <c r="Q52" s="753" t="n">
        <v>0</v>
      </c>
      <c r="R52" s="697" t="n"/>
    </row>
    <row r="53">
      <c r="A53" s="108" t="n">
        <v>3</v>
      </c>
      <c r="B53" s="122" t="inlineStr">
        <is>
          <t>Old New Rugs</t>
        </is>
      </c>
      <c r="C53" s="750" t="n">
        <v>40000</v>
      </c>
      <c r="D53" s="693" t="n"/>
      <c r="E53" s="129" t="n">
        <v>3</v>
      </c>
      <c r="F53" s="113" t="inlineStr">
        <is>
          <t>Old New Rugs</t>
        </is>
      </c>
      <c r="G53" s="752" t="n">
        <v>64294</v>
      </c>
      <c r="H53" s="693" t="n"/>
      <c r="I53" s="129" t="n">
        <v>3</v>
      </c>
      <c r="J53" s="113" t="inlineStr">
        <is>
          <t>Old New Rugs</t>
        </is>
      </c>
      <c r="K53" s="750" t="n">
        <v>0</v>
      </c>
      <c r="L53" s="753" t="n">
        <v>0</v>
      </c>
      <c r="M53" s="697" t="n"/>
      <c r="N53" s="129" t="n">
        <v>3</v>
      </c>
      <c r="O53" s="113" t="inlineStr">
        <is>
          <t>Old New Rugs</t>
        </is>
      </c>
      <c r="P53" s="750" t="n">
        <v>0</v>
      </c>
      <c r="Q53" s="753" t="n">
        <v>0</v>
      </c>
      <c r="R53" s="697" t="n"/>
    </row>
    <row r="54">
      <c r="A54" s="108" t="n">
        <v>4</v>
      </c>
      <c r="B54" s="123" t="inlineStr">
        <is>
          <t>Vintage Rugs Emporium</t>
        </is>
      </c>
      <c r="C54" s="750" t="n">
        <v>0</v>
      </c>
      <c r="D54" s="693" t="n"/>
      <c r="E54" s="129" t="n">
        <v>4</v>
      </c>
      <c r="F54" s="114" t="inlineStr">
        <is>
          <t>Vintage Rugs Emporium</t>
        </is>
      </c>
      <c r="G54" s="752" t="n">
        <v>3216</v>
      </c>
      <c r="H54" s="693" t="n"/>
      <c r="I54" s="129" t="n">
        <v>4</v>
      </c>
      <c r="J54" s="114" t="inlineStr">
        <is>
          <t>Vintage Rugs Emporium</t>
        </is>
      </c>
      <c r="K54" s="750" t="n">
        <v>0</v>
      </c>
      <c r="L54" s="753" t="n">
        <v>0</v>
      </c>
      <c r="M54" s="697" t="n"/>
      <c r="N54" s="129" t="n">
        <v>4</v>
      </c>
      <c r="O54" s="114" t="inlineStr">
        <is>
          <t>Vintage Rugs Emporium</t>
        </is>
      </c>
      <c r="P54" s="750" t="n">
        <v>0</v>
      </c>
      <c r="Q54" s="753" t="n">
        <v>0</v>
      </c>
      <c r="R54" s="697" t="n"/>
    </row>
    <row r="55">
      <c r="A55" s="108" t="n">
        <v>5</v>
      </c>
      <c r="B55" s="124" t="inlineStr">
        <is>
          <t>Rugs Kilimm</t>
        </is>
      </c>
      <c r="C55" s="750" t="n">
        <v>0</v>
      </c>
      <c r="D55" s="693" t="n"/>
      <c r="E55" s="129" t="n">
        <v>5</v>
      </c>
      <c r="F55" s="115" t="inlineStr">
        <is>
          <t>Rugs Kilimm</t>
        </is>
      </c>
      <c r="G55" s="752" t="n">
        <v>-1768</v>
      </c>
      <c r="H55" s="693" t="n"/>
      <c r="I55" s="129" t="n">
        <v>5</v>
      </c>
      <c r="J55" s="115" t="inlineStr">
        <is>
          <t>Rugs Kilimm</t>
        </is>
      </c>
      <c r="K55" s="750" t="n">
        <v>0</v>
      </c>
      <c r="L55" s="753" t="n">
        <v>0</v>
      </c>
      <c r="M55" s="697" t="n"/>
      <c r="N55" s="129" t="n">
        <v>5</v>
      </c>
      <c r="O55" s="115" t="inlineStr">
        <is>
          <t>Rugs Kilimm</t>
        </is>
      </c>
      <c r="P55" s="750" t="n">
        <v>0</v>
      </c>
      <c r="Q55" s="753" t="n">
        <v>0</v>
      </c>
      <c r="R55" s="697" t="n"/>
    </row>
    <row r="56">
      <c r="A56" s="108" t="n">
        <v>6</v>
      </c>
      <c r="B56" s="125" t="inlineStr">
        <is>
          <t>Shoppier</t>
        </is>
      </c>
      <c r="C56" s="750" t="n">
        <v>0</v>
      </c>
      <c r="D56" s="694" t="n"/>
      <c r="E56" s="129" t="n">
        <v>6</v>
      </c>
      <c r="F56" s="116" t="inlineStr">
        <is>
          <t>Shoppier</t>
        </is>
      </c>
      <c r="G56" s="752" t="n">
        <v>0</v>
      </c>
      <c r="H56" s="694" t="n"/>
      <c r="I56" s="129" t="n">
        <v>6</v>
      </c>
      <c r="J56" s="116" t="inlineStr">
        <is>
          <t>Shoppier</t>
        </is>
      </c>
      <c r="K56" s="750" t="n">
        <v>0</v>
      </c>
      <c r="L56" s="753" t="n">
        <v>0</v>
      </c>
      <c r="M56" s="698" t="n"/>
      <c r="N56" s="129" t="n">
        <v>6</v>
      </c>
      <c r="O56" s="116" t="inlineStr">
        <is>
          <t>Shoppier</t>
        </is>
      </c>
      <c r="P56" s="750" t="n">
        <v>0</v>
      </c>
      <c r="Q56" s="753" t="n">
        <v>0</v>
      </c>
      <c r="R56" s="698" t="n"/>
    </row>
    <row r="57">
      <c r="A57" s="119" t="n"/>
      <c r="B57" s="126" t="inlineStr">
        <is>
          <t>TOPLAM</t>
        </is>
      </c>
      <c r="C57" s="755">
        <f>SUM(C51:C56)</f>
        <v/>
      </c>
      <c r="D57" s="71" t="n"/>
      <c r="E57" s="128" t="n"/>
      <c r="F57" s="117" t="inlineStr">
        <is>
          <t>TOPLAM</t>
        </is>
      </c>
      <c r="G57" s="756">
        <f>SUM(G51:G56)</f>
        <v/>
      </c>
      <c r="H57" s="71" t="n"/>
      <c r="I57" s="128" t="n"/>
      <c r="J57" s="117" t="inlineStr">
        <is>
          <t>TOPLAM</t>
        </is>
      </c>
      <c r="K57" s="756" t="n">
        <v>0</v>
      </c>
      <c r="L57" s="757">
        <f>SUM(L51:L56)</f>
        <v/>
      </c>
      <c r="M57" s="71" t="n"/>
      <c r="N57" s="128" t="n"/>
      <c r="O57" s="117" t="inlineStr">
        <is>
          <t>TOPLAM</t>
        </is>
      </c>
      <c r="P57" s="756" t="n">
        <v>0</v>
      </c>
      <c r="Q57" s="757">
        <f>SUM(Q51:Q56)</f>
        <v/>
      </c>
      <c r="R57" s="71" t="n"/>
    </row>
    <row r="58">
      <c r="A58" s="119" t="n"/>
      <c r="B58" s="118" t="inlineStr">
        <is>
          <t>8-AĞUSTOS-</t>
        </is>
      </c>
      <c r="C58" s="758" t="n"/>
      <c r="D58" s="71" t="n"/>
      <c r="E58" s="128" t="n"/>
      <c r="F58" s="118" t="inlineStr">
        <is>
          <t>8-AĞUSTOS-</t>
        </is>
      </c>
      <c r="G58" s="759" t="n"/>
      <c r="H58" s="71" t="n"/>
      <c r="I58" s="128" t="n"/>
      <c r="J58" s="118" t="inlineStr">
        <is>
          <t>8-AĞUSTOS-</t>
        </is>
      </c>
      <c r="K58" s="759" t="n">
        <v>0</v>
      </c>
      <c r="L58" s="760" t="n"/>
      <c r="M58" s="71" t="n"/>
      <c r="N58" s="128" t="n"/>
      <c r="O58" s="118" t="inlineStr">
        <is>
          <t>8-AĞUSTOS-</t>
        </is>
      </c>
      <c r="P58" s="759" t="n">
        <v>0</v>
      </c>
      <c r="Q58" s="760" t="n"/>
      <c r="R58" s="71" t="n"/>
    </row>
    <row r="59">
      <c r="A59" s="108" t="n">
        <v>1</v>
      </c>
      <c r="B59" s="120" t="inlineStr">
        <is>
          <t>PatchArtsCarpet</t>
        </is>
      </c>
      <c r="C59" s="750" t="n">
        <v>106526</v>
      </c>
      <c r="D59" s="751" t="n">
        <v>50</v>
      </c>
      <c r="E59" s="129" t="n">
        <v>1</v>
      </c>
      <c r="F59" s="111" t="inlineStr">
        <is>
          <t>PatchArtsCarpet</t>
        </is>
      </c>
      <c r="G59" s="752" t="n">
        <v>260204</v>
      </c>
      <c r="H59" s="751" t="n">
        <v>83</v>
      </c>
      <c r="I59" s="129" t="n">
        <v>1</v>
      </c>
      <c r="J59" s="111" t="inlineStr">
        <is>
          <t>PatchArtsCarpet</t>
        </is>
      </c>
      <c r="K59" s="750" t="n">
        <v>0</v>
      </c>
      <c r="L59" s="753" t="n">
        <v>0</v>
      </c>
      <c r="M59" s="754" t="n"/>
      <c r="N59" s="129" t="n">
        <v>1</v>
      </c>
      <c r="O59" s="111" t="inlineStr">
        <is>
          <t>PatchArtsCarpet</t>
        </is>
      </c>
      <c r="P59" s="750" t="n">
        <v>0</v>
      </c>
      <c r="Q59" s="753" t="n">
        <v>0</v>
      </c>
      <c r="R59" s="754" t="n"/>
    </row>
    <row r="60">
      <c r="A60" s="108" t="n">
        <v>2</v>
      </c>
      <c r="B60" s="121" t="inlineStr">
        <is>
          <t>Turkey Rug Shop</t>
        </is>
      </c>
      <c r="C60" s="750" t="n">
        <v>102795</v>
      </c>
      <c r="D60" s="693" t="n"/>
      <c r="E60" s="129" t="n">
        <v>2</v>
      </c>
      <c r="F60" s="112" t="inlineStr">
        <is>
          <t>Turkey Rug Shop</t>
        </is>
      </c>
      <c r="G60" s="752" t="n">
        <v>392435</v>
      </c>
      <c r="H60" s="693" t="n"/>
      <c r="I60" s="129" t="n">
        <v>2</v>
      </c>
      <c r="J60" s="112" t="inlineStr">
        <is>
          <t>Turkey Rug Shop</t>
        </is>
      </c>
      <c r="K60" s="750" t="n">
        <v>0</v>
      </c>
      <c r="L60" s="753" t="n">
        <v>0</v>
      </c>
      <c r="M60" s="697" t="n"/>
      <c r="N60" s="129" t="n">
        <v>2</v>
      </c>
      <c r="O60" s="112" t="inlineStr">
        <is>
          <t>Turkey Rug Shop</t>
        </is>
      </c>
      <c r="P60" s="750" t="n">
        <v>0</v>
      </c>
      <c r="Q60" s="753" t="n">
        <v>0</v>
      </c>
      <c r="R60" s="697" t="n"/>
    </row>
    <row r="61">
      <c r="A61" s="108" t="n">
        <v>3</v>
      </c>
      <c r="B61" s="122" t="inlineStr">
        <is>
          <t>Old New Rugs</t>
        </is>
      </c>
      <c r="C61" s="750" t="n">
        <v>37107</v>
      </c>
      <c r="D61" s="693" t="n"/>
      <c r="E61" s="129" t="n">
        <v>3</v>
      </c>
      <c r="F61" s="113" t="inlineStr">
        <is>
          <t>Old New Rugs</t>
        </is>
      </c>
      <c r="G61" s="752" t="n">
        <v>63049</v>
      </c>
      <c r="H61" s="693" t="n"/>
      <c r="I61" s="129" t="n">
        <v>3</v>
      </c>
      <c r="J61" s="113" t="inlineStr">
        <is>
          <t>Old New Rugs</t>
        </is>
      </c>
      <c r="K61" s="750" t="n">
        <v>0</v>
      </c>
      <c r="L61" s="753" t="n">
        <v>0</v>
      </c>
      <c r="M61" s="697" t="n"/>
      <c r="N61" s="129" t="n">
        <v>3</v>
      </c>
      <c r="O61" s="113" t="inlineStr">
        <is>
          <t>Old New Rugs</t>
        </is>
      </c>
      <c r="P61" s="750" t="n">
        <v>0</v>
      </c>
      <c r="Q61" s="753" t="n">
        <v>0</v>
      </c>
      <c r="R61" s="697" t="n"/>
    </row>
    <row r="62">
      <c r="A62" s="108" t="n">
        <v>4</v>
      </c>
      <c r="B62" s="123" t="inlineStr">
        <is>
          <t>Vintage Rugs Emporium</t>
        </is>
      </c>
      <c r="C62" s="750" t="n">
        <v>0</v>
      </c>
      <c r="D62" s="693" t="n"/>
      <c r="E62" s="129" t="n">
        <v>4</v>
      </c>
      <c r="F62" s="114" t="inlineStr">
        <is>
          <t>Vintage Rugs Emporium</t>
        </is>
      </c>
      <c r="G62" s="752" t="n">
        <v>17946</v>
      </c>
      <c r="H62" s="693" t="n"/>
      <c r="I62" s="129" t="n">
        <v>4</v>
      </c>
      <c r="J62" s="114" t="inlineStr">
        <is>
          <t>Vintage Rugs Emporium</t>
        </is>
      </c>
      <c r="K62" s="750" t="n">
        <v>0</v>
      </c>
      <c r="L62" s="753" t="n">
        <v>0</v>
      </c>
      <c r="M62" s="697" t="n"/>
      <c r="N62" s="129" t="n">
        <v>4</v>
      </c>
      <c r="O62" s="114" t="inlineStr">
        <is>
          <t>Vintage Rugs Emporium</t>
        </is>
      </c>
      <c r="P62" s="750" t="n">
        <v>0</v>
      </c>
      <c r="Q62" s="753" t="n">
        <v>0</v>
      </c>
      <c r="R62" s="697" t="n"/>
    </row>
    <row r="63">
      <c r="A63" s="108" t="n">
        <v>5</v>
      </c>
      <c r="B63" s="124" t="inlineStr">
        <is>
          <t>Rugs Kilimm</t>
        </is>
      </c>
      <c r="C63" s="750" t="n">
        <v>0</v>
      </c>
      <c r="D63" s="693" t="n"/>
      <c r="E63" s="129" t="n">
        <v>5</v>
      </c>
      <c r="F63" s="115" t="inlineStr">
        <is>
          <t>Rugs Kilimm</t>
        </is>
      </c>
      <c r="G63" s="752" t="n">
        <v>-1071</v>
      </c>
      <c r="H63" s="693" t="n"/>
      <c r="I63" s="129" t="n">
        <v>5</v>
      </c>
      <c r="J63" s="115" t="inlineStr">
        <is>
          <t>Rugs Kilimm</t>
        </is>
      </c>
      <c r="K63" s="750" t="n">
        <v>0</v>
      </c>
      <c r="L63" s="753" t="n">
        <v>0</v>
      </c>
      <c r="M63" s="697" t="n"/>
      <c r="N63" s="129" t="n">
        <v>5</v>
      </c>
      <c r="O63" s="115" t="inlineStr">
        <is>
          <t>Rugs Kilimm</t>
        </is>
      </c>
      <c r="P63" s="750" t="n">
        <v>0</v>
      </c>
      <c r="Q63" s="753" t="n">
        <v>0</v>
      </c>
      <c r="R63" s="697" t="n"/>
    </row>
    <row r="64">
      <c r="A64" s="108" t="n">
        <v>6</v>
      </c>
      <c r="B64" s="125" t="inlineStr">
        <is>
          <t>Shoppier</t>
        </is>
      </c>
      <c r="C64" s="750" t="n">
        <v>0</v>
      </c>
      <c r="D64" s="694" t="n"/>
      <c r="E64" s="129" t="n">
        <v>6</v>
      </c>
      <c r="F64" s="116" t="inlineStr">
        <is>
          <t>Shoppier</t>
        </is>
      </c>
      <c r="G64" s="752" t="n">
        <v>0</v>
      </c>
      <c r="H64" s="694" t="n"/>
      <c r="I64" s="129" t="n">
        <v>6</v>
      </c>
      <c r="J64" s="116" t="inlineStr">
        <is>
          <t>Shoppier</t>
        </is>
      </c>
      <c r="K64" s="750" t="n">
        <v>0</v>
      </c>
      <c r="L64" s="753" t="n">
        <v>0</v>
      </c>
      <c r="M64" s="698" t="n"/>
      <c r="N64" s="129" t="n">
        <v>6</v>
      </c>
      <c r="O64" s="116" t="inlineStr">
        <is>
          <t>Shoppier</t>
        </is>
      </c>
      <c r="P64" s="750" t="n">
        <v>0</v>
      </c>
      <c r="Q64" s="753" t="n">
        <v>0</v>
      </c>
      <c r="R64" s="698" t="n"/>
    </row>
    <row r="65">
      <c r="A65" s="119" t="n"/>
      <c r="B65" s="126" t="inlineStr">
        <is>
          <t>TOPLAM</t>
        </is>
      </c>
      <c r="C65" s="755">
        <f>SUM(C59:C64)</f>
        <v/>
      </c>
      <c r="D65" s="71" t="n"/>
      <c r="E65" s="128" t="n"/>
      <c r="F65" s="117" t="inlineStr">
        <is>
          <t>TOPLAM</t>
        </is>
      </c>
      <c r="G65" s="756">
        <f>SUM(G59:G64)</f>
        <v/>
      </c>
      <c r="H65" s="71" t="n"/>
      <c r="I65" s="128" t="n"/>
      <c r="J65" s="117" t="inlineStr">
        <is>
          <t>TOPLAM</t>
        </is>
      </c>
      <c r="K65" s="756" t="n">
        <v>0</v>
      </c>
      <c r="L65" s="757">
        <f>SUM(L59:L64)</f>
        <v/>
      </c>
      <c r="M65" s="71" t="n"/>
      <c r="N65" s="128" t="n"/>
      <c r="O65" s="117" t="inlineStr">
        <is>
          <t>TOPLAM</t>
        </is>
      </c>
      <c r="P65" s="756" t="n">
        <v>0</v>
      </c>
      <c r="Q65" s="757">
        <f>SUM(Q59:Q64)</f>
        <v/>
      </c>
      <c r="R65" s="71" t="n"/>
    </row>
    <row r="66">
      <c r="A66" s="119" t="n"/>
      <c r="B66" s="118" t="inlineStr">
        <is>
          <t>9-EYLÜL-</t>
        </is>
      </c>
      <c r="C66" s="758" t="n"/>
      <c r="D66" s="71" t="n"/>
      <c r="E66" s="128" t="n"/>
      <c r="F66" s="118" t="inlineStr">
        <is>
          <t>9-EYLÜL-</t>
        </is>
      </c>
      <c r="G66" s="759" t="n"/>
      <c r="H66" s="71" t="n"/>
      <c r="I66" s="128" t="n"/>
      <c r="J66" s="118" t="inlineStr">
        <is>
          <t>9-EYLÜL-</t>
        </is>
      </c>
      <c r="K66" s="759" t="n">
        <v>0</v>
      </c>
      <c r="L66" s="760" t="n"/>
      <c r="M66" s="71" t="n"/>
      <c r="N66" s="128" t="n"/>
      <c r="O66" s="118" t="inlineStr">
        <is>
          <t>9-EYLÜL-</t>
        </is>
      </c>
      <c r="P66" s="759" t="n">
        <v>0</v>
      </c>
      <c r="Q66" s="760" t="n"/>
      <c r="R66" s="71" t="n"/>
    </row>
    <row r="67">
      <c r="A67" s="108" t="n">
        <v>1</v>
      </c>
      <c r="B67" s="120" t="inlineStr">
        <is>
          <t>PatchArtsCarpet</t>
        </is>
      </c>
      <c r="C67" s="750" t="n">
        <v>278922</v>
      </c>
      <c r="D67" s="751" t="n">
        <v>80</v>
      </c>
      <c r="E67" s="129" t="n">
        <v>1</v>
      </c>
      <c r="F67" s="111" t="inlineStr">
        <is>
          <t>PatchArtsCarpet</t>
        </is>
      </c>
      <c r="G67" s="752" t="n">
        <v>257530</v>
      </c>
      <c r="H67" s="751" t="n">
        <v>99</v>
      </c>
      <c r="I67" s="129" t="n">
        <v>1</v>
      </c>
      <c r="J67" s="111" t="inlineStr">
        <is>
          <t>PatchArtsCarpet</t>
        </is>
      </c>
      <c r="K67" s="750" t="n">
        <v>0</v>
      </c>
      <c r="L67" s="753" t="n">
        <v>0</v>
      </c>
      <c r="M67" s="754" t="n"/>
      <c r="N67" s="129" t="n">
        <v>1</v>
      </c>
      <c r="O67" s="111" t="inlineStr">
        <is>
          <t>PatchArtsCarpet</t>
        </is>
      </c>
      <c r="P67" s="750" t="n">
        <v>0</v>
      </c>
      <c r="Q67" s="753" t="n">
        <v>0</v>
      </c>
      <c r="R67" s="754" t="n"/>
    </row>
    <row r="68">
      <c r="A68" s="108" t="n">
        <v>2</v>
      </c>
      <c r="B68" s="121" t="inlineStr">
        <is>
          <t>Turkey Rug Shop</t>
        </is>
      </c>
      <c r="C68" s="750" t="n">
        <v>64516</v>
      </c>
      <c r="D68" s="693" t="n"/>
      <c r="E68" s="129" t="n">
        <v>2</v>
      </c>
      <c r="F68" s="112" t="inlineStr">
        <is>
          <t>Turkey Rug Shop</t>
        </is>
      </c>
      <c r="G68" s="752" t="n">
        <v>538647</v>
      </c>
      <c r="H68" s="693" t="n"/>
      <c r="I68" s="129" t="n">
        <v>2</v>
      </c>
      <c r="J68" s="112" t="inlineStr">
        <is>
          <t>Turkey Rug Shop</t>
        </is>
      </c>
      <c r="K68" s="750" t="n">
        <v>0</v>
      </c>
      <c r="L68" s="753" t="n">
        <v>0</v>
      </c>
      <c r="M68" s="697" t="n"/>
      <c r="N68" s="129" t="n">
        <v>2</v>
      </c>
      <c r="O68" s="112" t="inlineStr">
        <is>
          <t>Turkey Rug Shop</t>
        </is>
      </c>
      <c r="P68" s="750" t="n">
        <v>0</v>
      </c>
      <c r="Q68" s="753" t="n">
        <v>0</v>
      </c>
      <c r="R68" s="697" t="n"/>
    </row>
    <row r="69">
      <c r="A69" s="108" t="n">
        <v>3</v>
      </c>
      <c r="B69" s="122" t="inlineStr">
        <is>
          <t>Old New Rugs</t>
        </is>
      </c>
      <c r="C69" s="750" t="n">
        <v>57194</v>
      </c>
      <c r="D69" s="693" t="n"/>
      <c r="E69" s="129" t="n">
        <v>3</v>
      </c>
      <c r="F69" s="113" t="inlineStr">
        <is>
          <t>Old New Rugs</t>
        </is>
      </c>
      <c r="G69" s="752" t="n">
        <v>53181</v>
      </c>
      <c r="H69" s="693" t="n"/>
      <c r="I69" s="129" t="n">
        <v>3</v>
      </c>
      <c r="J69" s="113" t="inlineStr">
        <is>
          <t>Old New Rugs</t>
        </is>
      </c>
      <c r="K69" s="750" t="n">
        <v>0</v>
      </c>
      <c r="L69" s="753" t="n">
        <v>0</v>
      </c>
      <c r="M69" s="697" t="n"/>
      <c r="N69" s="129" t="n">
        <v>3</v>
      </c>
      <c r="O69" s="113" t="inlineStr">
        <is>
          <t>Old New Rugs</t>
        </is>
      </c>
      <c r="P69" s="750" t="n">
        <v>0</v>
      </c>
      <c r="Q69" s="753" t="n">
        <v>0</v>
      </c>
      <c r="R69" s="697" t="n"/>
    </row>
    <row r="70">
      <c r="A70" s="108" t="n">
        <v>4</v>
      </c>
      <c r="B70" s="123" t="inlineStr">
        <is>
          <t>Vintage Rugs Emporium</t>
        </is>
      </c>
      <c r="C70" s="750" t="n">
        <v>38967</v>
      </c>
      <c r="D70" s="693" t="n"/>
      <c r="E70" s="129" t="n">
        <v>4</v>
      </c>
      <c r="F70" s="114" t="inlineStr">
        <is>
          <t>Vintage Rugs Emporium</t>
        </is>
      </c>
      <c r="G70" s="752" t="n">
        <v>37353</v>
      </c>
      <c r="H70" s="693" t="n"/>
      <c r="I70" s="129" t="n">
        <v>4</v>
      </c>
      <c r="J70" s="114" t="inlineStr">
        <is>
          <t>Vintage Rugs Emporium</t>
        </is>
      </c>
      <c r="K70" s="750" t="n">
        <v>0</v>
      </c>
      <c r="L70" s="753" t="n">
        <v>0</v>
      </c>
      <c r="M70" s="697" t="n"/>
      <c r="N70" s="129" t="n">
        <v>4</v>
      </c>
      <c r="O70" s="114" t="inlineStr">
        <is>
          <t>Vintage Rugs Emporium</t>
        </is>
      </c>
      <c r="P70" s="750" t="n">
        <v>0</v>
      </c>
      <c r="Q70" s="753" t="n">
        <v>0</v>
      </c>
      <c r="R70" s="697" t="n"/>
    </row>
    <row r="71">
      <c r="A71" s="108" t="n">
        <v>5</v>
      </c>
      <c r="B71" s="124" t="inlineStr">
        <is>
          <t>Rugs Kilimm</t>
        </is>
      </c>
      <c r="C71" s="750" t="n">
        <v>0</v>
      </c>
      <c r="D71" s="693" t="n"/>
      <c r="E71" s="129" t="n">
        <v>5</v>
      </c>
      <c r="F71" s="115" t="inlineStr">
        <is>
          <t>Rugs Kilimm</t>
        </is>
      </c>
      <c r="G71" s="752" t="n">
        <v>12439</v>
      </c>
      <c r="H71" s="693" t="n"/>
      <c r="I71" s="129" t="n">
        <v>5</v>
      </c>
      <c r="J71" s="115" t="inlineStr">
        <is>
          <t>Rugs Kilimm</t>
        </is>
      </c>
      <c r="K71" s="750" t="n">
        <v>0</v>
      </c>
      <c r="L71" s="753" t="n">
        <v>0</v>
      </c>
      <c r="M71" s="697" t="n"/>
      <c r="N71" s="129" t="n">
        <v>5</v>
      </c>
      <c r="O71" s="115" t="inlineStr">
        <is>
          <t>Rugs Kilimm</t>
        </is>
      </c>
      <c r="P71" s="750" t="n">
        <v>0</v>
      </c>
      <c r="Q71" s="753" t="n">
        <v>0</v>
      </c>
      <c r="R71" s="697" t="n"/>
    </row>
    <row r="72">
      <c r="A72" s="108" t="n">
        <v>6</v>
      </c>
      <c r="B72" s="125" t="inlineStr">
        <is>
          <t>Shoppier</t>
        </is>
      </c>
      <c r="C72" s="750" t="n">
        <v>0</v>
      </c>
      <c r="D72" s="694" t="n"/>
      <c r="E72" s="129" t="n">
        <v>6</v>
      </c>
      <c r="F72" s="116" t="inlineStr">
        <is>
          <t>Shoppier</t>
        </is>
      </c>
      <c r="G72" s="752" t="n">
        <v>44377</v>
      </c>
      <c r="H72" s="694" t="n"/>
      <c r="I72" s="129" t="n">
        <v>6</v>
      </c>
      <c r="J72" s="116" t="inlineStr">
        <is>
          <t>Shoppier</t>
        </is>
      </c>
      <c r="K72" s="750" t="n">
        <v>0</v>
      </c>
      <c r="L72" s="753" t="n">
        <v>0</v>
      </c>
      <c r="M72" s="698" t="n"/>
      <c r="N72" s="129" t="n">
        <v>6</v>
      </c>
      <c r="O72" s="116" t="inlineStr">
        <is>
          <t>Shoppier</t>
        </is>
      </c>
      <c r="P72" s="750" t="n">
        <v>0</v>
      </c>
      <c r="Q72" s="753" t="n">
        <v>0</v>
      </c>
      <c r="R72" s="698" t="n"/>
    </row>
    <row r="73">
      <c r="A73" s="119" t="n"/>
      <c r="B73" s="126" t="inlineStr">
        <is>
          <t>TOPLAM</t>
        </is>
      </c>
      <c r="C73" s="755">
        <f>SUM(C67:C72)</f>
        <v/>
      </c>
      <c r="D73" s="71" t="n"/>
      <c r="E73" s="128" t="n"/>
      <c r="F73" s="117" t="inlineStr">
        <is>
          <t>TOPLAM</t>
        </is>
      </c>
      <c r="G73" s="756">
        <f>SUM(G67:G72)</f>
        <v/>
      </c>
      <c r="H73" s="71" t="n"/>
      <c r="I73" s="128" t="n"/>
      <c r="J73" s="117" t="inlineStr">
        <is>
          <t>TOPLAM</t>
        </is>
      </c>
      <c r="K73" s="756" t="n">
        <v>0</v>
      </c>
      <c r="L73" s="757">
        <f>SUM(L67:L72)</f>
        <v/>
      </c>
      <c r="M73" s="71" t="n"/>
      <c r="N73" s="128" t="n"/>
      <c r="O73" s="117" t="inlineStr">
        <is>
          <t>TOPLAM</t>
        </is>
      </c>
      <c r="P73" s="756" t="n">
        <v>0</v>
      </c>
      <c r="Q73" s="757">
        <f>SUM(Q67:Q72)</f>
        <v/>
      </c>
      <c r="R73" s="71" t="n"/>
    </row>
    <row r="74">
      <c r="A74" s="119" t="n"/>
      <c r="B74" s="118" t="inlineStr">
        <is>
          <t>10-EKİM-</t>
        </is>
      </c>
      <c r="C74" s="758" t="n"/>
      <c r="D74" s="71" t="n"/>
      <c r="E74" s="128" t="n"/>
      <c r="F74" s="118" t="inlineStr">
        <is>
          <t>10-EKİM-</t>
        </is>
      </c>
      <c r="G74" s="759" t="n"/>
      <c r="H74" s="71" t="n"/>
      <c r="I74" s="128" t="n"/>
      <c r="J74" s="118" t="inlineStr">
        <is>
          <t>10-EKİM-</t>
        </is>
      </c>
      <c r="K74" s="759" t="n">
        <v>0</v>
      </c>
      <c r="L74" s="760" t="n"/>
      <c r="M74" s="71" t="n"/>
      <c r="N74" s="128" t="n"/>
      <c r="O74" s="118" t="inlineStr">
        <is>
          <t>10-EKİM-</t>
        </is>
      </c>
      <c r="P74" s="759" t="n">
        <v>0</v>
      </c>
      <c r="Q74" s="760" t="n"/>
      <c r="R74" s="71" t="n"/>
    </row>
    <row r="75">
      <c r="A75" s="108" t="n">
        <v>1</v>
      </c>
      <c r="B75" s="120" t="inlineStr">
        <is>
          <t>PatchArtsCarpet</t>
        </is>
      </c>
      <c r="C75" s="750" t="n">
        <v>274828</v>
      </c>
      <c r="D75" s="751" t="n">
        <v>54</v>
      </c>
      <c r="E75" s="129" t="n">
        <v>1</v>
      </c>
      <c r="F75" s="111" t="inlineStr">
        <is>
          <t>PatchArtsCarpet</t>
        </is>
      </c>
      <c r="G75" s="752" t="n">
        <v>182241</v>
      </c>
      <c r="H75" s="751" t="n">
        <v>79</v>
      </c>
      <c r="I75" s="129" t="n">
        <v>1</v>
      </c>
      <c r="J75" s="111" t="inlineStr">
        <is>
          <t>PatchArtsCarpet</t>
        </is>
      </c>
      <c r="K75" s="750" t="n">
        <v>0</v>
      </c>
      <c r="L75" s="753" t="n">
        <v>0</v>
      </c>
      <c r="M75" s="754" t="n"/>
      <c r="N75" s="129" t="n">
        <v>1</v>
      </c>
      <c r="O75" s="111" t="inlineStr">
        <is>
          <t>PatchArtsCarpet</t>
        </is>
      </c>
      <c r="P75" s="750" t="n">
        <v>0</v>
      </c>
      <c r="Q75" s="753" t="n">
        <v>0</v>
      </c>
      <c r="R75" s="754" t="n"/>
    </row>
    <row r="76">
      <c r="A76" s="108" t="n">
        <v>2</v>
      </c>
      <c r="B76" s="121" t="inlineStr">
        <is>
          <t>Turkey Rug Shop</t>
        </is>
      </c>
      <c r="C76" s="750" t="n">
        <v>55094</v>
      </c>
      <c r="D76" s="693" t="n"/>
      <c r="E76" s="129" t="n">
        <v>2</v>
      </c>
      <c r="F76" s="112" t="inlineStr">
        <is>
          <t>Turkey Rug Shop</t>
        </is>
      </c>
      <c r="G76" s="752" t="n">
        <v>310370</v>
      </c>
      <c r="H76" s="693" t="n"/>
      <c r="I76" s="129" t="n">
        <v>2</v>
      </c>
      <c r="J76" s="112" t="inlineStr">
        <is>
          <t>Turkey Rug Shop</t>
        </is>
      </c>
      <c r="K76" s="750" t="n">
        <v>0</v>
      </c>
      <c r="L76" s="753" t="n">
        <v>0</v>
      </c>
      <c r="M76" s="697" t="n"/>
      <c r="N76" s="129" t="n">
        <v>2</v>
      </c>
      <c r="O76" s="112" t="inlineStr">
        <is>
          <t>Turkey Rug Shop</t>
        </is>
      </c>
      <c r="P76" s="750" t="n">
        <v>0</v>
      </c>
      <c r="Q76" s="753" t="n">
        <v>0</v>
      </c>
      <c r="R76" s="697" t="n"/>
    </row>
    <row r="77">
      <c r="A77" s="108" t="n">
        <v>3</v>
      </c>
      <c r="B77" s="122" t="inlineStr">
        <is>
          <t>Old New Rugs</t>
        </is>
      </c>
      <c r="C77" s="750" t="n">
        <v>60322</v>
      </c>
      <c r="D77" s="693" t="n"/>
      <c r="E77" s="129" t="n">
        <v>3</v>
      </c>
      <c r="F77" s="113" t="inlineStr">
        <is>
          <t>Old New Rugs</t>
        </is>
      </c>
      <c r="G77" s="752" t="n">
        <v>66587</v>
      </c>
      <c r="H77" s="693" t="n"/>
      <c r="I77" s="129" t="n">
        <v>3</v>
      </c>
      <c r="J77" s="113" t="inlineStr">
        <is>
          <t>Old New Rugs</t>
        </is>
      </c>
      <c r="K77" s="750" t="n">
        <v>0</v>
      </c>
      <c r="L77" s="753" t="n">
        <v>0</v>
      </c>
      <c r="M77" s="697" t="n"/>
      <c r="N77" s="129" t="n">
        <v>3</v>
      </c>
      <c r="O77" s="113" t="inlineStr">
        <is>
          <t>Old New Rugs</t>
        </is>
      </c>
      <c r="P77" s="750" t="n">
        <v>0</v>
      </c>
      <c r="Q77" s="753" t="n">
        <v>0</v>
      </c>
      <c r="R77" s="697" t="n"/>
    </row>
    <row r="78">
      <c r="A78" s="108" t="n">
        <v>4</v>
      </c>
      <c r="B78" s="123" t="inlineStr">
        <is>
          <t>Vintage Rugs Emporium</t>
        </is>
      </c>
      <c r="C78" s="750" t="n">
        <v>7805</v>
      </c>
      <c r="D78" s="693" t="n"/>
      <c r="E78" s="129" t="n">
        <v>4</v>
      </c>
      <c r="F78" s="114" t="inlineStr">
        <is>
          <t>Vintage Rugs Emporium</t>
        </is>
      </c>
      <c r="G78" s="752" t="n">
        <v>26237</v>
      </c>
      <c r="H78" s="693" t="n"/>
      <c r="I78" s="129" t="n">
        <v>4</v>
      </c>
      <c r="J78" s="114" t="inlineStr">
        <is>
          <t>Vintage Rugs Emporium</t>
        </is>
      </c>
      <c r="K78" s="750" t="n">
        <v>0</v>
      </c>
      <c r="L78" s="753" t="n">
        <v>0</v>
      </c>
      <c r="M78" s="697" t="n"/>
      <c r="N78" s="129" t="n">
        <v>4</v>
      </c>
      <c r="O78" s="114" t="inlineStr">
        <is>
          <t>Vintage Rugs Emporium</t>
        </is>
      </c>
      <c r="P78" s="750" t="n">
        <v>0</v>
      </c>
      <c r="Q78" s="753" t="n">
        <v>0</v>
      </c>
      <c r="R78" s="697" t="n"/>
    </row>
    <row r="79">
      <c r="A79" s="108" t="n">
        <v>5</v>
      </c>
      <c r="B79" s="124" t="inlineStr">
        <is>
          <t>Rugs Kilimm</t>
        </is>
      </c>
      <c r="C79" s="750" t="n">
        <v>0</v>
      </c>
      <c r="D79" s="693" t="n"/>
      <c r="E79" s="129" t="n">
        <v>5</v>
      </c>
      <c r="F79" s="115" t="inlineStr">
        <is>
          <t>Rugs Kilimm</t>
        </is>
      </c>
      <c r="G79" s="752" t="n">
        <v>-3902</v>
      </c>
      <c r="H79" s="693" t="n"/>
      <c r="I79" s="129" t="n">
        <v>5</v>
      </c>
      <c r="J79" s="115" t="inlineStr">
        <is>
          <t>Rugs Kilimm</t>
        </is>
      </c>
      <c r="K79" s="750" t="n">
        <v>0</v>
      </c>
      <c r="L79" s="753" t="n">
        <v>0</v>
      </c>
      <c r="M79" s="697" t="n"/>
      <c r="N79" s="129" t="n">
        <v>5</v>
      </c>
      <c r="O79" s="115" t="inlineStr">
        <is>
          <t>Rugs Kilimm</t>
        </is>
      </c>
      <c r="P79" s="750" t="n">
        <v>0</v>
      </c>
      <c r="Q79" s="753" t="n">
        <v>0</v>
      </c>
      <c r="R79" s="697" t="n"/>
    </row>
    <row r="80">
      <c r="A80" s="108" t="n">
        <v>6</v>
      </c>
      <c r="B80" s="125" t="inlineStr">
        <is>
          <t>Shoppier</t>
        </is>
      </c>
      <c r="C80" s="750" t="n">
        <v>0</v>
      </c>
      <c r="D80" s="694" t="n"/>
      <c r="E80" s="129" t="n">
        <v>6</v>
      </c>
      <c r="F80" s="116" t="inlineStr">
        <is>
          <t>Shoppier</t>
        </is>
      </c>
      <c r="G80" s="752" t="n">
        <v>36863</v>
      </c>
      <c r="H80" s="694" t="n"/>
      <c r="I80" s="129" t="n">
        <v>6</v>
      </c>
      <c r="J80" s="116" t="inlineStr">
        <is>
          <t>Shoppier</t>
        </is>
      </c>
      <c r="K80" s="750" t="n">
        <v>0</v>
      </c>
      <c r="L80" s="753" t="n">
        <v>0</v>
      </c>
      <c r="M80" s="698" t="n"/>
      <c r="N80" s="129" t="n">
        <v>6</v>
      </c>
      <c r="O80" s="116" t="inlineStr">
        <is>
          <t>Shoppier</t>
        </is>
      </c>
      <c r="P80" s="750" t="n">
        <v>0</v>
      </c>
      <c r="Q80" s="753" t="n">
        <v>0</v>
      </c>
      <c r="R80" s="698" t="n"/>
    </row>
    <row r="81">
      <c r="A81" s="119" t="n"/>
      <c r="B81" s="126" t="inlineStr">
        <is>
          <t>TOPLAM</t>
        </is>
      </c>
      <c r="C81" s="755">
        <f>SUM(C75:C80)</f>
        <v/>
      </c>
      <c r="D81" s="71" t="n"/>
      <c r="E81" s="128" t="n"/>
      <c r="F81" s="117" t="inlineStr">
        <is>
          <t>TOPLAM</t>
        </is>
      </c>
      <c r="G81" s="756">
        <f>SUM(G75:G80)</f>
        <v/>
      </c>
      <c r="H81" s="71" t="n"/>
      <c r="I81" s="128" t="n"/>
      <c r="J81" s="117" t="inlineStr">
        <is>
          <t>TOPLAM</t>
        </is>
      </c>
      <c r="K81" s="756" t="n">
        <v>0</v>
      </c>
      <c r="L81" s="757">
        <f>SUM(L75:L80)</f>
        <v/>
      </c>
      <c r="M81" s="71" t="n"/>
      <c r="N81" s="128" t="n"/>
      <c r="O81" s="117" t="inlineStr">
        <is>
          <t>TOPLAM</t>
        </is>
      </c>
      <c r="P81" s="756" t="n">
        <v>0</v>
      </c>
      <c r="Q81" s="757">
        <f>SUM(Q75:Q80)</f>
        <v/>
      </c>
      <c r="R81" s="71" t="n"/>
    </row>
    <row r="82">
      <c r="A82" s="119" t="n"/>
      <c r="B82" s="118" t="inlineStr">
        <is>
          <t>11-KASIM-</t>
        </is>
      </c>
      <c r="C82" s="758" t="n"/>
      <c r="D82" s="71" t="n"/>
      <c r="E82" s="128" t="n"/>
      <c r="F82" s="118" t="inlineStr">
        <is>
          <t>11-KASIM-</t>
        </is>
      </c>
      <c r="G82" s="759" t="n"/>
      <c r="H82" s="71" t="n"/>
      <c r="I82" s="128" t="n"/>
      <c r="J82" s="118" t="inlineStr">
        <is>
          <t>11-KASIM-</t>
        </is>
      </c>
      <c r="K82" s="759" t="n">
        <v>0</v>
      </c>
      <c r="L82" s="760" t="n"/>
      <c r="M82" s="71" t="n"/>
      <c r="N82" s="128" t="n"/>
      <c r="O82" s="118" t="inlineStr">
        <is>
          <t>11-KASIM-</t>
        </is>
      </c>
      <c r="P82" s="759" t="n">
        <v>0</v>
      </c>
      <c r="Q82" s="760" t="n"/>
      <c r="R82" s="71" t="n"/>
    </row>
    <row r="83">
      <c r="A83" s="108" t="n">
        <v>1</v>
      </c>
      <c r="B83" s="120" t="inlineStr">
        <is>
          <t>PatchArtsCarpet</t>
        </is>
      </c>
      <c r="C83" s="750" t="n">
        <v>410023</v>
      </c>
      <c r="D83" s="751" t="n">
        <v>73</v>
      </c>
      <c r="E83" s="129" t="n">
        <v>1</v>
      </c>
      <c r="F83" s="111" t="inlineStr">
        <is>
          <t>PatchArtsCarpet</t>
        </is>
      </c>
      <c r="G83" s="752" t="n">
        <v>131300</v>
      </c>
      <c r="H83" s="751" t="n">
        <v>60</v>
      </c>
      <c r="I83" s="129" t="n">
        <v>1</v>
      </c>
      <c r="J83" s="111" t="inlineStr">
        <is>
          <t>PatchArtsCarpet</t>
        </is>
      </c>
      <c r="K83" s="750" t="n">
        <v>0</v>
      </c>
      <c r="L83" s="753" t="n">
        <v>0</v>
      </c>
      <c r="M83" s="754" t="n"/>
      <c r="N83" s="129" t="n">
        <v>1</v>
      </c>
      <c r="O83" s="111" t="inlineStr">
        <is>
          <t>PatchArtsCarpet</t>
        </is>
      </c>
      <c r="P83" s="750" t="n">
        <v>0</v>
      </c>
      <c r="Q83" s="753" t="n">
        <v>0</v>
      </c>
      <c r="R83" s="754" t="n"/>
    </row>
    <row r="84">
      <c r="A84" s="108" t="n">
        <v>2</v>
      </c>
      <c r="B84" s="121" t="inlineStr">
        <is>
          <t>Turkey Rug Shop</t>
        </is>
      </c>
      <c r="C84" s="750" t="n">
        <v>64536</v>
      </c>
      <c r="D84" s="693" t="n"/>
      <c r="E84" s="129" t="n">
        <v>2</v>
      </c>
      <c r="F84" s="112" t="inlineStr">
        <is>
          <t>Turkey Rug Shop</t>
        </is>
      </c>
      <c r="G84" s="752" t="n">
        <v>309821</v>
      </c>
      <c r="H84" s="693" t="n"/>
      <c r="I84" s="129" t="n">
        <v>2</v>
      </c>
      <c r="J84" s="112" t="inlineStr">
        <is>
          <t>Turkey Rug Shop</t>
        </is>
      </c>
      <c r="K84" s="750" t="n">
        <v>0</v>
      </c>
      <c r="L84" s="753" t="n">
        <v>0</v>
      </c>
      <c r="M84" s="697" t="n"/>
      <c r="N84" s="129" t="n">
        <v>2</v>
      </c>
      <c r="O84" s="112" t="inlineStr">
        <is>
          <t>Turkey Rug Shop</t>
        </is>
      </c>
      <c r="P84" s="750" t="n">
        <v>0</v>
      </c>
      <c r="Q84" s="753" t="n">
        <v>0</v>
      </c>
      <c r="R84" s="697" t="n"/>
    </row>
    <row r="85">
      <c r="A85" s="108" t="n">
        <v>3</v>
      </c>
      <c r="B85" s="122" t="inlineStr">
        <is>
          <t>Old New Rugs</t>
        </is>
      </c>
      <c r="C85" s="750" t="n">
        <v>33147</v>
      </c>
      <c r="D85" s="693" t="n"/>
      <c r="E85" s="129" t="n">
        <v>3</v>
      </c>
      <c r="F85" s="113" t="inlineStr">
        <is>
          <t>Old New Rugs</t>
        </is>
      </c>
      <c r="G85" s="752" t="n">
        <v>23820</v>
      </c>
      <c r="H85" s="693" t="n"/>
      <c r="I85" s="129" t="n">
        <v>3</v>
      </c>
      <c r="J85" s="113" t="inlineStr">
        <is>
          <t>Old New Rugs</t>
        </is>
      </c>
      <c r="K85" s="750" t="n">
        <v>0</v>
      </c>
      <c r="L85" s="753" t="n">
        <v>0</v>
      </c>
      <c r="M85" s="697" t="n"/>
      <c r="N85" s="129" t="n">
        <v>3</v>
      </c>
      <c r="O85" s="113" t="inlineStr">
        <is>
          <t>Old New Rugs</t>
        </is>
      </c>
      <c r="P85" s="750" t="n">
        <v>0</v>
      </c>
      <c r="Q85" s="753" t="n">
        <v>0</v>
      </c>
      <c r="R85" s="697" t="n"/>
    </row>
    <row r="86">
      <c r="A86" s="108" t="n">
        <v>4</v>
      </c>
      <c r="B86" s="123" t="inlineStr">
        <is>
          <t>Vintage Rugs Emporium</t>
        </is>
      </c>
      <c r="C86" s="750" t="n">
        <v>22098</v>
      </c>
      <c r="D86" s="693" t="n"/>
      <c r="E86" s="129" t="n">
        <v>4</v>
      </c>
      <c r="F86" s="114" t="inlineStr">
        <is>
          <t>Vintage Rugs Emporium</t>
        </is>
      </c>
      <c r="G86" s="752" t="n">
        <v>48614</v>
      </c>
      <c r="H86" s="693" t="n"/>
      <c r="I86" s="129" t="n">
        <v>4</v>
      </c>
      <c r="J86" s="114" t="inlineStr">
        <is>
          <t>Vintage Rugs Emporium</t>
        </is>
      </c>
      <c r="K86" s="750" t="n">
        <v>0</v>
      </c>
      <c r="L86" s="753" t="n">
        <v>0</v>
      </c>
      <c r="M86" s="697" t="n"/>
      <c r="N86" s="129" t="n">
        <v>4</v>
      </c>
      <c r="O86" s="114" t="inlineStr">
        <is>
          <t>Vintage Rugs Emporium</t>
        </is>
      </c>
      <c r="P86" s="750" t="n">
        <v>0</v>
      </c>
      <c r="Q86" s="753" t="n">
        <v>0</v>
      </c>
      <c r="R86" s="697" t="n"/>
    </row>
    <row r="87">
      <c r="A87" s="108" t="n">
        <v>5</v>
      </c>
      <c r="B87" s="124" t="inlineStr">
        <is>
          <t>Rugs Kilimm</t>
        </is>
      </c>
      <c r="C87" s="750" t="n">
        <v>0</v>
      </c>
      <c r="D87" s="693" t="n"/>
      <c r="E87" s="129" t="n">
        <v>5</v>
      </c>
      <c r="F87" s="115" t="inlineStr">
        <is>
          <t>Rugs Kilimm</t>
        </is>
      </c>
      <c r="G87" s="752" t="n">
        <v>42118</v>
      </c>
      <c r="H87" s="693" t="n"/>
      <c r="I87" s="129" t="n">
        <v>5</v>
      </c>
      <c r="J87" s="115" t="inlineStr">
        <is>
          <t>Rugs Kilimm</t>
        </is>
      </c>
      <c r="K87" s="750" t="n">
        <v>0</v>
      </c>
      <c r="L87" s="753" t="n">
        <v>0</v>
      </c>
      <c r="M87" s="697" t="n"/>
      <c r="N87" s="129" t="n">
        <v>5</v>
      </c>
      <c r="O87" s="115" t="inlineStr">
        <is>
          <t>Rugs Kilimm</t>
        </is>
      </c>
      <c r="P87" s="750" t="n">
        <v>0</v>
      </c>
      <c r="Q87" s="753" t="n">
        <v>0</v>
      </c>
      <c r="R87" s="697" t="n"/>
    </row>
    <row r="88">
      <c r="A88" s="108" t="n">
        <v>6</v>
      </c>
      <c r="B88" s="125" t="inlineStr">
        <is>
          <t>Shoppier</t>
        </is>
      </c>
      <c r="C88" s="750" t="n">
        <v>0</v>
      </c>
      <c r="D88" s="694" t="n"/>
      <c r="E88" s="129" t="n">
        <v>6</v>
      </c>
      <c r="F88" s="116" t="inlineStr">
        <is>
          <t>Shoppier</t>
        </is>
      </c>
      <c r="G88" s="752" t="n">
        <v>0</v>
      </c>
      <c r="H88" s="694" t="n"/>
      <c r="I88" s="129" t="n">
        <v>6</v>
      </c>
      <c r="J88" s="116" t="inlineStr">
        <is>
          <t>Shoppier</t>
        </is>
      </c>
      <c r="K88" s="750" t="n">
        <v>0</v>
      </c>
      <c r="L88" s="753" t="n">
        <v>0</v>
      </c>
      <c r="M88" s="698" t="n"/>
      <c r="N88" s="129" t="n">
        <v>6</v>
      </c>
      <c r="O88" s="116" t="inlineStr">
        <is>
          <t>Shoppier</t>
        </is>
      </c>
      <c r="P88" s="750" t="n">
        <v>0</v>
      </c>
      <c r="Q88" s="753" t="n">
        <v>0</v>
      </c>
      <c r="R88" s="698" t="n"/>
    </row>
    <row r="89">
      <c r="A89" s="119" t="n"/>
      <c r="B89" s="126" t="inlineStr">
        <is>
          <t>TOPLAM</t>
        </is>
      </c>
      <c r="C89" s="755">
        <f>SUM(C83:C88)</f>
        <v/>
      </c>
      <c r="D89" s="71" t="n"/>
      <c r="E89" s="128" t="n"/>
      <c r="F89" s="117" t="inlineStr">
        <is>
          <t>TOPLAM</t>
        </is>
      </c>
      <c r="G89" s="756">
        <f>SUM(G83:G88)</f>
        <v/>
      </c>
      <c r="H89" s="71" t="n"/>
      <c r="I89" s="128" t="n"/>
      <c r="J89" s="117" t="inlineStr">
        <is>
          <t>TOPLAM</t>
        </is>
      </c>
      <c r="K89" s="756">
        <f>SUM(K83:K88)</f>
        <v/>
      </c>
      <c r="L89" s="757">
        <f>SUM(L83:L88)</f>
        <v/>
      </c>
      <c r="M89" s="71" t="n"/>
      <c r="N89" s="128" t="n"/>
      <c r="O89" s="117" t="inlineStr">
        <is>
          <t>TOPLAM</t>
        </is>
      </c>
      <c r="P89" s="756">
        <f>SUM(P83:P88)</f>
        <v/>
      </c>
      <c r="Q89" s="757">
        <f>SUM(Q83:Q88)</f>
        <v/>
      </c>
      <c r="R89" s="71" t="n"/>
    </row>
    <row r="90">
      <c r="A90" s="119" t="n"/>
      <c r="B90" s="118" t="inlineStr">
        <is>
          <t>12-ARALIK-</t>
        </is>
      </c>
      <c r="C90" s="758" t="n"/>
      <c r="D90" s="71" t="n"/>
      <c r="E90" s="128" t="n"/>
      <c r="F90" s="118" t="inlineStr">
        <is>
          <t>12-ARALIK-</t>
        </is>
      </c>
      <c r="G90" s="759" t="n"/>
      <c r="H90" s="71" t="n"/>
      <c r="I90" s="128" t="n"/>
      <c r="J90" s="118" t="inlineStr">
        <is>
          <t>12-ARALIK-</t>
        </is>
      </c>
      <c r="K90" s="759" t="n"/>
      <c r="L90" s="760" t="n"/>
      <c r="M90" s="71" t="n"/>
      <c r="N90" s="128" t="n"/>
      <c r="O90" s="118" t="inlineStr">
        <is>
          <t>12-ARALIK-</t>
        </is>
      </c>
      <c r="P90" s="759" t="n"/>
      <c r="Q90" s="760" t="n"/>
      <c r="R90" s="71" t="n"/>
    </row>
    <row r="91">
      <c r="A91" s="108" t="n">
        <v>1</v>
      </c>
      <c r="B91" s="120" t="inlineStr">
        <is>
          <t>PatchArtsCarpet</t>
        </is>
      </c>
      <c r="C91" s="750" t="n">
        <v>254103</v>
      </c>
      <c r="D91" s="751" t="n">
        <v>69</v>
      </c>
      <c r="E91" s="129" t="n">
        <v>1</v>
      </c>
      <c r="F91" s="120" t="inlineStr">
        <is>
          <t>PatchArtsCarpet</t>
        </is>
      </c>
      <c r="G91" s="752" t="n">
        <v>3885</v>
      </c>
      <c r="H91" s="751" t="n">
        <v>37</v>
      </c>
      <c r="I91" s="129" t="n">
        <v>1</v>
      </c>
      <c r="J91" s="120" t="inlineStr">
        <is>
          <t>PatchArtsCarpet</t>
        </is>
      </c>
      <c r="K91" s="750" t="n">
        <v>0</v>
      </c>
      <c r="L91" s="753" t="n">
        <v>0</v>
      </c>
      <c r="M91" s="754" t="n"/>
      <c r="N91" s="129" t="n">
        <v>1</v>
      </c>
      <c r="O91" s="120" t="inlineStr">
        <is>
          <t>PatchArtsCarpet</t>
        </is>
      </c>
      <c r="P91" s="750" t="n">
        <v>0</v>
      </c>
      <c r="Q91" s="753" t="n">
        <v>0</v>
      </c>
      <c r="R91" s="754" t="n"/>
    </row>
    <row r="92">
      <c r="A92" s="108" t="n">
        <v>2</v>
      </c>
      <c r="B92" s="121" t="inlineStr">
        <is>
          <t>Turkey Rug Shop</t>
        </is>
      </c>
      <c r="C92" s="750" t="n">
        <v>148406</v>
      </c>
      <c r="D92" s="693" t="n"/>
      <c r="E92" s="129" t="n">
        <v>2</v>
      </c>
      <c r="F92" s="121" t="inlineStr">
        <is>
          <t>Turkey Rug Shop</t>
        </is>
      </c>
      <c r="G92" s="752" t="n">
        <v>290045</v>
      </c>
      <c r="H92" s="693" t="n"/>
      <c r="I92" s="129" t="n">
        <v>2</v>
      </c>
      <c r="J92" s="121" t="inlineStr">
        <is>
          <t>Turkey Rug Shop</t>
        </is>
      </c>
      <c r="K92" s="750" t="n">
        <v>0</v>
      </c>
      <c r="L92" s="753" t="n">
        <v>0</v>
      </c>
      <c r="M92" s="697" t="n"/>
      <c r="N92" s="129" t="n">
        <v>2</v>
      </c>
      <c r="O92" s="121" t="inlineStr">
        <is>
          <t>Turkey Rug Shop</t>
        </is>
      </c>
      <c r="P92" s="750" t="n">
        <v>0</v>
      </c>
      <c r="Q92" s="753" t="n">
        <v>0</v>
      </c>
      <c r="R92" s="697" t="n"/>
    </row>
    <row r="93">
      <c r="A93" s="108" t="n">
        <v>3</v>
      </c>
      <c r="B93" s="122" t="inlineStr">
        <is>
          <t>Old New Rugs</t>
        </is>
      </c>
      <c r="C93" s="750" t="n">
        <v>18366</v>
      </c>
      <c r="D93" s="693" t="n"/>
      <c r="E93" s="129" t="n">
        <v>3</v>
      </c>
      <c r="F93" s="122" t="inlineStr">
        <is>
          <t>Old New Rugs</t>
        </is>
      </c>
      <c r="G93" s="752" t="n">
        <v>21992</v>
      </c>
      <c r="H93" s="693" t="n"/>
      <c r="I93" s="129" t="n">
        <v>3</v>
      </c>
      <c r="J93" s="122" t="inlineStr">
        <is>
          <t>Old New Rugs</t>
        </is>
      </c>
      <c r="K93" s="750" t="n">
        <v>0</v>
      </c>
      <c r="L93" s="753" t="n">
        <v>0</v>
      </c>
      <c r="M93" s="697" t="n"/>
      <c r="N93" s="129" t="n">
        <v>3</v>
      </c>
      <c r="O93" s="122" t="inlineStr">
        <is>
          <t>Old New Rugs</t>
        </is>
      </c>
      <c r="P93" s="750" t="n">
        <v>0</v>
      </c>
      <c r="Q93" s="753" t="n">
        <v>0</v>
      </c>
      <c r="R93" s="697" t="n"/>
    </row>
    <row r="94">
      <c r="A94" s="108" t="n">
        <v>4</v>
      </c>
      <c r="B94" s="123" t="inlineStr">
        <is>
          <t>Vintage Rugs Emporium</t>
        </is>
      </c>
      <c r="C94" s="750" t="n">
        <v>56378</v>
      </c>
      <c r="D94" s="693" t="n"/>
      <c r="E94" s="129" t="n">
        <v>4</v>
      </c>
      <c r="F94" s="123" t="inlineStr">
        <is>
          <t>Vintage Rugs Emporium</t>
        </is>
      </c>
      <c r="G94" s="752" t="n">
        <v>-2883</v>
      </c>
      <c r="H94" s="693" t="n"/>
      <c r="I94" s="129" t="n">
        <v>4</v>
      </c>
      <c r="J94" s="123" t="inlineStr">
        <is>
          <t>Vintage Rugs Emporium</t>
        </is>
      </c>
      <c r="K94" s="750" t="n">
        <v>0</v>
      </c>
      <c r="L94" s="753" t="n">
        <v>0</v>
      </c>
      <c r="M94" s="697" t="n"/>
      <c r="N94" s="129" t="n">
        <v>4</v>
      </c>
      <c r="O94" s="123" t="inlineStr">
        <is>
          <t>Vintage Rugs Emporium</t>
        </is>
      </c>
      <c r="P94" s="750" t="n">
        <v>0</v>
      </c>
      <c r="Q94" s="753" t="n">
        <v>0</v>
      </c>
      <c r="R94" s="697" t="n"/>
    </row>
    <row r="95">
      <c r="A95" s="108" t="n">
        <v>5</v>
      </c>
      <c r="B95" s="124" t="inlineStr">
        <is>
          <t>Rugs Kilimm</t>
        </is>
      </c>
      <c r="C95" s="750" t="n">
        <v>32357</v>
      </c>
      <c r="D95" s="693" t="n"/>
      <c r="E95" s="129" t="n">
        <v>5</v>
      </c>
      <c r="F95" s="124" t="inlineStr">
        <is>
          <t>Rugs Kilimm</t>
        </is>
      </c>
      <c r="G95" s="752" t="n">
        <v>7066</v>
      </c>
      <c r="H95" s="693" t="n"/>
      <c r="I95" s="129" t="n">
        <v>5</v>
      </c>
      <c r="J95" s="124" t="inlineStr">
        <is>
          <t>Rugs Kilimm</t>
        </is>
      </c>
      <c r="K95" s="750" t="n">
        <v>0</v>
      </c>
      <c r="L95" s="753" t="n">
        <v>0</v>
      </c>
      <c r="M95" s="697" t="n"/>
      <c r="N95" s="129" t="n">
        <v>5</v>
      </c>
      <c r="O95" s="124" t="inlineStr">
        <is>
          <t>Rugs Kilimm</t>
        </is>
      </c>
      <c r="P95" s="750" t="n">
        <v>0</v>
      </c>
      <c r="Q95" s="753" t="n">
        <v>0</v>
      </c>
      <c r="R95" s="697" t="n"/>
    </row>
    <row r="96">
      <c r="A96" s="108" t="n">
        <v>6</v>
      </c>
      <c r="B96" s="125" t="inlineStr">
        <is>
          <t>Shoppier</t>
        </is>
      </c>
      <c r="C96" s="750" t="n">
        <v>95500</v>
      </c>
      <c r="D96" s="694" t="n"/>
      <c r="E96" s="129" t="n">
        <v>6</v>
      </c>
      <c r="F96" s="125" t="inlineStr">
        <is>
          <t>Shoppier</t>
        </is>
      </c>
      <c r="G96" s="752" t="n">
        <v>0</v>
      </c>
      <c r="H96" s="694" t="n"/>
      <c r="I96" s="129" t="n">
        <v>6</v>
      </c>
      <c r="J96" s="125" t="inlineStr">
        <is>
          <t>Shoppier</t>
        </is>
      </c>
      <c r="K96" s="750" t="n">
        <v>0</v>
      </c>
      <c r="L96" s="753" t="n">
        <v>0</v>
      </c>
      <c r="M96" s="698" t="n"/>
      <c r="N96" s="129" t="n">
        <v>6</v>
      </c>
      <c r="O96" s="125" t="inlineStr">
        <is>
          <t>Shoppier</t>
        </is>
      </c>
      <c r="P96" s="750" t="n">
        <v>0</v>
      </c>
      <c r="Q96" s="753" t="n">
        <v>0</v>
      </c>
      <c r="R96" s="698" t="n"/>
    </row>
    <row r="97">
      <c r="A97" s="119" t="n"/>
      <c r="B97" s="126" t="inlineStr">
        <is>
          <t>TOPLAM</t>
        </is>
      </c>
      <c r="C97" s="755">
        <f>SUM(C91:C96)</f>
        <v/>
      </c>
      <c r="D97" s="130">
        <f>SUM(D91,D83,D75,D67,D59,D51,D43,D35,D27,D19,D11,D3)</f>
        <v/>
      </c>
      <c r="E97" s="157" t="n"/>
      <c r="F97" s="126" t="inlineStr">
        <is>
          <t>TOPLAM</t>
        </is>
      </c>
      <c r="G97" s="756">
        <f>SUM(G91:G96)</f>
        <v/>
      </c>
      <c r="H97" s="132">
        <f>SUM(H3,H11,H19,H27,H35,H43,H51,H59,H67,H75,H83,H91)</f>
        <v/>
      </c>
      <c r="I97" s="157" t="n"/>
      <c r="J97" s="126" t="inlineStr">
        <is>
          <t>TOPLAM</t>
        </is>
      </c>
      <c r="K97" s="756">
        <f>SUM(K91:K96)</f>
        <v/>
      </c>
      <c r="L97" s="761">
        <f>SUM(L91:L96)</f>
        <v/>
      </c>
      <c r="M97" s="132">
        <f>SUM(M3,M11,M19,M27,M35,M43,M51,M59,M67,M75,M83,M91)</f>
        <v/>
      </c>
      <c r="N97" s="157" t="n"/>
      <c r="O97" s="126" t="inlineStr">
        <is>
          <t>TOPLAM</t>
        </is>
      </c>
      <c r="P97" s="756">
        <f>SUM(P91:P96)</f>
        <v/>
      </c>
      <c r="Q97" s="761">
        <f>SUM(Q91:Q96)</f>
        <v/>
      </c>
      <c r="R97" s="132">
        <f>SUM(R3,R11,R19,R27,R35,R43,R51,R59,R67,R75,R83,R91)</f>
        <v/>
      </c>
    </row>
    <row r="98">
      <c r="A98" s="141" t="n"/>
      <c r="B98" s="142" t="inlineStr">
        <is>
          <t>YILLIK SİTE CİROLARI TOPLAM</t>
        </is>
      </c>
      <c r="C98" s="143" t="n"/>
      <c r="E98" s="674" t="n">
        <v>2023</v>
      </c>
      <c r="F98" s="150" t="inlineStr">
        <is>
          <t>YILLIK SİTE CİROLARI TOPLAM</t>
        </is>
      </c>
      <c r="G98" s="143" t="n"/>
      <c r="I98" s="674" t="n">
        <v>2024</v>
      </c>
      <c r="J98" s="150" t="inlineStr">
        <is>
          <t>YILLIK SİTE CİROLARI TOPLAM</t>
        </is>
      </c>
      <c r="K98" s="218" t="inlineStr">
        <is>
          <t xml:space="preserve"> TL+USD</t>
        </is>
      </c>
      <c r="L98" s="762" t="n"/>
      <c r="N98" s="674" t="n">
        <v>2025</v>
      </c>
      <c r="O98" s="150" t="inlineStr">
        <is>
          <t>YILLIK SİTE CİROLARI TOPLAM</t>
        </is>
      </c>
      <c r="P98" s="218" t="inlineStr">
        <is>
          <t xml:space="preserve"> TL+USD</t>
        </is>
      </c>
      <c r="Q98" s="762" t="n"/>
    </row>
    <row r="99">
      <c r="A99" s="674" t="n">
        <v>2022</v>
      </c>
      <c r="B99" s="151" t="inlineStr">
        <is>
          <t>PatchArtsCarpet</t>
        </is>
      </c>
      <c r="C99" s="763">
        <f>SUM(C91,C83,C75,C67,C59,C51,C43,C35,C27,C19,C11,C3)</f>
        <v/>
      </c>
      <c r="E99" s="693" t="n"/>
      <c r="F99" s="151" t="inlineStr">
        <is>
          <t>PatchArtsCarpet</t>
        </is>
      </c>
      <c r="G99" s="763">
        <f>SUM(G91,G83,G75,G67,G59,G51,G43,G35,G27,G19,G11,G3)</f>
        <v/>
      </c>
      <c r="I99" s="693" t="n"/>
      <c r="J99" s="151" t="inlineStr">
        <is>
          <t>PatchArtsCarpet</t>
        </is>
      </c>
      <c r="K99" s="764">
        <f>SUM(K91,K83,K75,K67,K59,K51,K43,K35,K27,K19,K11,K3)</f>
        <v/>
      </c>
      <c r="L99" s="765">
        <f>SUM(L3,L11,L19,L27,L35,L43,L51,L59,L67,L75,L83,L91)</f>
        <v/>
      </c>
      <c r="N99" s="693" t="n"/>
      <c r="O99" s="151" t="inlineStr">
        <is>
          <t>PatchArtsCarpet</t>
        </is>
      </c>
      <c r="P99" s="764">
        <f>SUM(P91,P83,P75,P67,P59,P51,P43,P35,P27,P19,P11,P3)</f>
        <v/>
      </c>
      <c r="Q99" s="765">
        <f>SUM(Q3,Q11,Q19,Q27,Q35,Q43,Q51,Q59,Q67,Q75,Q83,Q91)</f>
        <v/>
      </c>
    </row>
    <row r="100">
      <c r="A100" s="693" t="n"/>
      <c r="B100" s="152" t="inlineStr">
        <is>
          <t>Turkey Rug Shop</t>
        </is>
      </c>
      <c r="C100" s="766">
        <f>SUM(C92,C84,C76,C68,C60,C52,C44,C36,C28,C20,C12,C4)</f>
        <v/>
      </c>
      <c r="E100" s="693" t="n"/>
      <c r="F100" s="152" t="inlineStr">
        <is>
          <t>Turkey Rug Shop</t>
        </is>
      </c>
      <c r="G100" s="766">
        <f>SUM(G92,G84,G76,G68,G60,G52,G44,G36,G28,G20,G12,G4)</f>
        <v/>
      </c>
      <c r="I100" s="693" t="n"/>
      <c r="J100" s="152" t="inlineStr">
        <is>
          <t>Turkey Rug Shop</t>
        </is>
      </c>
      <c r="K100" s="767">
        <f>SUM(K92,K84,K76,K68,K60,K52,K44,K36,K28,K20,K12,K4)</f>
        <v/>
      </c>
      <c r="L100" s="768">
        <f>SUM(L4,L12,L20,L28,L36,L44,L52,L60,L68,L76,L84,L92)</f>
        <v/>
      </c>
      <c r="N100" s="693" t="n"/>
      <c r="O100" s="152" t="inlineStr">
        <is>
          <t>Turkey Rug Shop</t>
        </is>
      </c>
      <c r="P100" s="767">
        <f>SUM(P92,P84,P76,P68,P60,P52,P44,P36,P28,P20,P12,P4)</f>
        <v/>
      </c>
      <c r="Q100" s="768">
        <f>SUM(Q4,Q12,Q20,Q28,Q36,Q44,Q52,Q60,Q68,Q76,Q84,Q92)</f>
        <v/>
      </c>
    </row>
    <row r="101">
      <c r="A101" s="693" t="n"/>
      <c r="B101" s="153" t="inlineStr">
        <is>
          <t>Old New Rugs</t>
        </is>
      </c>
      <c r="C101" s="769">
        <f>SUM(C93,C85,C77,C69,C61,C53,C45,C37,C29,C21,C13,C5)</f>
        <v/>
      </c>
      <c r="E101" s="693" t="n"/>
      <c r="F101" s="153" t="inlineStr">
        <is>
          <t>Old New Rugs</t>
        </is>
      </c>
      <c r="G101" s="769">
        <f>SUM(G93,G85,G77,G69,G61,G53,G45,G37,G29,G21,G13,G5)</f>
        <v/>
      </c>
      <c r="I101" s="693" t="n"/>
      <c r="J101" s="153" t="inlineStr">
        <is>
          <t>Old New Rugs</t>
        </is>
      </c>
      <c r="K101" s="770">
        <f>SUM(K93,K85,K77,K69,K61,K53,K45,K37,K29,K21,K13,K5)</f>
        <v/>
      </c>
      <c r="L101" s="771">
        <f>SUM(L5,L13,L21,L29,L37,L45,L53,L69,L77,L85,L93)</f>
        <v/>
      </c>
      <c r="N101" s="693" t="n"/>
      <c r="O101" s="153" t="inlineStr">
        <is>
          <t>Old New Rugs</t>
        </is>
      </c>
      <c r="P101" s="770">
        <f>SUM(P93,P85,P77,P69,P61,P53,P45,P37,P29,P21,P13,P5)</f>
        <v/>
      </c>
      <c r="Q101" s="771">
        <f>SUM(Q5,Q13,Q21,Q29,Q37,Q45,Q53,Q69,Q77,Q85,Q93)</f>
        <v/>
      </c>
    </row>
    <row r="102">
      <c r="A102" s="693" t="n"/>
      <c r="B102" s="154" t="inlineStr">
        <is>
          <t>Vintage Rugs Emporium</t>
        </is>
      </c>
      <c r="C102" s="741">
        <f>SUM(C94,C86,C78,C70,C62,C54,C46,C38,C30,C22,C14,C6)</f>
        <v/>
      </c>
      <c r="E102" s="693" t="n"/>
      <c r="F102" s="154" t="inlineStr">
        <is>
          <t>Vintage Rugs Emporium</t>
        </is>
      </c>
      <c r="G102" s="741">
        <f>SUM(G94,G86,G78,G70,G62,G54,G46,G38,G30,G22,G14,G6)</f>
        <v/>
      </c>
      <c r="I102" s="693" t="n"/>
      <c r="J102" s="154" t="inlineStr">
        <is>
          <t>Vintage Rugs Emporium</t>
        </is>
      </c>
      <c r="K102" s="772">
        <f>SUM(K94,K86,K78,K70,K62,K54,K46,K38,K30,K22,K14,K6)</f>
        <v/>
      </c>
      <c r="L102" s="773">
        <f>SUM(L6,L14,L22,L30,L38,L46,L54,L62,L70,L78,L86,L94)</f>
        <v/>
      </c>
      <c r="N102" s="693" t="n"/>
      <c r="O102" s="154" t="inlineStr">
        <is>
          <t>Vintage Rugs Emporium</t>
        </is>
      </c>
      <c r="P102" s="772">
        <f>SUM(P94,P86,P78,P70,P62,P54,P46,P38,P30,P22,P14,P6)</f>
        <v/>
      </c>
      <c r="Q102" s="773">
        <f>SUM(Q6,Q14,Q22,Q30,Q38,Q46,Q54,Q62,Q70,Q78,Q86,Q94)</f>
        <v/>
      </c>
    </row>
    <row r="103">
      <c r="A103" s="693" t="n"/>
      <c r="B103" s="155" t="inlineStr">
        <is>
          <t>Rugs Kilimm</t>
        </is>
      </c>
      <c r="C103" s="774">
        <f>SUM(C95,C87,C79,C71,C63,C55,C47,C39,C31,C23,C15,C7)</f>
        <v/>
      </c>
      <c r="E103" s="693" t="n"/>
      <c r="F103" s="155" t="inlineStr">
        <is>
          <t>Rugs Kilimm</t>
        </is>
      </c>
      <c r="G103" s="774">
        <f>SUM(G95,G87,G79,G71,G63,G55,G47,G39,G31,G23,G15,G7)</f>
        <v/>
      </c>
      <c r="I103" s="693" t="n"/>
      <c r="J103" s="155" t="inlineStr">
        <is>
          <t>Rugs Kilimm</t>
        </is>
      </c>
      <c r="K103" s="775">
        <f>SUM(K95,K87,K79,K71,K63,K55,K47,K39,K31,K23,K15,K7)</f>
        <v/>
      </c>
      <c r="L103" s="776">
        <f>SUM(L7,L15,L23,L31,L39,L47,L55,L63,L71,L79,L87,L95)</f>
        <v/>
      </c>
      <c r="N103" s="693" t="n"/>
      <c r="O103" s="155" t="inlineStr">
        <is>
          <t>Rugs Kilimm</t>
        </is>
      </c>
      <c r="P103" s="775">
        <f>SUM(P95,P87,P79,P71,P63,P55,P47,P39,P31,P23,P15,P7)</f>
        <v/>
      </c>
      <c r="Q103" s="776">
        <f>SUM(Q7,Q15,Q23,Q31,Q39,Q47,Q55,Q63,Q71,Q79,Q87,Q95)</f>
        <v/>
      </c>
    </row>
    <row r="104">
      <c r="A104" s="693" t="n"/>
      <c r="B104" s="190" t="inlineStr">
        <is>
          <t>Shoppier</t>
        </is>
      </c>
      <c r="C104" s="777">
        <f>SUM(C96,C88,C80,C72,C64,C56,C48,C40,C32,C24,C16,C8)</f>
        <v/>
      </c>
      <c r="E104" s="693" t="n"/>
      <c r="F104" s="156" t="inlineStr">
        <is>
          <t>Shoppier</t>
        </is>
      </c>
      <c r="G104" s="778">
        <f>SUM(G96,G88,G80,G72,G64,G56,G48,G40,G32,G24,G16,G8)</f>
        <v/>
      </c>
      <c r="I104" s="693" t="n"/>
      <c r="J104" s="156" t="inlineStr">
        <is>
          <t>Shoppier</t>
        </is>
      </c>
      <c r="K104" s="779">
        <f>SUM(K96,K88,K80,K72,K64,K56,K48,K40,K32,K24,K16,K8)</f>
        <v/>
      </c>
      <c r="L104" s="780">
        <f>SUM(L8,L16,L24,L32,L40,L48,L56,L64,L72,L80,L88,L96)</f>
        <v/>
      </c>
      <c r="N104" s="693" t="n"/>
      <c r="O104" s="156" t="inlineStr">
        <is>
          <t>Shoppier</t>
        </is>
      </c>
      <c r="P104" s="779">
        <f>SUM(P96,P88,P80,P72,P64,P56,P48,P40,P32,P24,P16,P8)</f>
        <v/>
      </c>
      <c r="Q104" s="780">
        <f>SUM(Q8,Q16,Q24,Q32,Q40,Q48,Q56,Q64,Q72,Q80,Q88,Q96)</f>
        <v/>
      </c>
    </row>
    <row r="105">
      <c r="A105" s="694" t="n"/>
      <c r="B105" s="188" t="inlineStr">
        <is>
          <t>GENEL TOPLAM</t>
        </is>
      </c>
      <c r="C105" s="781">
        <f>SUM(C97,C89,C81,C73,C65,C57,C49,C41,C33,C25)</f>
        <v/>
      </c>
      <c r="E105" s="694" t="n"/>
      <c r="F105" s="159" t="inlineStr">
        <is>
          <t>GENEL TOPLAM</t>
        </is>
      </c>
      <c r="G105" s="782">
        <f>SUM(G99:G104)</f>
        <v/>
      </c>
      <c r="I105" s="694" t="n"/>
      <c r="J105" s="159" t="inlineStr">
        <is>
          <t>GENEL TOPLAM</t>
        </is>
      </c>
      <c r="K105" s="782">
        <f>SUM(K99:K104)</f>
        <v/>
      </c>
      <c r="L105" s="783">
        <f>SUM(L99:L104)</f>
        <v/>
      </c>
      <c r="N105" s="694" t="n"/>
      <c r="O105" s="159" t="inlineStr">
        <is>
          <t>GENEL TOPLAM</t>
        </is>
      </c>
      <c r="P105" s="782">
        <f>SUM(P99:P104)</f>
        <v/>
      </c>
      <c r="Q105" s="783">
        <f>SUM(Q99:Q104)</f>
        <v/>
      </c>
    </row>
    <row r="106">
      <c r="A106" s="687" t="inlineStr">
        <is>
          <t>YILLAR ARASI GENEL TOPLAM</t>
        </is>
      </c>
      <c r="B106" s="187" t="n"/>
      <c r="C106" s="784">
        <f>SUM(C105,G105,K105,P105)</f>
        <v/>
      </c>
      <c r="D106" s="728" t="n"/>
      <c r="E106" s="728" t="n"/>
      <c r="F106" s="728" t="n"/>
      <c r="G106" s="728" t="n"/>
      <c r="H106" s="728" t="n"/>
      <c r="I106" s="728" t="n"/>
      <c r="J106" s="728" t="n"/>
      <c r="K106" s="728" t="n"/>
      <c r="L106" s="728" t="n"/>
      <c r="M106" s="728" t="n"/>
      <c r="N106" s="728" t="n"/>
      <c r="O106" s="728" t="n"/>
      <c r="P106" s="728" t="n"/>
      <c r="Q106" s="729" t="n"/>
    </row>
    <row r="107">
      <c r="A107" s="687" t="inlineStr">
        <is>
          <t>TL</t>
        </is>
      </c>
      <c r="B107" s="187" t="n"/>
      <c r="C107" s="699" t="n"/>
      <c r="Q107" s="697" t="n"/>
    </row>
    <row r="108">
      <c r="H108" s="686" t="inlineStr">
        <is>
          <t>YILLAR ARASI GENEL TOPLAM
USD</t>
        </is>
      </c>
      <c r="I108" s="785">
        <f>SUM(L105,Q105)</f>
        <v/>
      </c>
      <c r="J108" s="728" t="n"/>
      <c r="K108" s="728" t="n"/>
      <c r="L108" s="728" t="n"/>
      <c r="M108" s="728" t="n"/>
      <c r="N108" s="728" t="n"/>
      <c r="O108" s="728" t="n"/>
      <c r="P108" s="728" t="n"/>
      <c r="Q108" s="729" t="n"/>
    </row>
    <row r="109">
      <c r="H109" s="694" t="n"/>
      <c r="I109" s="727" t="n"/>
      <c r="J109" s="727" t="n"/>
      <c r="K109" s="727" t="n"/>
      <c r="L109" s="727" t="n"/>
      <c r="M109" s="727" t="n"/>
      <c r="N109" s="727" t="n"/>
      <c r="O109" s="727" t="n"/>
      <c r="P109" s="727" t="n"/>
      <c r="Q109" s="698" t="n"/>
    </row>
    <row r="124">
      <c r="F124" s="16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raVUoYJffL2v9065XzpOQ==" formatRows="1" sort="1" spinCount="100000" hashValue="Z7dwu3TpeWD47wlcHNhfEAxzdogAMBve5k7txtU/HaMhuH62SCWdaUwo2ZxkRyDaScLipAI6TrP8PUMkxrW5iQ=="/>
  <mergeCells count="57">
    <mergeCell ref="D35:D40"/>
    <mergeCell ref="H91:H96"/>
    <mergeCell ref="H35:H40"/>
    <mergeCell ref="M43:M48"/>
    <mergeCell ref="M83:M88"/>
    <mergeCell ref="A99:A105"/>
    <mergeCell ref="P1:Q1"/>
    <mergeCell ref="R11:R16"/>
    <mergeCell ref="H108:H109"/>
    <mergeCell ref="C106:Q107"/>
    <mergeCell ref="M59:M64"/>
    <mergeCell ref="H43:H48"/>
    <mergeCell ref="M67:M72"/>
    <mergeCell ref="D59:D64"/>
    <mergeCell ref="M51:M56"/>
    <mergeCell ref="R19:R24"/>
    <mergeCell ref="D27:D32"/>
    <mergeCell ref="I108:Q109"/>
    <mergeCell ref="H83:H88"/>
    <mergeCell ref="M35:M40"/>
    <mergeCell ref="K1:L1"/>
    <mergeCell ref="R83:R88"/>
    <mergeCell ref="H67:H72"/>
    <mergeCell ref="D11:D16"/>
    <mergeCell ref="H59:H64"/>
    <mergeCell ref="E98:E105"/>
    <mergeCell ref="M11:M16"/>
    <mergeCell ref="H11:H16"/>
    <mergeCell ref="H51:H56"/>
    <mergeCell ref="R59:R64"/>
    <mergeCell ref="R27:R32"/>
    <mergeCell ref="M75:M80"/>
    <mergeCell ref="D75:D80"/>
    <mergeCell ref="R35:R40"/>
    <mergeCell ref="R51:R56"/>
    <mergeCell ref="D3:D8"/>
    <mergeCell ref="D91:D96"/>
    <mergeCell ref="R91:R96"/>
    <mergeCell ref="M3:M8"/>
    <mergeCell ref="D43:D48"/>
    <mergeCell ref="H19:H24"/>
    <mergeCell ref="M27:M32"/>
    <mergeCell ref="N98:N105"/>
    <mergeCell ref="R75:R80"/>
    <mergeCell ref="H75:H80"/>
    <mergeCell ref="H27:H32"/>
    <mergeCell ref="R3:R8"/>
    <mergeCell ref="H3:H8"/>
    <mergeCell ref="D83:D88"/>
    <mergeCell ref="R43:R48"/>
    <mergeCell ref="M91:M96"/>
    <mergeCell ref="R67:R72"/>
    <mergeCell ref="I98:I105"/>
    <mergeCell ref="D51:D56"/>
    <mergeCell ref="D67:D72"/>
    <mergeCell ref="M19:M24"/>
    <mergeCell ref="D19:D24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2"/>
  <sheetViews>
    <sheetView topLeftCell="A145" workbookViewId="0">
      <selection activeCell="I154" sqref="I154"/>
    </sheetView>
  </sheetViews>
  <sheetFormatPr baseColWidth="8" defaultRowHeight="15"/>
  <cols>
    <col width="18.28515625" bestFit="1" customWidth="1" style="305" min="1" max="1"/>
    <col width="9.140625" customWidth="1" style="297" min="2" max="2"/>
    <col width="9.140625" customWidth="1" style="297" min="4" max="4"/>
    <col width="27.5703125" bestFit="1" customWidth="1" style="297" min="5" max="5"/>
    <col width="18.28515625" bestFit="1" customWidth="1" style="256" min="6" max="6"/>
  </cols>
  <sheetData>
    <row r="1">
      <c r="A1" s="311" t="inlineStr">
        <is>
          <t>CODE</t>
        </is>
      </c>
      <c r="B1" s="298" t="n"/>
      <c r="C1" s="312" t="inlineStr">
        <is>
          <t>SIZE</t>
        </is>
      </c>
      <c r="D1" s="298" t="n"/>
      <c r="E1" s="299" t="inlineStr">
        <is>
          <t>COLOR</t>
        </is>
      </c>
      <c r="F1" s="306" t="inlineStr">
        <is>
          <t xml:space="preserve"> AMOUNT</t>
        </is>
      </c>
      <c r="G1" s="71" t="n"/>
    </row>
    <row r="2">
      <c r="A2" s="301" t="n">
        <v>264</v>
      </c>
      <c r="B2" s="300" t="n">
        <v>290</v>
      </c>
      <c r="C2" s="300" t="inlineStr">
        <is>
          <t>X</t>
        </is>
      </c>
      <c r="D2" s="300" t="n">
        <v>425</v>
      </c>
      <c r="E2" s="300" t="inlineStr">
        <is>
          <t>CREAM - MULTİ</t>
        </is>
      </c>
      <c r="F2" s="307" t="n">
        <v>1</v>
      </c>
      <c r="G2" s="71" t="n"/>
    </row>
    <row r="3">
      <c r="A3" s="301" t="n">
        <v>264</v>
      </c>
      <c r="B3" s="300" t="n">
        <v>290</v>
      </c>
      <c r="C3" s="300" t="inlineStr">
        <is>
          <t>X</t>
        </is>
      </c>
      <c r="D3" s="300" t="n">
        <v>425</v>
      </c>
      <c r="E3" s="300" t="inlineStr">
        <is>
          <t>CREAM - MULTİ</t>
        </is>
      </c>
      <c r="F3" s="307" t="n">
        <v>1</v>
      </c>
      <c r="G3" s="71" t="n"/>
    </row>
    <row r="4">
      <c r="A4" s="301" t="n">
        <v>264</v>
      </c>
      <c r="B4" s="300" t="n">
        <v>80</v>
      </c>
      <c r="C4" s="300" t="inlineStr">
        <is>
          <t>X</t>
        </is>
      </c>
      <c r="D4" s="300" t="n">
        <v>150</v>
      </c>
      <c r="E4" s="300" t="inlineStr">
        <is>
          <t>CREAM - MULTİ</t>
        </is>
      </c>
      <c r="F4" s="307" t="n">
        <v>1</v>
      </c>
      <c r="G4" s="71" t="n"/>
    </row>
    <row r="5">
      <c r="A5" s="301" t="n">
        <v>264</v>
      </c>
      <c r="B5" s="300" t="n">
        <v>80</v>
      </c>
      <c r="C5" s="300" t="inlineStr">
        <is>
          <t>X</t>
        </is>
      </c>
      <c r="D5" s="300" t="n">
        <v>300</v>
      </c>
      <c r="E5" s="300" t="inlineStr">
        <is>
          <t>CREAM - MULTİ</t>
        </is>
      </c>
      <c r="F5" s="307" t="n">
        <v>1</v>
      </c>
      <c r="G5" s="71" t="n"/>
    </row>
    <row r="6">
      <c r="A6" s="301" t="n">
        <v>573</v>
      </c>
      <c r="B6" s="300" t="n">
        <v>290</v>
      </c>
      <c r="C6" s="300" t="inlineStr">
        <is>
          <t>X</t>
        </is>
      </c>
      <c r="D6" s="300" t="n">
        <v>425</v>
      </c>
      <c r="E6" s="300" t="inlineStr">
        <is>
          <t>CREAM - BLUE</t>
        </is>
      </c>
      <c r="F6" s="307" t="n">
        <v>1</v>
      </c>
      <c r="G6" s="71" t="n"/>
    </row>
    <row r="7">
      <c r="A7" s="301" t="n">
        <v>573</v>
      </c>
      <c r="B7" s="300" t="n">
        <v>160</v>
      </c>
      <c r="C7" s="300" t="inlineStr">
        <is>
          <t>X</t>
        </is>
      </c>
      <c r="D7" s="300" t="n">
        <v>230</v>
      </c>
      <c r="E7" s="300" t="inlineStr">
        <is>
          <t>CREAM - BLUE</t>
        </is>
      </c>
      <c r="F7" s="307" t="n">
        <v>1</v>
      </c>
      <c r="G7" s="71" t="n"/>
    </row>
    <row r="8">
      <c r="A8" s="301" t="n">
        <v>573</v>
      </c>
      <c r="B8" s="300" t="n">
        <v>80</v>
      </c>
      <c r="C8" s="300" t="inlineStr">
        <is>
          <t>X</t>
        </is>
      </c>
      <c r="D8" s="300" t="n">
        <v>150</v>
      </c>
      <c r="E8" s="300" t="inlineStr">
        <is>
          <t>CREAM - BLUE</t>
        </is>
      </c>
      <c r="F8" s="307" t="n">
        <v>1</v>
      </c>
      <c r="G8" s="71" t="n"/>
    </row>
    <row r="9">
      <c r="A9" s="301" t="n">
        <v>573</v>
      </c>
      <c r="B9" s="300" t="n">
        <v>80</v>
      </c>
      <c r="C9" s="300" t="inlineStr">
        <is>
          <t>X</t>
        </is>
      </c>
      <c r="D9" s="300" t="n">
        <v>300</v>
      </c>
      <c r="E9" s="300" t="inlineStr">
        <is>
          <t>CREAM - BLUE</t>
        </is>
      </c>
      <c r="F9" s="307" t="n">
        <v>1</v>
      </c>
      <c r="G9" s="71" t="n"/>
    </row>
    <row r="10">
      <c r="A10" s="301" t="n">
        <v>573</v>
      </c>
      <c r="B10" s="300" t="n">
        <v>230</v>
      </c>
      <c r="C10" s="300" t="inlineStr">
        <is>
          <t>X</t>
        </is>
      </c>
      <c r="D10" s="300" t="n">
        <v>300</v>
      </c>
      <c r="E10" s="300" t="inlineStr">
        <is>
          <t>CREAM - BLUE</t>
        </is>
      </c>
      <c r="F10" s="307" t="n">
        <v>1</v>
      </c>
      <c r="G10" s="71" t="n"/>
    </row>
    <row r="11">
      <c r="A11" s="301" t="n">
        <v>653</v>
      </c>
      <c r="B11" s="300" t="n">
        <v>290</v>
      </c>
      <c r="C11" s="300" t="inlineStr">
        <is>
          <t>X</t>
        </is>
      </c>
      <c r="D11" s="300" t="n">
        <v>425</v>
      </c>
      <c r="E11" s="300" t="inlineStr">
        <is>
          <t xml:space="preserve">RED - RED </t>
        </is>
      </c>
      <c r="F11" s="307" t="n">
        <v>1</v>
      </c>
      <c r="G11" s="71" t="n"/>
    </row>
    <row r="12">
      <c r="A12" s="301" t="n">
        <v>653</v>
      </c>
      <c r="B12" s="300" t="n">
        <v>160</v>
      </c>
      <c r="C12" s="300" t="inlineStr">
        <is>
          <t>X</t>
        </is>
      </c>
      <c r="D12" s="300" t="n">
        <v>230</v>
      </c>
      <c r="E12" s="300" t="inlineStr">
        <is>
          <t xml:space="preserve">RED - RED </t>
        </is>
      </c>
      <c r="F12" s="307" t="n">
        <v>2</v>
      </c>
      <c r="G12" s="71" t="n"/>
    </row>
    <row r="13">
      <c r="A13" s="301" t="n">
        <v>653</v>
      </c>
      <c r="B13" s="300" t="n">
        <v>60</v>
      </c>
      <c r="C13" s="300" t="inlineStr">
        <is>
          <t>X</t>
        </is>
      </c>
      <c r="D13" s="300" t="n">
        <v>90</v>
      </c>
      <c r="E13" s="300" t="inlineStr">
        <is>
          <t xml:space="preserve">RED - RED </t>
        </is>
      </c>
      <c r="F13" s="307" t="n">
        <v>2</v>
      </c>
      <c r="G13" s="71" t="n"/>
    </row>
    <row r="14">
      <c r="A14" s="301" t="n">
        <v>653</v>
      </c>
      <c r="B14" s="300" t="n">
        <v>80</v>
      </c>
      <c r="C14" s="300" t="inlineStr">
        <is>
          <t>X</t>
        </is>
      </c>
      <c r="D14" s="300" t="n">
        <v>150</v>
      </c>
      <c r="E14" s="300" t="inlineStr">
        <is>
          <t xml:space="preserve">RED - RED </t>
        </is>
      </c>
      <c r="F14" s="307" t="n">
        <v>1</v>
      </c>
      <c r="G14" s="71" t="n"/>
    </row>
    <row r="15">
      <c r="A15" s="301" t="n">
        <v>653</v>
      </c>
      <c r="B15" s="300" t="n">
        <v>230</v>
      </c>
      <c r="C15" s="300" t="inlineStr">
        <is>
          <t>X</t>
        </is>
      </c>
      <c r="D15" s="300" t="n">
        <v>300</v>
      </c>
      <c r="E15" s="300" t="inlineStr">
        <is>
          <t xml:space="preserve">RED - RED </t>
        </is>
      </c>
      <c r="F15" s="307" t="n">
        <v>0</v>
      </c>
      <c r="G15" s="71" t="n"/>
    </row>
    <row r="16">
      <c r="A16" s="301" t="n">
        <v>653</v>
      </c>
      <c r="B16" s="300" t="n">
        <v>80</v>
      </c>
      <c r="C16" s="300" t="inlineStr">
        <is>
          <t>X</t>
        </is>
      </c>
      <c r="D16" s="300" t="n">
        <v>300</v>
      </c>
      <c r="E16" s="300" t="inlineStr">
        <is>
          <t xml:space="preserve">RED - RED </t>
        </is>
      </c>
      <c r="F16" s="307" t="n">
        <v>1</v>
      </c>
      <c r="G16" s="71" t="n"/>
    </row>
    <row r="17">
      <c r="A17" s="301" t="n">
        <v>653</v>
      </c>
      <c r="B17" s="300" t="n">
        <v>60</v>
      </c>
      <c r="C17" s="300" t="inlineStr">
        <is>
          <t>X</t>
        </is>
      </c>
      <c r="D17" s="300" t="n">
        <v>90</v>
      </c>
      <c r="E17" s="300" t="inlineStr">
        <is>
          <t xml:space="preserve">RED - RED </t>
        </is>
      </c>
      <c r="F17" s="307" t="n">
        <v>1</v>
      </c>
      <c r="G17" s="71" t="n"/>
    </row>
    <row r="18">
      <c r="A18" s="301" t="n">
        <v>653</v>
      </c>
      <c r="B18" s="300" t="n">
        <v>300</v>
      </c>
      <c r="C18" s="300" t="inlineStr">
        <is>
          <t>X</t>
        </is>
      </c>
      <c r="D18" s="300" t="n">
        <v>396</v>
      </c>
      <c r="E18" s="300" t="inlineStr">
        <is>
          <t xml:space="preserve">RED - RED </t>
        </is>
      </c>
      <c r="F18" s="307" t="n">
        <v>1</v>
      </c>
      <c r="G18" s="71" t="n"/>
    </row>
    <row r="19">
      <c r="A19" s="301" t="n">
        <v>667</v>
      </c>
      <c r="B19" s="300" t="n">
        <v>290</v>
      </c>
      <c r="C19" s="300" t="inlineStr">
        <is>
          <t>X</t>
        </is>
      </c>
      <c r="D19" s="300" t="n">
        <v>425</v>
      </c>
      <c r="E19" s="300" t="inlineStr">
        <is>
          <t>CREAM - CREAM</t>
        </is>
      </c>
      <c r="F19" s="307" t="n">
        <v>1</v>
      </c>
      <c r="G19" s="71" t="n"/>
    </row>
    <row r="20">
      <c r="A20" s="301" t="n">
        <v>667</v>
      </c>
      <c r="B20" s="300" t="n">
        <v>160</v>
      </c>
      <c r="C20" s="300" t="inlineStr">
        <is>
          <t>X</t>
        </is>
      </c>
      <c r="D20" s="300" t="n">
        <v>230</v>
      </c>
      <c r="E20" s="300" t="inlineStr">
        <is>
          <t>CREAM - CREAM</t>
        </is>
      </c>
      <c r="F20" s="307" t="n">
        <v>2</v>
      </c>
      <c r="G20" s="71" t="n"/>
    </row>
    <row r="21">
      <c r="A21" s="301" t="n">
        <v>667</v>
      </c>
      <c r="B21" s="300" t="n">
        <v>80</v>
      </c>
      <c r="C21" s="300" t="inlineStr">
        <is>
          <t>X</t>
        </is>
      </c>
      <c r="D21" s="300" t="n">
        <v>150</v>
      </c>
      <c r="E21" s="300" t="inlineStr">
        <is>
          <t>CREAM - CREAM</t>
        </is>
      </c>
      <c r="F21" s="307" t="n">
        <v>1</v>
      </c>
      <c r="G21" s="71" t="n"/>
    </row>
    <row r="22">
      <c r="A22" s="301" t="n">
        <v>667</v>
      </c>
      <c r="B22" s="300" t="n">
        <v>80</v>
      </c>
      <c r="C22" s="300" t="inlineStr">
        <is>
          <t>X</t>
        </is>
      </c>
      <c r="D22" s="300" t="n">
        <v>300</v>
      </c>
      <c r="E22" s="300" t="inlineStr">
        <is>
          <t xml:space="preserve">CREAM - CREAM </t>
        </is>
      </c>
      <c r="F22" s="307" t="n">
        <v>1</v>
      </c>
      <c r="G22" s="71" t="n"/>
    </row>
    <row r="23">
      <c r="A23" s="301" t="n">
        <v>892</v>
      </c>
      <c r="B23" s="300" t="n">
        <v>290</v>
      </c>
      <c r="C23" s="300" t="inlineStr">
        <is>
          <t>X</t>
        </is>
      </c>
      <c r="D23" s="300" t="n">
        <v>425</v>
      </c>
      <c r="E23" s="300" t="inlineStr">
        <is>
          <t>CREAM - RED</t>
        </is>
      </c>
      <c r="F23" s="307" t="n">
        <v>1</v>
      </c>
      <c r="G23" s="71" t="n"/>
    </row>
    <row r="24">
      <c r="A24" s="301" t="n">
        <v>892</v>
      </c>
      <c r="B24" s="300" t="n">
        <v>160</v>
      </c>
      <c r="C24" s="300" t="inlineStr">
        <is>
          <t>X</t>
        </is>
      </c>
      <c r="D24" s="300" t="n">
        <v>230</v>
      </c>
      <c r="E24" s="300" t="inlineStr">
        <is>
          <t xml:space="preserve">CREAM - RED </t>
        </is>
      </c>
      <c r="F24" s="307" t="n">
        <v>2</v>
      </c>
      <c r="G24" s="71" t="n"/>
    </row>
    <row r="25">
      <c r="A25" s="301" t="n">
        <v>892</v>
      </c>
      <c r="B25" s="300" t="n">
        <v>80</v>
      </c>
      <c r="C25" s="300" t="inlineStr">
        <is>
          <t>X</t>
        </is>
      </c>
      <c r="D25" s="300" t="n">
        <v>300</v>
      </c>
      <c r="E25" s="300" t="inlineStr">
        <is>
          <t xml:space="preserve">CREAM - RED </t>
        </is>
      </c>
      <c r="F25" s="307" t="n">
        <v>1</v>
      </c>
      <c r="G25" s="71" t="n"/>
    </row>
    <row r="26">
      <c r="A26" s="301" t="n">
        <v>892</v>
      </c>
      <c r="B26" s="300" t="n">
        <v>80</v>
      </c>
      <c r="C26" s="300" t="inlineStr">
        <is>
          <t>X</t>
        </is>
      </c>
      <c r="D26" s="300" t="n">
        <v>300</v>
      </c>
      <c r="E26" s="300" t="inlineStr">
        <is>
          <t xml:space="preserve">CREAM - RED </t>
        </is>
      </c>
      <c r="F26" s="307" t="n">
        <v>1</v>
      </c>
      <c r="G26" s="71" t="n"/>
    </row>
    <row r="27">
      <c r="A27" s="301" t="n">
        <v>897</v>
      </c>
      <c r="B27" s="300" t="n">
        <v>160</v>
      </c>
      <c r="C27" s="300" t="inlineStr">
        <is>
          <t>X</t>
        </is>
      </c>
      <c r="D27" s="300" t="n">
        <v>230</v>
      </c>
      <c r="E27" s="300" t="inlineStr">
        <is>
          <t>BEİGE - BLUE</t>
        </is>
      </c>
      <c r="F27" s="307" t="n">
        <v>1</v>
      </c>
      <c r="G27" s="71" t="n"/>
    </row>
    <row r="28">
      <c r="A28" s="301" t="n">
        <v>898</v>
      </c>
      <c r="B28" s="300" t="n">
        <v>160</v>
      </c>
      <c r="C28" s="300" t="inlineStr">
        <is>
          <t>X</t>
        </is>
      </c>
      <c r="D28" s="300" t="n">
        <v>230</v>
      </c>
      <c r="E28" s="300" t="inlineStr">
        <is>
          <t>VİZON - BEİGE</t>
        </is>
      </c>
      <c r="F28" s="307" t="n">
        <v>1</v>
      </c>
      <c r="G28" s="71" t="n"/>
    </row>
    <row r="29">
      <c r="A29" s="301" t="n">
        <v>991</v>
      </c>
      <c r="B29" s="300" t="n">
        <v>275</v>
      </c>
      <c r="C29" s="300" t="inlineStr">
        <is>
          <t>X</t>
        </is>
      </c>
      <c r="D29" s="300" t="n">
        <v>365</v>
      </c>
      <c r="E29" s="300" t="inlineStr">
        <is>
          <t>GREEN-MULTİ</t>
        </is>
      </c>
      <c r="F29" s="307" t="n">
        <v>1</v>
      </c>
      <c r="G29" s="71" t="n"/>
    </row>
    <row r="30">
      <c r="A30" s="301" t="n">
        <v>991</v>
      </c>
      <c r="B30" s="300" t="n">
        <v>290</v>
      </c>
      <c r="C30" s="300" t="inlineStr">
        <is>
          <t>X</t>
        </is>
      </c>
      <c r="D30" s="300" t="n">
        <v>380</v>
      </c>
      <c r="E30" s="300" t="inlineStr">
        <is>
          <t>CREAM-GREEN</t>
        </is>
      </c>
      <c r="F30" s="307" t="n">
        <v>1</v>
      </c>
      <c r="G30" s="71" t="n"/>
    </row>
    <row r="31">
      <c r="A31" s="301" t="n">
        <v>991</v>
      </c>
      <c r="B31" s="300" t="n">
        <v>60</v>
      </c>
      <c r="C31" s="300" t="inlineStr">
        <is>
          <t>X</t>
        </is>
      </c>
      <c r="D31" s="300" t="n">
        <v>90</v>
      </c>
      <c r="E31" s="300" t="inlineStr">
        <is>
          <t>CREAM-GREEN</t>
        </is>
      </c>
      <c r="F31" s="307" t="n">
        <v>1</v>
      </c>
      <c r="G31" s="71" t="n"/>
    </row>
    <row r="32">
      <c r="A32" s="301" t="n">
        <v>991</v>
      </c>
      <c r="B32" s="300" t="n">
        <v>290</v>
      </c>
      <c r="C32" s="300" t="inlineStr">
        <is>
          <t>X</t>
        </is>
      </c>
      <c r="D32" s="300" t="n">
        <v>425</v>
      </c>
      <c r="E32" s="300" t="inlineStr">
        <is>
          <t>GREEN - MULTİ</t>
        </is>
      </c>
      <c r="F32" s="307" t="n">
        <v>1</v>
      </c>
      <c r="G32" s="71" t="n"/>
    </row>
    <row r="33">
      <c r="A33" s="301" t="n">
        <v>991</v>
      </c>
      <c r="B33" s="300" t="n">
        <v>290</v>
      </c>
      <c r="C33" s="300" t="inlineStr">
        <is>
          <t>X</t>
        </is>
      </c>
      <c r="D33" s="300" t="n">
        <v>425</v>
      </c>
      <c r="E33" s="300" t="inlineStr">
        <is>
          <t>CREAM - BLUE</t>
        </is>
      </c>
      <c r="F33" s="307" t="n">
        <v>1</v>
      </c>
      <c r="G33" s="71" t="n"/>
    </row>
    <row r="34">
      <c r="A34" s="301" t="n">
        <v>991</v>
      </c>
      <c r="B34" s="300" t="n">
        <v>290</v>
      </c>
      <c r="C34" s="300" t="inlineStr">
        <is>
          <t>X</t>
        </is>
      </c>
      <c r="D34" s="300" t="n">
        <v>425</v>
      </c>
      <c r="E34" s="300" t="inlineStr">
        <is>
          <t>BROWN - CREAM</t>
        </is>
      </c>
      <c r="F34" s="307" t="n">
        <v>1</v>
      </c>
      <c r="G34" s="71" t="n"/>
    </row>
    <row r="35">
      <c r="A35" s="301" t="n">
        <v>991</v>
      </c>
      <c r="B35" s="300" t="n">
        <v>290</v>
      </c>
      <c r="C35" s="300" t="inlineStr">
        <is>
          <t>X</t>
        </is>
      </c>
      <c r="D35" s="300" t="n">
        <v>425</v>
      </c>
      <c r="E35" s="300" t="inlineStr">
        <is>
          <t>PİNK - MULTİ</t>
        </is>
      </c>
      <c r="F35" s="307" t="n">
        <v>0</v>
      </c>
      <c r="G35" s="71" t="n"/>
    </row>
    <row r="36">
      <c r="A36" s="301" t="n">
        <v>991</v>
      </c>
      <c r="B36" s="300" t="n">
        <v>290</v>
      </c>
      <c r="C36" s="300" t="inlineStr">
        <is>
          <t>X</t>
        </is>
      </c>
      <c r="D36" s="300" t="n">
        <v>425</v>
      </c>
      <c r="E36" s="300" t="inlineStr">
        <is>
          <t>NAVY- GREEN</t>
        </is>
      </c>
      <c r="F36" s="307" t="n">
        <v>0</v>
      </c>
      <c r="G36" s="71" t="n"/>
    </row>
    <row r="37">
      <c r="A37" s="301" t="n">
        <v>991</v>
      </c>
      <c r="B37" s="300" t="n">
        <v>290</v>
      </c>
      <c r="C37" s="300" t="inlineStr">
        <is>
          <t>X</t>
        </is>
      </c>
      <c r="D37" s="300" t="n">
        <v>425</v>
      </c>
      <c r="E37" s="300" t="inlineStr">
        <is>
          <t>CREAM - MULTİ</t>
        </is>
      </c>
      <c r="F37" s="307" t="n">
        <v>1</v>
      </c>
      <c r="G37" s="71" t="n"/>
    </row>
    <row r="38">
      <c r="A38" s="301" t="n">
        <v>991</v>
      </c>
      <c r="B38" s="300" t="n">
        <v>275</v>
      </c>
      <c r="C38" s="300" t="inlineStr">
        <is>
          <t>X</t>
        </is>
      </c>
      <c r="D38" s="300" t="n">
        <v>365</v>
      </c>
      <c r="E38" s="300" t="inlineStr">
        <is>
          <t>CREAM - MULTİ</t>
        </is>
      </c>
      <c r="F38" s="307" t="n">
        <v>1</v>
      </c>
      <c r="G38" s="71" t="n"/>
    </row>
    <row r="39">
      <c r="A39" s="301" t="n">
        <v>991</v>
      </c>
      <c r="B39" s="300" t="n">
        <v>290</v>
      </c>
      <c r="C39" s="300" t="inlineStr">
        <is>
          <t>X</t>
        </is>
      </c>
      <c r="D39" s="300" t="n">
        <v>425</v>
      </c>
      <c r="E39" s="300" t="inlineStr">
        <is>
          <t>CREAM - GREEN</t>
        </is>
      </c>
      <c r="F39" s="307" t="n">
        <v>1</v>
      </c>
      <c r="G39" s="71" t="n"/>
    </row>
    <row r="40">
      <c r="A40" s="301" t="n">
        <v>991</v>
      </c>
      <c r="B40" s="300" t="n">
        <v>290</v>
      </c>
      <c r="C40" s="300" t="inlineStr">
        <is>
          <t>X</t>
        </is>
      </c>
      <c r="D40" s="300" t="n">
        <v>425</v>
      </c>
      <c r="E40" s="300" t="inlineStr">
        <is>
          <t>GREY - MULTİ</t>
        </is>
      </c>
      <c r="F40" s="307" t="n">
        <v>1</v>
      </c>
      <c r="G40" s="71" t="n"/>
    </row>
    <row r="41">
      <c r="A41" s="301" t="n">
        <v>991</v>
      </c>
      <c r="B41" s="300" t="n">
        <v>290</v>
      </c>
      <c r="C41" s="300" t="inlineStr">
        <is>
          <t>X</t>
        </is>
      </c>
      <c r="D41" s="300" t="n">
        <v>425</v>
      </c>
      <c r="E41" s="300" t="inlineStr">
        <is>
          <t>CREAM - GREY</t>
        </is>
      </c>
      <c r="F41" s="307" t="n">
        <v>1</v>
      </c>
      <c r="G41" s="71" t="n"/>
    </row>
    <row r="42">
      <c r="A42" s="301" t="n">
        <v>991</v>
      </c>
      <c r="B42" s="300" t="n">
        <v>290</v>
      </c>
      <c r="C42" s="300" t="inlineStr">
        <is>
          <t>X</t>
        </is>
      </c>
      <c r="D42" s="300" t="n">
        <v>425</v>
      </c>
      <c r="E42" s="300" t="inlineStr">
        <is>
          <t>RED - MULTİ</t>
        </is>
      </c>
      <c r="F42" s="307" t="n">
        <v>1</v>
      </c>
      <c r="G42" s="71" t="n"/>
    </row>
    <row r="43">
      <c r="A43" s="301" t="n">
        <v>991</v>
      </c>
      <c r="B43" s="300" t="n">
        <v>275</v>
      </c>
      <c r="C43" s="300" t="inlineStr">
        <is>
          <t>X</t>
        </is>
      </c>
      <c r="D43" s="300" t="n">
        <v>365</v>
      </c>
      <c r="E43" s="300" t="inlineStr">
        <is>
          <t>GREEN - MULTİ</t>
        </is>
      </c>
      <c r="F43" s="307" t="n">
        <v>7</v>
      </c>
      <c r="G43" s="71" t="n"/>
    </row>
    <row r="44">
      <c r="A44" s="301" t="n">
        <v>991</v>
      </c>
      <c r="B44" s="300" t="n">
        <v>300</v>
      </c>
      <c r="C44" s="300" t="inlineStr">
        <is>
          <t>X</t>
        </is>
      </c>
      <c r="D44" s="300" t="n">
        <v>396</v>
      </c>
      <c r="E44" s="300" t="inlineStr">
        <is>
          <t>GREEN - MULTİ</t>
        </is>
      </c>
      <c r="F44" s="307" t="n">
        <v>0</v>
      </c>
      <c r="G44" s="71" t="n"/>
    </row>
    <row r="45">
      <c r="A45" s="301" t="n">
        <v>991</v>
      </c>
      <c r="B45" s="300" t="n">
        <v>160</v>
      </c>
      <c r="C45" s="300" t="inlineStr">
        <is>
          <t>X</t>
        </is>
      </c>
      <c r="D45" s="300" t="n">
        <v>230</v>
      </c>
      <c r="E45" s="300" t="inlineStr">
        <is>
          <t>NAVY- GREEN</t>
        </is>
      </c>
      <c r="F45" s="307" t="n">
        <v>2</v>
      </c>
      <c r="G45" s="71" t="n"/>
    </row>
    <row r="46">
      <c r="A46" s="301" t="n">
        <v>991</v>
      </c>
      <c r="B46" s="300" t="n">
        <v>160</v>
      </c>
      <c r="C46" s="300" t="inlineStr">
        <is>
          <t>X</t>
        </is>
      </c>
      <c r="D46" s="300" t="n">
        <v>230</v>
      </c>
      <c r="E46" s="300" t="inlineStr">
        <is>
          <t>CREAM - BLUE</t>
        </is>
      </c>
      <c r="F46" s="307" t="n">
        <v>2</v>
      </c>
      <c r="G46" s="71" t="n"/>
    </row>
    <row r="47">
      <c r="A47" s="301" t="n">
        <v>991</v>
      </c>
      <c r="B47" s="300" t="n">
        <v>160</v>
      </c>
      <c r="C47" s="300" t="inlineStr">
        <is>
          <t>X</t>
        </is>
      </c>
      <c r="D47" s="300" t="n">
        <v>230</v>
      </c>
      <c r="E47" s="300" t="inlineStr">
        <is>
          <t>GREY - MULTİ</t>
        </is>
      </c>
      <c r="F47" s="307" t="n">
        <v>2</v>
      </c>
      <c r="G47" s="71" t="n"/>
    </row>
    <row r="48">
      <c r="A48" s="301" t="n">
        <v>991</v>
      </c>
      <c r="B48" s="300" t="n">
        <v>160</v>
      </c>
      <c r="C48" s="300" t="inlineStr">
        <is>
          <t>X</t>
        </is>
      </c>
      <c r="D48" s="300" t="n">
        <v>230</v>
      </c>
      <c r="E48" s="300" t="inlineStr">
        <is>
          <t>CREAM - GREEN</t>
        </is>
      </c>
      <c r="F48" s="307" t="n">
        <v>3</v>
      </c>
      <c r="G48" s="71" t="n"/>
    </row>
    <row r="49">
      <c r="A49" s="301" t="n">
        <v>991</v>
      </c>
      <c r="B49" s="300" t="n">
        <v>160</v>
      </c>
      <c r="C49" s="300" t="inlineStr">
        <is>
          <t>X</t>
        </is>
      </c>
      <c r="D49" s="300" t="n">
        <v>230</v>
      </c>
      <c r="E49" s="300" t="inlineStr">
        <is>
          <t xml:space="preserve">BROWN - CREAM </t>
        </is>
      </c>
      <c r="F49" s="307" t="n">
        <v>3</v>
      </c>
      <c r="G49" s="71" t="n"/>
    </row>
    <row r="50">
      <c r="A50" s="301" t="n">
        <v>991</v>
      </c>
      <c r="B50" s="300" t="n">
        <v>160</v>
      </c>
      <c r="C50" s="300" t="inlineStr">
        <is>
          <t>X</t>
        </is>
      </c>
      <c r="D50" s="300" t="n">
        <v>230</v>
      </c>
      <c r="E50" s="300" t="inlineStr">
        <is>
          <t xml:space="preserve">RED - MULTİ </t>
        </is>
      </c>
      <c r="F50" s="307" t="n">
        <v>2</v>
      </c>
      <c r="G50" s="71" t="n"/>
    </row>
    <row r="51">
      <c r="A51" s="301" t="n">
        <v>991</v>
      </c>
      <c r="B51" s="300" t="n">
        <v>160</v>
      </c>
      <c r="C51" s="300" t="inlineStr">
        <is>
          <t>X</t>
        </is>
      </c>
      <c r="D51" s="300" t="n">
        <v>230</v>
      </c>
      <c r="E51" s="300" t="inlineStr">
        <is>
          <t>PİNK - MULTİ</t>
        </is>
      </c>
      <c r="F51" s="307" t="n">
        <v>0</v>
      </c>
      <c r="G51" s="71" t="n"/>
    </row>
    <row r="52">
      <c r="A52" s="301" t="n">
        <v>991</v>
      </c>
      <c r="B52" s="300" t="n">
        <v>160</v>
      </c>
      <c r="C52" s="300" t="inlineStr">
        <is>
          <t>X</t>
        </is>
      </c>
      <c r="D52" s="300" t="n">
        <v>230</v>
      </c>
      <c r="E52" s="300" t="inlineStr">
        <is>
          <t>CREAM - GREY</t>
        </is>
      </c>
      <c r="F52" s="307" t="n">
        <v>1</v>
      </c>
      <c r="G52" s="71" t="n"/>
    </row>
    <row r="53">
      <c r="A53" s="301" t="n">
        <v>991</v>
      </c>
      <c r="B53" s="300" t="n">
        <v>80</v>
      </c>
      <c r="C53" s="300" t="inlineStr">
        <is>
          <t>X</t>
        </is>
      </c>
      <c r="D53" s="300" t="n">
        <v>150</v>
      </c>
      <c r="E53" s="300" t="inlineStr">
        <is>
          <t>NAVY- GREEN</t>
        </is>
      </c>
      <c r="F53" s="307" t="n">
        <v>1</v>
      </c>
      <c r="G53" s="71" t="n"/>
    </row>
    <row r="54">
      <c r="A54" s="301" t="n">
        <v>991</v>
      </c>
      <c r="B54" s="300" t="n">
        <v>80</v>
      </c>
      <c r="C54" s="300" t="inlineStr">
        <is>
          <t>X</t>
        </is>
      </c>
      <c r="D54" s="300" t="n">
        <v>150</v>
      </c>
      <c r="E54" s="300" t="inlineStr">
        <is>
          <t>CREAM - MULTİ</t>
        </is>
      </c>
      <c r="F54" s="307" t="n">
        <v>1</v>
      </c>
      <c r="G54" s="71" t="n"/>
    </row>
    <row r="55">
      <c r="A55" s="301" t="n">
        <v>991</v>
      </c>
      <c r="B55" s="300" t="n">
        <v>80</v>
      </c>
      <c r="C55" s="300" t="inlineStr">
        <is>
          <t>X</t>
        </is>
      </c>
      <c r="D55" s="300" t="n">
        <v>150</v>
      </c>
      <c r="E55" s="300" t="inlineStr">
        <is>
          <t xml:space="preserve">BROWN - CREAM </t>
        </is>
      </c>
      <c r="F55" s="307" t="n">
        <v>1</v>
      </c>
      <c r="G55" s="71" t="n"/>
    </row>
    <row r="56">
      <c r="A56" s="301" t="n">
        <v>991</v>
      </c>
      <c r="B56" s="300" t="n">
        <v>80</v>
      </c>
      <c r="C56" s="300" t="inlineStr">
        <is>
          <t>X</t>
        </is>
      </c>
      <c r="D56" s="300" t="n">
        <v>150</v>
      </c>
      <c r="E56" s="300" t="inlineStr">
        <is>
          <t>GREY - MULTİ</t>
        </is>
      </c>
      <c r="F56" s="307" t="n">
        <v>1</v>
      </c>
      <c r="G56" s="71" t="n"/>
    </row>
    <row r="57">
      <c r="A57" s="301" t="n">
        <v>991</v>
      </c>
      <c r="B57" s="300" t="n">
        <v>80</v>
      </c>
      <c r="C57" s="300" t="inlineStr">
        <is>
          <t>X</t>
        </is>
      </c>
      <c r="D57" s="300" t="n">
        <v>150</v>
      </c>
      <c r="E57" s="300" t="inlineStr">
        <is>
          <t>CREAM - GREY</t>
        </is>
      </c>
      <c r="F57" s="307" t="n">
        <v>2</v>
      </c>
      <c r="G57" s="71" t="n"/>
    </row>
    <row r="58">
      <c r="A58" s="301" t="n">
        <v>991</v>
      </c>
      <c r="B58" s="300" t="n">
        <v>80</v>
      </c>
      <c r="C58" s="300" t="inlineStr">
        <is>
          <t>X</t>
        </is>
      </c>
      <c r="D58" s="300" t="n">
        <v>150</v>
      </c>
      <c r="E58" s="300" t="inlineStr">
        <is>
          <t xml:space="preserve">RED - MULTİ </t>
        </is>
      </c>
      <c r="F58" s="307" t="n">
        <v>1</v>
      </c>
      <c r="G58" s="71" t="n"/>
    </row>
    <row r="59">
      <c r="A59" s="301" t="n">
        <v>991</v>
      </c>
      <c r="B59" s="300" t="n">
        <v>80</v>
      </c>
      <c r="C59" s="300" t="inlineStr">
        <is>
          <t>X</t>
        </is>
      </c>
      <c r="D59" s="300" t="n">
        <v>150</v>
      </c>
      <c r="E59" s="300" t="inlineStr">
        <is>
          <t>PİNK - MULTİ</t>
        </is>
      </c>
      <c r="F59" s="307" t="n">
        <v>1</v>
      </c>
      <c r="G59" s="71" t="n"/>
    </row>
    <row r="60">
      <c r="A60" s="301" t="n">
        <v>991</v>
      </c>
      <c r="B60" s="300" t="n">
        <v>275</v>
      </c>
      <c r="C60" s="300" t="inlineStr">
        <is>
          <t>X</t>
        </is>
      </c>
      <c r="D60" s="300" t="n">
        <v>365</v>
      </c>
      <c r="E60" s="300" t="inlineStr">
        <is>
          <t>PİNK - MULTİ</t>
        </is>
      </c>
      <c r="F60" s="307" t="n">
        <v>1</v>
      </c>
      <c r="G60" s="71" t="n"/>
    </row>
    <row r="61">
      <c r="A61" s="301" t="n">
        <v>991</v>
      </c>
      <c r="B61" s="300" t="n">
        <v>80</v>
      </c>
      <c r="C61" s="300" t="inlineStr">
        <is>
          <t>X</t>
        </is>
      </c>
      <c r="D61" s="300" t="n">
        <v>150</v>
      </c>
      <c r="E61" s="300" t="inlineStr">
        <is>
          <t>CREAM - GREY</t>
        </is>
      </c>
      <c r="F61" s="307" t="n">
        <v>1</v>
      </c>
      <c r="G61" s="71" t="n"/>
    </row>
    <row r="62">
      <c r="A62" s="301" t="n">
        <v>991</v>
      </c>
      <c r="B62" s="300" t="n">
        <v>80</v>
      </c>
      <c r="C62" s="300" t="inlineStr">
        <is>
          <t>X</t>
        </is>
      </c>
      <c r="D62" s="300" t="n">
        <v>300</v>
      </c>
      <c r="E62" s="300" t="inlineStr">
        <is>
          <t>CREAM - GREEN</t>
        </is>
      </c>
      <c r="F62" s="307" t="n">
        <v>2</v>
      </c>
      <c r="G62" s="71" t="n"/>
    </row>
    <row r="63">
      <c r="A63" s="301" t="n">
        <v>991</v>
      </c>
      <c r="B63" s="300" t="n">
        <v>80</v>
      </c>
      <c r="C63" s="300" t="inlineStr">
        <is>
          <t>X</t>
        </is>
      </c>
      <c r="D63" s="300" t="n">
        <v>200</v>
      </c>
      <c r="E63" s="300" t="inlineStr">
        <is>
          <t>CREAM - GREEN</t>
        </is>
      </c>
      <c r="F63" s="307" t="n">
        <v>1</v>
      </c>
      <c r="G63" s="71" t="n"/>
    </row>
    <row r="64">
      <c r="A64" s="301" t="n">
        <v>991</v>
      </c>
      <c r="B64" s="300" t="n">
        <v>180</v>
      </c>
      <c r="C64" s="300" t="inlineStr">
        <is>
          <t>X</t>
        </is>
      </c>
      <c r="D64" s="300" t="n">
        <v>270</v>
      </c>
      <c r="E64" s="300" t="inlineStr">
        <is>
          <t>CREAM-GREEN</t>
        </is>
      </c>
      <c r="F64" s="307" t="n">
        <v>1</v>
      </c>
      <c r="G64" s="71" t="n"/>
    </row>
    <row r="65">
      <c r="A65" s="301" t="n">
        <v>991</v>
      </c>
      <c r="B65" s="300" t="n">
        <v>80</v>
      </c>
      <c r="C65" s="300" t="inlineStr">
        <is>
          <t>X</t>
        </is>
      </c>
      <c r="D65" s="300" t="n">
        <v>150</v>
      </c>
      <c r="E65" s="300" t="inlineStr">
        <is>
          <t>CREAM - GREEN</t>
        </is>
      </c>
      <c r="F65" s="307" t="n">
        <v>1</v>
      </c>
      <c r="G65" s="71" t="n"/>
    </row>
    <row r="66">
      <c r="A66" s="301" t="n">
        <v>991</v>
      </c>
      <c r="B66" s="300" t="n">
        <v>230</v>
      </c>
      <c r="C66" s="300" t="inlineStr">
        <is>
          <t>X</t>
        </is>
      </c>
      <c r="D66" s="300" t="n">
        <v>300</v>
      </c>
      <c r="E66" s="300" t="inlineStr">
        <is>
          <t>CREAM - GREEN</t>
        </is>
      </c>
      <c r="F66" s="307" t="n">
        <v>0</v>
      </c>
      <c r="G66" s="71" t="n"/>
    </row>
    <row r="67">
      <c r="A67" s="301" t="n">
        <v>991</v>
      </c>
      <c r="B67" s="300" t="n">
        <v>80</v>
      </c>
      <c r="C67" s="300" t="inlineStr">
        <is>
          <t>X</t>
        </is>
      </c>
      <c r="D67" s="300" t="n">
        <v>300</v>
      </c>
      <c r="E67" s="300" t="inlineStr">
        <is>
          <t xml:space="preserve">CREAM - MULTİ </t>
        </is>
      </c>
      <c r="F67" s="307" t="n">
        <v>1</v>
      </c>
      <c r="G67" s="71" t="n"/>
    </row>
    <row r="68">
      <c r="A68" s="301" t="n">
        <v>991</v>
      </c>
      <c r="B68" s="300" t="n">
        <v>80</v>
      </c>
      <c r="C68" s="300" t="inlineStr">
        <is>
          <t>X</t>
        </is>
      </c>
      <c r="D68" s="300" t="n">
        <v>300</v>
      </c>
      <c r="E68" s="300" t="inlineStr">
        <is>
          <t>CREAM - BLUE</t>
        </is>
      </c>
      <c r="F68" s="307" t="n">
        <v>1</v>
      </c>
      <c r="G68" s="71" t="n"/>
    </row>
    <row r="69">
      <c r="A69" s="301" t="n">
        <v>991</v>
      </c>
      <c r="B69" s="300" t="n">
        <v>80</v>
      </c>
      <c r="C69" s="300" t="inlineStr">
        <is>
          <t>X</t>
        </is>
      </c>
      <c r="D69" s="300" t="n">
        <v>300</v>
      </c>
      <c r="E69" s="300" t="inlineStr">
        <is>
          <t xml:space="preserve">BROWN - CREAM </t>
        </is>
      </c>
      <c r="F69" s="307" t="n">
        <v>1</v>
      </c>
      <c r="G69" s="71" t="n"/>
    </row>
    <row r="70">
      <c r="A70" s="301" t="n">
        <v>991</v>
      </c>
      <c r="B70" s="300" t="n">
        <v>80</v>
      </c>
      <c r="C70" s="300" t="inlineStr">
        <is>
          <t>X</t>
        </is>
      </c>
      <c r="D70" s="300" t="n">
        <v>300</v>
      </c>
      <c r="E70" s="300" t="inlineStr">
        <is>
          <t xml:space="preserve">RED - MULTİ </t>
        </is>
      </c>
      <c r="F70" s="307" t="n">
        <v>1</v>
      </c>
      <c r="G70" s="71" t="n"/>
    </row>
    <row r="71">
      <c r="A71" s="301" t="n">
        <v>991</v>
      </c>
      <c r="B71" s="300" t="n">
        <v>80</v>
      </c>
      <c r="C71" s="300" t="inlineStr">
        <is>
          <t>X</t>
        </is>
      </c>
      <c r="D71" s="300" t="n">
        <v>300</v>
      </c>
      <c r="E71" s="300" t="inlineStr">
        <is>
          <t>PİNK - MULTİ</t>
        </is>
      </c>
      <c r="F71" s="307" t="n">
        <v>2</v>
      </c>
      <c r="G71" s="71" t="n"/>
    </row>
    <row r="72">
      <c r="A72" s="301" t="n">
        <v>991</v>
      </c>
      <c r="B72" s="300" t="n">
        <v>80</v>
      </c>
      <c r="C72" s="300" t="inlineStr">
        <is>
          <t>X</t>
        </is>
      </c>
      <c r="D72" s="300" t="n">
        <v>300</v>
      </c>
      <c r="E72" s="300" t="inlineStr">
        <is>
          <t>GREY - MULTİ</t>
        </is>
      </c>
      <c r="F72" s="307" t="n">
        <v>0</v>
      </c>
      <c r="G72" s="71" t="n"/>
    </row>
    <row r="73">
      <c r="A73" s="301" t="n">
        <v>991</v>
      </c>
      <c r="B73" s="300" t="n">
        <v>80</v>
      </c>
      <c r="C73" s="300" t="inlineStr">
        <is>
          <t>X</t>
        </is>
      </c>
      <c r="D73" s="300" t="n">
        <v>300</v>
      </c>
      <c r="E73" s="300" t="inlineStr">
        <is>
          <t>NAVY- GREEN</t>
        </is>
      </c>
      <c r="F73" s="307" t="n">
        <v>1</v>
      </c>
      <c r="G73" s="71" t="n"/>
    </row>
    <row r="74">
      <c r="A74" s="301" t="n">
        <v>991</v>
      </c>
      <c r="B74" s="300" t="n">
        <v>60</v>
      </c>
      <c r="C74" s="300" t="inlineStr">
        <is>
          <t>X</t>
        </is>
      </c>
      <c r="D74" s="300" t="n">
        <v>90</v>
      </c>
      <c r="E74" s="300" t="inlineStr">
        <is>
          <t>GREEN - MULTİ</t>
        </is>
      </c>
      <c r="F74" s="307" t="n">
        <v>2</v>
      </c>
      <c r="G74" s="71" t="n"/>
    </row>
    <row r="75">
      <c r="A75" s="301" t="n">
        <v>991</v>
      </c>
      <c r="B75" s="300" t="n">
        <v>230</v>
      </c>
      <c r="C75" s="300" t="inlineStr">
        <is>
          <t>X</t>
        </is>
      </c>
      <c r="D75" s="300" t="n">
        <v>300</v>
      </c>
      <c r="E75" s="300" t="inlineStr">
        <is>
          <t>GREEN - MULTİ</t>
        </is>
      </c>
      <c r="F75" s="307" t="n">
        <v>1</v>
      </c>
      <c r="G75" s="71" t="n"/>
    </row>
    <row r="76">
      <c r="A76" s="301" t="n">
        <v>991</v>
      </c>
      <c r="B76" s="300" t="n">
        <v>60</v>
      </c>
      <c r="C76" s="300" t="inlineStr">
        <is>
          <t>X</t>
        </is>
      </c>
      <c r="D76" s="300" t="n">
        <v>90</v>
      </c>
      <c r="E76" s="300" t="inlineStr">
        <is>
          <t>NAVY- GREEN</t>
        </is>
      </c>
      <c r="F76" s="307" t="n">
        <v>1</v>
      </c>
      <c r="G76" s="71" t="n"/>
    </row>
    <row r="77">
      <c r="A77" s="301" t="n">
        <v>991</v>
      </c>
      <c r="B77" s="300" t="n">
        <v>60</v>
      </c>
      <c r="C77" s="300" t="inlineStr">
        <is>
          <t>X</t>
        </is>
      </c>
      <c r="D77" s="300" t="n">
        <v>90</v>
      </c>
      <c r="E77" s="300" t="inlineStr">
        <is>
          <t xml:space="preserve">BROWN - CREAM </t>
        </is>
      </c>
      <c r="F77" s="307" t="n">
        <v>1</v>
      </c>
      <c r="G77" s="71" t="n"/>
    </row>
    <row r="78">
      <c r="A78" s="301" t="n">
        <v>991</v>
      </c>
      <c r="B78" s="300" t="n">
        <v>60</v>
      </c>
      <c r="C78" s="300" t="inlineStr">
        <is>
          <t>X</t>
        </is>
      </c>
      <c r="D78" s="300" t="n">
        <v>90</v>
      </c>
      <c r="E78" s="300" t="inlineStr">
        <is>
          <t>PİNK - MULTİ</t>
        </is>
      </c>
      <c r="F78" s="307" t="n">
        <v>0</v>
      </c>
      <c r="G78" s="71" t="n"/>
    </row>
    <row r="79">
      <c r="A79" s="301" t="n">
        <v>991</v>
      </c>
      <c r="B79" s="300" t="n">
        <v>230</v>
      </c>
      <c r="C79" s="300" t="inlineStr">
        <is>
          <t>X</t>
        </is>
      </c>
      <c r="D79" s="300" t="n">
        <v>300</v>
      </c>
      <c r="E79" s="300" t="inlineStr">
        <is>
          <t>PİNK - MULTİ</t>
        </is>
      </c>
      <c r="F79" s="307" t="n">
        <v>0</v>
      </c>
      <c r="G79" s="71" t="n"/>
    </row>
    <row r="80">
      <c r="A80" s="301" t="n">
        <v>991</v>
      </c>
      <c r="B80" s="300" t="n">
        <v>60</v>
      </c>
      <c r="C80" s="300" t="inlineStr">
        <is>
          <t>X</t>
        </is>
      </c>
      <c r="D80" s="300" t="n">
        <v>90</v>
      </c>
      <c r="E80" s="300" t="inlineStr">
        <is>
          <t>CREAM - GREY</t>
        </is>
      </c>
      <c r="F80" s="307" t="n">
        <v>1</v>
      </c>
      <c r="G80" s="71" t="n"/>
    </row>
    <row r="81">
      <c r="A81" s="301" t="n">
        <v>991</v>
      </c>
      <c r="B81" s="300" t="n">
        <v>60</v>
      </c>
      <c r="C81" s="300" t="inlineStr">
        <is>
          <t>X</t>
        </is>
      </c>
      <c r="D81" s="300" t="n">
        <v>90</v>
      </c>
      <c r="E81" s="300" t="inlineStr">
        <is>
          <t xml:space="preserve">CREAM - MULTİ </t>
        </is>
      </c>
      <c r="F81" s="307" t="n">
        <v>1</v>
      </c>
      <c r="G81" s="71" t="n"/>
    </row>
    <row r="82">
      <c r="A82" s="301" t="n">
        <v>991</v>
      </c>
      <c r="B82" s="300" t="n">
        <v>60</v>
      </c>
      <c r="C82" s="300" t="inlineStr">
        <is>
          <t>X</t>
        </is>
      </c>
      <c r="D82" s="300" t="n">
        <v>90</v>
      </c>
      <c r="E82" s="300" t="inlineStr">
        <is>
          <t>CREAM - BLUE</t>
        </is>
      </c>
      <c r="F82" s="307" t="n">
        <v>0</v>
      </c>
      <c r="G82" s="71" t="n"/>
    </row>
    <row r="83">
      <c r="A83" s="301" t="n">
        <v>991</v>
      </c>
      <c r="B83" s="300" t="n">
        <v>230</v>
      </c>
      <c r="C83" s="300" t="inlineStr">
        <is>
          <t>X</t>
        </is>
      </c>
      <c r="D83" s="300" t="n">
        <v>300</v>
      </c>
      <c r="E83" s="300" t="inlineStr">
        <is>
          <t>CREAM - BLUE</t>
        </is>
      </c>
      <c r="F83" s="307" t="n">
        <v>1</v>
      </c>
      <c r="G83" s="71" t="n"/>
    </row>
    <row r="84">
      <c r="A84" s="301" t="n">
        <v>991</v>
      </c>
      <c r="B84" s="300" t="n">
        <v>60</v>
      </c>
      <c r="C84" s="300" t="inlineStr">
        <is>
          <t>X</t>
        </is>
      </c>
      <c r="D84" s="300" t="n">
        <v>90</v>
      </c>
      <c r="E84" s="300" t="inlineStr">
        <is>
          <t>GREY - MULTİ</t>
        </is>
      </c>
      <c r="F84" s="307" t="n">
        <v>1</v>
      </c>
      <c r="G84" s="71" t="n"/>
    </row>
    <row r="85">
      <c r="A85" s="301" t="n">
        <v>991</v>
      </c>
      <c r="B85" s="300" t="n">
        <v>160</v>
      </c>
      <c r="C85" s="300" t="inlineStr">
        <is>
          <t>X</t>
        </is>
      </c>
      <c r="D85" s="300" t="n">
        <v>230</v>
      </c>
      <c r="E85" s="300" t="inlineStr">
        <is>
          <t>CREAM - GREY</t>
        </is>
      </c>
      <c r="F85" s="307" t="n">
        <v>1</v>
      </c>
      <c r="G85" s="71" t="n"/>
    </row>
    <row r="86">
      <c r="A86" s="301" t="n">
        <v>991</v>
      </c>
      <c r="B86" s="300" t="n">
        <v>160</v>
      </c>
      <c r="C86" s="300" t="inlineStr">
        <is>
          <t>X</t>
        </is>
      </c>
      <c r="D86" s="300" t="n">
        <v>230</v>
      </c>
      <c r="E86" s="300" t="inlineStr">
        <is>
          <t>GREEN - MULTİ</t>
        </is>
      </c>
      <c r="F86" s="307" t="n">
        <v>1</v>
      </c>
      <c r="G86" s="71" t="n"/>
    </row>
    <row r="87">
      <c r="A87" s="301" t="n">
        <v>991</v>
      </c>
      <c r="B87" s="300" t="n">
        <v>80</v>
      </c>
      <c r="C87" s="300" t="inlineStr">
        <is>
          <t>X</t>
        </is>
      </c>
      <c r="D87" s="300" t="n">
        <v>200</v>
      </c>
      <c r="E87" s="300" t="inlineStr">
        <is>
          <t>GREEN - MULTİ</t>
        </is>
      </c>
      <c r="F87" s="307" t="n">
        <v>2</v>
      </c>
      <c r="G87" s="71" t="n"/>
    </row>
    <row r="88">
      <c r="A88" s="301" t="n">
        <v>991</v>
      </c>
      <c r="B88" s="300" t="n">
        <v>80</v>
      </c>
      <c r="C88" s="300" t="inlineStr">
        <is>
          <t>X</t>
        </is>
      </c>
      <c r="D88" s="300" t="n">
        <v>400</v>
      </c>
      <c r="E88" s="300" t="inlineStr">
        <is>
          <t>GREEN - MULTİ</t>
        </is>
      </c>
      <c r="F88" s="307" t="n">
        <v>1</v>
      </c>
      <c r="G88" s="71" t="n"/>
    </row>
    <row r="89">
      <c r="A89" s="301" t="n">
        <v>991</v>
      </c>
      <c r="B89" s="300" t="n">
        <v>80</v>
      </c>
      <c r="C89" s="300" t="inlineStr">
        <is>
          <t>X</t>
        </is>
      </c>
      <c r="D89" s="300" t="n">
        <v>150</v>
      </c>
      <c r="E89" s="300" t="inlineStr">
        <is>
          <t>GREEN - MULTİ</t>
        </is>
      </c>
      <c r="F89" s="307" t="n">
        <v>0</v>
      </c>
      <c r="G89" s="71" t="n"/>
    </row>
    <row r="90">
      <c r="A90" s="301" t="n">
        <v>991</v>
      </c>
      <c r="B90" s="300" t="n">
        <v>80</v>
      </c>
      <c r="C90" s="300" t="inlineStr">
        <is>
          <t>X</t>
        </is>
      </c>
      <c r="D90" s="300" t="n">
        <v>260</v>
      </c>
      <c r="E90" s="300" t="inlineStr">
        <is>
          <t>GREEN - MULTİ</t>
        </is>
      </c>
      <c r="F90" s="307" t="n">
        <v>2</v>
      </c>
      <c r="G90" s="71" t="n"/>
    </row>
    <row r="91">
      <c r="A91" s="301" t="n">
        <v>992</v>
      </c>
      <c r="B91" s="300" t="n">
        <v>290</v>
      </c>
      <c r="C91" s="300" t="inlineStr">
        <is>
          <t>X</t>
        </is>
      </c>
      <c r="D91" s="300" t="n">
        <v>425</v>
      </c>
      <c r="E91" s="300" t="inlineStr">
        <is>
          <t>CREAM - NAVY</t>
        </is>
      </c>
      <c r="F91" s="307" t="n">
        <v>1</v>
      </c>
      <c r="G91" s="71" t="n"/>
    </row>
    <row r="92">
      <c r="A92" s="301" t="n">
        <v>992</v>
      </c>
      <c r="B92" s="300" t="n">
        <v>290</v>
      </c>
      <c r="C92" s="300" t="inlineStr">
        <is>
          <t>X</t>
        </is>
      </c>
      <c r="D92" s="300" t="n">
        <v>425</v>
      </c>
      <c r="E92" s="300" t="inlineStr">
        <is>
          <t>CREAM - PİNK</t>
        </is>
      </c>
      <c r="F92" s="307" t="n">
        <v>1</v>
      </c>
      <c r="G92" s="71" t="n"/>
    </row>
    <row r="93">
      <c r="A93" s="301" t="n">
        <v>992</v>
      </c>
      <c r="B93" s="300" t="n">
        <v>290</v>
      </c>
      <c r="C93" s="300" t="inlineStr">
        <is>
          <t>X</t>
        </is>
      </c>
      <c r="D93" s="300" t="n">
        <v>425</v>
      </c>
      <c r="E93" s="300" t="inlineStr">
        <is>
          <t>CREAM - BLUE</t>
        </is>
      </c>
      <c r="F93" s="307" t="n">
        <v>1</v>
      </c>
      <c r="G93" s="71" t="n"/>
    </row>
    <row r="94">
      <c r="A94" s="301" t="n">
        <v>992</v>
      </c>
      <c r="B94" s="300" t="n">
        <v>290</v>
      </c>
      <c r="C94" s="300" t="inlineStr">
        <is>
          <t>X</t>
        </is>
      </c>
      <c r="D94" s="300" t="n">
        <v>425</v>
      </c>
      <c r="E94" s="300" t="inlineStr">
        <is>
          <t xml:space="preserve">GREY - GREY </t>
        </is>
      </c>
      <c r="F94" s="307" t="n">
        <v>1</v>
      </c>
      <c r="G94" s="71" t="n"/>
    </row>
    <row r="95">
      <c r="A95" s="301" t="n">
        <v>992</v>
      </c>
      <c r="B95" s="300" t="n">
        <v>290</v>
      </c>
      <c r="C95" s="300" t="inlineStr">
        <is>
          <t>X</t>
        </is>
      </c>
      <c r="D95" s="300" t="n">
        <v>425</v>
      </c>
      <c r="E95" s="300" t="inlineStr">
        <is>
          <t>CREAM - GREEN</t>
        </is>
      </c>
      <c r="F95" s="307" t="n">
        <v>1</v>
      </c>
      <c r="G95" s="71" t="n"/>
    </row>
    <row r="96">
      <c r="A96" s="301" t="n">
        <v>992</v>
      </c>
      <c r="B96" s="300" t="n">
        <v>290</v>
      </c>
      <c r="C96" s="300" t="inlineStr">
        <is>
          <t>X</t>
        </is>
      </c>
      <c r="D96" s="300" t="n">
        <v>425</v>
      </c>
      <c r="E96" s="300" t="inlineStr">
        <is>
          <t>CREAM - GREY</t>
        </is>
      </c>
      <c r="F96" s="307" t="n">
        <v>1</v>
      </c>
      <c r="G96" s="71" t="n"/>
    </row>
    <row r="97">
      <c r="A97" s="301" t="n">
        <v>992</v>
      </c>
      <c r="B97" s="300" t="n">
        <v>290</v>
      </c>
      <c r="C97" s="300" t="inlineStr">
        <is>
          <t>X</t>
        </is>
      </c>
      <c r="D97" s="300" t="n">
        <v>425</v>
      </c>
      <c r="E97" s="300" t="inlineStr">
        <is>
          <t>GREEN- CREAM</t>
        </is>
      </c>
      <c r="F97" s="307" t="n">
        <v>1</v>
      </c>
      <c r="G97" s="71" t="n"/>
    </row>
    <row r="98">
      <c r="A98" s="301" t="n">
        <v>992</v>
      </c>
      <c r="B98" s="300" t="n">
        <v>290</v>
      </c>
      <c r="C98" s="300" t="inlineStr">
        <is>
          <t>X</t>
        </is>
      </c>
      <c r="D98" s="300" t="n">
        <v>425</v>
      </c>
      <c r="E98" s="300" t="inlineStr">
        <is>
          <t xml:space="preserve">TERRA - MULTİ </t>
        </is>
      </c>
      <c r="F98" s="307" t="n">
        <v>1</v>
      </c>
      <c r="G98" s="71" t="n"/>
    </row>
    <row r="99">
      <c r="A99" s="301" t="n">
        <v>992</v>
      </c>
      <c r="B99" s="300" t="n">
        <v>80</v>
      </c>
      <c r="C99" s="300" t="inlineStr">
        <is>
          <t>X</t>
        </is>
      </c>
      <c r="D99" s="300" t="n">
        <v>150</v>
      </c>
      <c r="E99" s="300" t="inlineStr">
        <is>
          <t xml:space="preserve">GREEN - CREAM </t>
        </is>
      </c>
      <c r="F99" s="307" t="n">
        <v>1</v>
      </c>
      <c r="G99" s="71" t="n"/>
    </row>
    <row r="100">
      <c r="A100" s="301" t="n">
        <v>992</v>
      </c>
      <c r="B100" s="300" t="n">
        <v>160</v>
      </c>
      <c r="C100" s="300" t="inlineStr">
        <is>
          <t>X</t>
        </is>
      </c>
      <c r="D100" s="300" t="n">
        <v>230</v>
      </c>
      <c r="E100" s="300" t="inlineStr">
        <is>
          <t xml:space="preserve">GREEN - CREAM </t>
        </is>
      </c>
      <c r="F100" s="307" t="n">
        <v>2</v>
      </c>
      <c r="G100" s="71" t="n"/>
    </row>
    <row r="101">
      <c r="A101" s="301" t="n">
        <v>992</v>
      </c>
      <c r="B101" s="300" t="n">
        <v>160</v>
      </c>
      <c r="C101" s="300" t="inlineStr">
        <is>
          <t>X</t>
        </is>
      </c>
      <c r="D101" s="300" t="n">
        <v>230</v>
      </c>
      <c r="E101" s="300" t="inlineStr">
        <is>
          <t>CREAM - GREEN</t>
        </is>
      </c>
      <c r="F101" s="307" t="n">
        <v>2</v>
      </c>
      <c r="G101" s="71" t="n"/>
    </row>
    <row r="102">
      <c r="A102" s="301" t="n">
        <v>992</v>
      </c>
      <c r="B102" s="300" t="n">
        <v>160</v>
      </c>
      <c r="C102" s="300" t="inlineStr">
        <is>
          <t>X</t>
        </is>
      </c>
      <c r="D102" s="300" t="n">
        <v>230</v>
      </c>
      <c r="E102" s="300" t="inlineStr">
        <is>
          <t>GREEN - GREY</t>
        </is>
      </c>
      <c r="F102" s="307" t="n">
        <v>1</v>
      </c>
      <c r="G102" s="71" t="n"/>
    </row>
    <row r="103">
      <c r="A103" s="301" t="n">
        <v>992</v>
      </c>
      <c r="B103" s="300" t="n">
        <v>160</v>
      </c>
      <c r="C103" s="300" t="inlineStr">
        <is>
          <t>X</t>
        </is>
      </c>
      <c r="D103" s="300" t="n">
        <v>230</v>
      </c>
      <c r="E103" s="300" t="inlineStr">
        <is>
          <t>CREAM - NAVY</t>
        </is>
      </c>
      <c r="F103" s="307" t="n">
        <v>1</v>
      </c>
      <c r="G103" s="71" t="n"/>
    </row>
    <row r="104">
      <c r="A104" s="301" t="n">
        <v>992</v>
      </c>
      <c r="B104" s="300" t="n">
        <v>160</v>
      </c>
      <c r="C104" s="300" t="inlineStr">
        <is>
          <t>X</t>
        </is>
      </c>
      <c r="D104" s="300" t="n">
        <v>230</v>
      </c>
      <c r="E104" s="300" t="inlineStr">
        <is>
          <t>CREAM - BLUE</t>
        </is>
      </c>
      <c r="F104" s="307" t="n">
        <v>1</v>
      </c>
      <c r="G104" s="71" t="n"/>
    </row>
    <row r="105">
      <c r="A105" s="301" t="n">
        <v>992</v>
      </c>
      <c r="B105" s="300" t="n">
        <v>160</v>
      </c>
      <c r="C105" s="300" t="inlineStr">
        <is>
          <t>X</t>
        </is>
      </c>
      <c r="D105" s="300" t="n">
        <v>230</v>
      </c>
      <c r="E105" s="300" t="inlineStr">
        <is>
          <t>CREAM - MULTİ</t>
        </is>
      </c>
      <c r="F105" s="307" t="n">
        <v>1</v>
      </c>
      <c r="G105" s="71" t="n"/>
    </row>
    <row r="106">
      <c r="A106" s="301" t="n">
        <v>992</v>
      </c>
      <c r="B106" s="300" t="n">
        <v>160</v>
      </c>
      <c r="C106" s="300" t="inlineStr">
        <is>
          <t>X</t>
        </is>
      </c>
      <c r="D106" s="300" t="n">
        <v>230</v>
      </c>
      <c r="E106" s="300" t="inlineStr">
        <is>
          <t>CREAM - MULTİ</t>
        </is>
      </c>
      <c r="F106" s="307" t="n">
        <v>1</v>
      </c>
      <c r="G106" s="71" t="n"/>
    </row>
    <row r="107">
      <c r="A107" s="301" t="n">
        <v>992</v>
      </c>
      <c r="B107" s="300" t="n">
        <v>160</v>
      </c>
      <c r="C107" s="300" t="inlineStr">
        <is>
          <t>X</t>
        </is>
      </c>
      <c r="D107" s="300" t="n">
        <v>230</v>
      </c>
      <c r="E107" s="300" t="inlineStr">
        <is>
          <t xml:space="preserve">TERRA - MULTİ </t>
        </is>
      </c>
      <c r="F107" s="307" t="n">
        <v>1</v>
      </c>
      <c r="G107" s="71" t="n"/>
    </row>
    <row r="108">
      <c r="A108" s="301" t="n">
        <v>992</v>
      </c>
      <c r="B108" s="300" t="n">
        <v>160</v>
      </c>
      <c r="C108" s="300" t="inlineStr">
        <is>
          <t>X</t>
        </is>
      </c>
      <c r="D108" s="300" t="n">
        <v>230</v>
      </c>
      <c r="E108" s="300" t="inlineStr">
        <is>
          <t>CREAM - PİNK</t>
        </is>
      </c>
      <c r="F108" s="307" t="n">
        <v>1</v>
      </c>
      <c r="G108" s="71" t="n"/>
    </row>
    <row r="109">
      <c r="A109" s="301" t="n">
        <v>992</v>
      </c>
      <c r="B109" s="300" t="n">
        <v>160</v>
      </c>
      <c r="C109" s="300" t="inlineStr">
        <is>
          <t>X</t>
        </is>
      </c>
      <c r="D109" s="300" t="n">
        <v>230</v>
      </c>
      <c r="E109" s="300" t="inlineStr">
        <is>
          <t>CREAM - GREY</t>
        </is>
      </c>
      <c r="F109" s="307" t="n">
        <v>1</v>
      </c>
      <c r="G109" s="71" t="n"/>
    </row>
    <row r="110">
      <c r="A110" s="301" t="n">
        <v>992</v>
      </c>
      <c r="B110" s="300" t="n">
        <v>160</v>
      </c>
      <c r="C110" s="300" t="inlineStr">
        <is>
          <t>X</t>
        </is>
      </c>
      <c r="D110" s="300" t="n">
        <v>230</v>
      </c>
      <c r="E110" s="300" t="inlineStr">
        <is>
          <t>GREEN - TERRA</t>
        </is>
      </c>
      <c r="F110" s="307" t="n">
        <v>2</v>
      </c>
      <c r="G110" s="71" t="n"/>
    </row>
    <row r="111">
      <c r="A111" s="301" t="n">
        <v>992</v>
      </c>
      <c r="B111" s="300" t="n">
        <v>300</v>
      </c>
      <c r="C111" s="300" t="inlineStr">
        <is>
          <t>X</t>
        </is>
      </c>
      <c r="D111" s="300" t="n">
        <v>396</v>
      </c>
      <c r="E111" s="300" t="inlineStr">
        <is>
          <t>GREEN - TERRA</t>
        </is>
      </c>
      <c r="F111" s="307" t="n">
        <v>1</v>
      </c>
      <c r="G111" s="71" t="n"/>
    </row>
    <row r="112">
      <c r="A112" s="301" t="n">
        <v>992</v>
      </c>
      <c r="B112" s="300" t="n">
        <v>160</v>
      </c>
      <c r="C112" s="300" t="inlineStr">
        <is>
          <t>X</t>
        </is>
      </c>
      <c r="D112" s="300" t="n">
        <v>230</v>
      </c>
      <c r="E112" s="300" t="inlineStr">
        <is>
          <t>GREEN - GREEN</t>
        </is>
      </c>
      <c r="F112" s="307" t="n">
        <v>1</v>
      </c>
      <c r="G112" s="71" t="n"/>
    </row>
    <row r="113">
      <c r="A113" s="301" t="n">
        <v>992</v>
      </c>
      <c r="B113" s="300" t="n">
        <v>60</v>
      </c>
      <c r="C113" s="300" t="inlineStr">
        <is>
          <t>X</t>
        </is>
      </c>
      <c r="D113" s="300" t="n">
        <v>90</v>
      </c>
      <c r="E113" s="300" t="inlineStr">
        <is>
          <t>CREAM - PİNK</t>
        </is>
      </c>
      <c r="F113" s="307" t="n">
        <v>4</v>
      </c>
      <c r="G113" s="71" t="n"/>
    </row>
    <row r="114">
      <c r="A114" s="301" t="n">
        <v>992</v>
      </c>
      <c r="B114" s="300" t="n">
        <v>180</v>
      </c>
      <c r="C114" s="300" t="inlineStr">
        <is>
          <t>X</t>
        </is>
      </c>
      <c r="D114" s="300" t="n">
        <v>270</v>
      </c>
      <c r="E114" s="300" t="inlineStr">
        <is>
          <t>CREAM GREEN</t>
        </is>
      </c>
      <c r="F114" s="307" t="n">
        <v>1</v>
      </c>
      <c r="G114" s="71" t="n"/>
    </row>
    <row r="115">
      <c r="A115" s="301" t="n">
        <v>992</v>
      </c>
      <c r="B115" s="300" t="n">
        <v>60</v>
      </c>
      <c r="C115" s="300" t="inlineStr">
        <is>
          <t>X</t>
        </is>
      </c>
      <c r="D115" s="300" t="n">
        <v>90</v>
      </c>
      <c r="E115" s="300" t="inlineStr">
        <is>
          <t>CREAM-GREEN</t>
        </is>
      </c>
      <c r="F115" s="307" t="n">
        <v>3</v>
      </c>
      <c r="G115" s="71" t="n"/>
    </row>
    <row r="116">
      <c r="A116" s="301" t="n">
        <v>992</v>
      </c>
      <c r="B116" s="300" t="n">
        <v>275</v>
      </c>
      <c r="C116" s="300" t="inlineStr">
        <is>
          <t>X</t>
        </is>
      </c>
      <c r="D116" s="300" t="n">
        <v>365</v>
      </c>
      <c r="E116" s="300" t="inlineStr">
        <is>
          <t>CREAM-NAVY</t>
        </is>
      </c>
      <c r="F116" s="307" t="n">
        <v>1</v>
      </c>
      <c r="G116" s="71" t="n"/>
    </row>
    <row r="117">
      <c r="A117" s="301" t="n">
        <v>992</v>
      </c>
      <c r="B117" s="300" t="n">
        <v>80</v>
      </c>
      <c r="C117" s="300" t="inlineStr">
        <is>
          <t>X</t>
        </is>
      </c>
      <c r="D117" s="300" t="n">
        <v>150</v>
      </c>
      <c r="E117" s="300" t="inlineStr">
        <is>
          <t xml:space="preserve">GREY - GREY </t>
        </is>
      </c>
      <c r="F117" s="307" t="n">
        <v>1</v>
      </c>
      <c r="G117" s="71" t="n"/>
    </row>
    <row r="118">
      <c r="A118" s="301" t="n">
        <v>992</v>
      </c>
      <c r="B118" s="300" t="n">
        <v>80</v>
      </c>
      <c r="C118" s="300" t="inlineStr">
        <is>
          <t>X</t>
        </is>
      </c>
      <c r="D118" s="300" t="n">
        <v>150</v>
      </c>
      <c r="E118" s="300" t="inlineStr">
        <is>
          <t>CREAM - GREY</t>
        </is>
      </c>
      <c r="F118" s="307" t="n">
        <v>1</v>
      </c>
      <c r="G118" s="71" t="n"/>
    </row>
    <row r="119">
      <c r="A119" s="301" t="n">
        <v>992</v>
      </c>
      <c r="B119" s="300" t="n">
        <v>80</v>
      </c>
      <c r="C119" s="300" t="inlineStr">
        <is>
          <t>X</t>
        </is>
      </c>
      <c r="D119" s="300" t="n">
        <v>150</v>
      </c>
      <c r="E119" s="300" t="inlineStr">
        <is>
          <t>CREAM - BLUE</t>
        </is>
      </c>
      <c r="F119" s="307" t="n">
        <v>0</v>
      </c>
      <c r="G119" s="71" t="n"/>
    </row>
    <row r="120">
      <c r="A120" s="301" t="n">
        <v>992</v>
      </c>
      <c r="B120" s="300" t="n">
        <v>80</v>
      </c>
      <c r="C120" s="300" t="inlineStr">
        <is>
          <t>X</t>
        </is>
      </c>
      <c r="D120" s="300" t="n">
        <v>150</v>
      </c>
      <c r="E120" s="300" t="inlineStr">
        <is>
          <t>GREEN - GREY</t>
        </is>
      </c>
      <c r="F120" s="307" t="n">
        <v>1</v>
      </c>
      <c r="G120" s="71" t="n"/>
    </row>
    <row r="121">
      <c r="A121" s="301" t="n">
        <v>992</v>
      </c>
      <c r="B121" s="300" t="n">
        <v>80</v>
      </c>
      <c r="C121" s="300" t="inlineStr">
        <is>
          <t>X</t>
        </is>
      </c>
      <c r="D121" s="300" t="n">
        <v>150</v>
      </c>
      <c r="E121" s="300" t="inlineStr">
        <is>
          <t>CREAM - GREEN</t>
        </is>
      </c>
      <c r="F121" s="307" t="n">
        <v>1</v>
      </c>
      <c r="G121" s="71" t="n"/>
    </row>
    <row r="122">
      <c r="A122" s="301" t="n">
        <v>992</v>
      </c>
      <c r="B122" s="300" t="n">
        <v>80</v>
      </c>
      <c r="C122" s="300" t="inlineStr">
        <is>
          <t>X</t>
        </is>
      </c>
      <c r="D122" s="300" t="n">
        <v>150</v>
      </c>
      <c r="E122" s="300" t="inlineStr">
        <is>
          <t>CREAM - PİNK</t>
        </is>
      </c>
      <c r="F122" s="307" t="n">
        <v>1</v>
      </c>
      <c r="G122" s="71" t="n"/>
    </row>
    <row r="123">
      <c r="A123" s="301" t="n">
        <v>992</v>
      </c>
      <c r="B123" s="300" t="n">
        <v>80</v>
      </c>
      <c r="C123" s="300" t="inlineStr">
        <is>
          <t>X</t>
        </is>
      </c>
      <c r="D123" s="300" t="n">
        <v>150</v>
      </c>
      <c r="E123" s="300" t="inlineStr">
        <is>
          <t>GREEN - TERRA</t>
        </is>
      </c>
      <c r="F123" s="307" t="n">
        <v>1</v>
      </c>
      <c r="G123" s="71" t="n"/>
    </row>
    <row r="124">
      <c r="A124" s="301" t="n">
        <v>992</v>
      </c>
      <c r="B124" s="300" t="n">
        <v>80</v>
      </c>
      <c r="C124" s="300" t="inlineStr">
        <is>
          <t>X</t>
        </is>
      </c>
      <c r="D124" s="300" t="n">
        <v>150</v>
      </c>
      <c r="E124" s="300" t="inlineStr">
        <is>
          <t xml:space="preserve">TERRA - MULTİ </t>
        </is>
      </c>
      <c r="F124" s="307" t="n">
        <v>1</v>
      </c>
      <c r="G124" s="71" t="n"/>
    </row>
    <row r="125">
      <c r="A125" s="301" t="n">
        <v>992</v>
      </c>
      <c r="B125" s="300" t="n">
        <v>80</v>
      </c>
      <c r="C125" s="300" t="inlineStr">
        <is>
          <t>X</t>
        </is>
      </c>
      <c r="D125" s="300" t="n">
        <v>150</v>
      </c>
      <c r="E125" s="300" t="inlineStr">
        <is>
          <t xml:space="preserve">CREAM - MULTİ </t>
        </is>
      </c>
      <c r="F125" s="307" t="n">
        <v>1</v>
      </c>
      <c r="G125" s="71" t="n"/>
    </row>
    <row r="126">
      <c r="A126" s="301" t="n">
        <v>992</v>
      </c>
      <c r="B126" s="300" t="n">
        <v>230</v>
      </c>
      <c r="C126" s="300" t="inlineStr">
        <is>
          <t>X</t>
        </is>
      </c>
      <c r="D126" s="300" t="n">
        <v>300</v>
      </c>
      <c r="E126" s="300" t="inlineStr">
        <is>
          <t xml:space="preserve">CREAM - MULTİ </t>
        </is>
      </c>
      <c r="F126" s="307" t="n">
        <v>1</v>
      </c>
      <c r="G126" s="71" t="n"/>
    </row>
    <row r="127">
      <c r="A127" s="301" t="n">
        <v>992</v>
      </c>
      <c r="B127" s="300" t="n">
        <v>230</v>
      </c>
      <c r="C127" s="300" t="inlineStr">
        <is>
          <t>X</t>
        </is>
      </c>
      <c r="D127" s="300" t="n">
        <v>300</v>
      </c>
      <c r="E127" s="300" t="inlineStr">
        <is>
          <t>CREAM - NAVY</t>
        </is>
      </c>
      <c r="F127" s="307" t="n">
        <v>1</v>
      </c>
      <c r="G127" s="71" t="n"/>
    </row>
    <row r="128">
      <c r="A128" s="301" t="n">
        <v>992</v>
      </c>
      <c r="B128" s="300" t="n">
        <v>80</v>
      </c>
      <c r="C128" s="300" t="inlineStr">
        <is>
          <t>X</t>
        </is>
      </c>
      <c r="D128" s="300" t="n">
        <v>300</v>
      </c>
      <c r="E128" s="300" t="inlineStr">
        <is>
          <t>CREAM - NAVY</t>
        </is>
      </c>
      <c r="F128" s="307" t="n">
        <v>1</v>
      </c>
      <c r="G128" s="71" t="n"/>
    </row>
    <row r="129">
      <c r="A129" s="301" t="n">
        <v>992</v>
      </c>
      <c r="B129" s="300" t="n">
        <v>80</v>
      </c>
      <c r="C129" s="300" t="inlineStr">
        <is>
          <t>X</t>
        </is>
      </c>
      <c r="D129" s="300" t="n">
        <v>300</v>
      </c>
      <c r="E129" s="300" t="inlineStr">
        <is>
          <t>GREEN - TERRA</t>
        </is>
      </c>
      <c r="F129" s="307" t="n">
        <v>1</v>
      </c>
      <c r="G129" s="71" t="n"/>
    </row>
    <row r="130">
      <c r="A130" s="301" t="n">
        <v>992</v>
      </c>
      <c r="B130" s="300" t="n">
        <v>80</v>
      </c>
      <c r="C130" s="300" t="inlineStr">
        <is>
          <t>X</t>
        </is>
      </c>
      <c r="D130" s="300" t="n">
        <v>300</v>
      </c>
      <c r="E130" s="300" t="inlineStr">
        <is>
          <t>CREAM - GREEN</t>
        </is>
      </c>
      <c r="F130" s="307" t="n">
        <v>3</v>
      </c>
      <c r="G130" s="71" t="n"/>
    </row>
    <row r="131">
      <c r="A131" s="301" t="n">
        <v>992</v>
      </c>
      <c r="B131" s="300" t="n">
        <v>80</v>
      </c>
      <c r="C131" s="300" t="inlineStr">
        <is>
          <t>X</t>
        </is>
      </c>
      <c r="D131" s="300" t="n">
        <v>300</v>
      </c>
      <c r="E131" s="300" t="inlineStr">
        <is>
          <t>CREAM - PİNK</t>
        </is>
      </c>
      <c r="F131" s="307" t="n">
        <v>1</v>
      </c>
      <c r="G131" s="71" t="n"/>
    </row>
    <row r="132">
      <c r="A132" s="301" t="n">
        <v>992</v>
      </c>
      <c r="B132" s="300" t="n">
        <v>80</v>
      </c>
      <c r="C132" s="300" t="inlineStr">
        <is>
          <t>X</t>
        </is>
      </c>
      <c r="D132" s="300" t="n">
        <v>300</v>
      </c>
      <c r="E132" s="300" t="inlineStr">
        <is>
          <t>CREAM - GREY</t>
        </is>
      </c>
      <c r="F132" s="307" t="n">
        <v>1</v>
      </c>
      <c r="G132" s="71" t="n"/>
    </row>
    <row r="133">
      <c r="A133" s="301" t="n">
        <v>992</v>
      </c>
      <c r="B133" s="300" t="n">
        <v>80</v>
      </c>
      <c r="C133" s="300" t="inlineStr">
        <is>
          <t>X</t>
        </is>
      </c>
      <c r="D133" s="300" t="n">
        <v>300</v>
      </c>
      <c r="E133" s="300" t="inlineStr">
        <is>
          <t xml:space="preserve">TERRA - MULTİ </t>
        </is>
      </c>
      <c r="F133" s="307" t="n">
        <v>1</v>
      </c>
      <c r="G133" s="71" t="n"/>
    </row>
    <row r="134">
      <c r="A134" s="301" t="n">
        <v>992</v>
      </c>
      <c r="B134" s="300" t="n">
        <v>80</v>
      </c>
      <c r="C134" s="300" t="inlineStr">
        <is>
          <t>X</t>
        </is>
      </c>
      <c r="D134" s="300" t="n">
        <v>300</v>
      </c>
      <c r="E134" s="300" t="inlineStr">
        <is>
          <t xml:space="preserve">GREEN - CREAM </t>
        </is>
      </c>
      <c r="F134" s="307" t="n">
        <v>1</v>
      </c>
      <c r="G134" s="71" t="n"/>
    </row>
    <row r="135">
      <c r="A135" s="301" t="n">
        <v>992</v>
      </c>
      <c r="B135" s="300" t="n">
        <v>80</v>
      </c>
      <c r="C135" s="300" t="inlineStr">
        <is>
          <t>X</t>
        </is>
      </c>
      <c r="D135" s="300" t="n">
        <v>300</v>
      </c>
      <c r="E135" s="300" t="inlineStr">
        <is>
          <t>CREAM - GREEN</t>
        </is>
      </c>
      <c r="F135" s="307" t="n">
        <v>1</v>
      </c>
      <c r="G135" s="71" t="n"/>
    </row>
    <row r="136">
      <c r="A136" s="301" t="n">
        <v>992</v>
      </c>
      <c r="B136" s="300" t="n">
        <v>80</v>
      </c>
      <c r="C136" s="300" t="inlineStr">
        <is>
          <t>X</t>
        </is>
      </c>
      <c r="D136" s="300" t="n">
        <v>300</v>
      </c>
      <c r="E136" s="300" t="inlineStr">
        <is>
          <t>CREAM - BLUE</t>
        </is>
      </c>
      <c r="F136" s="307" t="n">
        <v>1</v>
      </c>
      <c r="G136" s="71" t="n"/>
    </row>
    <row r="137">
      <c r="A137" s="301" t="n">
        <v>992</v>
      </c>
      <c r="B137" s="300" t="n">
        <v>80</v>
      </c>
      <c r="C137" s="300" t="inlineStr">
        <is>
          <t>X</t>
        </is>
      </c>
      <c r="D137" s="300" t="n">
        <v>150</v>
      </c>
      <c r="E137" s="300" t="inlineStr">
        <is>
          <t xml:space="preserve">GREEN - CREAM </t>
        </is>
      </c>
      <c r="F137" s="307" t="n">
        <v>1</v>
      </c>
      <c r="G137" s="71" t="n"/>
    </row>
    <row r="138">
      <c r="A138" s="301" t="n">
        <v>992</v>
      </c>
      <c r="B138" s="300" t="n">
        <v>60</v>
      </c>
      <c r="C138" s="300" t="inlineStr">
        <is>
          <t>X</t>
        </is>
      </c>
      <c r="D138" s="300" t="n">
        <v>90</v>
      </c>
      <c r="E138" s="300" t="inlineStr">
        <is>
          <t>CREAM - GREEN</t>
        </is>
      </c>
      <c r="F138" s="307" t="n">
        <v>1</v>
      </c>
      <c r="G138" s="71" t="n"/>
    </row>
    <row r="139">
      <c r="A139" s="301" t="n">
        <v>992</v>
      </c>
      <c r="B139" s="300" t="n">
        <v>60</v>
      </c>
      <c r="C139" s="300" t="inlineStr">
        <is>
          <t>X</t>
        </is>
      </c>
      <c r="D139" s="300" t="n">
        <v>90</v>
      </c>
      <c r="E139" s="300" t="inlineStr">
        <is>
          <t>CREAM - PİNK</t>
        </is>
      </c>
      <c r="F139" s="307" t="n">
        <v>1</v>
      </c>
      <c r="G139" s="71" t="n"/>
    </row>
    <row r="140">
      <c r="A140" s="301" t="n">
        <v>992</v>
      </c>
      <c r="B140" s="300" t="n">
        <v>60</v>
      </c>
      <c r="C140" s="300" t="inlineStr">
        <is>
          <t>X</t>
        </is>
      </c>
      <c r="D140" s="300" t="n">
        <v>90</v>
      </c>
      <c r="E140" s="300" t="inlineStr">
        <is>
          <t>CREAM - NAVY</t>
        </is>
      </c>
      <c r="F140" s="307" t="n">
        <v>0</v>
      </c>
      <c r="G140" s="71" t="n"/>
    </row>
    <row r="141">
      <c r="A141" s="301" t="n">
        <v>992</v>
      </c>
      <c r="B141" s="300" t="n">
        <v>60</v>
      </c>
      <c r="C141" s="300" t="inlineStr">
        <is>
          <t>X</t>
        </is>
      </c>
      <c r="D141" s="300" t="n">
        <v>90</v>
      </c>
      <c r="E141" s="300" t="inlineStr">
        <is>
          <t>GREEN - TERRA</t>
        </is>
      </c>
      <c r="F141" s="307" t="n">
        <v>0</v>
      </c>
      <c r="G141" s="71" t="n"/>
    </row>
    <row r="142">
      <c r="A142" s="301" t="n">
        <v>992</v>
      </c>
      <c r="B142" s="300" t="n">
        <v>60</v>
      </c>
      <c r="C142" s="300" t="inlineStr">
        <is>
          <t>X</t>
        </is>
      </c>
      <c r="D142" s="300" t="n">
        <v>90</v>
      </c>
      <c r="E142" s="300" t="inlineStr">
        <is>
          <t xml:space="preserve">GREEN - CREAM </t>
        </is>
      </c>
      <c r="F142" s="307" t="n">
        <v>0</v>
      </c>
      <c r="G142" s="71" t="n"/>
    </row>
    <row r="143">
      <c r="A143" s="301" t="n">
        <v>992</v>
      </c>
      <c r="B143" s="300" t="n">
        <v>60</v>
      </c>
      <c r="C143" s="300" t="inlineStr">
        <is>
          <t>X</t>
        </is>
      </c>
      <c r="D143" s="300" t="n">
        <v>90</v>
      </c>
      <c r="E143" s="300" t="inlineStr">
        <is>
          <t>CREAM - BLUE</t>
        </is>
      </c>
      <c r="F143" s="307" t="n">
        <v>1</v>
      </c>
      <c r="G143" s="71" t="n"/>
    </row>
    <row r="144">
      <c r="A144" s="301" t="n">
        <v>992</v>
      </c>
      <c r="B144" s="300" t="n">
        <v>60</v>
      </c>
      <c r="C144" s="300" t="inlineStr">
        <is>
          <t>X</t>
        </is>
      </c>
      <c r="D144" s="300" t="n">
        <v>90</v>
      </c>
      <c r="E144" s="300" t="inlineStr">
        <is>
          <t xml:space="preserve">GREY - GREY </t>
        </is>
      </c>
      <c r="F144" s="307" t="n">
        <v>1</v>
      </c>
      <c r="G144" s="71" t="n"/>
    </row>
    <row r="145">
      <c r="A145" s="301" t="n">
        <v>992</v>
      </c>
      <c r="B145" s="300" t="n">
        <v>60</v>
      </c>
      <c r="C145" s="300" t="inlineStr">
        <is>
          <t>X</t>
        </is>
      </c>
      <c r="D145" s="300" t="n">
        <v>90</v>
      </c>
      <c r="E145" s="300" t="inlineStr">
        <is>
          <t>GREEN - GREY</t>
        </is>
      </c>
      <c r="F145" s="307" t="n">
        <v>1</v>
      </c>
      <c r="G145" s="71" t="n"/>
    </row>
    <row r="146">
      <c r="A146" s="301" t="n">
        <v>992</v>
      </c>
      <c r="B146" s="300" t="n">
        <v>80</v>
      </c>
      <c r="C146" s="300" t="inlineStr">
        <is>
          <t>X</t>
        </is>
      </c>
      <c r="D146" s="300" t="n">
        <v>300</v>
      </c>
      <c r="E146" s="300" t="inlineStr">
        <is>
          <t>GREEN - GREEN</t>
        </is>
      </c>
      <c r="F146" s="307" t="n">
        <v>2</v>
      </c>
      <c r="G146" s="71" t="n"/>
    </row>
    <row r="147">
      <c r="A147" s="302" t="n">
        <v>992</v>
      </c>
      <c r="B147" s="300" t="n">
        <v>160</v>
      </c>
      <c r="C147" s="304" t="inlineStr">
        <is>
          <t>X</t>
        </is>
      </c>
      <c r="D147" s="300" t="n">
        <v>230</v>
      </c>
      <c r="E147" s="300" t="inlineStr">
        <is>
          <t xml:space="preserve">GREY - GREY </t>
        </is>
      </c>
      <c r="F147" s="307" t="n">
        <v>1</v>
      </c>
      <c r="G147" s="71" t="n"/>
    </row>
    <row r="148">
      <c r="A148" s="301" t="n">
        <v>992</v>
      </c>
      <c r="B148" s="300" t="n">
        <v>60</v>
      </c>
      <c r="C148" s="300" t="inlineStr">
        <is>
          <t>X</t>
        </is>
      </c>
      <c r="D148" s="300" t="n">
        <v>85</v>
      </c>
      <c r="E148" s="300" t="inlineStr">
        <is>
          <t>GREEN - GREEN</t>
        </is>
      </c>
      <c r="F148" s="307" t="n">
        <v>2</v>
      </c>
      <c r="G148" s="71" t="n"/>
    </row>
    <row r="149">
      <c r="A149" s="301" t="n">
        <v>992</v>
      </c>
      <c r="B149" s="300" t="n">
        <v>290</v>
      </c>
      <c r="C149" s="300" t="inlineStr">
        <is>
          <t>X</t>
        </is>
      </c>
      <c r="D149" s="300" t="n">
        <v>425</v>
      </c>
      <c r="E149" s="300" t="inlineStr">
        <is>
          <t>CREAM - MULTİ</t>
        </is>
      </c>
      <c r="F149" s="307" t="n">
        <v>0</v>
      </c>
      <c r="G149" s="71" t="n"/>
    </row>
    <row r="150">
      <c r="A150" s="301" t="n">
        <v>1020</v>
      </c>
      <c r="B150" s="300" t="n">
        <v>160</v>
      </c>
      <c r="C150" s="300" t="inlineStr">
        <is>
          <t>X</t>
        </is>
      </c>
      <c r="D150" s="300" t="n">
        <v>230</v>
      </c>
      <c r="E150" s="300" t="inlineStr">
        <is>
          <t xml:space="preserve">BROWN - CREAM </t>
        </is>
      </c>
      <c r="F150" s="307" t="n">
        <v>1</v>
      </c>
      <c r="G150" s="71" t="n"/>
    </row>
    <row r="151">
      <c r="A151" s="301" t="n">
        <v>1029</v>
      </c>
      <c r="B151" s="300" t="n">
        <v>300</v>
      </c>
      <c r="C151" s="300" t="inlineStr">
        <is>
          <t>X</t>
        </is>
      </c>
      <c r="D151" s="300" t="n">
        <v>365</v>
      </c>
      <c r="E151" s="300" t="inlineStr">
        <is>
          <t>CREAM - BROWN</t>
        </is>
      </c>
      <c r="F151" s="307" t="n">
        <v>1</v>
      </c>
      <c r="G151" s="71" t="n"/>
    </row>
    <row r="152">
      <c r="A152" s="310" t="n">
        <v>1029</v>
      </c>
      <c r="B152" s="300" t="n">
        <v>243</v>
      </c>
      <c r="C152" s="300" t="inlineStr">
        <is>
          <t>X</t>
        </is>
      </c>
      <c r="D152" s="300" t="n">
        <v>300</v>
      </c>
      <c r="E152" s="300" t="inlineStr">
        <is>
          <t>CREAM - BROWN</t>
        </is>
      </c>
      <c r="F152" s="307" t="n">
        <v>1</v>
      </c>
      <c r="G152" s="71" t="n"/>
    </row>
    <row r="153">
      <c r="A153" s="310" t="n">
        <v>1029</v>
      </c>
      <c r="B153" s="300" t="n">
        <v>300</v>
      </c>
      <c r="C153" s="300" t="inlineStr">
        <is>
          <t>X</t>
        </is>
      </c>
      <c r="D153" s="300" t="n">
        <v>400</v>
      </c>
      <c r="E153" s="300" t="inlineStr">
        <is>
          <t>GREEN - TERRA</t>
        </is>
      </c>
      <c r="F153" s="307" t="n">
        <v>1</v>
      </c>
      <c r="G153" s="71" t="n"/>
    </row>
    <row r="154">
      <c r="A154" s="310" t="n">
        <v>1029</v>
      </c>
      <c r="B154" s="300" t="n">
        <v>300</v>
      </c>
      <c r="C154" s="300" t="inlineStr">
        <is>
          <t>X</t>
        </is>
      </c>
      <c r="D154" s="300" t="n">
        <v>425</v>
      </c>
      <c r="E154" s="300" t="inlineStr">
        <is>
          <t>CREAM - BROWN</t>
        </is>
      </c>
      <c r="F154" s="307" t="n">
        <v>1</v>
      </c>
      <c r="G154" s="71" t="n"/>
    </row>
    <row r="155">
      <c r="A155" s="310" t="n">
        <v>1029</v>
      </c>
      <c r="B155" s="300" t="n">
        <v>300</v>
      </c>
      <c r="C155" s="300" t="inlineStr">
        <is>
          <t>X</t>
        </is>
      </c>
      <c r="D155" s="300" t="n">
        <v>425</v>
      </c>
      <c r="E155" s="300" t="inlineStr">
        <is>
          <t>GREEN - TERRA</t>
        </is>
      </c>
      <c r="F155" s="307" t="n">
        <v>1</v>
      </c>
      <c r="G155" s="71" t="n"/>
    </row>
    <row r="156">
      <c r="A156" s="310" t="n">
        <v>1029</v>
      </c>
      <c r="B156" s="300" t="n">
        <v>275</v>
      </c>
      <c r="C156" s="300" t="inlineStr">
        <is>
          <t>X</t>
        </is>
      </c>
      <c r="D156" s="300" t="n">
        <v>365</v>
      </c>
      <c r="E156" s="300" t="inlineStr">
        <is>
          <t>GREEN - TERRA</t>
        </is>
      </c>
      <c r="F156" s="307" t="n">
        <v>1</v>
      </c>
      <c r="G156" s="71" t="n"/>
    </row>
    <row r="157">
      <c r="A157" s="310" t="n">
        <v>1029</v>
      </c>
      <c r="B157" s="300" t="n">
        <v>275</v>
      </c>
      <c r="C157" s="300" t="inlineStr">
        <is>
          <t>X</t>
        </is>
      </c>
      <c r="D157" s="300" t="n">
        <v>365</v>
      </c>
      <c r="E157" s="300" t="inlineStr">
        <is>
          <t>CREAM - BROWN</t>
        </is>
      </c>
      <c r="F157" s="307" t="n">
        <v>1</v>
      </c>
      <c r="G157" s="71" t="n"/>
    </row>
    <row r="158">
      <c r="A158" s="310" t="n">
        <v>1029</v>
      </c>
      <c r="B158" s="300" t="n">
        <v>300</v>
      </c>
      <c r="C158" s="300" t="inlineStr">
        <is>
          <t>X</t>
        </is>
      </c>
      <c r="D158" s="300" t="n">
        <v>365</v>
      </c>
      <c r="E158" s="300" t="inlineStr">
        <is>
          <t>GREEN - TERRA</t>
        </is>
      </c>
      <c r="F158" s="307" t="n">
        <v>1</v>
      </c>
      <c r="G158" s="71" t="n"/>
    </row>
    <row r="159">
      <c r="A159" s="310" t="n">
        <v>1029</v>
      </c>
      <c r="B159" s="300" t="n">
        <v>300</v>
      </c>
      <c r="C159" s="300" t="inlineStr">
        <is>
          <t>X</t>
        </is>
      </c>
      <c r="D159" s="300" t="n">
        <v>400</v>
      </c>
      <c r="E159" s="300" t="inlineStr">
        <is>
          <t>CREAM - BROWN</t>
        </is>
      </c>
      <c r="F159" s="307" t="n">
        <v>1</v>
      </c>
      <c r="G159" s="71" t="n"/>
    </row>
    <row r="160">
      <c r="A160" s="301" t="n">
        <v>1030</v>
      </c>
      <c r="B160" s="300" t="n">
        <v>300</v>
      </c>
      <c r="C160" s="300" t="inlineStr">
        <is>
          <t>X</t>
        </is>
      </c>
      <c r="D160" s="300" t="n">
        <v>400</v>
      </c>
      <c r="E160" s="300" t="inlineStr">
        <is>
          <t>CREAM - BROWN</t>
        </is>
      </c>
      <c r="F160" s="307" t="n">
        <v>1</v>
      </c>
      <c r="G160" s="71" t="n"/>
    </row>
    <row r="161">
      <c r="A161" s="301" t="n">
        <v>1030</v>
      </c>
      <c r="B161" s="304" t="n">
        <v>300</v>
      </c>
      <c r="C161" s="300" t="inlineStr">
        <is>
          <t>X</t>
        </is>
      </c>
      <c r="D161" s="304" t="n">
        <v>365</v>
      </c>
      <c r="E161" s="304" t="inlineStr">
        <is>
          <t>CREAM - VİZON</t>
        </is>
      </c>
      <c r="F161" s="308" t="n">
        <v>1</v>
      </c>
      <c r="G161" s="71" t="n"/>
    </row>
    <row r="162">
      <c r="A162" s="301" t="n">
        <v>1030</v>
      </c>
      <c r="B162" s="300" t="n">
        <v>300</v>
      </c>
      <c r="C162" s="300" t="inlineStr">
        <is>
          <t>X</t>
        </is>
      </c>
      <c r="D162" s="300" t="n">
        <v>365</v>
      </c>
      <c r="E162" s="300" t="inlineStr">
        <is>
          <t>CREAM - BROWN</t>
        </is>
      </c>
      <c r="F162" s="307" t="n">
        <v>1</v>
      </c>
      <c r="G162" s="71" t="n"/>
    </row>
    <row r="163">
      <c r="A163" s="301" t="n">
        <v>1030</v>
      </c>
      <c r="B163" s="300" t="n">
        <v>243</v>
      </c>
      <c r="C163" s="300" t="inlineStr">
        <is>
          <t>X</t>
        </is>
      </c>
      <c r="D163" s="300" t="n">
        <v>300</v>
      </c>
      <c r="E163" s="300" t="inlineStr">
        <is>
          <t>CREAM - VİZON</t>
        </is>
      </c>
      <c r="F163" s="307" t="n">
        <v>0</v>
      </c>
      <c r="G163" s="71" t="n"/>
    </row>
    <row r="164">
      <c r="A164" s="301" t="n">
        <v>1030</v>
      </c>
      <c r="B164" s="300" t="n">
        <v>243</v>
      </c>
      <c r="C164" s="300" t="inlineStr">
        <is>
          <t>X</t>
        </is>
      </c>
      <c r="D164" s="300" t="n">
        <v>300</v>
      </c>
      <c r="E164" s="300" t="inlineStr">
        <is>
          <t xml:space="preserve">GREY - GREY </t>
        </is>
      </c>
      <c r="F164" s="307" t="n">
        <v>1</v>
      </c>
      <c r="G164" s="71" t="n"/>
    </row>
    <row r="165">
      <c r="A165" s="301" t="n">
        <v>1030</v>
      </c>
      <c r="B165" s="300" t="n">
        <v>243</v>
      </c>
      <c r="C165" s="300" t="inlineStr">
        <is>
          <t>X</t>
        </is>
      </c>
      <c r="D165" s="300" t="n">
        <v>300</v>
      </c>
      <c r="E165" s="300" t="inlineStr">
        <is>
          <t>CREAM - BROWN</t>
        </is>
      </c>
      <c r="F165" s="307" t="n">
        <v>0</v>
      </c>
      <c r="G165" s="71" t="n"/>
    </row>
    <row r="166">
      <c r="A166" s="301" t="n">
        <v>1030</v>
      </c>
      <c r="B166" s="300" t="n">
        <v>275</v>
      </c>
      <c r="C166" s="300" t="inlineStr">
        <is>
          <t>X</t>
        </is>
      </c>
      <c r="D166" s="300" t="n">
        <v>365</v>
      </c>
      <c r="E166" s="300" t="inlineStr">
        <is>
          <t>CREAM - BROWN</t>
        </is>
      </c>
      <c r="F166" s="307" t="n">
        <v>1</v>
      </c>
      <c r="G166" s="71" t="n"/>
    </row>
    <row r="167">
      <c r="A167" s="301" t="n">
        <v>1030</v>
      </c>
      <c r="B167" s="300" t="n">
        <v>300</v>
      </c>
      <c r="C167" s="300" t="inlineStr">
        <is>
          <t>X</t>
        </is>
      </c>
      <c r="D167" s="300" t="n">
        <v>365</v>
      </c>
      <c r="E167" s="300" t="inlineStr">
        <is>
          <t xml:space="preserve">GREY - GREY </t>
        </is>
      </c>
      <c r="F167" s="307" t="n">
        <v>1</v>
      </c>
      <c r="G167" s="71" t="n"/>
    </row>
    <row r="168">
      <c r="A168" s="301" t="n">
        <v>1030</v>
      </c>
      <c r="B168" s="300" t="n">
        <v>275</v>
      </c>
      <c r="C168" s="300" t="inlineStr">
        <is>
          <t>X</t>
        </is>
      </c>
      <c r="D168" s="300" t="n">
        <v>365</v>
      </c>
      <c r="E168" s="300" t="inlineStr">
        <is>
          <t xml:space="preserve">GREY - GREY </t>
        </is>
      </c>
      <c r="F168" s="307" t="n">
        <v>1</v>
      </c>
      <c r="G168" s="71" t="n"/>
    </row>
    <row r="169">
      <c r="A169" s="301" t="n">
        <v>1030</v>
      </c>
      <c r="B169" s="300" t="n">
        <v>300</v>
      </c>
      <c r="C169" s="300" t="inlineStr">
        <is>
          <t>X</t>
        </is>
      </c>
      <c r="D169" s="300" t="n">
        <v>425</v>
      </c>
      <c r="E169" s="300" t="inlineStr">
        <is>
          <t>CREAM - VİZON</t>
        </is>
      </c>
      <c r="F169" s="307" t="n">
        <v>1</v>
      </c>
      <c r="G169" s="71" t="n"/>
    </row>
    <row r="170">
      <c r="A170" s="301" t="n">
        <v>1030</v>
      </c>
      <c r="B170" s="300" t="n">
        <v>300</v>
      </c>
      <c r="C170" s="300" t="inlineStr">
        <is>
          <t>X</t>
        </is>
      </c>
      <c r="D170" s="300" t="n">
        <v>425</v>
      </c>
      <c r="E170" s="300" t="inlineStr">
        <is>
          <t>CREAM - BROWN</t>
        </is>
      </c>
      <c r="F170" s="307" t="n">
        <v>1</v>
      </c>
      <c r="G170" s="71" t="n"/>
    </row>
    <row r="171">
      <c r="A171" s="301" t="n">
        <v>1030</v>
      </c>
      <c r="B171" s="300" t="n">
        <v>300</v>
      </c>
      <c r="C171" s="300" t="inlineStr">
        <is>
          <t>X</t>
        </is>
      </c>
      <c r="D171" s="300" t="n">
        <v>425</v>
      </c>
      <c r="E171" s="300" t="inlineStr">
        <is>
          <t xml:space="preserve">GREY - GREY </t>
        </is>
      </c>
      <c r="F171" s="307" t="n">
        <v>1</v>
      </c>
      <c r="G171" s="71" t="n"/>
    </row>
    <row r="172">
      <c r="A172" s="301" t="n">
        <v>1030</v>
      </c>
      <c r="B172" s="300" t="n">
        <v>300</v>
      </c>
      <c r="C172" s="300" t="inlineStr">
        <is>
          <t>X</t>
        </is>
      </c>
      <c r="D172" s="300" t="n">
        <v>400</v>
      </c>
      <c r="E172" s="300" t="inlineStr">
        <is>
          <t>CREAM - VİZON</t>
        </is>
      </c>
      <c r="F172" s="307" t="n">
        <v>1</v>
      </c>
      <c r="G172" s="71" t="n"/>
    </row>
    <row r="173">
      <c r="A173" s="301" t="n">
        <v>1030</v>
      </c>
      <c r="B173" s="300" t="n">
        <v>275</v>
      </c>
      <c r="C173" s="300" t="inlineStr">
        <is>
          <t>X</t>
        </is>
      </c>
      <c r="D173" s="300" t="n">
        <v>365</v>
      </c>
      <c r="E173" s="300" t="inlineStr">
        <is>
          <t>CREAM - VİZON</t>
        </is>
      </c>
      <c r="F173" s="307" t="n">
        <v>1</v>
      </c>
      <c r="G173" s="71" t="n"/>
    </row>
    <row r="174">
      <c r="A174" s="310" t="n">
        <v>1030</v>
      </c>
      <c r="B174" s="300" t="n">
        <v>243</v>
      </c>
      <c r="C174" s="300" t="inlineStr">
        <is>
          <t>X</t>
        </is>
      </c>
      <c r="D174" s="300" t="n">
        <v>300</v>
      </c>
      <c r="E174" s="300" t="inlineStr">
        <is>
          <t>CREAM - BROWN</t>
        </is>
      </c>
      <c r="F174" s="307" t="n">
        <v>1</v>
      </c>
      <c r="G174" s="71" t="n"/>
    </row>
    <row r="175">
      <c r="A175" s="310" t="n">
        <v>1030</v>
      </c>
      <c r="B175" s="300" t="n">
        <v>243</v>
      </c>
      <c r="C175" s="300" t="inlineStr">
        <is>
          <t>X</t>
        </is>
      </c>
      <c r="D175" s="300" t="n">
        <v>300</v>
      </c>
      <c r="E175" s="300" t="inlineStr">
        <is>
          <t>CREAM - VİZON</t>
        </is>
      </c>
      <c r="F175" s="307" t="n">
        <v>0</v>
      </c>
      <c r="G175" s="71" t="n"/>
    </row>
    <row r="176">
      <c r="A176" s="310" t="n">
        <v>1030</v>
      </c>
      <c r="B176" s="300" t="n">
        <v>243</v>
      </c>
      <c r="C176" s="300" t="inlineStr">
        <is>
          <t>X</t>
        </is>
      </c>
      <c r="D176" s="300" t="n">
        <v>300</v>
      </c>
      <c r="E176" s="300" t="inlineStr">
        <is>
          <t xml:space="preserve">GREY - GREY </t>
        </is>
      </c>
      <c r="F176" s="307" t="n">
        <v>1</v>
      </c>
      <c r="G176" s="71" t="n"/>
    </row>
    <row r="177">
      <c r="A177" s="310" t="n">
        <v>1030</v>
      </c>
      <c r="B177" s="300" t="n">
        <v>243</v>
      </c>
      <c r="C177" s="300" t="inlineStr">
        <is>
          <t>X</t>
        </is>
      </c>
      <c r="D177" s="300" t="n">
        <v>400</v>
      </c>
      <c r="E177" s="300" t="inlineStr">
        <is>
          <t xml:space="preserve">GREY - GREY </t>
        </is>
      </c>
      <c r="F177" s="307" t="n">
        <v>1</v>
      </c>
      <c r="G177" s="71" t="n"/>
    </row>
    <row r="178">
      <c r="A178" s="310" t="n">
        <v>1030</v>
      </c>
      <c r="B178" s="300" t="n">
        <v>300</v>
      </c>
      <c r="C178" s="300" t="inlineStr">
        <is>
          <t>X</t>
        </is>
      </c>
      <c r="D178" s="300" t="n">
        <v>425</v>
      </c>
      <c r="E178" s="300" t="inlineStr">
        <is>
          <t>CREAM - BROWN</t>
        </is>
      </c>
      <c r="F178" s="307" t="n">
        <v>1</v>
      </c>
      <c r="G178" s="71" t="n"/>
    </row>
    <row r="179">
      <c r="A179" s="310" t="n">
        <v>1030</v>
      </c>
      <c r="B179" s="300" t="n">
        <v>275</v>
      </c>
      <c r="C179" s="300" t="inlineStr">
        <is>
          <t>X</t>
        </is>
      </c>
      <c r="D179" s="300" t="n">
        <v>365</v>
      </c>
      <c r="E179" s="300" t="inlineStr">
        <is>
          <t>CREAM - VİZON</t>
        </is>
      </c>
      <c r="F179" s="307" t="n">
        <v>1</v>
      </c>
      <c r="G179" s="71" t="n"/>
    </row>
    <row r="180">
      <c r="A180" s="310" t="n">
        <v>1030</v>
      </c>
      <c r="B180" s="300" t="n">
        <v>275</v>
      </c>
      <c r="C180" s="300" t="inlineStr">
        <is>
          <t>X</t>
        </is>
      </c>
      <c r="D180" s="300" t="n">
        <v>365</v>
      </c>
      <c r="E180" s="300" t="inlineStr">
        <is>
          <t>CREAM - BROWN</t>
        </is>
      </c>
      <c r="F180" s="307" t="n">
        <v>1</v>
      </c>
      <c r="G180" s="71" t="n"/>
    </row>
    <row r="181">
      <c r="A181" s="310" t="n">
        <v>1030</v>
      </c>
      <c r="B181" s="300" t="n">
        <v>300</v>
      </c>
      <c r="C181" s="300" t="inlineStr">
        <is>
          <t>X</t>
        </is>
      </c>
      <c r="D181" s="300" t="n">
        <v>365</v>
      </c>
      <c r="E181" s="300" t="inlineStr">
        <is>
          <t xml:space="preserve">GREY - GREY </t>
        </is>
      </c>
      <c r="F181" s="307" t="n">
        <v>1</v>
      </c>
      <c r="G181" s="71" t="n"/>
    </row>
    <row r="182">
      <c r="A182" s="310" t="n">
        <v>1030</v>
      </c>
      <c r="B182" s="300" t="n">
        <v>300</v>
      </c>
      <c r="C182" s="300" t="inlineStr">
        <is>
          <t>X</t>
        </is>
      </c>
      <c r="D182" s="300" t="n">
        <v>425</v>
      </c>
      <c r="E182" s="300" t="inlineStr">
        <is>
          <t xml:space="preserve">GREY - GREY </t>
        </is>
      </c>
      <c r="F182" s="307" t="n">
        <v>1</v>
      </c>
      <c r="G182" s="71" t="n"/>
    </row>
    <row r="183">
      <c r="A183" s="310" t="n">
        <v>1030</v>
      </c>
      <c r="B183" s="300" t="n">
        <v>275</v>
      </c>
      <c r="C183" s="300" t="inlineStr">
        <is>
          <t>X</t>
        </is>
      </c>
      <c r="D183" s="300" t="n">
        <v>365</v>
      </c>
      <c r="E183" s="300" t="inlineStr">
        <is>
          <t xml:space="preserve">GREY - GREY </t>
        </is>
      </c>
      <c r="F183" s="307" t="n">
        <v>1</v>
      </c>
      <c r="G183" s="71" t="n"/>
    </row>
    <row r="184">
      <c r="A184" s="310" t="n">
        <v>1030</v>
      </c>
      <c r="B184" s="300" t="n">
        <v>300</v>
      </c>
      <c r="C184" s="300" t="inlineStr">
        <is>
          <t>X</t>
        </is>
      </c>
      <c r="D184" s="300" t="n">
        <v>400</v>
      </c>
      <c r="E184" s="300" t="inlineStr">
        <is>
          <t>CREAM - BROWN</t>
        </is>
      </c>
      <c r="F184" s="307" t="n">
        <v>1</v>
      </c>
      <c r="G184" s="71" t="n"/>
    </row>
    <row r="185">
      <c r="A185" s="310" t="n">
        <v>1030</v>
      </c>
      <c r="B185" s="300" t="n">
        <v>300</v>
      </c>
      <c r="C185" s="300" t="inlineStr">
        <is>
          <t>X</t>
        </is>
      </c>
      <c r="D185" s="300" t="n">
        <v>400</v>
      </c>
      <c r="E185" s="300" t="inlineStr">
        <is>
          <t>CREAM - VİZON</t>
        </is>
      </c>
      <c r="F185" s="307" t="n">
        <v>1</v>
      </c>
      <c r="G185" s="71" t="n"/>
    </row>
    <row r="186">
      <c r="A186" s="310" t="n">
        <v>1030</v>
      </c>
      <c r="B186" s="300" t="n">
        <v>300</v>
      </c>
      <c r="C186" s="300" t="inlineStr">
        <is>
          <t>X</t>
        </is>
      </c>
      <c r="D186" s="300" t="n">
        <v>365</v>
      </c>
      <c r="E186" s="300" t="inlineStr">
        <is>
          <t>CREAM - BROWN</t>
        </is>
      </c>
      <c r="F186" s="307" t="n">
        <v>1</v>
      </c>
      <c r="G186" s="71" t="n"/>
    </row>
    <row r="187">
      <c r="A187" s="301" t="n">
        <v>1031</v>
      </c>
      <c r="B187" s="300" t="n">
        <v>243</v>
      </c>
      <c r="C187" s="300" t="inlineStr">
        <is>
          <t>X</t>
        </is>
      </c>
      <c r="D187" s="300" t="n">
        <v>300</v>
      </c>
      <c r="E187" s="300" t="inlineStr">
        <is>
          <t>CREAM - BROWN</t>
        </is>
      </c>
      <c r="F187" s="307" t="n">
        <v>1</v>
      </c>
      <c r="G187" s="71" t="n"/>
    </row>
    <row r="188">
      <c r="A188" s="301" t="n">
        <v>1031</v>
      </c>
      <c r="B188" s="300" t="n">
        <v>300</v>
      </c>
      <c r="C188" s="300" t="inlineStr">
        <is>
          <t>X</t>
        </is>
      </c>
      <c r="D188" s="300" t="n">
        <v>365</v>
      </c>
      <c r="E188" s="300" t="inlineStr">
        <is>
          <t>GREY - BLUE</t>
        </is>
      </c>
      <c r="F188" s="307" t="n">
        <v>1</v>
      </c>
      <c r="G188" s="71" t="n"/>
    </row>
    <row r="189">
      <c r="A189" s="301" t="n">
        <v>1031</v>
      </c>
      <c r="B189" s="304" t="n">
        <v>300</v>
      </c>
      <c r="C189" s="304" t="inlineStr">
        <is>
          <t>X</t>
        </is>
      </c>
      <c r="D189" s="304" t="n">
        <v>365</v>
      </c>
      <c r="E189" s="304" t="inlineStr">
        <is>
          <t>BROWN - BROWN</t>
        </is>
      </c>
      <c r="F189" s="308" t="n">
        <v>1</v>
      </c>
      <c r="G189" s="71" t="n"/>
    </row>
    <row r="190">
      <c r="A190" s="301" t="n">
        <v>1031</v>
      </c>
      <c r="B190" s="300" t="n">
        <v>300</v>
      </c>
      <c r="C190" s="304" t="inlineStr">
        <is>
          <t>X</t>
        </is>
      </c>
      <c r="D190" s="300" t="n">
        <v>400</v>
      </c>
      <c r="E190" s="300" t="inlineStr">
        <is>
          <t>GREY - BLUE</t>
        </is>
      </c>
      <c r="F190" s="307" t="n">
        <v>1</v>
      </c>
      <c r="G190" s="300" t="n"/>
    </row>
    <row r="191">
      <c r="A191" s="310" t="n">
        <v>1031</v>
      </c>
      <c r="B191" s="300" t="n">
        <v>243</v>
      </c>
      <c r="C191" s="304" t="inlineStr">
        <is>
          <t>X</t>
        </is>
      </c>
      <c r="D191" s="300" t="n">
        <v>300</v>
      </c>
      <c r="E191" s="300" t="inlineStr">
        <is>
          <t>GREY - BLUE</t>
        </is>
      </c>
      <c r="F191" s="307" t="n">
        <v>1</v>
      </c>
      <c r="G191" s="71" t="n"/>
    </row>
    <row r="192">
      <c r="A192" s="310" t="n">
        <v>1031</v>
      </c>
      <c r="B192" s="300" t="n">
        <v>243</v>
      </c>
      <c r="C192" s="304" t="inlineStr">
        <is>
          <t>X</t>
        </is>
      </c>
      <c r="D192" s="300" t="n">
        <v>300</v>
      </c>
      <c r="E192" s="300" t="inlineStr">
        <is>
          <t>BROWN - BROWN</t>
        </is>
      </c>
      <c r="F192" s="307" t="n">
        <v>1</v>
      </c>
      <c r="G192" s="71" t="n"/>
    </row>
    <row r="193">
      <c r="A193" s="310" t="n">
        <v>1031</v>
      </c>
      <c r="B193" s="300" t="n">
        <v>300</v>
      </c>
      <c r="C193" s="304" t="inlineStr">
        <is>
          <t>X</t>
        </is>
      </c>
      <c r="D193" s="300" t="n">
        <v>425</v>
      </c>
      <c r="E193" s="300" t="inlineStr">
        <is>
          <t>GREY - BLUE</t>
        </is>
      </c>
      <c r="F193" s="307" t="n">
        <v>1</v>
      </c>
      <c r="G193" s="71" t="n"/>
    </row>
    <row r="194">
      <c r="A194" s="310" t="n">
        <v>1031</v>
      </c>
      <c r="B194" s="300" t="n">
        <v>300</v>
      </c>
      <c r="C194" s="304" t="inlineStr">
        <is>
          <t>X</t>
        </is>
      </c>
      <c r="D194" s="300" t="n">
        <v>425</v>
      </c>
      <c r="E194" s="300" t="inlineStr">
        <is>
          <t xml:space="preserve">BROWN - CREAM </t>
        </is>
      </c>
      <c r="F194" s="307" t="n">
        <v>1</v>
      </c>
      <c r="G194" s="71" t="n"/>
    </row>
    <row r="195">
      <c r="A195" s="310" t="n">
        <v>1031</v>
      </c>
      <c r="B195" s="300" t="n">
        <v>300</v>
      </c>
      <c r="C195" s="304" t="inlineStr">
        <is>
          <t>X</t>
        </is>
      </c>
      <c r="D195" s="300" t="n">
        <v>400</v>
      </c>
      <c r="E195" s="300" t="inlineStr">
        <is>
          <t>BROWN - BROWN</t>
        </is>
      </c>
      <c r="F195" s="309" t="n">
        <v>1</v>
      </c>
      <c r="G195" s="71" t="n"/>
    </row>
    <row r="196">
      <c r="A196" s="310" t="n">
        <v>1031</v>
      </c>
      <c r="B196" s="300" t="n">
        <v>300</v>
      </c>
      <c r="C196" s="304" t="inlineStr">
        <is>
          <t>X</t>
        </is>
      </c>
      <c r="D196" s="300" t="n">
        <v>400</v>
      </c>
      <c r="E196" s="300" t="inlineStr">
        <is>
          <t>CREAM - BROWN</t>
        </is>
      </c>
      <c r="F196" s="307" t="n">
        <v>1</v>
      </c>
      <c r="G196" s="71" t="n"/>
    </row>
    <row r="197">
      <c r="A197" s="310" t="n">
        <v>1031</v>
      </c>
      <c r="B197" s="300" t="n">
        <v>275</v>
      </c>
      <c r="C197" s="304" t="inlineStr">
        <is>
          <t>X</t>
        </is>
      </c>
      <c r="D197" s="300" t="n">
        <v>365</v>
      </c>
      <c r="E197" s="300" t="inlineStr">
        <is>
          <t>GREY - BLUE</t>
        </is>
      </c>
      <c r="F197" s="307" t="n">
        <v>1</v>
      </c>
      <c r="G197" s="71" t="n"/>
    </row>
    <row r="198">
      <c r="A198" s="310" t="n">
        <v>1031</v>
      </c>
      <c r="B198" s="300" t="n">
        <v>275</v>
      </c>
      <c r="C198" s="304" t="inlineStr">
        <is>
          <t>X</t>
        </is>
      </c>
      <c r="D198" s="300" t="n">
        <v>365</v>
      </c>
      <c r="E198" s="300" t="inlineStr">
        <is>
          <t>BROWN - BROWN</t>
        </is>
      </c>
      <c r="F198" s="307" t="n">
        <v>1</v>
      </c>
      <c r="G198" s="71" t="n"/>
    </row>
    <row r="199">
      <c r="A199" s="310" t="n">
        <v>1031</v>
      </c>
      <c r="B199" s="300" t="n">
        <v>300</v>
      </c>
      <c r="C199" s="304" t="inlineStr">
        <is>
          <t>X</t>
        </is>
      </c>
      <c r="D199" s="300" t="n">
        <v>425</v>
      </c>
      <c r="E199" s="300" t="inlineStr">
        <is>
          <t>CREAM - BROWN</t>
        </is>
      </c>
      <c r="F199" s="307" t="n">
        <v>1</v>
      </c>
      <c r="G199" s="71" t="n"/>
    </row>
    <row r="200">
      <c r="A200" s="310" t="n">
        <v>1031</v>
      </c>
      <c r="B200" s="300" t="n">
        <v>275</v>
      </c>
      <c r="C200" s="304" t="inlineStr">
        <is>
          <t>X</t>
        </is>
      </c>
      <c r="D200" s="300" t="n">
        <v>365</v>
      </c>
      <c r="E200" s="300" t="inlineStr">
        <is>
          <t>CREAM - BROWN</t>
        </is>
      </c>
      <c r="F200" s="307" t="n">
        <v>1</v>
      </c>
      <c r="G200" s="71" t="n"/>
    </row>
    <row r="201">
      <c r="A201" s="301" t="n">
        <v>1032</v>
      </c>
      <c r="B201" s="300" t="n">
        <v>80</v>
      </c>
      <c r="C201" s="304" t="inlineStr">
        <is>
          <t>X</t>
        </is>
      </c>
      <c r="D201" s="300" t="n">
        <v>300</v>
      </c>
      <c r="E201" s="300" t="inlineStr">
        <is>
          <t>CREAM - BROWN</t>
        </is>
      </c>
      <c r="F201" s="307" t="n">
        <v>9</v>
      </c>
      <c r="G201" s="71" t="n"/>
    </row>
    <row r="202">
      <c r="A202" s="301" t="n">
        <v>1032</v>
      </c>
      <c r="B202" s="300" t="n">
        <v>80</v>
      </c>
      <c r="C202" s="304" t="inlineStr">
        <is>
          <t>X</t>
        </is>
      </c>
      <c r="D202" s="300" t="n">
        <v>200</v>
      </c>
      <c r="E202" s="300" t="inlineStr">
        <is>
          <t>CREAM - BROWN</t>
        </is>
      </c>
      <c r="F202" s="307" t="n">
        <v>5</v>
      </c>
      <c r="G202" s="71" t="n"/>
    </row>
    <row r="203">
      <c r="A203" s="301" t="n">
        <v>1032</v>
      </c>
      <c r="B203" s="300" t="n">
        <v>80</v>
      </c>
      <c r="C203" s="304" t="inlineStr">
        <is>
          <t>X</t>
        </is>
      </c>
      <c r="D203" s="300" t="n">
        <v>300</v>
      </c>
      <c r="E203" s="300" t="inlineStr">
        <is>
          <t>CREAM - BROWN</t>
        </is>
      </c>
      <c r="F203" s="307" t="n">
        <v>2</v>
      </c>
      <c r="G203" s="71" t="n"/>
    </row>
    <row r="204">
      <c r="A204" s="301" t="n">
        <v>1032</v>
      </c>
      <c r="B204" s="300" t="n">
        <v>80</v>
      </c>
      <c r="C204" s="304" t="inlineStr">
        <is>
          <t>X</t>
        </is>
      </c>
      <c r="D204" s="300" t="n">
        <v>200</v>
      </c>
      <c r="E204" s="300" t="inlineStr">
        <is>
          <t>CREAM - BROWN</t>
        </is>
      </c>
      <c r="F204" s="307" t="n">
        <v>1</v>
      </c>
      <c r="G204" s="71" t="n"/>
    </row>
    <row r="205">
      <c r="A205" s="301" t="n">
        <v>1032</v>
      </c>
      <c r="B205" s="300" t="n">
        <v>80</v>
      </c>
      <c r="C205" s="304" t="inlineStr">
        <is>
          <t>X</t>
        </is>
      </c>
      <c r="D205" s="300" t="n">
        <v>500</v>
      </c>
      <c r="E205" s="300" t="inlineStr">
        <is>
          <t>CREAM - BROWN</t>
        </is>
      </c>
      <c r="F205" s="307" t="n">
        <v>3</v>
      </c>
      <c r="G205" s="71" t="n"/>
    </row>
    <row r="206">
      <c r="A206" s="301" t="n">
        <v>1032</v>
      </c>
      <c r="B206" s="300" t="n">
        <v>80</v>
      </c>
      <c r="C206" s="304" t="inlineStr">
        <is>
          <t>X</t>
        </is>
      </c>
      <c r="D206" s="300" t="n">
        <v>400</v>
      </c>
      <c r="E206" s="300" t="inlineStr">
        <is>
          <t>CREAM - BROWN</t>
        </is>
      </c>
      <c r="F206" s="307" t="n">
        <v>3</v>
      </c>
      <c r="G206" s="71" t="n"/>
    </row>
    <row r="207">
      <c r="A207" s="301" t="n">
        <v>1033</v>
      </c>
      <c r="B207" s="300" t="n">
        <v>80</v>
      </c>
      <c r="C207" s="304" t="inlineStr">
        <is>
          <t>X</t>
        </is>
      </c>
      <c r="D207" s="300" t="n">
        <v>200</v>
      </c>
      <c r="E207" s="300" t="inlineStr">
        <is>
          <t>BROWN - RED</t>
        </is>
      </c>
      <c r="F207" s="307" t="n">
        <v>2</v>
      </c>
      <c r="G207" s="71" t="n"/>
    </row>
    <row r="208">
      <c r="A208" s="301" t="n">
        <v>1033</v>
      </c>
      <c r="B208" s="300" t="n">
        <v>80</v>
      </c>
      <c r="C208" s="304" t="inlineStr">
        <is>
          <t>X</t>
        </is>
      </c>
      <c r="D208" s="300" t="n">
        <v>300</v>
      </c>
      <c r="E208" s="300" t="inlineStr">
        <is>
          <t>BROWN - RED</t>
        </is>
      </c>
      <c r="F208" s="307" t="n">
        <v>6</v>
      </c>
      <c r="G208" s="71" t="n"/>
    </row>
    <row r="209">
      <c r="A209" s="301" t="n">
        <v>1033</v>
      </c>
      <c r="B209" s="300" t="n">
        <v>80</v>
      </c>
      <c r="C209" s="304" t="inlineStr">
        <is>
          <t>X</t>
        </is>
      </c>
      <c r="D209" s="300" t="n">
        <v>300</v>
      </c>
      <c r="E209" s="300" t="inlineStr">
        <is>
          <t>BROWN - RED</t>
        </is>
      </c>
      <c r="F209" s="307" t="n">
        <v>2</v>
      </c>
      <c r="G209" s="71" t="n"/>
    </row>
    <row r="210">
      <c r="A210" s="301" t="n">
        <v>1033</v>
      </c>
      <c r="B210" s="300" t="n">
        <v>80</v>
      </c>
      <c r="C210" s="304" t="inlineStr">
        <is>
          <t>X</t>
        </is>
      </c>
      <c r="D210" s="300" t="n">
        <v>500</v>
      </c>
      <c r="E210" s="300" t="inlineStr">
        <is>
          <t>BROWN - RED</t>
        </is>
      </c>
      <c r="F210" s="307" t="n">
        <v>3</v>
      </c>
      <c r="G210" s="71" t="n"/>
    </row>
    <row r="211">
      <c r="A211" s="301" t="n">
        <v>1033</v>
      </c>
      <c r="B211" s="300" t="n">
        <v>80</v>
      </c>
      <c r="C211" s="304" t="inlineStr">
        <is>
          <t>X</t>
        </is>
      </c>
      <c r="D211" s="300" t="n">
        <v>400</v>
      </c>
      <c r="E211" s="300" t="inlineStr">
        <is>
          <t>BROWN - RED</t>
        </is>
      </c>
      <c r="F211" s="307" t="n">
        <v>3</v>
      </c>
      <c r="G211" s="71" t="n"/>
    </row>
    <row r="212">
      <c r="A212" s="303" t="n"/>
      <c r="B212" s="300" t="n"/>
      <c r="C212" s="304" t="inlineStr">
        <is>
          <t>X</t>
        </is>
      </c>
      <c r="D212" s="300" t="n"/>
      <c r="E212" s="300" t="n"/>
      <c r="F212" s="307" t="n"/>
      <c r="G212" s="71" t="n"/>
    </row>
    <row r="213">
      <c r="A213" s="303" t="n"/>
      <c r="B213" s="300" t="n"/>
      <c r="C213" s="304" t="inlineStr">
        <is>
          <t>X</t>
        </is>
      </c>
      <c r="D213" s="300" t="n"/>
      <c r="E213" s="300" t="n"/>
      <c r="F213" s="307" t="n"/>
      <c r="G213" s="71" t="n"/>
    </row>
    <row r="214">
      <c r="A214" s="303" t="n"/>
      <c r="B214" s="300" t="n"/>
      <c r="C214" s="304" t="inlineStr">
        <is>
          <t>X</t>
        </is>
      </c>
      <c r="D214" s="300" t="n"/>
      <c r="E214" s="300" t="n"/>
      <c r="F214" s="307" t="n"/>
      <c r="G214" s="71" t="n"/>
    </row>
    <row r="215">
      <c r="A215" s="303" t="n"/>
      <c r="B215" s="300" t="n"/>
      <c r="C215" s="304" t="inlineStr">
        <is>
          <t>X</t>
        </is>
      </c>
      <c r="D215" s="300" t="n"/>
      <c r="E215" s="300" t="n"/>
      <c r="F215" s="307" t="n"/>
      <c r="G215" s="71" t="n"/>
    </row>
    <row r="216">
      <c r="A216" s="303" t="n"/>
      <c r="B216" s="300" t="n"/>
      <c r="C216" s="304" t="inlineStr">
        <is>
          <t>X</t>
        </is>
      </c>
      <c r="D216" s="300" t="n"/>
      <c r="E216" s="300" t="n"/>
      <c r="F216" s="307" t="n"/>
      <c r="G216" s="71" t="n"/>
    </row>
    <row r="217">
      <c r="A217" s="303" t="n"/>
      <c r="B217" s="300" t="n"/>
      <c r="C217" s="304" t="inlineStr">
        <is>
          <t>X</t>
        </is>
      </c>
      <c r="D217" s="300" t="n"/>
      <c r="E217" s="300" t="n"/>
      <c r="F217" s="307" t="n"/>
      <c r="G217" s="71" t="n"/>
    </row>
    <row r="218">
      <c r="A218" s="303" t="n"/>
      <c r="B218" s="300" t="n"/>
      <c r="C218" s="304" t="inlineStr">
        <is>
          <t>X</t>
        </is>
      </c>
      <c r="D218" s="300" t="n"/>
      <c r="E218" s="300" t="n"/>
      <c r="F218" s="307" t="n"/>
      <c r="G218" s="71" t="n"/>
    </row>
    <row r="219">
      <c r="A219" s="303" t="n"/>
      <c r="B219" s="300" t="n"/>
      <c r="C219" s="304" t="inlineStr">
        <is>
          <t>X</t>
        </is>
      </c>
      <c r="D219" s="300" t="n"/>
      <c r="E219" s="300" t="n"/>
      <c r="F219" s="307" t="n"/>
      <c r="G219" s="71" t="n"/>
    </row>
    <row r="220">
      <c r="A220" s="303" t="n"/>
      <c r="B220" s="300" t="n"/>
      <c r="C220" s="304" t="inlineStr">
        <is>
          <t>X</t>
        </is>
      </c>
      <c r="D220" s="300" t="n"/>
      <c r="E220" s="300" t="n"/>
      <c r="F220" s="307" t="n"/>
      <c r="G220" s="71" t="n"/>
    </row>
    <row r="221">
      <c r="A221" s="303" t="n"/>
      <c r="B221" s="300" t="n"/>
      <c r="C221" s="304" t="inlineStr">
        <is>
          <t>X</t>
        </is>
      </c>
      <c r="D221" s="300" t="n"/>
      <c r="E221" s="300" t="n"/>
      <c r="F221" s="307" t="n"/>
      <c r="G221" s="71" t="n"/>
    </row>
    <row r="222">
      <c r="A222" s="303" t="n"/>
      <c r="B222" s="300" t="n"/>
      <c r="C222" s="304" t="inlineStr">
        <is>
          <t>X</t>
        </is>
      </c>
      <c r="D222" s="300" t="n"/>
      <c r="E222" s="300" t="n"/>
      <c r="F222" s="307" t="n"/>
      <c r="G222" s="71" t="n"/>
    </row>
    <row r="223">
      <c r="A223" s="303" t="n"/>
      <c r="B223" s="300" t="n"/>
      <c r="C223" s="304" t="inlineStr">
        <is>
          <t>X</t>
        </is>
      </c>
      <c r="D223" s="300" t="n"/>
      <c r="E223" s="300" t="n"/>
      <c r="F223" s="307" t="n"/>
      <c r="G223" s="71" t="n"/>
    </row>
    <row r="224">
      <c r="A224" s="303" t="n"/>
      <c r="B224" s="300" t="n"/>
      <c r="C224" s="304" t="inlineStr">
        <is>
          <t>X</t>
        </is>
      </c>
      <c r="D224" s="300" t="n"/>
      <c r="E224" s="300" t="n"/>
      <c r="F224" s="307" t="n"/>
      <c r="G224" s="71" t="n"/>
    </row>
    <row r="225">
      <c r="A225" s="303" t="n"/>
      <c r="B225" s="300" t="n"/>
      <c r="C225" s="304" t="inlineStr">
        <is>
          <t>X</t>
        </is>
      </c>
      <c r="D225" s="300" t="n"/>
      <c r="E225" s="300" t="n"/>
      <c r="F225" s="307" t="n"/>
      <c r="G225" s="71" t="n"/>
    </row>
    <row r="226">
      <c r="A226" s="303" t="n"/>
      <c r="B226" s="300" t="n"/>
      <c r="C226" s="304" t="inlineStr">
        <is>
          <t>X</t>
        </is>
      </c>
      <c r="D226" s="300" t="n"/>
      <c r="E226" s="300" t="n"/>
      <c r="F226" s="307" t="n"/>
      <c r="G226" s="71" t="n"/>
    </row>
    <row r="227">
      <c r="A227" s="303" t="n"/>
      <c r="B227" s="300" t="n"/>
      <c r="C227" s="304" t="inlineStr">
        <is>
          <t>X</t>
        </is>
      </c>
      <c r="D227" s="300" t="n"/>
      <c r="E227" s="300" t="n"/>
      <c r="F227" s="307" t="n"/>
      <c r="G227" s="71" t="n"/>
    </row>
    <row r="228">
      <c r="A228" s="303" t="n"/>
      <c r="B228" s="300" t="n"/>
      <c r="C228" s="304" t="inlineStr">
        <is>
          <t>X</t>
        </is>
      </c>
      <c r="D228" s="300" t="n"/>
      <c r="E228" s="300" t="n"/>
      <c r="F228" s="307" t="n"/>
      <c r="G228" s="71" t="n"/>
    </row>
    <row r="229">
      <c r="A229" s="303" t="n"/>
      <c r="B229" s="300" t="n"/>
      <c r="C229" s="304" t="inlineStr">
        <is>
          <t>X</t>
        </is>
      </c>
      <c r="D229" s="300" t="n"/>
      <c r="E229" s="300" t="n"/>
      <c r="F229" s="307" t="n"/>
      <c r="G229" s="71" t="n"/>
    </row>
    <row r="230">
      <c r="A230" s="303" t="n"/>
      <c r="B230" s="300" t="n"/>
      <c r="C230" s="304" t="inlineStr">
        <is>
          <t>X</t>
        </is>
      </c>
      <c r="D230" s="300" t="n"/>
      <c r="E230" s="300" t="n"/>
      <c r="F230" s="307" t="n"/>
      <c r="G230" s="71" t="n"/>
    </row>
    <row r="231">
      <c r="A231" s="303" t="n"/>
      <c r="B231" s="300" t="n"/>
      <c r="C231" s="304" t="inlineStr">
        <is>
          <t>X</t>
        </is>
      </c>
      <c r="D231" s="300" t="n"/>
      <c r="E231" s="300" t="n"/>
      <c r="F231" s="307" t="n"/>
      <c r="G231" s="71" t="n"/>
    </row>
    <row r="232">
      <c r="A232" s="303" t="n"/>
      <c r="B232" s="300" t="n"/>
      <c r="C232" s="300" t="inlineStr">
        <is>
          <t>X</t>
        </is>
      </c>
      <c r="D232" s="300" t="n"/>
      <c r="E232" s="300" t="n"/>
      <c r="F232" s="307" t="n"/>
      <c r="G232" s="71" t="n"/>
    </row>
    <row r="233">
      <c r="A233" s="303" t="n"/>
      <c r="B233" s="300" t="n"/>
      <c r="C233" s="300" t="inlineStr">
        <is>
          <t>X</t>
        </is>
      </c>
      <c r="D233" s="300" t="n"/>
      <c r="E233" s="300" t="n"/>
      <c r="F233" s="307" t="n"/>
      <c r="G233" s="71" t="n"/>
    </row>
    <row r="234">
      <c r="A234" s="303" t="n"/>
      <c r="B234" s="300" t="n"/>
      <c r="C234" s="300" t="inlineStr">
        <is>
          <t>X</t>
        </is>
      </c>
      <c r="D234" s="300" t="n"/>
      <c r="E234" s="300" t="n"/>
      <c r="F234" s="307" t="n"/>
      <c r="G234" s="71" t="n"/>
    </row>
    <row r="235">
      <c r="A235" s="303" t="n"/>
      <c r="B235" s="300" t="n"/>
      <c r="C235" s="300" t="inlineStr">
        <is>
          <t>X</t>
        </is>
      </c>
      <c r="D235" s="300" t="n"/>
      <c r="E235" s="300" t="n"/>
      <c r="F235" s="307" t="n"/>
      <c r="G235" s="71" t="n"/>
    </row>
    <row r="236">
      <c r="A236" s="303" t="n"/>
      <c r="B236" s="300" t="n"/>
      <c r="C236" s="300" t="inlineStr">
        <is>
          <t>X</t>
        </is>
      </c>
      <c r="D236" s="300" t="n"/>
      <c r="E236" s="300" t="n"/>
      <c r="F236" s="307" t="n"/>
      <c r="G236" s="71" t="n"/>
    </row>
    <row r="237">
      <c r="A237" s="303" t="n"/>
      <c r="B237" s="300" t="n"/>
      <c r="C237" s="300" t="inlineStr">
        <is>
          <t>X</t>
        </is>
      </c>
      <c r="D237" s="300" t="n"/>
      <c r="E237" s="300" t="n"/>
      <c r="F237" s="307" t="n"/>
      <c r="G237" s="71" t="n"/>
    </row>
    <row r="238">
      <c r="A238" s="303" t="n"/>
      <c r="B238" s="300" t="n"/>
      <c r="C238" s="300" t="inlineStr">
        <is>
          <t>X</t>
        </is>
      </c>
      <c r="D238" s="300" t="n"/>
      <c r="E238" s="300" t="n"/>
      <c r="F238" s="307" t="n"/>
      <c r="G238" s="71" t="n"/>
    </row>
    <row r="239">
      <c r="A239" s="303" t="n"/>
      <c r="B239" s="300" t="n"/>
      <c r="C239" s="300" t="inlineStr">
        <is>
          <t>X</t>
        </is>
      </c>
      <c r="D239" s="300" t="n"/>
      <c r="E239" s="300" t="n"/>
      <c r="F239" s="307" t="n"/>
      <c r="G239" s="71" t="n"/>
    </row>
    <row r="240">
      <c r="A240" s="303" t="n"/>
      <c r="B240" s="300" t="n"/>
      <c r="C240" s="300" t="inlineStr">
        <is>
          <t>X</t>
        </is>
      </c>
      <c r="D240" s="300" t="n"/>
      <c r="E240" s="300" t="n"/>
      <c r="F240" s="307" t="n"/>
      <c r="G240" s="313" t="n"/>
    </row>
    <row r="241">
      <c r="A241" s="303" t="n"/>
      <c r="B241" s="300" t="n"/>
      <c r="C241" s="300" t="inlineStr">
        <is>
          <t>X</t>
        </is>
      </c>
      <c r="D241" s="300" t="n"/>
      <c r="E241" s="300" t="n"/>
      <c r="F241" s="307" t="n"/>
      <c r="G241" s="313" t="n"/>
    </row>
    <row r="242">
      <c r="A242" s="303" t="n"/>
      <c r="B242" s="300" t="n"/>
      <c r="C242" s="300" t="inlineStr">
        <is>
          <t>X</t>
        </is>
      </c>
      <c r="D242" s="300" t="n"/>
      <c r="E242" s="300" t="n"/>
      <c r="F242" s="307" t="n"/>
      <c r="G242" s="313" t="n"/>
    </row>
    <row r="243">
      <c r="A243" s="303" t="n"/>
      <c r="B243" s="300" t="n"/>
      <c r="C243" s="300" t="inlineStr">
        <is>
          <t>X</t>
        </is>
      </c>
      <c r="D243" s="300" t="n"/>
      <c r="E243" s="300" t="n"/>
      <c r="F243" s="307" t="n"/>
      <c r="G243" s="313" t="n"/>
    </row>
    <row r="244">
      <c r="A244" s="303" t="n"/>
      <c r="B244" s="300" t="n"/>
      <c r="C244" s="300" t="inlineStr">
        <is>
          <t>X</t>
        </is>
      </c>
      <c r="D244" s="300" t="n"/>
      <c r="E244" s="300" t="n"/>
      <c r="F244" s="307" t="n"/>
      <c r="G244" s="313" t="n"/>
    </row>
    <row r="245">
      <c r="A245" s="303" t="n"/>
      <c r="B245" s="300" t="n"/>
      <c r="C245" s="300" t="inlineStr">
        <is>
          <t>X</t>
        </is>
      </c>
      <c r="D245" s="300" t="n"/>
      <c r="E245" s="300" t="n"/>
      <c r="F245" s="307" t="n"/>
      <c r="G245" s="313" t="n"/>
    </row>
    <row r="246">
      <c r="A246" s="303" t="n"/>
      <c r="B246" s="300" t="n"/>
      <c r="C246" s="300" t="inlineStr">
        <is>
          <t>X</t>
        </is>
      </c>
      <c r="D246" s="300" t="n"/>
      <c r="E246" s="300" t="n"/>
      <c r="F246" s="307" t="n"/>
      <c r="G246" s="313" t="n"/>
    </row>
    <row r="247">
      <c r="A247" s="303" t="n"/>
      <c r="B247" s="300" t="n"/>
      <c r="C247" s="300" t="inlineStr">
        <is>
          <t>X</t>
        </is>
      </c>
      <c r="D247" s="300" t="n"/>
      <c r="E247" s="300" t="n"/>
      <c r="F247" s="307" t="n"/>
      <c r="G247" s="71" t="n"/>
    </row>
    <row r="248">
      <c r="A248" s="303" t="n"/>
      <c r="B248" s="300" t="n"/>
      <c r="C248" s="300" t="inlineStr">
        <is>
          <t>X</t>
        </is>
      </c>
      <c r="D248" s="300" t="n"/>
      <c r="E248" s="300" t="n"/>
      <c r="F248" s="307" t="n"/>
      <c r="G248" s="71" t="n"/>
    </row>
    <row r="249">
      <c r="A249" s="303" t="n"/>
      <c r="B249" s="300" t="n"/>
      <c r="C249" s="300" t="inlineStr">
        <is>
          <t>X</t>
        </is>
      </c>
      <c r="D249" s="300" t="n"/>
      <c r="E249" s="300" t="n"/>
      <c r="F249" s="307" t="n"/>
      <c r="G249" s="71" t="n"/>
    </row>
    <row r="250">
      <c r="A250" s="303" t="n"/>
      <c r="B250" s="300" t="n"/>
      <c r="C250" s="300" t="inlineStr">
        <is>
          <t>X</t>
        </is>
      </c>
      <c r="D250" s="300" t="n"/>
      <c r="E250" s="300" t="n"/>
      <c r="F250" s="307" t="n"/>
      <c r="G250" s="71" t="n"/>
    </row>
    <row r="251">
      <c r="A251" s="303" t="n"/>
      <c r="B251" s="300" t="n"/>
      <c r="C251" s="300" t="inlineStr">
        <is>
          <t>X</t>
        </is>
      </c>
      <c r="D251" s="300" t="n"/>
      <c r="E251" s="300" t="n"/>
      <c r="F251" s="307" t="n"/>
      <c r="G251" s="71" t="n"/>
    </row>
    <row r="252">
      <c r="A252" s="303" t="n"/>
      <c r="B252" s="300" t="n"/>
      <c r="C252" s="300" t="inlineStr">
        <is>
          <t>X</t>
        </is>
      </c>
      <c r="D252" s="300" t="n"/>
      <c r="E252" s="300" t="n"/>
      <c r="F252" s="307" t="n"/>
      <c r="G252" s="7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0"/>
  <sheetViews>
    <sheetView topLeftCell="A144" workbookViewId="0">
      <selection activeCell="B235" sqref="B235"/>
    </sheetView>
  </sheetViews>
  <sheetFormatPr baseColWidth="8" defaultRowHeight="15"/>
  <cols>
    <col width="12.140625" customWidth="1" style="332" min="1" max="1"/>
    <col width="11.42578125" customWidth="1" style="305" min="2" max="2"/>
    <col width="25" customWidth="1" style="305" min="3" max="3"/>
    <col width="17.85546875" customWidth="1" style="305" min="4" max="4"/>
    <col width="23.7109375" customWidth="1" style="256" min="5" max="5"/>
  </cols>
  <sheetData>
    <row r="1" ht="21.75" customHeight="1" s="305">
      <c r="A1" s="328" t="inlineStr">
        <is>
          <t>TARİH</t>
        </is>
      </c>
      <c r="B1" s="324" t="inlineStr">
        <is>
          <t>ADET</t>
        </is>
      </c>
      <c r="C1" s="325" t="inlineStr">
        <is>
          <t xml:space="preserve">HALI </t>
        </is>
      </c>
      <c r="D1" s="326" t="inlineStr">
        <is>
          <t>ÇEKEN KİŞİ</t>
        </is>
      </c>
      <c r="E1" s="327" t="inlineStr">
        <is>
          <t>SEBEP</t>
        </is>
      </c>
    </row>
    <row r="2">
      <c r="A2" s="329" t="n">
        <v>45764</v>
      </c>
      <c r="B2" s="253" t="n">
        <v>72</v>
      </c>
      <c r="C2" s="253" t="inlineStr">
        <is>
          <t>YASTIK</t>
        </is>
      </c>
      <c r="D2" s="253" t="inlineStr">
        <is>
          <t>MUSTAFA</t>
        </is>
      </c>
      <c r="E2" s="253" t="inlineStr">
        <is>
          <t>BİLİNMİYOR</t>
        </is>
      </c>
    </row>
    <row r="3">
      <c r="A3" s="330" t="n">
        <v>45765</v>
      </c>
      <c r="B3" s="253" t="n">
        <v>72</v>
      </c>
      <c r="C3" s="253" t="inlineStr">
        <is>
          <t>YASTIK</t>
        </is>
      </c>
      <c r="D3" s="253" t="inlineStr">
        <is>
          <t>MUSTAFA</t>
        </is>
      </c>
      <c r="E3" s="253" t="inlineStr">
        <is>
          <t>BİLİNMİYOR</t>
        </is>
      </c>
    </row>
    <row r="4">
      <c r="A4" s="330" t="n">
        <v>45766</v>
      </c>
      <c r="B4" s="253" t="n">
        <v>130</v>
      </c>
      <c r="C4" s="253" t="inlineStr">
        <is>
          <t>YASTIK</t>
        </is>
      </c>
      <c r="D4" s="253" t="inlineStr">
        <is>
          <t>EMİR</t>
        </is>
      </c>
      <c r="E4" s="253" t="n"/>
    </row>
    <row r="5">
      <c r="A5" s="330" t="n">
        <v>45767</v>
      </c>
      <c r="B5" s="253" t="inlineStr">
        <is>
          <t xml:space="preserve">   -</t>
        </is>
      </c>
      <c r="C5" s="253" t="inlineStr">
        <is>
          <t xml:space="preserve">  -</t>
        </is>
      </c>
      <c r="D5" s="253" t="inlineStr">
        <is>
          <t xml:space="preserve">  -</t>
        </is>
      </c>
      <c r="E5" s="253" t="inlineStr">
        <is>
          <t>PAZAR TATİLİ</t>
        </is>
      </c>
    </row>
    <row r="6">
      <c r="A6" s="330" t="n">
        <v>45768</v>
      </c>
      <c r="B6" s="253" t="n">
        <v>56</v>
      </c>
      <c r="C6" s="253" t="inlineStr">
        <is>
          <t>YASTIK     P.WORK</t>
        </is>
      </c>
      <c r="D6" s="253" t="inlineStr">
        <is>
          <t>MUSTAFA</t>
        </is>
      </c>
      <c r="E6" s="253" t="inlineStr">
        <is>
          <t xml:space="preserve">TAMİR </t>
        </is>
      </c>
    </row>
    <row r="7">
      <c r="A7" s="330" t="n">
        <v>45769</v>
      </c>
      <c r="B7" s="253" t="n">
        <v>128</v>
      </c>
      <c r="C7" s="253" t="inlineStr">
        <is>
          <t>YASTIK     P.WORK</t>
        </is>
      </c>
      <c r="D7" s="253" t="inlineStr">
        <is>
          <t>MUSTAFA</t>
        </is>
      </c>
      <c r="E7" s="253" t="n"/>
    </row>
    <row r="8">
      <c r="A8" s="330" t="n">
        <v>45770</v>
      </c>
      <c r="B8" s="253" t="n">
        <v>122</v>
      </c>
      <c r="C8" s="253" t="inlineStr">
        <is>
          <t>YASTIK     P.WORK</t>
        </is>
      </c>
      <c r="D8" s="253" t="inlineStr">
        <is>
          <t>MUSTAFA</t>
        </is>
      </c>
      <c r="E8" s="253" t="n"/>
    </row>
    <row r="9">
      <c r="A9" s="330" t="n">
        <v>45771</v>
      </c>
      <c r="B9" s="253" t="n">
        <v>85</v>
      </c>
      <c r="C9" s="253" t="inlineStr">
        <is>
          <t>YASTIK     P.WORK</t>
        </is>
      </c>
      <c r="D9" s="253" t="inlineStr">
        <is>
          <t>MUSTAFA</t>
        </is>
      </c>
      <c r="E9" s="253" t="inlineStr">
        <is>
          <t>HASTA / İŞTEN ÇIK.</t>
        </is>
      </c>
    </row>
    <row r="10">
      <c r="A10" s="330" t="n">
        <v>45772</v>
      </c>
      <c r="B10" s="253" t="inlineStr">
        <is>
          <t>-</t>
        </is>
      </c>
      <c r="C10" s="253" t="inlineStr">
        <is>
          <t>-</t>
        </is>
      </c>
      <c r="D10" s="253" t="inlineStr">
        <is>
          <t>MUSTAFA</t>
        </is>
      </c>
      <c r="E10" s="253" t="inlineStr">
        <is>
          <t>HASTA / GELMEDİ</t>
        </is>
      </c>
    </row>
    <row r="11">
      <c r="A11" s="330" t="n">
        <v>45773</v>
      </c>
      <c r="B11" s="253" t="n">
        <v>145</v>
      </c>
      <c r="C11" s="253" t="inlineStr">
        <is>
          <t xml:space="preserve">YASTIK     </t>
        </is>
      </c>
      <c r="D11" s="253" t="inlineStr">
        <is>
          <t>EMİR</t>
        </is>
      </c>
      <c r="E11" s="253" t="n"/>
    </row>
    <row r="12">
      <c r="A12" s="330" t="n">
        <v>45774</v>
      </c>
      <c r="B12" s="253" t="inlineStr">
        <is>
          <t>-</t>
        </is>
      </c>
      <c r="C12" s="253" t="inlineStr">
        <is>
          <t>-</t>
        </is>
      </c>
      <c r="D12" s="253" t="inlineStr">
        <is>
          <t>-</t>
        </is>
      </c>
      <c r="E12" s="253" t="inlineStr">
        <is>
          <t>PAZAR TATİLİ</t>
        </is>
      </c>
    </row>
    <row r="13">
      <c r="A13" s="330" t="n">
        <v>45775</v>
      </c>
      <c r="B13" s="253" t="inlineStr">
        <is>
          <t>-</t>
        </is>
      </c>
      <c r="C13" s="253" t="inlineStr">
        <is>
          <t>-</t>
        </is>
      </c>
      <c r="D13" s="253" t="inlineStr">
        <is>
          <t>MUSTAFA</t>
        </is>
      </c>
      <c r="E13" s="253" t="inlineStr">
        <is>
          <t>HASTA / GELMEDİ</t>
        </is>
      </c>
    </row>
    <row r="14">
      <c r="A14" s="330" t="n">
        <v>45776</v>
      </c>
      <c r="B14" s="253" t="n">
        <v>93</v>
      </c>
      <c r="C14" s="253" t="inlineStr">
        <is>
          <t>YASTIK</t>
        </is>
      </c>
      <c r="D14" s="253" t="inlineStr">
        <is>
          <t>MUSTAFA</t>
        </is>
      </c>
      <c r="E14" s="253" t="inlineStr">
        <is>
          <t xml:space="preserve">TAMİR </t>
        </is>
      </c>
    </row>
    <row r="15">
      <c r="A15" s="330" t="n">
        <v>45777</v>
      </c>
      <c r="B15" s="253" t="n">
        <v>124</v>
      </c>
      <c r="C15" s="253" t="inlineStr">
        <is>
          <t>YASTIK</t>
        </is>
      </c>
      <c r="D15" s="253" t="inlineStr">
        <is>
          <t>MUSTAFA</t>
        </is>
      </c>
      <c r="E15" s="253" t="n"/>
    </row>
    <row r="16">
      <c r="A16" s="330" t="n">
        <v>45778</v>
      </c>
      <c r="B16" s="253" t="n">
        <v>130</v>
      </c>
      <c r="C16" s="253" t="inlineStr">
        <is>
          <t>YASTIK     P.WORK</t>
        </is>
      </c>
      <c r="D16" s="253" t="inlineStr">
        <is>
          <t>MUSTAFA</t>
        </is>
      </c>
      <c r="E16" s="253" t="n"/>
    </row>
    <row r="17">
      <c r="A17" s="330" t="n">
        <v>45779</v>
      </c>
      <c r="B17" s="253" t="n">
        <v>131</v>
      </c>
      <c r="C17" s="253" t="inlineStr">
        <is>
          <t>YASTIK     P.WORK</t>
        </is>
      </c>
      <c r="D17" s="253" t="inlineStr">
        <is>
          <t>MUSTAFA</t>
        </is>
      </c>
      <c r="E17" s="253" t="n"/>
    </row>
    <row r="18">
      <c r="A18" s="330" t="n">
        <v>45780</v>
      </c>
      <c r="B18" s="253" t="n">
        <v>156</v>
      </c>
      <c r="C18" s="253" t="inlineStr">
        <is>
          <t>YASTIK</t>
        </is>
      </c>
      <c r="D18" s="253" t="inlineStr">
        <is>
          <t>EMİR</t>
        </is>
      </c>
      <c r="E18" s="253" t="n"/>
    </row>
    <row r="19">
      <c r="A19" s="330" t="n">
        <v>45781</v>
      </c>
      <c r="B19" s="253" t="inlineStr">
        <is>
          <t>-</t>
        </is>
      </c>
      <c r="C19" s="253" t="inlineStr">
        <is>
          <t>-</t>
        </is>
      </c>
      <c r="D19" s="253" t="inlineStr">
        <is>
          <t>-</t>
        </is>
      </c>
      <c r="E19" s="253" t="inlineStr">
        <is>
          <t>PAZAR TATİLİ</t>
        </is>
      </c>
    </row>
    <row r="20">
      <c r="A20" s="330" t="n">
        <v>45782</v>
      </c>
      <c r="B20" s="253" t="n">
        <v>45</v>
      </c>
      <c r="C20" s="253" t="inlineStr">
        <is>
          <t>YASTIK</t>
        </is>
      </c>
      <c r="D20" s="253" t="inlineStr">
        <is>
          <t>MUSTAFA</t>
        </is>
      </c>
      <c r="E20" s="253" t="inlineStr">
        <is>
          <t xml:space="preserve">TAMİR </t>
        </is>
      </c>
    </row>
    <row r="21">
      <c r="A21" s="330" t="n">
        <v>45783</v>
      </c>
      <c r="B21" s="253" t="n">
        <v>17</v>
      </c>
      <c r="C21" s="253" t="inlineStr">
        <is>
          <t>OVERSİZE HALI</t>
        </is>
      </c>
      <c r="D21" s="253" t="inlineStr">
        <is>
          <t>MUSTAFA</t>
        </is>
      </c>
      <c r="E21" s="253" t="inlineStr">
        <is>
          <t>BİLİNMİYOR</t>
        </is>
      </c>
    </row>
    <row r="22">
      <c r="A22" s="330" t="n">
        <v>45784</v>
      </c>
      <c r="B22" s="253" t="n">
        <v>17</v>
      </c>
      <c r="C22" s="253" t="inlineStr">
        <is>
          <t>OVERSİZE HALI</t>
        </is>
      </c>
      <c r="D22" s="253" t="inlineStr">
        <is>
          <t>MUSTAFA</t>
        </is>
      </c>
      <c r="E22" s="253" t="inlineStr">
        <is>
          <t>BİLİNMİYOR</t>
        </is>
      </c>
    </row>
    <row r="23">
      <c r="A23" s="330" t="n">
        <v>45785</v>
      </c>
      <c r="B23" s="253" t="n">
        <v>17</v>
      </c>
      <c r="C23" s="253" t="inlineStr">
        <is>
          <t>OVERSİZE HALI</t>
        </is>
      </c>
      <c r="D23" s="253" t="inlineStr">
        <is>
          <t>MUSTAFA</t>
        </is>
      </c>
      <c r="E23" s="253" t="inlineStr">
        <is>
          <t>BİLİNMİYOR</t>
        </is>
      </c>
    </row>
    <row r="24">
      <c r="A24" s="330" t="n">
        <v>45786</v>
      </c>
      <c r="B24" s="253" t="n">
        <v>17</v>
      </c>
      <c r="C24" s="253" t="inlineStr">
        <is>
          <t>OVERSİZE HALI</t>
        </is>
      </c>
      <c r="D24" s="253" t="inlineStr">
        <is>
          <t>MUSTAFA</t>
        </is>
      </c>
      <c r="E24" s="253" t="inlineStr">
        <is>
          <t>BİLİNMİYOR</t>
        </is>
      </c>
    </row>
    <row r="25">
      <c r="A25" s="330" t="n">
        <v>45787</v>
      </c>
      <c r="B25" s="253" t="n">
        <v>17</v>
      </c>
      <c r="C25" s="253" t="inlineStr">
        <is>
          <t>OVERSİZE HALI</t>
        </is>
      </c>
      <c r="D25" s="253" t="inlineStr">
        <is>
          <t>MUSTAFA</t>
        </is>
      </c>
      <c r="E25" s="323" t="inlineStr">
        <is>
          <t>HAFTA SONU İŞLER</t>
        </is>
      </c>
    </row>
    <row r="26">
      <c r="A26" s="330" t="n">
        <v>45788</v>
      </c>
      <c r="B26" s="253" t="inlineStr">
        <is>
          <t>-</t>
        </is>
      </c>
      <c r="C26" s="253" t="inlineStr">
        <is>
          <t>-</t>
        </is>
      </c>
      <c r="D26" s="253" t="inlineStr">
        <is>
          <t>-</t>
        </is>
      </c>
      <c r="E26" s="253" t="inlineStr">
        <is>
          <t>PAZAR TATİLİ</t>
        </is>
      </c>
    </row>
    <row r="27">
      <c r="A27" s="330" t="n">
        <v>45789</v>
      </c>
      <c r="B27" s="253" t="n">
        <v>20</v>
      </c>
      <c r="C27" s="253" t="inlineStr">
        <is>
          <t>OVERSİZE HALI</t>
        </is>
      </c>
      <c r="D27" s="253" t="inlineStr">
        <is>
          <t>MUSTAFA</t>
        </is>
      </c>
      <c r="E27" s="253" t="inlineStr">
        <is>
          <t xml:space="preserve">TAMİR </t>
        </is>
      </c>
    </row>
    <row r="28">
      <c r="A28" s="330" t="n">
        <v>45790</v>
      </c>
      <c r="B28" s="253" t="n">
        <v>55</v>
      </c>
      <c r="C28" s="253" t="inlineStr">
        <is>
          <t>YOLLUK</t>
        </is>
      </c>
      <c r="D28" s="253" t="inlineStr">
        <is>
          <t>MUSTAFA</t>
        </is>
      </c>
      <c r="E28" s="253" t="inlineStr">
        <is>
          <t>BİLİNMİYOR</t>
        </is>
      </c>
    </row>
    <row r="29">
      <c r="A29" s="330" t="n">
        <v>45791</v>
      </c>
      <c r="B29" s="253" t="n">
        <v>55</v>
      </c>
      <c r="C29" s="253" t="inlineStr">
        <is>
          <t>YOLLUK</t>
        </is>
      </c>
      <c r="D29" s="253" t="inlineStr">
        <is>
          <t>MUSTAFA</t>
        </is>
      </c>
      <c r="E29" s="253" t="inlineStr">
        <is>
          <t>BİLİNMİYOR</t>
        </is>
      </c>
    </row>
    <row r="30">
      <c r="A30" s="330" t="n">
        <v>45792</v>
      </c>
      <c r="B30" s="253" t="n">
        <v>90</v>
      </c>
      <c r="C30" s="253" t="inlineStr">
        <is>
          <t>YOLLUK &amp; K.PARÇA</t>
        </is>
      </c>
      <c r="D30" s="253" t="inlineStr">
        <is>
          <t>MUSTAFA</t>
        </is>
      </c>
      <c r="E30" s="253" t="n"/>
    </row>
    <row r="31">
      <c r="A31" s="330" t="n">
        <v>45793</v>
      </c>
      <c r="B31" s="253" t="n">
        <v>63</v>
      </c>
      <c r="C31" s="253" t="inlineStr">
        <is>
          <t>yolluk</t>
        </is>
      </c>
      <c r="D31" s="253" t="inlineStr">
        <is>
          <t>MUSTAFA</t>
        </is>
      </c>
      <c r="E31" s="253" t="n"/>
    </row>
    <row r="32">
      <c r="A32" s="330" t="n">
        <v>45794</v>
      </c>
      <c r="B32" s="253" t="n">
        <v>150</v>
      </c>
      <c r="C32" s="253" t="inlineStr">
        <is>
          <t>YOLLUK</t>
        </is>
      </c>
      <c r="D32" s="323" t="inlineStr">
        <is>
          <t>EMİR &amp; MUSTAFA</t>
        </is>
      </c>
      <c r="E32" s="253" t="n"/>
    </row>
    <row r="33">
      <c r="A33" s="330" t="n">
        <v>45795</v>
      </c>
      <c r="B33" s="253" t="inlineStr">
        <is>
          <t>-</t>
        </is>
      </c>
      <c r="C33" s="253" t="inlineStr">
        <is>
          <t>-</t>
        </is>
      </c>
      <c r="D33" s="253" t="inlineStr">
        <is>
          <t>-</t>
        </is>
      </c>
      <c r="E33" s="253" t="inlineStr">
        <is>
          <t>PAZAR TATİLİ</t>
        </is>
      </c>
    </row>
    <row r="34">
      <c r="A34" s="330" t="n">
        <v>45796</v>
      </c>
      <c r="B34" s="253" t="n">
        <v>72</v>
      </c>
      <c r="C34" s="253" t="inlineStr">
        <is>
          <t>YOLLUK</t>
        </is>
      </c>
      <c r="D34" s="253" t="inlineStr">
        <is>
          <t>MUSTAFA</t>
        </is>
      </c>
      <c r="E34" s="253" t="n"/>
    </row>
    <row r="35">
      <c r="A35" s="330" t="n">
        <v>45797</v>
      </c>
      <c r="B35" s="253" t="n">
        <v>40</v>
      </c>
      <c r="C35" s="253" t="inlineStr">
        <is>
          <t xml:space="preserve">YOLLUK &amp; HALI </t>
        </is>
      </c>
      <c r="D35" s="253" t="inlineStr">
        <is>
          <t>MUSTAFA</t>
        </is>
      </c>
      <c r="E35" s="253" t="inlineStr">
        <is>
          <t>SADECE DIŞ ÇEKİM</t>
        </is>
      </c>
    </row>
    <row r="36">
      <c r="A36" s="330" t="n">
        <v>45798</v>
      </c>
      <c r="B36" s="253" t="n">
        <v>21</v>
      </c>
      <c r="C36" s="253" t="inlineStr">
        <is>
          <t xml:space="preserve">YOLLUK &amp; HALI </t>
        </is>
      </c>
      <c r="D36" s="253" t="inlineStr">
        <is>
          <t>MUSTAFA</t>
        </is>
      </c>
      <c r="E36" s="253" t="inlineStr">
        <is>
          <t>SADECE DIŞ ÇEKİM</t>
        </is>
      </c>
    </row>
    <row r="37">
      <c r="A37" s="330" t="n">
        <v>45799</v>
      </c>
      <c r="B37" s="253" t="inlineStr">
        <is>
          <t>-</t>
        </is>
      </c>
      <c r="C37" s="253" t="inlineStr">
        <is>
          <t>-</t>
        </is>
      </c>
      <c r="D37" s="253" t="inlineStr">
        <is>
          <t>-</t>
        </is>
      </c>
      <c r="E37" s="253" t="inlineStr">
        <is>
          <t>DEPO DÜZENLEN.</t>
        </is>
      </c>
    </row>
    <row r="38">
      <c r="A38" s="330" t="n">
        <v>45800</v>
      </c>
      <c r="B38" s="335" t="inlineStr">
        <is>
          <t>-</t>
        </is>
      </c>
      <c r="C38" s="335" t="inlineStr">
        <is>
          <t>-</t>
        </is>
      </c>
      <c r="D38" s="335" t="inlineStr">
        <is>
          <t>-</t>
        </is>
      </c>
      <c r="E38" s="335" t="inlineStr">
        <is>
          <t>DEPO DÜZENLEN.</t>
        </is>
      </c>
    </row>
    <row r="39">
      <c r="A39" s="330" t="n">
        <v>45801</v>
      </c>
      <c r="B39" s="253" t="inlineStr">
        <is>
          <t>-</t>
        </is>
      </c>
      <c r="C39" s="253" t="inlineStr">
        <is>
          <t>-</t>
        </is>
      </c>
      <c r="D39" s="253" t="inlineStr">
        <is>
          <t xml:space="preserve">EMİR &amp; SUAT </t>
        </is>
      </c>
      <c r="E39" s="253" t="inlineStr">
        <is>
          <t>DEPO DÜZENLEN.</t>
        </is>
      </c>
    </row>
    <row r="40">
      <c r="A40" s="330" t="n">
        <v>45802</v>
      </c>
      <c r="B40" s="253" t="inlineStr">
        <is>
          <t>-</t>
        </is>
      </c>
      <c r="C40" s="253" t="inlineStr">
        <is>
          <t>-</t>
        </is>
      </c>
      <c r="D40" s="253" t="inlineStr">
        <is>
          <t>-</t>
        </is>
      </c>
      <c r="E40" s="253" t="inlineStr">
        <is>
          <t>PAZAR TATİLİ</t>
        </is>
      </c>
    </row>
    <row r="41">
      <c r="A41" s="330" t="n">
        <v>45803</v>
      </c>
      <c r="B41" s="253" t="inlineStr">
        <is>
          <t>-</t>
        </is>
      </c>
      <c r="C41" s="253" t="inlineStr">
        <is>
          <t>-</t>
        </is>
      </c>
      <c r="D41" s="253" t="inlineStr">
        <is>
          <t>MUSTAFA</t>
        </is>
      </c>
      <c r="E41" s="253" t="inlineStr">
        <is>
          <t xml:space="preserve">TAMİR </t>
        </is>
      </c>
    </row>
    <row r="42">
      <c r="A42" s="330" t="n">
        <v>45804</v>
      </c>
      <c r="B42" s="253" t="inlineStr">
        <is>
          <t>-</t>
        </is>
      </c>
      <c r="C42" s="253" t="inlineStr">
        <is>
          <t>-</t>
        </is>
      </c>
      <c r="D42" s="253" t="inlineStr">
        <is>
          <t>MUSTAFA</t>
        </is>
      </c>
      <c r="E42" s="335" t="inlineStr">
        <is>
          <t xml:space="preserve">TAMİR </t>
        </is>
      </c>
    </row>
    <row r="43">
      <c r="A43" s="331" t="n">
        <v>45805</v>
      </c>
      <c r="B43" s="253" t="inlineStr">
        <is>
          <t>-</t>
        </is>
      </c>
      <c r="C43" s="253" t="inlineStr">
        <is>
          <t xml:space="preserve"> -</t>
        </is>
      </c>
      <c r="D43" s="307" t="inlineStr">
        <is>
          <t>MUSTAFA</t>
        </is>
      </c>
      <c r="E43" s="253" t="inlineStr">
        <is>
          <t xml:space="preserve">TAMİR </t>
        </is>
      </c>
    </row>
    <row r="44">
      <c r="A44" s="331" t="n">
        <v>45806</v>
      </c>
      <c r="B44" s="253" t="n">
        <v>15</v>
      </c>
      <c r="C44" s="253" t="inlineStr">
        <is>
          <t xml:space="preserve">HALI </t>
        </is>
      </c>
      <c r="D44" s="307" t="inlineStr">
        <is>
          <t>MUSTAFA</t>
        </is>
      </c>
      <c r="E44" s="253" t="inlineStr">
        <is>
          <t>ÖĞLEDEN SONRA TEPE F.</t>
        </is>
      </c>
    </row>
    <row r="45">
      <c r="A45" s="331" t="n">
        <v>45807</v>
      </c>
      <c r="B45" s="335" t="n">
        <v>42</v>
      </c>
      <c r="C45" s="335" t="inlineStr">
        <is>
          <t>YOLLUK</t>
        </is>
      </c>
      <c r="D45" s="308" t="inlineStr">
        <is>
          <t>MUSTAFA</t>
        </is>
      </c>
      <c r="E45" s="335" t="inlineStr">
        <is>
          <t>TEPE ÇEKİMİ &amp; ÖLÇÜ</t>
        </is>
      </c>
    </row>
    <row r="46">
      <c r="A46" s="330" t="n">
        <v>45808</v>
      </c>
      <c r="B46" s="71" t="inlineStr">
        <is>
          <t>-</t>
        </is>
      </c>
      <c r="C46" s="71" t="inlineStr">
        <is>
          <t>-</t>
        </is>
      </c>
      <c r="D46" s="71" t="inlineStr">
        <is>
          <t>-</t>
        </is>
      </c>
      <c r="E46" s="253" t="inlineStr">
        <is>
          <t>HAFTA SONU TATİL</t>
        </is>
      </c>
    </row>
    <row r="47">
      <c r="A47" s="330" t="n">
        <v>45809</v>
      </c>
      <c r="B47" s="71" t="inlineStr">
        <is>
          <t>-</t>
        </is>
      </c>
      <c r="C47" s="71" t="inlineStr">
        <is>
          <t>-</t>
        </is>
      </c>
      <c r="D47" s="71" t="inlineStr">
        <is>
          <t>-</t>
        </is>
      </c>
      <c r="E47" s="253" t="inlineStr">
        <is>
          <t>HAFTA SONU TATİL</t>
        </is>
      </c>
    </row>
    <row r="48">
      <c r="A48" s="330" t="n">
        <v>45810</v>
      </c>
      <c r="B48" s="71" t="n">
        <v>31</v>
      </c>
      <c r="C48" s="253" t="inlineStr">
        <is>
          <t>TEPE FOTOĞRAFI</t>
        </is>
      </c>
      <c r="D48" s="253" t="inlineStr">
        <is>
          <t>MUSTAFA</t>
        </is>
      </c>
      <c r="E48" s="253" t="inlineStr">
        <is>
          <t xml:space="preserve">TAMİR </t>
        </is>
      </c>
    </row>
    <row r="49">
      <c r="A49" s="330" t="n">
        <v>45811</v>
      </c>
      <c r="B49" s="71" t="n">
        <v>58</v>
      </c>
      <c r="C49" s="253" t="inlineStr">
        <is>
          <t>TEPE FOTOĞRAFI</t>
        </is>
      </c>
      <c r="D49" s="253" t="inlineStr">
        <is>
          <t>MUSTAFA</t>
        </is>
      </c>
      <c r="E49" s="253" t="inlineStr">
        <is>
          <t>İÇERİ İŞLER</t>
        </is>
      </c>
    </row>
    <row r="50">
      <c r="A50" s="330" t="n">
        <v>45812</v>
      </c>
      <c r="B50" s="338" t="n">
        <v>47</v>
      </c>
      <c r="C50" s="335" t="inlineStr">
        <is>
          <t>TEPE FOTOĞRAFI</t>
        </is>
      </c>
      <c r="D50" s="335" t="inlineStr">
        <is>
          <t>MUSTAFA</t>
        </is>
      </c>
      <c r="E50" s="335" t="inlineStr">
        <is>
          <t>İÇERİ İŞLER</t>
        </is>
      </c>
    </row>
    <row r="51">
      <c r="A51" s="330" t="n">
        <v>45813</v>
      </c>
      <c r="B51" s="71" t="inlineStr">
        <is>
          <t>-</t>
        </is>
      </c>
      <c r="C51" s="71" t="inlineStr">
        <is>
          <t>-</t>
        </is>
      </c>
      <c r="D51" s="71" t="inlineStr">
        <is>
          <t>-</t>
        </is>
      </c>
      <c r="E51" s="253" t="inlineStr">
        <is>
          <t>BAYRAM TATİLİ</t>
        </is>
      </c>
    </row>
    <row r="52">
      <c r="A52" s="330" t="n">
        <v>45814</v>
      </c>
      <c r="B52" s="71" t="inlineStr">
        <is>
          <t>-</t>
        </is>
      </c>
      <c r="C52" s="71" t="inlineStr">
        <is>
          <t>-</t>
        </is>
      </c>
      <c r="D52" s="71" t="inlineStr">
        <is>
          <t>-</t>
        </is>
      </c>
      <c r="E52" s="253" t="inlineStr">
        <is>
          <t>BAYRAM TATİLİ</t>
        </is>
      </c>
    </row>
    <row r="53">
      <c r="A53" s="330" t="n">
        <v>45815</v>
      </c>
      <c r="B53" s="71" t="inlineStr">
        <is>
          <t>-</t>
        </is>
      </c>
      <c r="C53" s="71" t="inlineStr">
        <is>
          <t>-</t>
        </is>
      </c>
      <c r="D53" s="71" t="inlineStr">
        <is>
          <t>-</t>
        </is>
      </c>
      <c r="E53" s="253" t="inlineStr">
        <is>
          <t>BAYRAM TATİLİ</t>
        </is>
      </c>
    </row>
    <row r="54">
      <c r="A54" s="330" t="n">
        <v>45816</v>
      </c>
      <c r="B54" s="71" t="inlineStr">
        <is>
          <t>-</t>
        </is>
      </c>
      <c r="C54" s="71" t="inlineStr">
        <is>
          <t>-</t>
        </is>
      </c>
      <c r="D54" s="71" t="inlineStr">
        <is>
          <t>-</t>
        </is>
      </c>
      <c r="E54" s="253" t="inlineStr">
        <is>
          <t>BAYRAM TATİLİ</t>
        </is>
      </c>
    </row>
    <row r="55">
      <c r="A55" s="330" t="n">
        <v>45817</v>
      </c>
      <c r="B55" s="71" t="inlineStr">
        <is>
          <t>-</t>
        </is>
      </c>
      <c r="C55" s="71" t="inlineStr">
        <is>
          <t>-</t>
        </is>
      </c>
      <c r="D55" s="71" t="inlineStr">
        <is>
          <t>-</t>
        </is>
      </c>
      <c r="E55" s="253" t="inlineStr">
        <is>
          <t>BAYRAM TATİLİ</t>
        </is>
      </c>
    </row>
    <row r="56">
      <c r="A56" s="330" t="n">
        <v>45818</v>
      </c>
      <c r="B56" s="342" t="n">
        <v>25</v>
      </c>
      <c r="C56" s="342" t="inlineStr">
        <is>
          <t>DIŞ ÇEKİM HALI</t>
        </is>
      </c>
      <c r="D56" s="342" t="inlineStr">
        <is>
          <t>MUSTAFA</t>
        </is>
      </c>
      <c r="E56" s="342" t="inlineStr">
        <is>
          <t xml:space="preserve">TAMİR </t>
        </is>
      </c>
    </row>
    <row r="57">
      <c r="A57" s="330" t="n">
        <v>45819</v>
      </c>
      <c r="B57" s="253" t="n">
        <v>54</v>
      </c>
      <c r="C57" s="253" t="inlineStr">
        <is>
          <t>TEPE FOTOĞRAFI</t>
        </is>
      </c>
      <c r="D57" s="307" t="inlineStr">
        <is>
          <t>MUSTAFA</t>
        </is>
      </c>
      <c r="E57" s="253" t="inlineStr">
        <is>
          <t>İÇERİ İŞLER</t>
        </is>
      </c>
    </row>
    <row r="58">
      <c r="A58" s="330" t="n">
        <v>45820</v>
      </c>
      <c r="B58" s="335" t="n">
        <v>57</v>
      </c>
      <c r="C58" s="335" t="inlineStr">
        <is>
          <t>TEPE FOTOĞRAFI</t>
        </is>
      </c>
      <c r="D58" s="308" t="inlineStr">
        <is>
          <t>MUSTAFA</t>
        </is>
      </c>
      <c r="E58" s="335" t="inlineStr">
        <is>
          <t>İÇERİ İŞLER</t>
        </is>
      </c>
    </row>
    <row r="59">
      <c r="A59" s="330" t="n">
        <v>45821</v>
      </c>
      <c r="B59" s="335" t="inlineStr">
        <is>
          <t>16 / 30</t>
        </is>
      </c>
      <c r="C59" s="335" t="inlineStr">
        <is>
          <t>DIŞ ÇEKİM HALI &amp; tepe</t>
        </is>
      </c>
      <c r="D59" s="335" t="inlineStr">
        <is>
          <t>MUSTAFA</t>
        </is>
      </c>
      <c r="E59" s="335" t="inlineStr">
        <is>
          <t xml:space="preserve">TAMİR </t>
        </is>
      </c>
    </row>
    <row r="60">
      <c r="A60" s="330" t="n">
        <v>45822</v>
      </c>
      <c r="B60" s="253" t="inlineStr">
        <is>
          <t>35 / 21</t>
        </is>
      </c>
      <c r="C60" s="253" t="inlineStr">
        <is>
          <t>DIŞ ÇEKİM HALI &amp; tepe</t>
        </is>
      </c>
      <c r="D60" s="253" t="inlineStr">
        <is>
          <t xml:space="preserve">MUSTAFA </t>
        </is>
      </c>
      <c r="E60" s="253" t="inlineStr">
        <is>
          <t xml:space="preserve">TAMİR </t>
        </is>
      </c>
    </row>
    <row r="61">
      <c r="A61" s="330" t="n">
        <v>45823</v>
      </c>
      <c r="B61" s="335" t="n">
        <v>40</v>
      </c>
      <c r="C61" s="335" t="inlineStr">
        <is>
          <t>DIŞ ÇEKİM HALI TEPE</t>
        </is>
      </c>
      <c r="D61" s="335" t="inlineStr">
        <is>
          <t xml:space="preserve">MUSTAFA </t>
        </is>
      </c>
      <c r="E61" s="343" t="inlineStr">
        <is>
          <t>İÇERİ İŞLER</t>
        </is>
      </c>
    </row>
    <row r="62">
      <c r="A62" s="330" t="n">
        <v>45824</v>
      </c>
      <c r="B62" s="253" t="n">
        <v>35</v>
      </c>
      <c r="C62" s="335" t="inlineStr">
        <is>
          <t>DIŞ ÇEKİM HALI TEPE</t>
        </is>
      </c>
      <c r="D62" s="253" t="inlineStr">
        <is>
          <t xml:space="preserve">MUSTAFA </t>
        </is>
      </c>
      <c r="E62" s="343" t="inlineStr">
        <is>
          <t>İÇERİ İŞLER</t>
        </is>
      </c>
    </row>
    <row r="63">
      <c r="A63" s="330" t="n">
        <v>45825</v>
      </c>
      <c r="B63" s="253" t="n">
        <v>37</v>
      </c>
      <c r="C63" s="335" t="inlineStr">
        <is>
          <t>DIŞ ÇEKİM HALI TEPE</t>
        </is>
      </c>
      <c r="D63" s="253" t="inlineStr">
        <is>
          <t xml:space="preserve">MUSTAFA </t>
        </is>
      </c>
      <c r="E63" s="343" t="inlineStr">
        <is>
          <t>İÇERİ İŞLER</t>
        </is>
      </c>
    </row>
    <row r="64">
      <c r="A64" s="330" t="n">
        <v>45826</v>
      </c>
      <c r="B64" s="253" t="n">
        <v>40</v>
      </c>
      <c r="C64" s="253" t="inlineStr">
        <is>
          <t>DIŞ ÇEKİM HALI</t>
        </is>
      </c>
      <c r="D64" s="253" t="inlineStr">
        <is>
          <t xml:space="preserve">MUSTAFA </t>
        </is>
      </c>
      <c r="E64" s="343" t="inlineStr">
        <is>
          <t>İÇERİ İŞLER ÖLÇÜM</t>
        </is>
      </c>
    </row>
    <row r="65">
      <c r="A65" s="330" t="n">
        <v>45827</v>
      </c>
      <c r="B65" s="253" t="n">
        <v>42</v>
      </c>
      <c r="C65" s="253" t="inlineStr">
        <is>
          <t>DIŞ ÇEKİM HALI</t>
        </is>
      </c>
      <c r="D65" s="253" t="inlineStr">
        <is>
          <t xml:space="preserve">MUSTAFA </t>
        </is>
      </c>
      <c r="E65" s="343" t="inlineStr">
        <is>
          <t>İÇERİ İŞLER ÖLÇÜM</t>
        </is>
      </c>
    </row>
    <row r="66">
      <c r="A66" s="330" t="n">
        <v>45828</v>
      </c>
      <c r="B66" s="253" t="n">
        <v>30</v>
      </c>
      <c r="C66" s="253" t="inlineStr">
        <is>
          <t>DIŞ ÇEKİM HALI</t>
        </is>
      </c>
      <c r="D66" s="253" t="inlineStr">
        <is>
          <t xml:space="preserve">MUSTAFA </t>
        </is>
      </c>
      <c r="E66" s="343" t="inlineStr">
        <is>
          <t>İÇERİ İŞLER ÖLÇÜM</t>
        </is>
      </c>
    </row>
    <row r="67">
      <c r="A67" s="330" t="n">
        <v>45829</v>
      </c>
      <c r="B67" s="253" t="inlineStr">
        <is>
          <t xml:space="preserve">- </t>
        </is>
      </c>
      <c r="C67" s="253" t="inlineStr">
        <is>
          <t>-</t>
        </is>
      </c>
      <c r="D67" s="307" t="inlineStr">
        <is>
          <t>-</t>
        </is>
      </c>
      <c r="E67" s="253" t="inlineStr">
        <is>
          <t>HAFTA SONU TATİL</t>
        </is>
      </c>
    </row>
    <row r="68">
      <c r="A68" s="330" t="n">
        <v>45830</v>
      </c>
      <c r="B68" s="335" t="inlineStr">
        <is>
          <t>-</t>
        </is>
      </c>
      <c r="C68" s="253" t="inlineStr">
        <is>
          <t>-</t>
        </is>
      </c>
      <c r="D68" s="307" t="inlineStr">
        <is>
          <t>-</t>
        </is>
      </c>
      <c r="E68" s="253" t="inlineStr">
        <is>
          <t>HAFTA SONU TATİL</t>
        </is>
      </c>
    </row>
    <row r="69">
      <c r="A69" s="330" t="n">
        <v>45831</v>
      </c>
      <c r="B69" s="253" t="n">
        <v>45</v>
      </c>
      <c r="C69" s="343" t="inlineStr">
        <is>
          <t>DIŞ ÇEKİM HALI</t>
        </is>
      </c>
      <c r="D69" s="253" t="inlineStr">
        <is>
          <t xml:space="preserve">MUSTAFA </t>
        </is>
      </c>
      <c r="E69" s="343" t="inlineStr">
        <is>
          <t>İÇERİ İŞLER</t>
        </is>
      </c>
    </row>
    <row r="70">
      <c r="A70" s="330" t="n">
        <v>45832</v>
      </c>
      <c r="B70" s="253" t="n">
        <v>42</v>
      </c>
      <c r="C70" s="343" t="inlineStr">
        <is>
          <t>DIŞ ÇEKİM HALI</t>
        </is>
      </c>
      <c r="D70" s="253" t="inlineStr">
        <is>
          <t xml:space="preserve">MUSTAFA </t>
        </is>
      </c>
      <c r="E70" s="345" t="inlineStr">
        <is>
          <t>İÇERİ İŞLER</t>
        </is>
      </c>
    </row>
    <row r="71">
      <c r="A71" s="330" t="n">
        <v>45833</v>
      </c>
      <c r="B71" s="253" t="n">
        <v>35</v>
      </c>
      <c r="C71" s="345" t="inlineStr">
        <is>
          <t>DIŞ ÇEKİM HALI</t>
        </is>
      </c>
      <c r="D71" s="308" t="inlineStr">
        <is>
          <t xml:space="preserve">MUSTAFA </t>
        </is>
      </c>
      <c r="E71" s="253" t="inlineStr">
        <is>
          <t>TAMİR İÇERİ İŞLER</t>
        </is>
      </c>
    </row>
    <row r="72">
      <c r="A72" s="330" t="n">
        <v>45834</v>
      </c>
      <c r="B72" s="346" t="inlineStr">
        <is>
          <t xml:space="preserve">- </t>
        </is>
      </c>
      <c r="C72" s="253" t="inlineStr">
        <is>
          <t>ÖLÇÜM TAMİR</t>
        </is>
      </c>
      <c r="D72" s="71" t="n"/>
      <c r="E72" s="346" t="n"/>
    </row>
    <row r="73">
      <c r="A73" s="330" t="n">
        <v>45835</v>
      </c>
      <c r="B73" s="253" t="inlineStr">
        <is>
          <t>-</t>
        </is>
      </c>
      <c r="C73" s="253" t="inlineStr">
        <is>
          <t>ÖLÇÜM TAMİR</t>
        </is>
      </c>
      <c r="D73" s="71" t="n"/>
      <c r="E73" s="253" t="n"/>
    </row>
    <row r="74">
      <c r="A74" s="330" t="n">
        <v>45836</v>
      </c>
      <c r="B74" s="253" t="inlineStr">
        <is>
          <t xml:space="preserve">- </t>
        </is>
      </c>
      <c r="C74" s="253" t="inlineStr">
        <is>
          <t>-</t>
        </is>
      </c>
      <c r="D74" s="253" t="inlineStr">
        <is>
          <t>-</t>
        </is>
      </c>
      <c r="E74" s="253" t="inlineStr">
        <is>
          <t>HAFTA SONU TATİL</t>
        </is>
      </c>
    </row>
    <row r="75">
      <c r="A75" s="330" t="n">
        <v>45837</v>
      </c>
      <c r="B75" s="253" t="inlineStr">
        <is>
          <t>-</t>
        </is>
      </c>
      <c r="C75" s="253" t="inlineStr">
        <is>
          <t>-</t>
        </is>
      </c>
      <c r="D75" s="253" t="inlineStr">
        <is>
          <t>-</t>
        </is>
      </c>
      <c r="E75" s="253" t="inlineStr">
        <is>
          <t>HAFTA SONU TATİL</t>
        </is>
      </c>
    </row>
    <row r="76">
      <c r="A76" s="330" t="n">
        <v>45838</v>
      </c>
      <c r="B76" s="71" t="inlineStr">
        <is>
          <t>35 / 10</t>
        </is>
      </c>
      <c r="C76" s="71" t="inlineStr">
        <is>
          <t>DIŞ ÇEKİM HALI / STÜDYO</t>
        </is>
      </c>
      <c r="D76" s="253" t="inlineStr">
        <is>
          <t xml:space="preserve">MUSTAFA </t>
        </is>
      </c>
      <c r="E76" s="253" t="inlineStr">
        <is>
          <t xml:space="preserve">İÇERİ İŞLER </t>
        </is>
      </c>
    </row>
    <row r="77">
      <c r="A77" s="330" t="n">
        <v>45839</v>
      </c>
      <c r="B77" s="338" t="inlineStr">
        <is>
          <t>50 / 55</t>
        </is>
      </c>
      <c r="C77" s="338" t="inlineStr">
        <is>
          <t>DIŞ ÇEKİM HALI / STÜDYO</t>
        </is>
      </c>
      <c r="D77" s="71" t="inlineStr">
        <is>
          <t>MUSTAFA / EYÜP</t>
        </is>
      </c>
      <c r="E77" s="335" t="n"/>
    </row>
    <row r="78">
      <c r="A78" s="330" t="n">
        <v>45840</v>
      </c>
      <c r="B78" s="71" t="inlineStr">
        <is>
          <t>30/45</t>
        </is>
      </c>
      <c r="C78" s="71" t="inlineStr">
        <is>
          <t>DIŞ ÇEKİM HALI / STÜDYO</t>
        </is>
      </c>
      <c r="D78" s="71" t="inlineStr">
        <is>
          <t>MUSTAFA / EYÜP</t>
        </is>
      </c>
      <c r="E78" s="253" t="n"/>
    </row>
    <row r="79">
      <c r="A79" s="330" t="n">
        <v>45841</v>
      </c>
      <c r="B79" s="253" t="n">
        <v>30</v>
      </c>
      <c r="C79" s="253" t="inlineStr">
        <is>
          <t>STÜDYO / ÖLÇÜM</t>
        </is>
      </c>
      <c r="D79" s="253" t="inlineStr">
        <is>
          <t>MUSTAFA / EYÜP</t>
        </is>
      </c>
      <c r="E79" s="253" t="n"/>
    </row>
    <row r="80">
      <c r="A80" s="330" t="n">
        <v>45842</v>
      </c>
      <c r="B80" s="253" t="n">
        <v>30</v>
      </c>
      <c r="C80" s="253" t="inlineStr">
        <is>
          <t>STÜDYO / ÖLÇÜM</t>
        </is>
      </c>
      <c r="D80" s="253" t="inlineStr">
        <is>
          <t>MUSTAFA / EYÜP</t>
        </is>
      </c>
      <c r="E80" s="253" t="n"/>
    </row>
    <row r="81">
      <c r="A81" s="330" t="n">
        <v>45843</v>
      </c>
      <c r="B81" s="253" t="inlineStr">
        <is>
          <t>-</t>
        </is>
      </c>
      <c r="C81" s="253" t="inlineStr">
        <is>
          <t>-</t>
        </is>
      </c>
      <c r="D81" s="253" t="inlineStr">
        <is>
          <t>-</t>
        </is>
      </c>
      <c r="E81" s="253" t="inlineStr">
        <is>
          <t>HAFTA SONU TATİL</t>
        </is>
      </c>
    </row>
    <row r="82">
      <c r="A82" s="330" t="n">
        <v>45844</v>
      </c>
      <c r="B82" s="253" t="inlineStr">
        <is>
          <t>-</t>
        </is>
      </c>
      <c r="C82" s="253" t="inlineStr">
        <is>
          <t>-</t>
        </is>
      </c>
      <c r="D82" s="253" t="inlineStr">
        <is>
          <t>-</t>
        </is>
      </c>
      <c r="E82" s="253" t="inlineStr">
        <is>
          <t>HAFTA SONU TATİL</t>
        </is>
      </c>
    </row>
    <row r="83" ht="30.75" customHeight="1" s="305">
      <c r="A83" s="330" t="n">
        <v>45845</v>
      </c>
      <c r="B83" s="253" t="inlineStr">
        <is>
          <t>18/25</t>
        </is>
      </c>
      <c r="C83" s="323" t="inlineStr">
        <is>
          <t>DIŞ ÇEKİM HALI / STÜDYO İRAN</t>
        </is>
      </c>
      <c r="D83" s="253" t="inlineStr">
        <is>
          <t>MUSTAFA / EYÜP</t>
        </is>
      </c>
      <c r="E83" s="253" t="n"/>
    </row>
    <row r="84" ht="30.75" customHeight="1" s="305">
      <c r="A84" s="352" t="n">
        <v>45846</v>
      </c>
      <c r="B84" s="253" t="inlineStr">
        <is>
          <t>15/25</t>
        </is>
      </c>
      <c r="C84" s="323" t="inlineStr">
        <is>
          <t>DIŞ ÇEKİM HALI / STÜDYO İRAN</t>
        </is>
      </c>
      <c r="D84" s="253" t="inlineStr">
        <is>
          <t>MUSTAFA / EYÜP</t>
        </is>
      </c>
      <c r="E84" s="253" t="n"/>
    </row>
    <row r="85" ht="30.75" customHeight="1" s="305">
      <c r="A85" s="351" t="n">
        <v>45847</v>
      </c>
      <c r="B85" s="256" t="inlineStr">
        <is>
          <t>15/27</t>
        </is>
      </c>
      <c r="C85" s="350" t="inlineStr">
        <is>
          <t>DIŞ ÇEKİM HALI / STÜDYO İRAN</t>
        </is>
      </c>
      <c r="D85" s="335" t="inlineStr">
        <is>
          <t>MUSTAFA / EYÜP</t>
        </is>
      </c>
      <c r="E85" s="335" t="n"/>
    </row>
    <row r="86" ht="30.75" customHeight="1" s="305">
      <c r="A86" s="355" t="n">
        <v>45848</v>
      </c>
      <c r="B86" s="343" t="n">
        <v>30</v>
      </c>
      <c r="C86" s="323" t="inlineStr">
        <is>
          <t>DIŞ ÇEKİM HALI / STÜDYO İRAN</t>
        </is>
      </c>
      <c r="D86" s="253" t="inlineStr">
        <is>
          <t>MUSTAFA / EYÜP</t>
        </is>
      </c>
      <c r="E86" s="335" t="n"/>
    </row>
    <row r="87">
      <c r="A87" s="351" t="n">
        <v>45849</v>
      </c>
      <c r="B87" s="256" t="n">
        <v>10</v>
      </c>
      <c r="C87" s="256" t="inlineStr">
        <is>
          <t>DIŞ ÇEKİM HALI İRAN</t>
        </is>
      </c>
      <c r="D87" s="307" t="inlineStr">
        <is>
          <t>MUSTAFA / EYÜP</t>
        </is>
      </c>
      <c r="E87" s="253" t="inlineStr">
        <is>
          <t>ÖĞLEDEN SONRA M. ÇIKIŞ</t>
        </is>
      </c>
    </row>
    <row r="88">
      <c r="A88" s="351" t="n">
        <v>45850</v>
      </c>
      <c r="B88" s="253" t="inlineStr">
        <is>
          <t xml:space="preserve">- </t>
        </is>
      </c>
      <c r="C88" s="253" t="inlineStr">
        <is>
          <t>-</t>
        </is>
      </c>
      <c r="D88" s="253" t="inlineStr">
        <is>
          <t>-</t>
        </is>
      </c>
      <c r="E88" s="346" t="inlineStr">
        <is>
          <t>HAFTA SONU TATİL</t>
        </is>
      </c>
    </row>
    <row r="89">
      <c r="A89" s="351" t="n">
        <v>45851</v>
      </c>
      <c r="B89" s="335" t="inlineStr">
        <is>
          <t>-</t>
        </is>
      </c>
      <c r="C89" s="335" t="inlineStr">
        <is>
          <t>-</t>
        </is>
      </c>
      <c r="D89" s="335" t="inlineStr">
        <is>
          <t>-</t>
        </is>
      </c>
      <c r="E89" s="335" t="inlineStr">
        <is>
          <t>HAFTA SONU TATİL</t>
        </is>
      </c>
    </row>
    <row r="90">
      <c r="A90" s="353" t="n">
        <v>45852</v>
      </c>
      <c r="B90" s="253" t="inlineStr">
        <is>
          <t>-</t>
        </is>
      </c>
      <c r="C90" s="253" t="inlineStr">
        <is>
          <t xml:space="preserve">ÖLÇÜM </t>
        </is>
      </c>
      <c r="D90" s="307" t="inlineStr">
        <is>
          <t>MUSTAFA / EYÜP</t>
        </is>
      </c>
      <c r="E90" s="253" t="inlineStr">
        <is>
          <t>EV İŞLERİ GEÇ GİRİŞ</t>
        </is>
      </c>
    </row>
    <row r="91">
      <c r="A91" s="353" t="n">
        <v>45853</v>
      </c>
      <c r="B91" s="253" t="n">
        <v>40</v>
      </c>
      <c r="C91" s="253" t="inlineStr">
        <is>
          <t>İRAN STÜDYO HALI</t>
        </is>
      </c>
      <c r="D91" s="307" t="inlineStr">
        <is>
          <t>MUSTAFA / EYÜP</t>
        </is>
      </c>
      <c r="E91" s="253" t="n"/>
    </row>
    <row r="92">
      <c r="A92" s="354" t="n">
        <v>45854</v>
      </c>
      <c r="B92" s="335" t="n">
        <v>87</v>
      </c>
      <c r="C92" s="335" t="inlineStr">
        <is>
          <t>STÜDYO HALI YOLLUK</t>
        </is>
      </c>
      <c r="D92" s="308" t="inlineStr">
        <is>
          <t>MUSTAFA / EYÜP</t>
        </is>
      </c>
      <c r="E92" s="335" t="n"/>
    </row>
    <row r="93">
      <c r="A93" s="353" t="n">
        <v>45855</v>
      </c>
      <c r="B93" s="335" t="n">
        <v>50</v>
      </c>
      <c r="C93" s="335" t="inlineStr">
        <is>
          <t>İRAN STÜDYO HALI</t>
        </is>
      </c>
      <c r="D93" s="253" t="inlineStr">
        <is>
          <t>MUSTAFA / EYÜP</t>
        </is>
      </c>
      <c r="E93" s="343" t="n"/>
    </row>
    <row r="94">
      <c r="A94" s="353" t="n">
        <v>45856</v>
      </c>
      <c r="B94" s="71" t="n">
        <v>30</v>
      </c>
      <c r="C94" s="313" t="inlineStr">
        <is>
          <t>İRAN STÜDYO HALI</t>
        </is>
      </c>
      <c r="D94" s="343" t="inlineStr">
        <is>
          <t>MUSTAFA / EYÜP</t>
        </is>
      </c>
      <c r="E94" s="343" t="n"/>
    </row>
    <row r="95">
      <c r="A95" s="353" t="n">
        <v>45857</v>
      </c>
      <c r="B95" s="253" t="inlineStr">
        <is>
          <t xml:space="preserve">- </t>
        </is>
      </c>
      <c r="C95" s="253" t="inlineStr">
        <is>
          <t>-</t>
        </is>
      </c>
      <c r="D95" s="253" t="inlineStr">
        <is>
          <t>-</t>
        </is>
      </c>
      <c r="E95" s="346" t="inlineStr">
        <is>
          <t>HAFTA SONU TATİL</t>
        </is>
      </c>
    </row>
    <row r="96">
      <c r="A96" s="354" t="n">
        <v>45858</v>
      </c>
      <c r="B96" s="335" t="inlineStr">
        <is>
          <t>-</t>
        </is>
      </c>
      <c r="C96" s="335" t="inlineStr">
        <is>
          <t>-</t>
        </is>
      </c>
      <c r="D96" s="335" t="inlineStr">
        <is>
          <t>-</t>
        </is>
      </c>
      <c r="E96" s="335" t="inlineStr">
        <is>
          <t>HAFTA SONU TATİL</t>
        </is>
      </c>
    </row>
    <row r="97">
      <c r="A97" s="353" t="n">
        <v>45859</v>
      </c>
      <c r="B97" s="335" t="n">
        <v>25</v>
      </c>
      <c r="C97" s="343" t="inlineStr">
        <is>
          <t>İRAN STÜDYO HALI</t>
        </is>
      </c>
      <c r="D97" s="343" t="inlineStr">
        <is>
          <t>MUSTAFA / EYÜP</t>
        </is>
      </c>
      <c r="E97" s="71" t="n"/>
    </row>
    <row r="98">
      <c r="A98" s="353" t="n">
        <v>45860</v>
      </c>
      <c r="B98" s="253" t="n">
        <v>65</v>
      </c>
      <c r="C98" s="343" t="inlineStr">
        <is>
          <t>İRAN STÜDYO HALI</t>
        </is>
      </c>
      <c r="D98" s="343" t="inlineStr">
        <is>
          <t>MUSTAFA / EYÜP</t>
        </is>
      </c>
      <c r="E98" s="71" t="n"/>
    </row>
    <row r="99">
      <c r="A99" s="353" t="n">
        <v>45861</v>
      </c>
      <c r="B99" s="253" t="n">
        <v>52</v>
      </c>
      <c r="C99" s="343" t="inlineStr">
        <is>
          <t>İRAN STÜDYO HALI</t>
        </is>
      </c>
      <c r="D99" s="343" t="inlineStr">
        <is>
          <t>MUSTAFA / EYÜP</t>
        </is>
      </c>
      <c r="E99" s="71" t="n"/>
    </row>
    <row r="100">
      <c r="A100" s="353" t="n">
        <v>45862</v>
      </c>
      <c r="B100" s="253" t="n">
        <v>68</v>
      </c>
      <c r="C100" s="343" t="inlineStr">
        <is>
          <t>İRAN STÜDYO HALI</t>
        </is>
      </c>
      <c r="D100" s="343" t="inlineStr">
        <is>
          <t>MUSTAFA / EYÜP</t>
        </is>
      </c>
      <c r="E100" s="71" t="n"/>
    </row>
    <row r="101">
      <c r="A101" s="353" t="n">
        <v>45863</v>
      </c>
      <c r="B101" s="356" t="inlineStr">
        <is>
          <t>8 &amp; 50</t>
        </is>
      </c>
      <c r="C101" s="253" t="inlineStr">
        <is>
          <t>İRAN &amp; YASTIK</t>
        </is>
      </c>
      <c r="D101" s="253" t="inlineStr">
        <is>
          <t xml:space="preserve">MUSTAFA </t>
        </is>
      </c>
      <c r="E101" s="71" t="inlineStr">
        <is>
          <t>EYÜP DOSYA İŞLERİ</t>
        </is>
      </c>
    </row>
    <row r="102">
      <c r="A102" s="353" t="n">
        <v>45864</v>
      </c>
      <c r="B102" s="253" t="inlineStr">
        <is>
          <t xml:space="preserve">- </t>
        </is>
      </c>
      <c r="C102" s="253" t="inlineStr">
        <is>
          <t>-</t>
        </is>
      </c>
      <c r="D102" s="253" t="inlineStr">
        <is>
          <t>-</t>
        </is>
      </c>
      <c r="E102" s="346" t="inlineStr">
        <is>
          <t>HAFTA SONU TATİL</t>
        </is>
      </c>
    </row>
    <row r="103">
      <c r="A103" s="353" t="n">
        <v>45865</v>
      </c>
      <c r="B103" s="335" t="inlineStr">
        <is>
          <t>-</t>
        </is>
      </c>
      <c r="C103" s="335" t="inlineStr">
        <is>
          <t>-</t>
        </is>
      </c>
      <c r="D103" s="335" t="inlineStr">
        <is>
          <t>-</t>
        </is>
      </c>
      <c r="E103" s="335" t="inlineStr">
        <is>
          <t>HAFTA SONU TATİL</t>
        </is>
      </c>
    </row>
    <row r="104">
      <c r="A104" s="353" t="n">
        <v>45866</v>
      </c>
      <c r="B104" s="253" t="n">
        <v>80</v>
      </c>
      <c r="C104" s="253" t="inlineStr">
        <is>
          <t>DIŞ ÇEKİM HALI / STÜDYO</t>
        </is>
      </c>
      <c r="D104" s="253" t="inlineStr">
        <is>
          <t>MUSTAFA / EYÜP</t>
        </is>
      </c>
      <c r="E104" s="71" t="n"/>
    </row>
    <row r="105">
      <c r="A105" s="353" t="n">
        <v>45867</v>
      </c>
      <c r="B105" s="358" t="inlineStr">
        <is>
          <t>10 &amp; 20</t>
        </is>
      </c>
      <c r="C105" s="253" t="inlineStr">
        <is>
          <t>DIŞ ÇEKİM İRAN / STÜDYO</t>
        </is>
      </c>
      <c r="D105" s="253" t="inlineStr">
        <is>
          <t>MUSTAFA / EYÜP</t>
        </is>
      </c>
      <c r="E105" s="71" t="n"/>
    </row>
    <row r="106">
      <c r="A106" s="353" t="n">
        <v>45868</v>
      </c>
      <c r="B106" s="253" t="n">
        <v>30</v>
      </c>
      <c r="C106" s="253" t="inlineStr">
        <is>
          <t>DIŞ ÇEKİM İRAN / STÜDYO</t>
        </is>
      </c>
      <c r="D106" s="253" t="inlineStr">
        <is>
          <t>MUSTAFA / EYÜP</t>
        </is>
      </c>
      <c r="E106" s="253" t="inlineStr">
        <is>
          <t>ölçüm</t>
        </is>
      </c>
    </row>
    <row r="107">
      <c r="A107" s="353" t="n">
        <v>45869</v>
      </c>
      <c r="B107" s="253" t="inlineStr">
        <is>
          <t>-</t>
        </is>
      </c>
      <c r="C107" s="253" t="inlineStr">
        <is>
          <t>-</t>
        </is>
      </c>
      <c r="D107" s="253" t="inlineStr">
        <is>
          <t>MUSTAFA / EYÜP</t>
        </is>
      </c>
      <c r="E107" s="253" t="inlineStr">
        <is>
          <t>ölçüm</t>
        </is>
      </c>
    </row>
    <row r="108">
      <c r="A108" s="353" t="n">
        <v>45870</v>
      </c>
      <c r="B108" s="253" t="n">
        <v>15</v>
      </c>
      <c r="C108" s="253" t="inlineStr">
        <is>
          <t>STÜDYO İRAN</t>
        </is>
      </c>
      <c r="D108" s="253" t="inlineStr">
        <is>
          <t>MUSTAFA / EYÜP</t>
        </is>
      </c>
      <c r="E108" s="253" t="inlineStr">
        <is>
          <t>dükkan işleri</t>
        </is>
      </c>
    </row>
    <row r="109">
      <c r="A109" s="353" t="n">
        <v>45871</v>
      </c>
      <c r="B109" s="253" t="inlineStr">
        <is>
          <t xml:space="preserve">- </t>
        </is>
      </c>
      <c r="C109" s="253" t="inlineStr">
        <is>
          <t>-</t>
        </is>
      </c>
      <c r="D109" s="253" t="inlineStr">
        <is>
          <t>-</t>
        </is>
      </c>
      <c r="E109" s="346" t="inlineStr">
        <is>
          <t>HAFTA SONU TATİL</t>
        </is>
      </c>
    </row>
    <row r="110">
      <c r="A110" s="353" t="n">
        <v>45872</v>
      </c>
      <c r="B110" s="253" t="inlineStr">
        <is>
          <t xml:space="preserve">- </t>
        </is>
      </c>
      <c r="C110" s="335" t="inlineStr">
        <is>
          <t>-</t>
        </is>
      </c>
      <c r="D110" s="335" t="inlineStr">
        <is>
          <t>-</t>
        </is>
      </c>
      <c r="E110" s="335" t="inlineStr">
        <is>
          <t>HAFTA SONU TATİL</t>
        </is>
      </c>
    </row>
    <row r="111">
      <c r="A111" s="353" t="n">
        <v>45873</v>
      </c>
      <c r="B111" s="253" t="n">
        <v>23</v>
      </c>
      <c r="C111" s="253" t="inlineStr">
        <is>
          <t>STÜDYO İRAN</t>
        </is>
      </c>
      <c r="D111" s="253" t="inlineStr">
        <is>
          <t>MUSTAFA / EYÜP</t>
        </is>
      </c>
      <c r="E111" s="71" t="n"/>
    </row>
    <row r="112">
      <c r="A112" s="353" t="n">
        <v>45874</v>
      </c>
      <c r="B112" s="253" t="inlineStr">
        <is>
          <t>18/19</t>
        </is>
      </c>
      <c r="C112" s="253" t="inlineStr">
        <is>
          <t>STÜDYO İRAN / TEPE</t>
        </is>
      </c>
      <c r="D112" s="253" t="inlineStr">
        <is>
          <t>MUSTAFA / EYÜP</t>
        </is>
      </c>
      <c r="E112" s="71" t="n"/>
    </row>
    <row r="113">
      <c r="A113" s="353" t="n">
        <v>45875</v>
      </c>
      <c r="B113" s="253" t="n">
        <v>55</v>
      </c>
      <c r="C113" s="253" t="inlineStr">
        <is>
          <t>İRAN TEPE FOTOĞRAF</t>
        </is>
      </c>
      <c r="D113" s="253" t="inlineStr">
        <is>
          <t>EYÜP / EMİR</t>
        </is>
      </c>
      <c r="E113" s="71" t="n"/>
    </row>
    <row r="114">
      <c r="A114" s="353" t="n">
        <v>45876</v>
      </c>
      <c r="B114" s="253" t="n">
        <v>20</v>
      </c>
      <c r="C114" s="253" t="inlineStr">
        <is>
          <t>İRAN TEPE FOTOĞRAF</t>
        </is>
      </c>
      <c r="D114" s="253" t="inlineStr">
        <is>
          <t>MUSTAFA / EYÜP</t>
        </is>
      </c>
      <c r="E114" s="253" t="inlineStr">
        <is>
          <t>dükkan işleri</t>
        </is>
      </c>
    </row>
    <row r="115">
      <c r="A115" s="353" t="n">
        <v>45877</v>
      </c>
      <c r="B115" s="253" t="n">
        <v>8</v>
      </c>
      <c r="C115" s="253" t="inlineStr">
        <is>
          <t xml:space="preserve">İRAN STÜDYO </t>
        </is>
      </c>
      <c r="D115" s="253" t="inlineStr">
        <is>
          <t>MUSTAFA / EYÜP</t>
        </is>
      </c>
      <c r="E115" s="253" t="inlineStr">
        <is>
          <t>dükkan işleri</t>
        </is>
      </c>
    </row>
    <row r="116">
      <c r="A116" s="353" t="n">
        <v>45878</v>
      </c>
      <c r="B116" s="253" t="inlineStr">
        <is>
          <t xml:space="preserve">- </t>
        </is>
      </c>
      <c r="C116" s="253" t="inlineStr">
        <is>
          <t>-</t>
        </is>
      </c>
      <c r="D116" s="253" t="inlineStr">
        <is>
          <t>-</t>
        </is>
      </c>
      <c r="E116" s="346" t="inlineStr">
        <is>
          <t>HAFTA SONU TATİL</t>
        </is>
      </c>
    </row>
    <row r="117">
      <c r="A117" s="353" t="n">
        <v>45879</v>
      </c>
      <c r="B117" s="253" t="inlineStr">
        <is>
          <t xml:space="preserve">- </t>
        </is>
      </c>
      <c r="C117" s="335" t="inlineStr">
        <is>
          <t>-</t>
        </is>
      </c>
      <c r="D117" s="335" t="inlineStr">
        <is>
          <t>-</t>
        </is>
      </c>
      <c r="E117" s="335" t="inlineStr">
        <is>
          <t>HAFTA SONU TATİL</t>
        </is>
      </c>
    </row>
    <row r="118">
      <c r="A118" s="353" t="n">
        <v>45880</v>
      </c>
      <c r="B118" s="253" t="n">
        <v>15</v>
      </c>
      <c r="C118" s="253" t="inlineStr">
        <is>
          <t xml:space="preserve">İRAN STÜDYO </t>
        </is>
      </c>
      <c r="D118" s="253" t="inlineStr">
        <is>
          <t>MUSTAFA / EYÜP</t>
        </is>
      </c>
      <c r="E118" s="253" t="inlineStr">
        <is>
          <t>dükkan işleri</t>
        </is>
      </c>
    </row>
    <row r="119">
      <c r="A119" s="353" t="n">
        <v>45881</v>
      </c>
      <c r="B119" s="253" t="n">
        <v>20</v>
      </c>
      <c r="C119" s="253" t="inlineStr">
        <is>
          <t xml:space="preserve">İRAN STÜDYO </t>
        </is>
      </c>
      <c r="D119" s="253" t="inlineStr">
        <is>
          <t>MUSTAFA / EYÜP</t>
        </is>
      </c>
      <c r="E119" s="253" t="inlineStr">
        <is>
          <t>dükkan işleri</t>
        </is>
      </c>
    </row>
    <row r="120">
      <c r="A120" s="353" t="n">
        <v>45882</v>
      </c>
      <c r="B120" s="253" t="n">
        <v>29</v>
      </c>
      <c r="C120" s="253" t="inlineStr">
        <is>
          <t>STÜDYO HALI YOLLUK</t>
        </is>
      </c>
      <c r="D120" s="253" t="inlineStr">
        <is>
          <t>MUSTAFA / EYÜP</t>
        </is>
      </c>
      <c r="E120" s="71" t="inlineStr">
        <is>
          <t>paket öğle molasına kadar</t>
        </is>
      </c>
    </row>
    <row r="121">
      <c r="A121" s="353" t="n">
        <v>45883</v>
      </c>
      <c r="B121" s="253" t="n">
        <v>15</v>
      </c>
      <c r="C121" s="253" t="inlineStr">
        <is>
          <t xml:space="preserve">İRAN STÜDYO </t>
        </is>
      </c>
      <c r="D121" s="253" t="inlineStr">
        <is>
          <t>MUSTAFA / EYÜP</t>
        </is>
      </c>
      <c r="E121" s="253" t="inlineStr">
        <is>
          <t>dükkan işleri</t>
        </is>
      </c>
    </row>
    <row r="122">
      <c r="A122" s="353" t="n">
        <v>45884</v>
      </c>
      <c r="B122" s="253" t="n">
        <v>15</v>
      </c>
      <c r="C122" s="253" t="inlineStr">
        <is>
          <t xml:space="preserve">İRAN STÜDYO </t>
        </is>
      </c>
      <c r="D122" s="253" t="inlineStr">
        <is>
          <t>MUSTAFA / EYÜP</t>
        </is>
      </c>
      <c r="E122" s="253" t="inlineStr">
        <is>
          <t>dükkan işleri</t>
        </is>
      </c>
    </row>
    <row r="123">
      <c r="A123" s="353" t="n">
        <v>45885</v>
      </c>
      <c r="B123" s="253" t="inlineStr">
        <is>
          <t xml:space="preserve">- </t>
        </is>
      </c>
      <c r="C123" s="253" t="inlineStr">
        <is>
          <t>-</t>
        </is>
      </c>
      <c r="D123" s="253" t="inlineStr">
        <is>
          <t>-</t>
        </is>
      </c>
      <c r="E123" s="346" t="inlineStr">
        <is>
          <t>HAFTA SONU TATİL</t>
        </is>
      </c>
    </row>
    <row r="124">
      <c r="A124" s="353" t="n">
        <v>45886</v>
      </c>
      <c r="B124" s="253" t="inlineStr">
        <is>
          <t xml:space="preserve">- </t>
        </is>
      </c>
      <c r="C124" s="335" t="inlineStr">
        <is>
          <t>-</t>
        </is>
      </c>
      <c r="D124" s="335" t="inlineStr">
        <is>
          <t>-</t>
        </is>
      </c>
      <c r="E124" s="335" t="inlineStr">
        <is>
          <t>HAFTA SONU TATİL</t>
        </is>
      </c>
    </row>
    <row r="125">
      <c r="A125" s="353" t="n">
        <v>45887</v>
      </c>
      <c r="B125" s="253" t="n">
        <v>30</v>
      </c>
      <c r="C125" s="253" t="inlineStr">
        <is>
          <t>STÜDYO  / DIŞ HALI YOLLUK</t>
        </is>
      </c>
      <c r="D125" s="253" t="inlineStr">
        <is>
          <t>MUSTAFA / EYÜP</t>
        </is>
      </c>
      <c r="E125" s="253" t="inlineStr">
        <is>
          <t>DÜKKAN İŞLERİ / PAKET</t>
        </is>
      </c>
    </row>
    <row r="126">
      <c r="A126" s="353" t="n">
        <v>45888</v>
      </c>
      <c r="B126" s="253" t="n">
        <v>55</v>
      </c>
      <c r="C126" s="253" t="inlineStr">
        <is>
          <t>STÜDYO HALI YOLLUK</t>
        </is>
      </c>
      <c r="D126" s="253" t="inlineStr">
        <is>
          <t>MUSTAFA / EYÜP</t>
        </is>
      </c>
      <c r="E126" s="253" t="inlineStr">
        <is>
          <t>DÜKKAN İŞLERİ</t>
        </is>
      </c>
    </row>
    <row r="127">
      <c r="A127" s="353" t="n">
        <v>45889</v>
      </c>
      <c r="B127" s="253" t="n">
        <v>50</v>
      </c>
      <c r="C127" s="253" t="inlineStr">
        <is>
          <t>STÜDYO HALI YOLLUK</t>
        </is>
      </c>
      <c r="D127" s="253" t="inlineStr">
        <is>
          <t>MUSTAFA / EYÜP</t>
        </is>
      </c>
      <c r="E127" s="253" t="inlineStr">
        <is>
          <t>DÜKKAN İŞLERİ</t>
        </is>
      </c>
    </row>
    <row r="128">
      <c r="A128" s="353" t="n">
        <v>45890</v>
      </c>
      <c r="B128" s="253" t="n">
        <v>93</v>
      </c>
      <c r="C128" s="71" t="inlineStr">
        <is>
          <t>STÜDYO  / DIŞ HALI YOLLUK</t>
        </is>
      </c>
      <c r="D128" s="253" t="inlineStr">
        <is>
          <t>MUSTAFA / EYÜP</t>
        </is>
      </c>
      <c r="E128" s="71" t="n"/>
    </row>
    <row r="129">
      <c r="A129" s="353" t="n">
        <v>45891</v>
      </c>
      <c r="B129" s="253" t="n">
        <v>70</v>
      </c>
      <c r="C129" s="71" t="inlineStr">
        <is>
          <t>STÜDYO  / DIŞ HALI YOLLUK</t>
        </is>
      </c>
      <c r="D129" s="253" t="inlineStr">
        <is>
          <t>MUSTAFA / EYÜP</t>
        </is>
      </c>
      <c r="E129" s="71" t="n"/>
    </row>
    <row r="130">
      <c r="A130" s="353" t="n">
        <v>45892</v>
      </c>
      <c r="B130" s="253" t="inlineStr">
        <is>
          <t xml:space="preserve">- </t>
        </is>
      </c>
      <c r="C130" s="253" t="inlineStr">
        <is>
          <t>-</t>
        </is>
      </c>
      <c r="D130" s="253" t="inlineStr">
        <is>
          <t>-</t>
        </is>
      </c>
      <c r="E130" s="346" t="inlineStr">
        <is>
          <t>HAFTA SONU TATİL</t>
        </is>
      </c>
    </row>
    <row r="131">
      <c r="A131" s="353" t="n">
        <v>45893</v>
      </c>
      <c r="B131" s="253" t="inlineStr">
        <is>
          <t xml:space="preserve">- </t>
        </is>
      </c>
      <c r="C131" s="335" t="inlineStr">
        <is>
          <t>-</t>
        </is>
      </c>
      <c r="D131" s="335" t="inlineStr">
        <is>
          <t>-</t>
        </is>
      </c>
      <c r="E131" s="335" t="inlineStr">
        <is>
          <t>HAFTA SONU TATİL</t>
        </is>
      </c>
    </row>
    <row r="132">
      <c r="A132" s="353" t="n">
        <v>45894</v>
      </c>
      <c r="B132" s="253" t="n">
        <v>50</v>
      </c>
      <c r="C132" s="253" t="inlineStr">
        <is>
          <t>STÜDYO  / DIŞ HALI YOLLUK</t>
        </is>
      </c>
      <c r="D132" s="253" t="inlineStr">
        <is>
          <t>MUSTAFA / EYÜP</t>
        </is>
      </c>
      <c r="E132" s="253" t="inlineStr">
        <is>
          <t>paket tamir</t>
        </is>
      </c>
    </row>
    <row r="133">
      <c r="A133" s="353" t="n">
        <v>45895</v>
      </c>
      <c r="B133" s="253" t="n">
        <v>70</v>
      </c>
      <c r="C133" s="253" t="inlineStr">
        <is>
          <t>STÜDYO  / DIŞ HALI YOLLUK</t>
        </is>
      </c>
      <c r="D133" s="253" t="inlineStr">
        <is>
          <t>MUSTAFA / EYÜP</t>
        </is>
      </c>
      <c r="E133" s="253" t="inlineStr">
        <is>
          <t>DÜKKAN İŞLERİ</t>
        </is>
      </c>
    </row>
    <row r="134">
      <c r="A134" s="353" t="n">
        <v>45896</v>
      </c>
      <c r="B134" s="253" t="n">
        <v>71</v>
      </c>
      <c r="C134" s="253" t="inlineStr">
        <is>
          <t>STÜDYO  / DIŞ HALI YOLLUK</t>
        </is>
      </c>
      <c r="D134" s="253" t="inlineStr">
        <is>
          <t>MUSTAFA / EYÜP</t>
        </is>
      </c>
      <c r="E134" s="253" t="inlineStr">
        <is>
          <t>DÜKKAN İŞLERİ</t>
        </is>
      </c>
    </row>
    <row r="135">
      <c r="A135" s="353" t="n">
        <v>45897</v>
      </c>
      <c r="B135" s="253" t="n">
        <v>85</v>
      </c>
      <c r="C135" s="253" t="inlineStr">
        <is>
          <t>STÜDYO  / DIŞ HALI YOLLUK</t>
        </is>
      </c>
      <c r="D135" s="253" t="inlineStr">
        <is>
          <t>MUSTAFA / EYÜP</t>
        </is>
      </c>
      <c r="E135" s="71" t="n"/>
    </row>
    <row r="136" ht="30.75" customHeight="1" s="305">
      <c r="A136" s="353" t="n">
        <v>45898</v>
      </c>
      <c r="B136" s="253" t="n">
        <v>10</v>
      </c>
      <c r="C136" s="253" t="inlineStr">
        <is>
          <t>STÜDYO HALI YOLLUK</t>
        </is>
      </c>
      <c r="D136" s="253" t="inlineStr">
        <is>
          <t>MUSTAFA / EYÜP</t>
        </is>
      </c>
      <c r="E136" s="323" t="inlineStr">
        <is>
          <t>DÜKKAN İŞ. / ÖLÇ. / PAKET</t>
        </is>
      </c>
    </row>
    <row r="137">
      <c r="A137" s="353" t="n">
        <v>45899</v>
      </c>
      <c r="B137" s="253" t="inlineStr">
        <is>
          <t xml:space="preserve">- </t>
        </is>
      </c>
      <c r="C137" s="253" t="inlineStr">
        <is>
          <t>-</t>
        </is>
      </c>
      <c r="D137" s="253" t="inlineStr">
        <is>
          <t>-</t>
        </is>
      </c>
      <c r="E137" s="346" t="inlineStr">
        <is>
          <t>HAFTA SONU TATİL</t>
        </is>
      </c>
    </row>
    <row r="138">
      <c r="A138" s="353" t="n">
        <v>45900</v>
      </c>
      <c r="B138" s="253" t="inlineStr">
        <is>
          <t xml:space="preserve">- </t>
        </is>
      </c>
      <c r="C138" s="335" t="inlineStr">
        <is>
          <t>-</t>
        </is>
      </c>
      <c r="D138" s="335" t="inlineStr">
        <is>
          <t>-</t>
        </is>
      </c>
      <c r="E138" s="335" t="inlineStr">
        <is>
          <t>HAFTA SONU TATİL</t>
        </is>
      </c>
    </row>
    <row r="139">
      <c r="A139" s="353" t="n">
        <v>45901</v>
      </c>
      <c r="B139" s="253" t="n">
        <v>10</v>
      </c>
      <c r="C139" s="253" t="inlineStr">
        <is>
          <t>STÜDYO HALI YOLLUK</t>
        </is>
      </c>
      <c r="D139" s="253" t="inlineStr">
        <is>
          <t xml:space="preserve">MUSTAFA </t>
        </is>
      </c>
      <c r="E139" s="253" t="inlineStr">
        <is>
          <t>DIŞARI İŞLERİ / PAKET</t>
        </is>
      </c>
    </row>
    <row r="140">
      <c r="A140" s="353" t="n">
        <v>45902</v>
      </c>
      <c r="B140" s="253" t="n">
        <v>51</v>
      </c>
      <c r="C140" s="253" t="inlineStr">
        <is>
          <t>STÜDYO HALI YOLLUK</t>
        </is>
      </c>
      <c r="D140" s="253" t="inlineStr">
        <is>
          <t xml:space="preserve">MUSTAFA </t>
        </is>
      </c>
      <c r="E140" s="253" t="n"/>
    </row>
    <row r="141">
      <c r="A141" s="353" t="n">
        <v>45903</v>
      </c>
      <c r="B141" s="253" t="n">
        <v>50</v>
      </c>
      <c r="C141" s="253" t="inlineStr">
        <is>
          <t>STÜDYO HALI YOLLUK</t>
        </is>
      </c>
      <c r="D141" s="253" t="inlineStr">
        <is>
          <t xml:space="preserve">MUSTAFA </t>
        </is>
      </c>
      <c r="E141" s="253" t="n"/>
    </row>
    <row r="142">
      <c r="A142" s="353" t="n">
        <v>45904</v>
      </c>
      <c r="B142" s="253" t="n">
        <v>70</v>
      </c>
      <c r="C142" s="253" t="inlineStr">
        <is>
          <t>STÜDYO TEPE</t>
        </is>
      </c>
      <c r="D142" s="253" t="inlineStr">
        <is>
          <t xml:space="preserve">MUSTAFA </t>
        </is>
      </c>
      <c r="E142" s="253" t="inlineStr">
        <is>
          <t>DÜKKAN İŞLERİ</t>
        </is>
      </c>
    </row>
    <row r="143">
      <c r="A143" s="353" t="n">
        <v>45905</v>
      </c>
      <c r="B143" s="253" t="inlineStr">
        <is>
          <t>-</t>
        </is>
      </c>
      <c r="C143" s="253" t="inlineStr">
        <is>
          <t>-</t>
        </is>
      </c>
      <c r="D143" s="253" t="inlineStr">
        <is>
          <t>-</t>
        </is>
      </c>
      <c r="E143" s="253" t="inlineStr">
        <is>
          <t>paket tamir dışarı işler</t>
        </is>
      </c>
    </row>
    <row r="144">
      <c r="A144" s="353" t="n">
        <v>45906</v>
      </c>
      <c r="B144" s="253" t="inlineStr">
        <is>
          <t xml:space="preserve">- </t>
        </is>
      </c>
      <c r="C144" s="253" t="inlineStr">
        <is>
          <t>-</t>
        </is>
      </c>
      <c r="D144" s="253" t="inlineStr">
        <is>
          <t>-</t>
        </is>
      </c>
      <c r="E144" s="346" t="inlineStr">
        <is>
          <t>HAFTA SONU TATİL</t>
        </is>
      </c>
    </row>
    <row r="145">
      <c r="A145" s="353" t="n">
        <v>45907</v>
      </c>
      <c r="B145" s="253" t="inlineStr">
        <is>
          <t xml:space="preserve">- </t>
        </is>
      </c>
      <c r="C145" s="335" t="inlineStr">
        <is>
          <t>-</t>
        </is>
      </c>
      <c r="D145" s="335" t="inlineStr">
        <is>
          <t>-</t>
        </is>
      </c>
      <c r="E145" s="335" t="inlineStr">
        <is>
          <t>HAFTA SONU TATİL</t>
        </is>
      </c>
    </row>
    <row r="146">
      <c r="A146" s="353" t="n">
        <v>45908</v>
      </c>
      <c r="B146" s="253" t="n">
        <v>80</v>
      </c>
      <c r="C146" s="253" t="inlineStr">
        <is>
          <t>STÜDYO TEPE yolluk</t>
        </is>
      </c>
      <c r="D146" s="253" t="inlineStr">
        <is>
          <t xml:space="preserve">MUSTAFA </t>
        </is>
      </c>
      <c r="E146" s="253" t="inlineStr">
        <is>
          <t>DÜKKAN İŞLERİ</t>
        </is>
      </c>
    </row>
    <row r="147">
      <c r="A147" s="353" t="n">
        <v>45909</v>
      </c>
      <c r="B147" s="253" t="n">
        <v>70</v>
      </c>
      <c r="C147" s="253" t="inlineStr">
        <is>
          <t>STÜDYO TEPE yolluk</t>
        </is>
      </c>
      <c r="D147" s="253" t="inlineStr">
        <is>
          <t xml:space="preserve">MUSTAFA </t>
        </is>
      </c>
      <c r="E147" s="253" t="inlineStr">
        <is>
          <t>DÜKKAN İŞLERİ</t>
        </is>
      </c>
    </row>
    <row r="148">
      <c r="A148" s="353" t="n">
        <v>45910</v>
      </c>
      <c r="B148" s="253" t="n">
        <v>71</v>
      </c>
      <c r="C148" s="253" t="inlineStr">
        <is>
          <t>STÜDYO TEPE yolluk</t>
        </is>
      </c>
      <c r="D148" s="253" t="inlineStr">
        <is>
          <t xml:space="preserve">MUSTAFA </t>
        </is>
      </c>
      <c r="E148" s="253" t="inlineStr">
        <is>
          <t>DÜKKAN İŞLERİ</t>
        </is>
      </c>
    </row>
    <row r="149">
      <c r="A149" s="353" t="n">
        <v>45911</v>
      </c>
      <c r="B149" s="253" t="n">
        <v>48</v>
      </c>
      <c r="C149" s="253" t="inlineStr">
        <is>
          <t xml:space="preserve">STÜDYO BÜYÜK HALI </t>
        </is>
      </c>
      <c r="D149" s="253" t="inlineStr">
        <is>
          <t xml:space="preserve">MUSTAFA </t>
        </is>
      </c>
      <c r="E149" s="253" t="inlineStr">
        <is>
          <t>DÜKKAN İŞLERİ</t>
        </is>
      </c>
    </row>
    <row r="150">
      <c r="A150" s="353" t="n">
        <v>45912</v>
      </c>
      <c r="B150" s="253" t="n">
        <v>16</v>
      </c>
      <c r="C150" s="253" t="inlineStr">
        <is>
          <t xml:space="preserve">STÜDYO BÜYÜK HALI </t>
        </is>
      </c>
      <c r="D150" s="253" t="inlineStr">
        <is>
          <t xml:space="preserve">MUSTAFA </t>
        </is>
      </c>
      <c r="E150" s="253" t="inlineStr">
        <is>
          <t>DÜKKAN İŞ. BİTİŞ / TEMZ</t>
        </is>
      </c>
    </row>
    <row r="151">
      <c r="A151" s="353" t="n">
        <v>45913</v>
      </c>
      <c r="B151" s="253" t="inlineStr">
        <is>
          <t xml:space="preserve">- </t>
        </is>
      </c>
      <c r="C151" s="253" t="inlineStr">
        <is>
          <t>-</t>
        </is>
      </c>
      <c r="D151" s="253" t="inlineStr">
        <is>
          <t>-</t>
        </is>
      </c>
      <c r="E151" s="346" t="inlineStr">
        <is>
          <t>HAFTA SONU TATİL</t>
        </is>
      </c>
    </row>
    <row r="152">
      <c r="A152" s="353" t="n">
        <v>45914</v>
      </c>
      <c r="B152" s="253" t="inlineStr">
        <is>
          <t xml:space="preserve">- </t>
        </is>
      </c>
      <c r="C152" s="335" t="inlineStr">
        <is>
          <t>-</t>
        </is>
      </c>
      <c r="D152" s="335" t="inlineStr">
        <is>
          <t>-</t>
        </is>
      </c>
      <c r="E152" s="335" t="inlineStr">
        <is>
          <t>HAFTA SONU TATİL</t>
        </is>
      </c>
    </row>
    <row r="153">
      <c r="A153" s="353" t="n">
        <v>45915</v>
      </c>
      <c r="B153" s="253" t="n">
        <v>65</v>
      </c>
      <c r="C153" s="253" t="inlineStr">
        <is>
          <t>STÜDYO YOLLUK</t>
        </is>
      </c>
      <c r="D153" s="253" t="inlineStr">
        <is>
          <t xml:space="preserve">MUSTAFA </t>
        </is>
      </c>
      <c r="E153" s="253" t="inlineStr">
        <is>
          <t>PAKET</t>
        </is>
      </c>
    </row>
    <row r="154">
      <c r="A154" s="353" t="n">
        <v>45916</v>
      </c>
      <c r="B154" s="253" t="n">
        <v>40</v>
      </c>
      <c r="C154" s="253" t="inlineStr">
        <is>
          <t>STÜDYO YOLLUK</t>
        </is>
      </c>
      <c r="D154" s="253" t="inlineStr">
        <is>
          <t xml:space="preserve">MUSTAFA </t>
        </is>
      </c>
      <c r="E154" s="253" t="inlineStr">
        <is>
          <t>dışarı işler</t>
        </is>
      </c>
    </row>
    <row r="155">
      <c r="A155" s="353" t="n">
        <v>45917</v>
      </c>
      <c r="B155" s="253" t="n">
        <v>75</v>
      </c>
      <c r="C155" s="253" t="inlineStr">
        <is>
          <t>STÜDYO YOLLUK</t>
        </is>
      </c>
      <c r="D155" s="253" t="inlineStr">
        <is>
          <t xml:space="preserve">MUSTAFA </t>
        </is>
      </c>
      <c r="E155" s="71" t="n"/>
    </row>
    <row r="156">
      <c r="A156" s="353" t="n">
        <v>45918</v>
      </c>
      <c r="B156" s="253" t="n">
        <v>70</v>
      </c>
      <c r="C156" s="253" t="inlineStr">
        <is>
          <t>STÜDYO YOLLUK</t>
        </is>
      </c>
      <c r="D156" s="253" t="inlineStr">
        <is>
          <t xml:space="preserve">MUSTAFA </t>
        </is>
      </c>
      <c r="E156" s="71" t="n"/>
    </row>
    <row r="157" ht="30.75" customHeight="1" s="305">
      <c r="A157" s="353" t="n">
        <v>45919</v>
      </c>
      <c r="B157" s="253" t="n">
        <v>40</v>
      </c>
      <c r="C157" s="253" t="inlineStr">
        <is>
          <t>STÜDYO YOLLUK</t>
        </is>
      </c>
      <c r="D157" s="253" t="inlineStr">
        <is>
          <t xml:space="preserve">MUSTAFA </t>
        </is>
      </c>
      <c r="E157" s="323" t="inlineStr">
        <is>
          <t>öğleden sonra çıkış hasan abi eğlence</t>
        </is>
      </c>
    </row>
    <row r="158">
      <c r="A158" s="353" t="n">
        <v>45920</v>
      </c>
      <c r="B158" s="253" t="inlineStr">
        <is>
          <t xml:space="preserve">- </t>
        </is>
      </c>
      <c r="C158" s="253" t="inlineStr">
        <is>
          <t>-</t>
        </is>
      </c>
      <c r="D158" s="253" t="inlineStr">
        <is>
          <t>-</t>
        </is>
      </c>
      <c r="E158" s="346" t="inlineStr">
        <is>
          <t>HAFTA SONU TATİL</t>
        </is>
      </c>
    </row>
    <row r="159">
      <c r="A159" s="353" t="n">
        <v>45921</v>
      </c>
      <c r="B159" s="253" t="inlineStr">
        <is>
          <t xml:space="preserve">- </t>
        </is>
      </c>
      <c r="C159" s="335" t="inlineStr">
        <is>
          <t>-</t>
        </is>
      </c>
      <c r="D159" s="335" t="inlineStr">
        <is>
          <t>-</t>
        </is>
      </c>
      <c r="E159" s="335" t="inlineStr">
        <is>
          <t>HAFTA SONU TATİL</t>
        </is>
      </c>
    </row>
    <row r="160" ht="30.75" customHeight="1" s="305">
      <c r="A160" s="353" t="n">
        <v>45922</v>
      </c>
      <c r="B160" s="253" t="n">
        <v>25</v>
      </c>
      <c r="C160" s="253" t="inlineStr">
        <is>
          <t>STÜDYO YOLLUK</t>
        </is>
      </c>
      <c r="D160" s="253" t="inlineStr">
        <is>
          <t xml:space="preserve">MUSTAFA </t>
        </is>
      </c>
      <c r="E160" s="323" t="inlineStr">
        <is>
          <t>öğleden sonrasına kadar tamir paket</t>
        </is>
      </c>
    </row>
    <row r="161">
      <c r="A161" s="353" t="n">
        <v>45923</v>
      </c>
      <c r="B161" s="335" t="inlineStr">
        <is>
          <t>-</t>
        </is>
      </c>
      <c r="C161" s="253" t="inlineStr">
        <is>
          <t>-</t>
        </is>
      </c>
      <c r="D161" s="253" t="inlineStr">
        <is>
          <t>-</t>
        </is>
      </c>
      <c r="E161" s="253" t="inlineStr">
        <is>
          <t>valilik işler</t>
        </is>
      </c>
    </row>
    <row r="162">
      <c r="A162" s="353" t="n">
        <v>45924</v>
      </c>
      <c r="B162" s="253" t="n">
        <v>40</v>
      </c>
      <c r="C162" s="345" t="inlineStr">
        <is>
          <t>STÜDYO B. HALI</t>
        </is>
      </c>
      <c r="D162" s="335" t="inlineStr">
        <is>
          <t xml:space="preserve">MUSTAFA </t>
        </is>
      </c>
      <c r="E162" s="335" t="inlineStr">
        <is>
          <t>TAMİR</t>
        </is>
      </c>
    </row>
    <row r="163">
      <c r="A163" s="353" t="n">
        <v>45925</v>
      </c>
      <c r="B163" s="307" t="n">
        <v>60</v>
      </c>
      <c r="C163" s="253" t="inlineStr">
        <is>
          <t xml:space="preserve">STÜDYO HALI </t>
        </is>
      </c>
      <c r="D163" s="335" t="inlineStr">
        <is>
          <t xml:space="preserve">MUSTAFA </t>
        </is>
      </c>
      <c r="E163" s="253" t="n"/>
    </row>
    <row r="164">
      <c r="A164" s="353" t="n">
        <v>45926</v>
      </c>
      <c r="B164" s="249" t="inlineStr">
        <is>
          <t>-</t>
        </is>
      </c>
      <c r="C164" s="71" t="inlineStr">
        <is>
          <t>-</t>
        </is>
      </c>
      <c r="D164" s="71" t="inlineStr">
        <is>
          <t>-</t>
        </is>
      </c>
      <c r="E164" s="253" t="inlineStr">
        <is>
          <t>ölçüm</t>
        </is>
      </c>
    </row>
    <row r="165">
      <c r="A165" s="353" t="n">
        <v>45927</v>
      </c>
      <c r="B165" s="253" t="inlineStr">
        <is>
          <t xml:space="preserve">- </t>
        </is>
      </c>
      <c r="C165" s="253" t="inlineStr">
        <is>
          <t>-</t>
        </is>
      </c>
      <c r="D165" s="253" t="inlineStr">
        <is>
          <t>-</t>
        </is>
      </c>
      <c r="E165" s="346" t="inlineStr">
        <is>
          <t>HAFTA SONU TATİL</t>
        </is>
      </c>
    </row>
    <row r="166">
      <c r="A166" s="353" t="n">
        <v>45928</v>
      </c>
      <c r="B166" s="253" t="inlineStr">
        <is>
          <t xml:space="preserve">- </t>
        </is>
      </c>
      <c r="C166" s="335" t="inlineStr">
        <is>
          <t>-</t>
        </is>
      </c>
      <c r="D166" s="335" t="inlineStr">
        <is>
          <t>-</t>
        </is>
      </c>
      <c r="E166" s="335" t="inlineStr">
        <is>
          <t>HAFTA SONU TATİL</t>
        </is>
      </c>
    </row>
    <row r="167">
      <c r="A167" s="353" t="n">
        <v>45929</v>
      </c>
      <c r="B167" s="307" t="n">
        <v>45</v>
      </c>
      <c r="C167" s="253" t="inlineStr">
        <is>
          <t xml:space="preserve">STÜDYO BÜYÜK HALI </t>
        </is>
      </c>
      <c r="D167" s="253" t="n"/>
      <c r="E167" s="253" t="inlineStr">
        <is>
          <t>tamir</t>
        </is>
      </c>
    </row>
    <row r="168">
      <c r="A168" s="353" t="n">
        <v>45930</v>
      </c>
      <c r="B168" s="307" t="n">
        <v>40</v>
      </c>
      <c r="C168" s="253" t="inlineStr">
        <is>
          <t xml:space="preserve">sTÜDYO BÜYÜK HALI </t>
        </is>
      </c>
      <c r="D168" s="335" t="inlineStr">
        <is>
          <t xml:space="preserve">MUSTAFA </t>
        </is>
      </c>
      <c r="E168" s="253" t="inlineStr">
        <is>
          <t>valilik işler</t>
        </is>
      </c>
    </row>
    <row r="169">
      <c r="A169" s="353" t="n">
        <v>45931</v>
      </c>
      <c r="B169" s="308" t="n">
        <v>50</v>
      </c>
      <c r="C169" s="335" t="inlineStr">
        <is>
          <t>STÜDYO HALI YOLLUK</t>
        </is>
      </c>
      <c r="D169" s="335" t="inlineStr">
        <is>
          <t xml:space="preserve">MUSTAFA </t>
        </is>
      </c>
      <c r="E169" s="335" t="inlineStr">
        <is>
          <t>içeri işler</t>
        </is>
      </c>
    </row>
    <row r="170">
      <c r="A170" s="353" t="n">
        <v>45932</v>
      </c>
      <c r="B170" s="253" t="n">
        <v>70</v>
      </c>
      <c r="C170" s="253" t="inlineStr">
        <is>
          <t>STÜDYO HALI YOLLUK</t>
        </is>
      </c>
      <c r="D170" s="253" t="inlineStr">
        <is>
          <t xml:space="preserve">MUSTAFA </t>
        </is>
      </c>
      <c r="E170" s="253" t="n"/>
    </row>
    <row r="171">
      <c r="A171" s="353" t="n">
        <v>45933</v>
      </c>
      <c r="B171" s="253" t="n">
        <v>50</v>
      </c>
      <c r="C171" s="253" t="inlineStr">
        <is>
          <t>STÜDYO HALI YOLLUK</t>
        </is>
      </c>
      <c r="D171" s="253" t="inlineStr">
        <is>
          <t xml:space="preserve">MUSTAFA </t>
        </is>
      </c>
      <c r="E171" s="253" t="n"/>
    </row>
    <row r="172">
      <c r="A172" s="353" t="n">
        <v>45934</v>
      </c>
      <c r="B172" s="253" t="inlineStr">
        <is>
          <t xml:space="preserve">- </t>
        </is>
      </c>
      <c r="C172" s="253" t="inlineStr">
        <is>
          <t>-</t>
        </is>
      </c>
      <c r="D172" s="253" t="inlineStr">
        <is>
          <t>-</t>
        </is>
      </c>
      <c r="E172" s="346" t="inlineStr">
        <is>
          <t>HAFTA SONU TATİL</t>
        </is>
      </c>
    </row>
    <row r="173">
      <c r="A173" s="353" t="n">
        <v>45935</v>
      </c>
      <c r="B173" s="335" t="inlineStr">
        <is>
          <t xml:space="preserve">- </t>
        </is>
      </c>
      <c r="C173" s="335" t="inlineStr">
        <is>
          <t>-</t>
        </is>
      </c>
      <c r="D173" s="335" t="inlineStr">
        <is>
          <t>-</t>
        </is>
      </c>
      <c r="E173" s="335" t="inlineStr">
        <is>
          <t>HAFTA SONU TATİL</t>
        </is>
      </c>
    </row>
    <row r="174">
      <c r="A174" s="353" t="n">
        <v>45936</v>
      </c>
      <c r="B174" s="253" t="n">
        <v>25</v>
      </c>
      <c r="C174" s="253" t="inlineStr">
        <is>
          <t>STÜDYO B. HALI</t>
        </is>
      </c>
      <c r="D174" s="253" t="inlineStr">
        <is>
          <t xml:space="preserve">MUSTAFA </t>
        </is>
      </c>
      <c r="E174" s="253" t="inlineStr">
        <is>
          <t>tamir içeri işler</t>
        </is>
      </c>
    </row>
    <row r="175">
      <c r="A175" s="353" t="n">
        <v>45937</v>
      </c>
      <c r="B175" s="253" t="n">
        <v>37</v>
      </c>
      <c r="C175" s="253" t="inlineStr">
        <is>
          <t>STÜDYO B. HALI</t>
        </is>
      </c>
      <c r="D175" s="253" t="inlineStr">
        <is>
          <t xml:space="preserve">MUSTAFA </t>
        </is>
      </c>
      <c r="E175" s="253" t="inlineStr">
        <is>
          <t>valilik işler</t>
        </is>
      </c>
    </row>
    <row r="176">
      <c r="A176" s="353" t="n">
        <v>45938</v>
      </c>
      <c r="B176" s="335" t="n">
        <v>32</v>
      </c>
      <c r="C176" s="335" t="inlineStr">
        <is>
          <t>STÜDYO B. HALI</t>
        </is>
      </c>
      <c r="D176" s="335" t="inlineStr">
        <is>
          <t xml:space="preserve">MUSTAFA </t>
        </is>
      </c>
      <c r="E176" s="335" t="inlineStr">
        <is>
          <t>içeri işler</t>
        </is>
      </c>
    </row>
    <row r="177">
      <c r="A177" s="353" t="n">
        <v>45939</v>
      </c>
      <c r="B177" s="253" t="n">
        <v>27</v>
      </c>
      <c r="C177" s="335" t="inlineStr">
        <is>
          <t>STÜDYO B. HALI</t>
        </is>
      </c>
      <c r="D177" s="335" t="inlineStr">
        <is>
          <t xml:space="preserve">MUSTAFA </t>
        </is>
      </c>
      <c r="E177" s="335" t="inlineStr">
        <is>
          <t>içeri işler</t>
        </is>
      </c>
    </row>
    <row r="178">
      <c r="A178" s="353" t="n">
        <v>45940</v>
      </c>
      <c r="B178" s="253" t="inlineStr">
        <is>
          <t>-</t>
        </is>
      </c>
      <c r="C178" s="253" t="inlineStr">
        <is>
          <t>-</t>
        </is>
      </c>
      <c r="D178" s="253" t="inlineStr">
        <is>
          <t xml:space="preserve"> - </t>
        </is>
      </c>
      <c r="E178" s="253" t="inlineStr">
        <is>
          <t>hastane</t>
        </is>
      </c>
    </row>
    <row r="179">
      <c r="A179" s="353" t="n">
        <v>45941</v>
      </c>
      <c r="B179" s="346" t="inlineStr">
        <is>
          <t xml:space="preserve">- </t>
        </is>
      </c>
      <c r="C179" s="346" t="inlineStr">
        <is>
          <t>-</t>
        </is>
      </c>
      <c r="D179" s="346" t="inlineStr">
        <is>
          <t>-</t>
        </is>
      </c>
      <c r="E179" s="346" t="inlineStr">
        <is>
          <t>HAFTA SONU TATİL</t>
        </is>
      </c>
    </row>
    <row r="180">
      <c r="A180" s="353" t="n">
        <v>45942</v>
      </c>
      <c r="B180" s="335" t="inlineStr">
        <is>
          <t xml:space="preserve">- </t>
        </is>
      </c>
      <c r="C180" s="335" t="inlineStr">
        <is>
          <t>-</t>
        </is>
      </c>
      <c r="D180" s="335" t="inlineStr">
        <is>
          <t>-</t>
        </is>
      </c>
      <c r="E180" s="335" t="inlineStr">
        <is>
          <t>HAFTA SONU TATİL</t>
        </is>
      </c>
    </row>
    <row r="181">
      <c r="A181" s="353" t="n">
        <v>45943</v>
      </c>
      <c r="B181" s="253" t="n">
        <v>57</v>
      </c>
      <c r="C181" s="253" t="inlineStr">
        <is>
          <t xml:space="preserve">P.WORK </t>
        </is>
      </c>
      <c r="D181" s="335" t="inlineStr">
        <is>
          <t xml:space="preserve">MUSTAFA </t>
        </is>
      </c>
      <c r="E181" s="335" t="inlineStr">
        <is>
          <t>içeri işler</t>
        </is>
      </c>
    </row>
    <row r="182">
      <c r="A182" s="353" t="n">
        <v>45944</v>
      </c>
      <c r="B182" s="253" t="n">
        <v>21</v>
      </c>
      <c r="C182" s="253" t="inlineStr">
        <is>
          <t xml:space="preserve">P.WORK </t>
        </is>
      </c>
      <c r="D182" s="335" t="inlineStr">
        <is>
          <t xml:space="preserve">MUSTAFA </t>
        </is>
      </c>
      <c r="E182" s="253" t="inlineStr">
        <is>
          <t xml:space="preserve">TAMİR </t>
        </is>
      </c>
    </row>
    <row r="183">
      <c r="A183" s="353" t="n">
        <v>45945</v>
      </c>
      <c r="B183" s="335" t="n">
        <v>45</v>
      </c>
      <c r="C183" s="335" t="inlineStr">
        <is>
          <t>K.H</t>
        </is>
      </c>
      <c r="D183" s="335" t="inlineStr">
        <is>
          <t>-</t>
        </is>
      </c>
      <c r="E183" s="335" t="inlineStr">
        <is>
          <t>İÇERİ İŞLER</t>
        </is>
      </c>
    </row>
    <row r="184">
      <c r="A184" s="353" t="n">
        <v>45946</v>
      </c>
      <c r="B184" s="253" t="n">
        <v>20</v>
      </c>
      <c r="C184" s="253" t="inlineStr">
        <is>
          <t>STÜDYO B. HALI</t>
        </is>
      </c>
      <c r="D184" s="253" t="inlineStr">
        <is>
          <t xml:space="preserve">MUSTAFA </t>
        </is>
      </c>
      <c r="E184" s="253" t="n"/>
    </row>
    <row r="185">
      <c r="A185" s="353" t="n">
        <v>45947</v>
      </c>
      <c r="B185" s="253" t="n">
        <v>28</v>
      </c>
      <c r="C185" s="253" t="inlineStr">
        <is>
          <t>STÜDYO B. HALI</t>
        </is>
      </c>
      <c r="D185" s="253" t="inlineStr">
        <is>
          <t xml:space="preserve">MUSTAFA </t>
        </is>
      </c>
      <c r="E185" s="253" t="inlineStr">
        <is>
          <t>tamir içeri işler</t>
        </is>
      </c>
    </row>
    <row r="186">
      <c r="A186" s="353" t="n">
        <v>45948</v>
      </c>
      <c r="B186" s="253" t="n">
        <v>60</v>
      </c>
      <c r="C186" s="253" t="inlineStr">
        <is>
          <t>STÜDYO YL</t>
        </is>
      </c>
      <c r="D186" s="253" t="inlineStr">
        <is>
          <t xml:space="preserve">MUSTAFA </t>
        </is>
      </c>
      <c r="E186" s="253" t="n"/>
    </row>
    <row r="187">
      <c r="A187" s="353" t="n">
        <v>45949</v>
      </c>
      <c r="B187" s="253" t="inlineStr">
        <is>
          <t xml:space="preserve">- </t>
        </is>
      </c>
      <c r="C187" s="253" t="inlineStr">
        <is>
          <t>-</t>
        </is>
      </c>
      <c r="D187" s="253" t="inlineStr">
        <is>
          <t>-</t>
        </is>
      </c>
      <c r="E187" s="253" t="inlineStr">
        <is>
          <t>HAFTA SONU TATİL</t>
        </is>
      </c>
    </row>
    <row r="188">
      <c r="A188" s="353" t="n">
        <v>45950</v>
      </c>
      <c r="B188" s="335" t="n">
        <v>40</v>
      </c>
      <c r="C188" s="335" t="inlineStr">
        <is>
          <t>STÜDYO YL</t>
        </is>
      </c>
      <c r="D188" s="335" t="inlineStr">
        <is>
          <t xml:space="preserve">MUSTAFA </t>
        </is>
      </c>
      <c r="E188" s="335" t="inlineStr">
        <is>
          <t>TAMİR İÇERİ İŞLER</t>
        </is>
      </c>
    </row>
    <row r="189">
      <c r="A189" s="353" t="n">
        <v>45951</v>
      </c>
      <c r="B189" s="253" t="n">
        <v>35</v>
      </c>
      <c r="C189" s="253" t="inlineStr">
        <is>
          <t>STÜDYO YL HL</t>
        </is>
      </c>
      <c r="D189" s="253" t="inlineStr">
        <is>
          <t xml:space="preserve">MUSTAFA </t>
        </is>
      </c>
      <c r="E189" s="253" t="inlineStr">
        <is>
          <t>TAMİR İÇERİ İŞLER</t>
        </is>
      </c>
    </row>
    <row r="190">
      <c r="A190" s="353" t="n">
        <v>45952</v>
      </c>
      <c r="B190" s="335" t="n">
        <v>38</v>
      </c>
      <c r="C190" s="335" t="inlineStr">
        <is>
          <t>STÜDYO YL HL</t>
        </is>
      </c>
      <c r="D190" s="335" t="inlineStr">
        <is>
          <t xml:space="preserve">MUSTAFA </t>
        </is>
      </c>
      <c r="E190" s="335" t="inlineStr">
        <is>
          <t>TAMİR İÇERİ İŞLER</t>
        </is>
      </c>
    </row>
    <row r="191">
      <c r="A191" s="353" t="n">
        <v>45953</v>
      </c>
      <c r="B191" s="253" t="n">
        <v>75</v>
      </c>
      <c r="C191" s="253" t="inlineStr">
        <is>
          <t>STÜDYO YL</t>
        </is>
      </c>
      <c r="D191" s="335" t="inlineStr">
        <is>
          <t xml:space="preserve">MUSTAFA </t>
        </is>
      </c>
      <c r="E191" s="253" t="n"/>
    </row>
    <row r="192">
      <c r="A192" s="353" t="n">
        <v>45954</v>
      </c>
      <c r="B192" s="253" t="n">
        <v>40</v>
      </c>
      <c r="C192" s="253" t="inlineStr">
        <is>
          <t xml:space="preserve">STÜDYO HALI </t>
        </is>
      </c>
      <c r="D192" s="335" t="inlineStr">
        <is>
          <t xml:space="preserve">MUSTAFA </t>
        </is>
      </c>
      <c r="E192" s="253" t="n"/>
    </row>
    <row r="193">
      <c r="A193" s="353" t="n">
        <v>45955</v>
      </c>
      <c r="B193" s="253" t="n">
        <v>33</v>
      </c>
      <c r="C193" s="253" t="inlineStr">
        <is>
          <t>STÜDYO YL</t>
        </is>
      </c>
      <c r="D193" s="335" t="inlineStr">
        <is>
          <t xml:space="preserve">MUSTAFA </t>
        </is>
      </c>
      <c r="E193" s="253" t="n"/>
    </row>
    <row r="194">
      <c r="A194" s="353" t="n">
        <v>45956</v>
      </c>
      <c r="B194" s="253" t="inlineStr">
        <is>
          <t xml:space="preserve">- </t>
        </is>
      </c>
      <c r="C194" s="253" t="inlineStr">
        <is>
          <t>-</t>
        </is>
      </c>
      <c r="D194" s="253" t="inlineStr">
        <is>
          <t>-</t>
        </is>
      </c>
      <c r="E194" s="253" t="inlineStr">
        <is>
          <t>HAFTA SONU TATİL</t>
        </is>
      </c>
    </row>
    <row r="195">
      <c r="A195" s="353" t="n">
        <v>45957</v>
      </c>
      <c r="B195" s="253" t="inlineStr">
        <is>
          <t>-</t>
        </is>
      </c>
      <c r="C195" s="253" t="inlineStr">
        <is>
          <t>-</t>
        </is>
      </c>
      <c r="D195" s="253" t="inlineStr">
        <is>
          <t>-</t>
        </is>
      </c>
      <c r="E195" s="253" t="inlineStr">
        <is>
          <t>-</t>
        </is>
      </c>
    </row>
    <row r="196">
      <c r="A196" s="353" t="n">
        <v>45958</v>
      </c>
      <c r="B196" s="253" t="n">
        <v>52</v>
      </c>
      <c r="C196" s="253" t="inlineStr">
        <is>
          <t>STÜDYO YL</t>
        </is>
      </c>
      <c r="D196" s="335" t="inlineStr">
        <is>
          <t xml:space="preserve">MUSTAFA </t>
        </is>
      </c>
      <c r="E196" s="253" t="n"/>
    </row>
    <row r="197">
      <c r="A197" s="353" t="n">
        <v>45959</v>
      </c>
      <c r="B197" s="253" t="n">
        <v>56</v>
      </c>
      <c r="C197" s="253" t="inlineStr">
        <is>
          <t>STÜDYO YL</t>
        </is>
      </c>
      <c r="D197" s="335" t="inlineStr">
        <is>
          <t xml:space="preserve">MUSTAFA </t>
        </is>
      </c>
      <c r="E197" s="253" t="n"/>
    </row>
    <row r="198">
      <c r="A198" s="353" t="n">
        <v>45960</v>
      </c>
      <c r="B198" s="253" t="n">
        <v>58</v>
      </c>
      <c r="C198" s="253" t="inlineStr">
        <is>
          <t>STÜDYO YL</t>
        </is>
      </c>
      <c r="D198" s="335" t="inlineStr">
        <is>
          <t xml:space="preserve">MUSTAFA </t>
        </is>
      </c>
      <c r="E198" s="253" t="n"/>
    </row>
    <row r="199">
      <c r="A199" s="353" t="n">
        <v>45961</v>
      </c>
      <c r="B199" s="253" t="n"/>
      <c r="C199" s="253" t="n"/>
      <c r="D199" s="253" t="n"/>
      <c r="E199" s="253" t="n"/>
    </row>
    <row r="200">
      <c r="A200" s="353" t="n">
        <v>45962</v>
      </c>
      <c r="B200" s="253" t="n"/>
      <c r="C200" s="253" t="n"/>
      <c r="D200" s="253" t="n"/>
      <c r="E200" s="253" t="n"/>
    </row>
    <row r="201">
      <c r="A201" s="353" t="n">
        <v>45963</v>
      </c>
      <c r="B201" s="253" t="n"/>
      <c r="C201" s="253" t="n"/>
      <c r="D201" s="253" t="n"/>
      <c r="E201" s="253" t="n"/>
    </row>
    <row r="202">
      <c r="A202" s="353" t="n">
        <v>45964</v>
      </c>
      <c r="B202" s="253" t="n"/>
      <c r="C202" s="253" t="n"/>
      <c r="D202" s="253" t="n"/>
      <c r="E202" s="253" t="n"/>
    </row>
    <row r="203">
      <c r="A203" s="353" t="n">
        <v>45965</v>
      </c>
      <c r="B203" s="253" t="n"/>
      <c r="C203" s="253" t="n"/>
      <c r="D203" s="253" t="n"/>
      <c r="E203" s="253" t="n"/>
    </row>
    <row r="204">
      <c r="A204" s="353" t="n">
        <v>45966</v>
      </c>
      <c r="B204" s="253" t="n"/>
      <c r="C204" s="253" t="n"/>
      <c r="D204" s="253" t="n"/>
      <c r="E204" s="253" t="n"/>
    </row>
    <row r="205">
      <c r="A205" s="353" t="n">
        <v>45967</v>
      </c>
      <c r="B205" s="253" t="n"/>
      <c r="C205" s="253" t="n"/>
      <c r="D205" s="253" t="n"/>
      <c r="E205" s="253" t="n"/>
    </row>
    <row r="206">
      <c r="A206" s="353" t="n">
        <v>45968</v>
      </c>
      <c r="B206" s="253" t="n"/>
      <c r="C206" s="253" t="n"/>
      <c r="D206" s="253" t="n"/>
      <c r="E206" s="253" t="n"/>
    </row>
    <row r="207">
      <c r="A207" s="353" t="n">
        <v>45969</v>
      </c>
      <c r="B207" s="253" t="n"/>
      <c r="C207" s="253" t="n"/>
      <c r="D207" s="253" t="n"/>
      <c r="E207" s="253" t="n"/>
    </row>
    <row r="208">
      <c r="A208" s="353" t="n">
        <v>45970</v>
      </c>
      <c r="B208" s="253" t="n"/>
      <c r="C208" s="253" t="n"/>
      <c r="D208" s="253" t="n"/>
      <c r="E208" s="253" t="n"/>
    </row>
    <row r="209">
      <c r="A209" s="353" t="n">
        <v>45971</v>
      </c>
      <c r="B209" s="253" t="n"/>
      <c r="C209" s="253" t="n"/>
      <c r="D209" s="253" t="n"/>
      <c r="E209" s="253" t="n"/>
    </row>
    <row r="210">
      <c r="A210" s="353" t="n">
        <v>45972</v>
      </c>
      <c r="B210" s="253" t="n"/>
      <c r="C210" s="253" t="n"/>
      <c r="D210" s="253" t="n"/>
      <c r="E210" s="253" t="n"/>
    </row>
    <row r="211">
      <c r="A211" s="353" t="n">
        <v>45973</v>
      </c>
      <c r="B211" s="253" t="n"/>
      <c r="C211" s="253" t="n"/>
      <c r="D211" s="253" t="n"/>
      <c r="E211" s="253" t="n"/>
    </row>
    <row r="212">
      <c r="A212" s="353" t="n">
        <v>45974</v>
      </c>
      <c r="B212" s="253" t="n"/>
      <c r="C212" s="253" t="n"/>
      <c r="D212" s="253" t="n"/>
      <c r="E212" s="253" t="n"/>
    </row>
    <row r="213">
      <c r="A213" s="353" t="n">
        <v>45975</v>
      </c>
      <c r="B213" s="253" t="n"/>
      <c r="C213" s="253" t="n"/>
      <c r="D213" s="253" t="n"/>
      <c r="E213" s="253" t="n"/>
    </row>
    <row r="214">
      <c r="A214" s="353" t="n">
        <v>45976</v>
      </c>
      <c r="B214" s="253" t="n"/>
      <c r="C214" s="253" t="n"/>
      <c r="D214" s="253" t="n"/>
      <c r="E214" s="253" t="n"/>
    </row>
    <row r="215">
      <c r="A215" s="353" t="n">
        <v>45977</v>
      </c>
      <c r="B215" s="253" t="n"/>
      <c r="C215" s="253" t="n"/>
      <c r="D215" s="253" t="n"/>
      <c r="E215" s="253" t="n"/>
    </row>
    <row r="216">
      <c r="A216" s="353" t="n">
        <v>45978</v>
      </c>
      <c r="B216" s="253" t="n"/>
      <c r="C216" s="253" t="n"/>
      <c r="D216" s="253" t="n"/>
      <c r="E216" s="253" t="n"/>
    </row>
    <row r="217">
      <c r="A217" s="353" t="n">
        <v>45979</v>
      </c>
      <c r="B217" s="253" t="n"/>
      <c r="C217" s="253" t="n"/>
      <c r="D217" s="253" t="n"/>
      <c r="E217" s="253" t="n"/>
    </row>
    <row r="218">
      <c r="A218" s="353" t="n">
        <v>45980</v>
      </c>
      <c r="B218" s="253" t="n"/>
      <c r="C218" s="253" t="n"/>
      <c r="D218" s="253" t="n"/>
      <c r="E218" s="253" t="n"/>
    </row>
    <row r="219">
      <c r="A219" s="353" t="n">
        <v>45981</v>
      </c>
      <c r="B219" s="253" t="n"/>
      <c r="C219" s="253" t="n"/>
      <c r="D219" s="253" t="n"/>
      <c r="E219" s="253" t="n"/>
    </row>
    <row r="220">
      <c r="A220" s="353" t="n">
        <v>45982</v>
      </c>
      <c r="B220" s="253" t="n"/>
      <c r="C220" s="253" t="n"/>
      <c r="D220" s="253" t="n"/>
      <c r="E220" s="253" t="n"/>
    </row>
    <row r="221">
      <c r="A221" s="353" t="n">
        <v>45983</v>
      </c>
      <c r="B221" s="253" t="n"/>
      <c r="C221" s="253" t="n"/>
      <c r="D221" s="253" t="n"/>
      <c r="E221" s="253" t="n"/>
    </row>
    <row r="222">
      <c r="A222" s="353" t="n">
        <v>45984</v>
      </c>
      <c r="B222" s="253" t="n"/>
      <c r="C222" s="253" t="n"/>
      <c r="D222" s="253" t="n"/>
      <c r="E222" s="253" t="n"/>
    </row>
    <row r="223">
      <c r="A223" s="353" t="n">
        <v>45985</v>
      </c>
      <c r="B223" s="253" t="n"/>
      <c r="C223" s="253" t="n"/>
      <c r="D223" s="253" t="n"/>
      <c r="E223" s="253" t="n"/>
    </row>
    <row r="224">
      <c r="A224" s="353" t="n">
        <v>45986</v>
      </c>
      <c r="B224" s="253" t="n"/>
      <c r="C224" s="253" t="n"/>
      <c r="D224" s="253" t="n"/>
      <c r="E224" s="253" t="n"/>
    </row>
    <row r="225">
      <c r="A225" s="353" t="n">
        <v>45987</v>
      </c>
      <c r="B225" s="253" t="n">
        <v>48</v>
      </c>
      <c r="C225" s="253" t="n"/>
      <c r="D225" s="253" t="n"/>
      <c r="E225" s="253" t="n"/>
    </row>
    <row r="226">
      <c r="A226" s="353" t="n">
        <v>45988</v>
      </c>
      <c r="B226" s="253" t="n">
        <v>61</v>
      </c>
      <c r="C226" s="253" t="n"/>
      <c r="D226" s="253" t="n"/>
      <c r="E226" s="253" t="n"/>
    </row>
    <row r="227">
      <c r="A227" s="353" t="n">
        <v>45989</v>
      </c>
      <c r="B227" s="253" t="n">
        <v>30</v>
      </c>
      <c r="C227" s="253" t="n"/>
      <c r="D227" s="253" t="n"/>
      <c r="E227" s="253" t="n"/>
    </row>
    <row r="228">
      <c r="A228" s="353" t="n">
        <v>45990</v>
      </c>
      <c r="B228" s="253" t="n">
        <v>45</v>
      </c>
      <c r="C228" s="253" t="n"/>
      <c r="D228" s="253" t="n"/>
      <c r="E228" s="253" t="n"/>
    </row>
    <row r="229">
      <c r="A229" s="353" t="n">
        <v>45991</v>
      </c>
      <c r="B229" s="253" t="inlineStr">
        <is>
          <t>-</t>
        </is>
      </c>
      <c r="C229" s="253" t="inlineStr">
        <is>
          <t>-</t>
        </is>
      </c>
      <c r="D229" s="253" t="inlineStr">
        <is>
          <t>-</t>
        </is>
      </c>
      <c r="E229" s="253" t="inlineStr">
        <is>
          <t>HAFTA SONU TATİL</t>
        </is>
      </c>
    </row>
    <row r="230">
      <c r="A230" s="353" t="n">
        <v>45992</v>
      </c>
      <c r="B230" s="253" t="n">
        <v>70</v>
      </c>
      <c r="C230" s="253" t="n"/>
      <c r="D230" s="253" t="n"/>
      <c r="E230" s="253" t="n"/>
    </row>
    <row r="231">
      <c r="A231" s="353" t="n">
        <v>45993</v>
      </c>
      <c r="B231" s="253" t="n">
        <v>46</v>
      </c>
      <c r="C231" s="253" t="n"/>
      <c r="D231" s="253" t="n"/>
      <c r="E231" s="253" t="n"/>
    </row>
    <row r="232">
      <c r="A232" s="353" t="n">
        <v>45994</v>
      </c>
      <c r="B232" s="253" t="n">
        <v>57</v>
      </c>
      <c r="C232" s="253" t="n"/>
      <c r="D232" s="253" t="n"/>
      <c r="E232" s="253" t="n"/>
    </row>
    <row r="233">
      <c r="A233" s="353" t="n">
        <v>45995</v>
      </c>
      <c r="B233" s="253" t="n">
        <v>120</v>
      </c>
      <c r="C233" s="253" t="inlineStr">
        <is>
          <t>yastık</t>
        </is>
      </c>
      <c r="D233" s="253" t="n"/>
      <c r="E233" s="253" t="n"/>
    </row>
    <row r="234">
      <c r="A234" s="353" t="n">
        <v>45996</v>
      </c>
      <c r="B234" s="253" t="n">
        <v>70</v>
      </c>
      <c r="C234" s="253" t="n"/>
      <c r="D234" s="253" t="n"/>
      <c r="E234" s="253" t="n"/>
    </row>
    <row r="235">
      <c r="A235" s="353" t="n">
        <v>45997</v>
      </c>
      <c r="B235" s="253" t="n">
        <v>50</v>
      </c>
      <c r="C235" s="253" t="n"/>
      <c r="D235" s="253" t="n"/>
      <c r="E235" s="253" t="n"/>
    </row>
    <row r="236">
      <c r="A236" s="353" t="n">
        <v>45998</v>
      </c>
      <c r="B236" s="253" t="n"/>
      <c r="C236" s="253" t="n"/>
      <c r="D236" s="253" t="n"/>
      <c r="E236" s="253" t="n"/>
    </row>
    <row r="237">
      <c r="A237" s="353" t="n">
        <v>45999</v>
      </c>
      <c r="B237" s="253" t="n"/>
      <c r="C237" s="253" t="n"/>
      <c r="D237" s="253" t="n"/>
      <c r="E237" s="253" t="n"/>
    </row>
    <row r="238">
      <c r="A238" s="353" t="n">
        <v>46000</v>
      </c>
      <c r="B238" s="253" t="n"/>
      <c r="C238" s="253" t="n"/>
      <c r="D238" s="253" t="n"/>
      <c r="E238" s="253" t="n"/>
    </row>
    <row r="239">
      <c r="A239" s="353" t="n">
        <v>46001</v>
      </c>
      <c r="B239" s="253" t="n"/>
      <c r="C239" s="253" t="n"/>
      <c r="D239" s="253" t="n"/>
      <c r="E239" s="253" t="n"/>
    </row>
    <row r="240">
      <c r="A240" s="353" t="n">
        <v>46002</v>
      </c>
      <c r="B240" s="253" t="n"/>
      <c r="C240" s="253" t="n"/>
      <c r="D240" s="253" t="n"/>
      <c r="E240" s="253" t="n"/>
    </row>
    <row r="241">
      <c r="A241" s="353" t="n">
        <v>46003</v>
      </c>
      <c r="B241" s="253" t="n"/>
      <c r="C241" s="253" t="n"/>
      <c r="D241" s="253" t="n"/>
      <c r="E241" s="253" t="n"/>
    </row>
    <row r="242">
      <c r="A242" s="353" t="n">
        <v>46004</v>
      </c>
      <c r="B242" s="253" t="n"/>
      <c r="C242" s="253" t="n"/>
      <c r="D242" s="253" t="n"/>
      <c r="E242" s="253" t="n"/>
    </row>
    <row r="243">
      <c r="A243" s="353" t="n">
        <v>46005</v>
      </c>
      <c r="B243" s="253" t="n"/>
      <c r="C243" s="253" t="n"/>
      <c r="D243" s="253" t="n"/>
      <c r="E243" s="253" t="n"/>
    </row>
    <row r="244">
      <c r="A244" s="353" t="n">
        <v>46006</v>
      </c>
      <c r="B244" s="253" t="n"/>
      <c r="C244" s="253" t="n"/>
      <c r="D244" s="253" t="n"/>
      <c r="E244" s="253" t="n"/>
    </row>
    <row r="245">
      <c r="A245" s="353" t="n">
        <v>46007</v>
      </c>
      <c r="B245" s="253" t="n"/>
      <c r="C245" s="253" t="n"/>
      <c r="D245" s="253" t="n"/>
      <c r="E245" s="253" t="n"/>
    </row>
    <row r="246">
      <c r="A246" s="353" t="n">
        <v>46008</v>
      </c>
      <c r="B246" s="253" t="n"/>
      <c r="C246" s="253" t="n"/>
      <c r="D246" s="253" t="n"/>
      <c r="E246" s="253" t="n"/>
    </row>
    <row r="247">
      <c r="A247" s="353" t="n">
        <v>46009</v>
      </c>
      <c r="B247" s="253" t="n"/>
      <c r="C247" s="253" t="n"/>
      <c r="D247" s="253" t="n"/>
      <c r="E247" s="253" t="n"/>
    </row>
    <row r="248">
      <c r="A248" s="353" t="n">
        <v>46010</v>
      </c>
      <c r="B248" s="253" t="n"/>
      <c r="C248" s="253" t="n"/>
      <c r="D248" s="253" t="n"/>
      <c r="E248" s="253" t="n"/>
    </row>
    <row r="249">
      <c r="A249" s="353" t="n">
        <v>46011</v>
      </c>
      <c r="B249" s="253" t="n"/>
      <c r="C249" s="253" t="n"/>
      <c r="D249" s="253" t="n"/>
      <c r="E249" s="253" t="n"/>
    </row>
    <row r="250">
      <c r="A250" s="353" t="n">
        <v>46012</v>
      </c>
      <c r="B250" s="253" t="n"/>
      <c r="C250" s="253" t="n"/>
      <c r="D250" s="253" t="n"/>
      <c r="E250" s="253" t="n"/>
    </row>
    <row r="251">
      <c r="A251" s="353" t="n">
        <v>46013</v>
      </c>
      <c r="B251" s="253" t="n"/>
      <c r="C251" s="253" t="n"/>
      <c r="D251" s="253" t="n"/>
      <c r="E251" s="253" t="n"/>
    </row>
    <row r="252">
      <c r="A252" s="353" t="n">
        <v>46014</v>
      </c>
      <c r="B252" s="253" t="n"/>
      <c r="C252" s="253" t="n"/>
      <c r="D252" s="253" t="n"/>
      <c r="E252" s="253" t="n"/>
    </row>
    <row r="253">
      <c r="A253" s="353" t="n">
        <v>46015</v>
      </c>
      <c r="B253" s="253" t="n"/>
      <c r="C253" s="253" t="n"/>
      <c r="D253" s="253" t="n"/>
      <c r="E253" s="253" t="n"/>
    </row>
    <row r="254">
      <c r="A254" s="353" t="n">
        <v>46016</v>
      </c>
      <c r="B254" s="253" t="n"/>
      <c r="C254" s="253" t="n"/>
      <c r="D254" s="253" t="n"/>
      <c r="E254" s="253" t="n"/>
    </row>
    <row r="255">
      <c r="A255" s="353" t="n">
        <v>46017</v>
      </c>
      <c r="B255" s="253" t="n"/>
      <c r="C255" s="253" t="n"/>
      <c r="D255" s="253" t="n"/>
      <c r="E255" s="253" t="n"/>
    </row>
    <row r="256">
      <c r="A256" s="353" t="n">
        <v>46018</v>
      </c>
      <c r="B256" s="253" t="n"/>
      <c r="C256" s="253" t="n"/>
      <c r="D256" s="253" t="n"/>
      <c r="E256" s="253" t="n"/>
    </row>
    <row r="257">
      <c r="A257" s="353" t="n">
        <v>46019</v>
      </c>
      <c r="B257" s="253" t="n"/>
      <c r="C257" s="253" t="n"/>
      <c r="D257" s="253" t="n"/>
      <c r="E257" s="253" t="n"/>
    </row>
    <row r="258">
      <c r="A258" s="353" t="n">
        <v>46020</v>
      </c>
      <c r="B258" s="253" t="n"/>
      <c r="C258" s="253" t="n"/>
      <c r="D258" s="253" t="n"/>
      <c r="E258" s="253" t="n"/>
    </row>
    <row r="259">
      <c r="A259" s="353" t="n">
        <v>46021</v>
      </c>
      <c r="B259" s="253" t="n"/>
      <c r="C259" s="253" t="n"/>
      <c r="D259" s="253" t="n"/>
      <c r="E259" s="253" t="n"/>
    </row>
    <row r="260">
      <c r="A260" s="353" t="n">
        <v>46022</v>
      </c>
      <c r="B260" s="253" t="n"/>
      <c r="C260" s="253" t="n"/>
      <c r="D260" s="253" t="n"/>
      <c r="E260" s="253" t="n"/>
    </row>
    <row r="261">
      <c r="A261" s="353" t="n">
        <v>46023</v>
      </c>
      <c r="B261" s="253" t="n"/>
      <c r="C261" s="253" t="n"/>
      <c r="D261" s="253" t="n"/>
      <c r="E261" s="253" t="n"/>
    </row>
    <row r="262">
      <c r="A262" s="353" t="n">
        <v>46024</v>
      </c>
      <c r="B262" s="253" t="n"/>
      <c r="C262" s="253" t="n"/>
      <c r="D262" s="253" t="n"/>
      <c r="E262" s="253" t="n"/>
    </row>
    <row r="263">
      <c r="A263" s="353" t="n">
        <v>46025</v>
      </c>
      <c r="B263" s="253" t="n"/>
      <c r="C263" s="253" t="n"/>
      <c r="D263" s="253" t="n"/>
      <c r="E263" s="253" t="n"/>
    </row>
    <row r="264">
      <c r="A264" s="353" t="n">
        <v>46026</v>
      </c>
      <c r="B264" s="253" t="n"/>
      <c r="C264" s="253" t="n"/>
      <c r="D264" s="253" t="n"/>
      <c r="E264" s="253" t="n"/>
    </row>
    <row r="265">
      <c r="A265" s="353" t="n">
        <v>46027</v>
      </c>
      <c r="B265" s="253" t="n"/>
      <c r="C265" s="253" t="n"/>
      <c r="D265" s="253" t="n"/>
      <c r="E265" s="253" t="n"/>
    </row>
    <row r="266">
      <c r="B266" s="253" t="n"/>
      <c r="C266" s="253" t="n"/>
      <c r="D266" s="253" t="n"/>
      <c r="E266" s="253" t="n"/>
    </row>
    <row r="267">
      <c r="B267" s="253" t="n"/>
      <c r="C267" s="253" t="n"/>
      <c r="D267" s="253" t="n"/>
      <c r="E267" s="253" t="n"/>
    </row>
    <row r="268">
      <c r="B268" s="253" t="n"/>
      <c r="C268" s="253" t="n"/>
      <c r="D268" s="253" t="n"/>
      <c r="E268" s="253" t="n"/>
    </row>
    <row r="269">
      <c r="B269" s="253" t="n"/>
      <c r="C269" s="253" t="n"/>
      <c r="D269" s="253" t="n"/>
      <c r="E269" s="253" t="n"/>
    </row>
    <row r="270">
      <c r="B270" s="253" t="n"/>
      <c r="C270" s="253" t="n"/>
      <c r="D270" s="253" t="n"/>
      <c r="E270" s="25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2006-09-26T09:04:32Z</dcterms:created>
  <dcterms:modified xmlns:dcterms="http://purl.org/dc/terms/" xmlns:xsi="http://www.w3.org/2001/XMLSchema-instance" xsi:type="dcterms:W3CDTF">2026-05-07T10:07:58Z</dcterms:modified>
  <cp:lastModifiedBy>Anatolian Rug</cp:lastModifiedBy>
</cp:coreProperties>
</file>